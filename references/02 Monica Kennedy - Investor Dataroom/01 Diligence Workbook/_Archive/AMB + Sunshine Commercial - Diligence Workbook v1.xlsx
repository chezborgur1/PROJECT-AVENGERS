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Monica Kennedy - Sunshine Commercial Investments\02 Monica Kennedy - Investor Dataroom\01 Diligence Workbook\"/>
    </mc:Choice>
  </mc:AlternateContent>
  <xr:revisionPtr revIDLastSave="0" documentId="13_ncr:1_{1BA37606-8414-4BEF-88E8-727C183854A6}" xr6:coauthVersionLast="47" xr6:coauthVersionMax="47" xr10:uidLastSave="{00000000-0000-0000-0000-000000000000}"/>
  <bookViews>
    <workbookView xWindow="-120" yWindow="-120" windowWidth="51840" windowHeight="21840" activeTab="2" xr2:uid="{00000000-000D-0000-FFFF-FFFF00000000}"/>
  </bookViews>
  <sheets>
    <sheet name="Cover" sheetId="1" r:id="rId1"/>
    <sheet name="CRE Valuation Summary" sheetId="2" r:id="rId2"/>
    <sheet name="CRE Income Capitalization" sheetId="3" r:id="rId3"/>
  </sheets>
  <definedNames>
    <definedName name="_xlnm.Print_Area" localSheetId="0">Cover!$B$2:$Q$39</definedName>
    <definedName name="_xlnm.Print_Area" localSheetId="2">'CRE Income Capitalization'!$B$2:$F$57</definedName>
    <definedName name="_xlnm.Print_Area" localSheetId="1">'CRE Valuation Summary'!$B$2:$I$47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5" i="2"/>
  <c r="E57" i="3"/>
  <c r="F57" i="3"/>
  <c r="F56" i="3"/>
  <c r="D56" i="3"/>
  <c r="E55" i="3"/>
  <c r="F55" i="3"/>
  <c r="C54" i="3"/>
  <c r="E54" i="3"/>
  <c r="F54" i="3"/>
  <c r="D54" i="3"/>
  <c r="E51" i="3"/>
  <c r="F51" i="3" s="1"/>
  <c r="E40" i="3"/>
  <c r="E48" i="3" s="1"/>
  <c r="F43" i="3"/>
  <c r="F44" i="3"/>
  <c r="C32" i="3"/>
  <c r="D32" i="3" s="1"/>
  <c r="D31" i="3"/>
  <c r="C31" i="3"/>
  <c r="C33" i="3" s="1"/>
  <c r="E56" i="3"/>
  <c r="B50" i="3"/>
  <c r="D44" i="3"/>
  <c r="E44" i="3" s="1"/>
  <c r="D43" i="3"/>
  <c r="E43" i="3" s="1"/>
  <c r="B25" i="3"/>
  <c r="H51" i="3"/>
  <c r="H15" i="3"/>
  <c r="I15" i="3" s="1"/>
  <c r="I14" i="3"/>
  <c r="I13" i="3"/>
  <c r="I12" i="3"/>
  <c r="I11" i="3"/>
  <c r="I10" i="3"/>
  <c r="B40" i="3"/>
  <c r="C51" i="3"/>
  <c r="D51" i="3" s="1"/>
  <c r="C15" i="3"/>
  <c r="D15" i="3" s="1"/>
  <c r="C40" i="3" s="1"/>
  <c r="C48" i="3" s="1"/>
  <c r="D14" i="3"/>
  <c r="D13" i="3"/>
  <c r="D12" i="3"/>
  <c r="D11" i="3"/>
  <c r="D10" i="3"/>
  <c r="B2" i="3"/>
  <c r="B2" i="2"/>
  <c r="D40" i="3" l="1"/>
  <c r="D48" i="3" s="1"/>
  <c r="D33" i="3"/>
  <c r="F40" i="3" s="1"/>
  <c r="E46" i="3"/>
  <c r="E50" i="3" s="1"/>
  <c r="E52" i="3" s="1"/>
  <c r="D46" i="3"/>
  <c r="C46" i="3"/>
  <c r="C25" i="3"/>
  <c r="C27" i="3" s="1"/>
  <c r="B26" i="1"/>
  <c r="C50" i="3" l="1"/>
  <c r="C52" i="3" s="1"/>
  <c r="C55" i="3"/>
  <c r="C57" i="3" s="1"/>
  <c r="F46" i="3"/>
  <c r="F50" i="3" s="1"/>
  <c r="F52" i="3" s="1"/>
  <c r="F48" i="3"/>
  <c r="D34" i="3"/>
  <c r="C34" i="3"/>
  <c r="D50" i="3"/>
  <c r="D52" i="3" s="1"/>
  <c r="D55" i="3"/>
  <c r="D57" i="3" s="1"/>
</calcChain>
</file>

<file path=xl/sharedStrings.xml><?xml version="1.0" encoding="utf-8"?>
<sst xmlns="http://schemas.openxmlformats.org/spreadsheetml/2006/main" count="67" uniqueCount="59">
  <si>
    <t>Diligence Workbook</t>
  </si>
  <si>
    <t>Sunshine Commercial Investments</t>
  </si>
  <si>
    <t>Commercial Real Estate Valuation ($000s)</t>
  </si>
  <si>
    <t>Monthly</t>
  </si>
  <si>
    <t>Annual</t>
  </si>
  <si>
    <t>Laundromat</t>
  </si>
  <si>
    <t>Community Theater</t>
  </si>
  <si>
    <t>Turnaround Testron*</t>
  </si>
  <si>
    <t>Consignment Shop</t>
  </si>
  <si>
    <t>Book Store</t>
  </si>
  <si>
    <t>Print</t>
  </si>
  <si>
    <t>*Cannot verify through Google Maps -- appears to be Carrie’s Beauty Salon</t>
  </si>
  <si>
    <t>Valuation</t>
  </si>
  <si>
    <t>% Delta</t>
  </si>
  <si>
    <t>Precedent Transactions</t>
  </si>
  <si>
    <t>Income Capitalization Approach</t>
  </si>
  <si>
    <t>Average Valuation</t>
  </si>
  <si>
    <t>County Cost-Approach</t>
  </si>
  <si>
    <t>CRE Rent Overview</t>
  </si>
  <si>
    <t>Prior Transaction Consideration</t>
  </si>
  <si>
    <t>Estimated NOI</t>
  </si>
  <si>
    <t>Total Current Rent</t>
  </si>
  <si>
    <t>FY25</t>
  </si>
  <si>
    <t>(-) Insurance</t>
  </si>
  <si>
    <t>(-) Taxes</t>
  </si>
  <si>
    <t>(-) Utilities</t>
  </si>
  <si>
    <t>(-) Maintenance</t>
  </si>
  <si>
    <t>Net Operating Income</t>
  </si>
  <si>
    <t>Pro Forma Rent ($)</t>
  </si>
  <si>
    <t>Total Leasable Square Footage</t>
  </si>
  <si>
    <t>Current Rent / Sq. Ft.</t>
  </si>
  <si>
    <t>Normalized Rent Calculation</t>
  </si>
  <si>
    <t>Market Rent Analysis</t>
  </si>
  <si>
    <t>(/) Prior Transaction Value</t>
  </si>
  <si>
    <t>Implied Cap Rate</t>
  </si>
  <si>
    <t>Based on this calculator (currently assumes $1M sale)</t>
  </si>
  <si>
    <t>(-) Property Management</t>
  </si>
  <si>
    <t>Assumes NNN structure</t>
  </si>
  <si>
    <t>Implied Rent Increase for NNN</t>
  </si>
  <si>
    <t>Pro Forma NOI</t>
  </si>
  <si>
    <t>NNN</t>
  </si>
  <si>
    <t>(/) Estimated Cap Rate</t>
  </si>
  <si>
    <t>Low-End Rate</t>
  </si>
  <si>
    <t>High-End Rate</t>
  </si>
  <si>
    <t>Source</t>
  </si>
  <si>
    <t>Implied Annual Rent</t>
  </si>
  <si>
    <t>Implied Annual Rent Calculation</t>
  </si>
  <si>
    <t>Low-End</t>
  </si>
  <si>
    <t>Base-Rate</t>
  </si>
  <si>
    <t>Estimated Rent / Sq. Ft</t>
  </si>
  <si>
    <t>(x) Leasable Sq. Ft.</t>
  </si>
  <si>
    <t>% Increase</t>
  </si>
  <si>
    <t>Current Rent</t>
  </si>
  <si>
    <t>2024 Net Income</t>
  </si>
  <si>
    <t>Mortgage Interest</t>
  </si>
  <si>
    <t xml:space="preserve">Depreciation </t>
  </si>
  <si>
    <t>Total Earnings</t>
  </si>
  <si>
    <t>Implied Valuation</t>
  </si>
  <si>
    <t>Less Accumulated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</si>
</sst>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$]#,##0;\([$$]#,##0\);&quot;–&quot;;@"/>
    <numFmt numFmtId="165" formatCode="#,##0;\(#,##0\);&quot;–&quot;;@"/>
    <numFmt numFmtId="166" formatCode="[$$]#,##0.00;\([$$]#,##0.00\);&quot;–&quot;;@"/>
    <numFmt numFmtId="173" formatCode="#,##0.0%;\(#,##0.0%\);&quot;–&quot;;@"/>
    <numFmt numFmtId="177" formatCode="0.0%"/>
    <numFmt numFmtId="179" formatCode="[$$]#,##0.0;\([$$]#,##0.0\);&quot;–&quot;;@"/>
    <numFmt numFmtId="180" formatCode="#,##0%;\(#,##0%\);&quot;–&quot;;@"/>
    <numFmt numFmtId="182" formatCode="0.0\x;\(0.0\x\);&quot;–&quot;"/>
  </numFmts>
  <fonts count="2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9"/>
      <color rgb="FF0000FF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9"/>
      <color rgb="FF800080"/>
      <name val="arial"/>
      <family val="2"/>
    </font>
    <font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i/>
      <u/>
      <sz val="9"/>
      <color theme="10"/>
      <name val="Arial"/>
      <family val="2"/>
    </font>
    <font>
      <b/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8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74">
    <xf numFmtId="0" fontId="0" fillId="0" borderId="0" xfId="0"/>
    <xf numFmtId="0" fontId="5" fillId="2" borderId="0" xfId="0" applyFont="1" applyFill="1"/>
    <xf numFmtId="0" fontId="5" fillId="0" borderId="0" xfId="0" applyFont="1"/>
    <xf numFmtId="0" fontId="5" fillId="0" borderId="1" xfId="0" applyFont="1" applyBorder="1"/>
    <xf numFmtId="0" fontId="5" fillId="0" borderId="0" xfId="0" applyFont="1" applyAlignment="1">
      <alignment vertical="center"/>
    </xf>
    <xf numFmtId="0" fontId="5" fillId="0" borderId="2" xfId="0" applyFont="1" applyBorder="1"/>
    <xf numFmtId="0" fontId="3" fillId="0" borderId="0" xfId="0" applyFont="1"/>
    <xf numFmtId="0" fontId="4" fillId="0" borderId="0" xfId="0" applyFont="1"/>
    <xf numFmtId="0" fontId="9" fillId="0" borderId="0" xfId="0" applyFont="1"/>
    <xf numFmtId="0" fontId="10" fillId="0" borderId="3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164" fontId="3" fillId="0" borderId="0" xfId="0" applyNumberFormat="1" applyFont="1"/>
    <xf numFmtId="164" fontId="11" fillId="0" borderId="0" xfId="0" applyNumberFormat="1" applyFont="1"/>
    <xf numFmtId="165" fontId="3" fillId="0" borderId="0" xfId="0" applyNumberFormat="1" applyFont="1"/>
    <xf numFmtId="165" fontId="11" fillId="0" borderId="0" xfId="0" applyNumberFormat="1" applyFont="1"/>
    <xf numFmtId="0" fontId="4" fillId="0" borderId="2" xfId="0" applyFont="1" applyBorder="1"/>
    <xf numFmtId="0" fontId="3" fillId="0" borderId="2" xfId="0" applyFont="1" applyBorder="1"/>
    <xf numFmtId="164" fontId="4" fillId="0" borderId="2" xfId="0" applyNumberFormat="1" applyFont="1" applyBorder="1"/>
    <xf numFmtId="165" fontId="11" fillId="0" borderId="5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4" fillId="3" borderId="0" xfId="0" applyFont="1" applyFill="1"/>
    <xf numFmtId="0" fontId="3" fillId="3" borderId="0" xfId="0" applyFont="1" applyFill="1"/>
    <xf numFmtId="164" fontId="14" fillId="0" borderId="0" xfId="0" applyNumberFormat="1" applyFont="1"/>
    <xf numFmtId="0" fontId="4" fillId="0" borderId="0" xfId="0" applyFont="1" applyAlignment="1">
      <alignment horizontal="center"/>
    </xf>
    <xf numFmtId="0" fontId="10" fillId="0" borderId="0" xfId="0" applyFont="1"/>
    <xf numFmtId="0" fontId="2" fillId="0" borderId="0" xfId="0" applyFont="1"/>
    <xf numFmtId="164" fontId="15" fillId="0" borderId="0" xfId="0" applyNumberFormat="1" applyFont="1"/>
    <xf numFmtId="164" fontId="16" fillId="0" borderId="0" xfId="0" applyNumberFormat="1" applyFont="1"/>
    <xf numFmtId="166" fontId="4" fillId="0" borderId="0" xfId="0" applyNumberFormat="1" applyFont="1"/>
    <xf numFmtId="0" fontId="17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/>
    <xf numFmtId="165" fontId="15" fillId="0" borderId="0" xfId="0" applyNumberFormat="1" applyFont="1"/>
    <xf numFmtId="0" fontId="1" fillId="0" borderId="0" xfId="0" applyFont="1" applyAlignment="1">
      <alignment horizontal="left" indent="1"/>
    </xf>
    <xf numFmtId="0" fontId="20" fillId="0" borderId="0" xfId="2" applyFont="1"/>
    <xf numFmtId="0" fontId="21" fillId="0" borderId="0" xfId="2" applyFont="1"/>
    <xf numFmtId="0" fontId="4" fillId="0" borderId="0" xfId="0" applyFont="1" applyBorder="1"/>
    <xf numFmtId="164" fontId="4" fillId="0" borderId="0" xfId="0" applyNumberFormat="1" applyFont="1" applyBorder="1"/>
    <xf numFmtId="0" fontId="4" fillId="4" borderId="6" xfId="0" applyFont="1" applyFill="1" applyBorder="1"/>
    <xf numFmtId="9" fontId="4" fillId="4" borderId="7" xfId="1" applyFont="1" applyFill="1" applyBorder="1"/>
    <xf numFmtId="173" fontId="4" fillId="4" borderId="4" xfId="0" applyNumberFormat="1" applyFont="1" applyFill="1" applyBorder="1"/>
    <xf numFmtId="173" fontId="4" fillId="4" borderId="7" xfId="0" applyNumberFormat="1" applyFont="1" applyFill="1" applyBorder="1"/>
    <xf numFmtId="177" fontId="11" fillId="5" borderId="0" xfId="0" applyNumberFormat="1" applyFont="1" applyFill="1"/>
    <xf numFmtId="177" fontId="15" fillId="5" borderId="0" xfId="0" applyNumberFormat="1" applyFont="1" applyFill="1"/>
    <xf numFmtId="164" fontId="4" fillId="4" borderId="4" xfId="0" applyNumberFormat="1" applyFont="1" applyFill="1" applyBorder="1"/>
    <xf numFmtId="166" fontId="4" fillId="4" borderId="7" xfId="0" applyNumberFormat="1" applyFont="1" applyFill="1" applyBorder="1"/>
    <xf numFmtId="179" fontId="11" fillId="0" borderId="0" xfId="0" applyNumberFormat="1" applyFont="1"/>
    <xf numFmtId="166" fontId="4" fillId="0" borderId="4" xfId="0" applyNumberFormat="1" applyFont="1" applyBorder="1" applyAlignment="1">
      <alignment horizontal="center"/>
    </xf>
    <xf numFmtId="179" fontId="15" fillId="0" borderId="0" xfId="0" applyNumberFormat="1" applyFont="1"/>
    <xf numFmtId="165" fontId="15" fillId="0" borderId="0" xfId="0" applyNumberFormat="1" applyFont="1" applyFill="1" applyBorder="1" applyAlignment="1"/>
    <xf numFmtId="164" fontId="4" fillId="4" borderId="7" xfId="0" applyNumberFormat="1" applyFont="1" applyFill="1" applyBorder="1"/>
    <xf numFmtId="0" fontId="4" fillId="4" borderId="8" xfId="0" applyFont="1" applyFill="1" applyBorder="1"/>
    <xf numFmtId="164" fontId="4" fillId="4" borderId="2" xfId="0" applyNumberFormat="1" applyFont="1" applyFill="1" applyBorder="1"/>
    <xf numFmtId="164" fontId="4" fillId="4" borderId="9" xfId="0" applyNumberFormat="1" applyFont="1" applyFill="1" applyBorder="1"/>
    <xf numFmtId="0" fontId="22" fillId="4" borderId="10" xfId="0" applyFont="1" applyFill="1" applyBorder="1"/>
    <xf numFmtId="180" fontId="4" fillId="4" borderId="3" xfId="0" applyNumberFormat="1" applyFont="1" applyFill="1" applyBorder="1"/>
    <xf numFmtId="180" fontId="4" fillId="4" borderId="11" xfId="0" applyNumberFormat="1" applyFont="1" applyFill="1" applyBorder="1"/>
    <xf numFmtId="0" fontId="4" fillId="0" borderId="0" xfId="0" applyFont="1" applyBorder="1" applyAlignment="1">
      <alignment horizontal="center"/>
    </xf>
    <xf numFmtId="166" fontId="4" fillId="0" borderId="0" xfId="0" applyNumberFormat="1" applyFont="1" applyBorder="1" applyAlignment="1">
      <alignment horizontal="center"/>
    </xf>
    <xf numFmtId="9" fontId="4" fillId="4" borderId="4" xfId="1" applyFont="1" applyFill="1" applyBorder="1"/>
    <xf numFmtId="164" fontId="4" fillId="0" borderId="0" xfId="0" applyNumberFormat="1" applyFont="1" applyFill="1" applyBorder="1"/>
    <xf numFmtId="180" fontId="4" fillId="0" borderId="0" xfId="0" applyNumberFormat="1" applyFont="1" applyFill="1" applyBorder="1"/>
    <xf numFmtId="164" fontId="4" fillId="0" borderId="0" xfId="0" applyNumberFormat="1" applyFont="1" applyAlignment="1">
      <alignment horizontal="centerContinuous"/>
    </xf>
    <xf numFmtId="164" fontId="3" fillId="0" borderId="0" xfId="0" applyNumberFormat="1" applyFont="1" applyAlignment="1">
      <alignment horizontal="centerContinuous"/>
    </xf>
    <xf numFmtId="165" fontId="4" fillId="0" borderId="2" xfId="0" applyNumberFormat="1" applyFont="1" applyBorder="1"/>
    <xf numFmtId="182" fontId="3" fillId="0" borderId="0" xfId="0" applyNumberFormat="1" applyFont="1"/>
    <xf numFmtId="165" fontId="4" fillId="4" borderId="7" xfId="0" applyNumberFormat="1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2"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49934</xdr:colOff>
      <xdr:row>11</xdr:row>
      <xdr:rowOff>139212</xdr:rowOff>
    </xdr:from>
    <xdr:to>
      <xdr:col>13</xdr:col>
      <xdr:colOff>297635</xdr:colOff>
      <xdr:row>21</xdr:row>
      <xdr:rowOff>177311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4941F5-B196-1B2E-806A-2DB601A08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646" y="2022231"/>
          <a:ext cx="5457143" cy="186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284980</xdr:colOff>
      <xdr:row>4</xdr:row>
      <xdr:rowOff>59121</xdr:rowOff>
    </xdr:from>
    <xdr:to>
      <xdr:col>19</xdr:col>
      <xdr:colOff>531852</xdr:colOff>
      <xdr:row>14</xdr:row>
      <xdr:rowOff>23744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92A86E-B5EE-7413-57C9-0C4820688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6083" y="709449"/>
          <a:ext cx="6040700" cy="1475485"/>
        </a:xfrm>
        <a:prstGeom prst="rect">
          <a:avLst/>
        </a:prstGeom>
      </xdr:spPr>
    </xdr:pic>
    <xdr:clientData/>
  </xdr:twoCellAnchor>
  <xdr:twoCellAnchor editAs="oneCell">
    <xdr:from>
      <xdr:col>9</xdr:col>
      <xdr:colOff>282467</xdr:colOff>
      <xdr:row>15</xdr:row>
      <xdr:rowOff>13673</xdr:rowOff>
    </xdr:from>
    <xdr:to>
      <xdr:col>21</xdr:col>
      <xdr:colOff>400469</xdr:colOff>
      <xdr:row>20</xdr:row>
      <xdr:rowOff>62891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9F690C-5117-E38D-651B-83143638C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3570" y="2325949"/>
          <a:ext cx="7133658" cy="8046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282467</xdr:colOff>
      <xdr:row>4</xdr:row>
      <xdr:rowOff>11061</xdr:rowOff>
    </xdr:from>
    <xdr:to>
      <xdr:col>17</xdr:col>
      <xdr:colOff>168609</xdr:colOff>
      <xdr:row>11</xdr:row>
      <xdr:rowOff>128975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EEC68-518E-878D-DB51-7AD0985A1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1" y="661389"/>
          <a:ext cx="3236314" cy="939034"/>
        </a:xfrm>
        <a:prstGeom prst="rect">
          <a:avLst/>
        </a:prstGeom>
      </xdr:spPr>
    </xdr:pic>
    <xdr:clientData/>
  </xdr:twoCellAnchor>
  <xdr:twoCellAnchor editAs="oneCell">
    <xdr:from>
      <xdr:col>12</xdr:col>
      <xdr:colOff>407</xdr:colOff>
      <xdr:row>12</xdr:row>
      <xdr:rowOff>118243</xdr:rowOff>
    </xdr:from>
    <xdr:to>
      <xdr:col>24</xdr:col>
      <xdr:colOff>483092</xdr:colOff>
      <xdr:row>20</xdr:row>
      <xdr:rowOff>147034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5CD2A0-8339-6DEF-1A3A-6E97DE6A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9045" y="1740777"/>
          <a:ext cx="7813651" cy="1066688"/>
        </a:xfrm>
        <a:prstGeom prst="rect">
          <a:avLst/>
        </a:prstGeom>
      </xdr:spPr>
    </xdr:pic>
    <xdr:clientData/>
  </xdr:twoCellAnchor>
  <xdr:twoCellAnchor editAs="oneCell">
    <xdr:from>
      <xdr:col>11</xdr:col>
      <xdr:colOff>210207</xdr:colOff>
      <xdr:row>22</xdr:row>
      <xdr:rowOff>0</xdr:rowOff>
    </xdr:from>
    <xdr:to>
      <xdr:col>18</xdr:col>
      <xdr:colOff>382405</xdr:colOff>
      <xdr:row>31</xdr:row>
      <xdr:rowOff>40125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36A59C-D4B5-3604-B8CC-2FCE51C6F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33241" y="3010209"/>
          <a:ext cx="4133284" cy="1399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26306c-dc14-4161-9b0b-84c907788799}">
  <we:reference id="WA200009404" version="1.0.0.8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commercialcafe.com/commercial-real-estate/us/fl/milton/" TargetMode="External"/><Relationship Id="rId1" Type="http://schemas.openxmlformats.org/officeDocument/2006/relationships/hyperlink" Target="https://srcpa.gov/tax-estimator/?parcel=33-2N-28-0000-02901-0000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39"/>
  <sheetViews>
    <sheetView showGridLines="0" view="pageBreakPreview" zoomScale="130" zoomScaleNormal="100" zoomScaleSheetLayoutView="130" workbookViewId="0"/>
  </sheetViews>
  <sheetFormatPr defaultRowHeight="15" x14ac:dyDescent="0.25"/>
  <cols>
    <col min="1" max="1" width="1.7109375" customWidth="1"/>
    <col min="2" max="17" width="8.7109375" customWidth="1"/>
  </cols>
  <sheetData>
    <row r="2" spans="1:26" ht="13.5" customHeight="1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2"/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" customHeight="1" x14ac:dyDescent="0.5">
      <c r="A24" s="2"/>
      <c r="B24" s="34" t="s">
        <v>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2"/>
      <c r="S24" s="2"/>
      <c r="T24" s="2"/>
      <c r="U24" s="2"/>
      <c r="V24" s="2"/>
      <c r="W24" s="2"/>
      <c r="X24" s="2"/>
      <c r="Y24" s="2"/>
      <c r="Z24" s="2"/>
    </row>
    <row r="25" spans="1:26" ht="25.5" x14ac:dyDescent="0.25">
      <c r="A25" s="2"/>
      <c r="B25" s="36" t="s">
        <v>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35">
      <c r="A26" s="4"/>
      <c r="B26" s="37" t="str">
        <f ca="1">"As of "&amp;TEXT(TODAY(),"mm/dd/yy")</f>
        <v>As of 08/05/26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6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  <c r="V39" s="2"/>
      <c r="W39" s="2"/>
      <c r="X39" s="2"/>
      <c r="Y39" s="2"/>
      <c r="Z39" s="2"/>
    </row>
  </sheetData>
  <mergeCells count="3">
    <mergeCell ref="B24:Q24"/>
    <mergeCell ref="B25:Q25"/>
    <mergeCell ref="B26:Q26"/>
  </mergeCells>
  <pageMargins left="0.7" right="0.7" top="0.75" bottom="0.75" header="0.3" footer="0.3"/>
  <pageSetup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89F6-33C5-4347-A74C-EA51069CB82F}">
  <sheetPr>
    <tabColor theme="9" tint="0.79998168889431442"/>
  </sheetPr>
  <dimension ref="A2:L25"/>
  <sheetViews>
    <sheetView showGridLines="0" view="pageBreakPreview" zoomScale="145" zoomScaleNormal="145" zoomScaleSheetLayoutView="145" workbookViewId="0">
      <selection activeCell="B18" sqref="B18"/>
    </sheetView>
  </sheetViews>
  <sheetFormatPr defaultRowHeight="12" x14ac:dyDescent="0.2"/>
  <cols>
    <col min="1" max="1" width="1.7109375" style="6" customWidth="1"/>
    <col min="2" max="2" width="24.42578125" style="6" customWidth="1"/>
    <col min="3" max="9" width="9.5703125" style="6" customWidth="1"/>
    <col min="10" max="10" width="4.42578125" style="6" customWidth="1"/>
    <col min="11" max="16384" width="9.140625" style="6"/>
  </cols>
  <sheetData>
    <row r="2" spans="1:12" ht="15.75" x14ac:dyDescent="0.25">
      <c r="B2" s="8" t="str">
        <f>+Cover!B24</f>
        <v>Sunshine Commercial Investments</v>
      </c>
    </row>
    <row r="3" spans="1:12" x14ac:dyDescent="0.2">
      <c r="B3" s="9" t="s">
        <v>2</v>
      </c>
      <c r="C3" s="10"/>
      <c r="D3" s="10"/>
      <c r="E3" s="10"/>
      <c r="F3" s="10"/>
      <c r="G3" s="10"/>
      <c r="H3" s="10"/>
      <c r="I3" s="10"/>
      <c r="K3" s="6" t="s">
        <v>10</v>
      </c>
      <c r="L3" s="21">
        <v>0</v>
      </c>
    </row>
    <row r="5" spans="1:12" x14ac:dyDescent="0.2">
      <c r="C5" s="11" t="s">
        <v>12</v>
      </c>
      <c r="D5" s="11" t="s">
        <v>13</v>
      </c>
    </row>
    <row r="6" spans="1:12" x14ac:dyDescent="0.2">
      <c r="B6" s="6" t="s">
        <v>19</v>
      </c>
      <c r="C6" s="15">
        <v>580000</v>
      </c>
    </row>
    <row r="7" spans="1:12" x14ac:dyDescent="0.2">
      <c r="B7" s="6" t="s">
        <v>17</v>
      </c>
      <c r="C7" s="17">
        <v>435734</v>
      </c>
    </row>
    <row r="8" spans="1:12" x14ac:dyDescent="0.2">
      <c r="B8" s="6" t="s">
        <v>14</v>
      </c>
    </row>
    <row r="9" spans="1:12" x14ac:dyDescent="0.2">
      <c r="B9" s="18" t="s">
        <v>16</v>
      </c>
      <c r="C9" s="19"/>
      <c r="D9" s="19"/>
    </row>
    <row r="11" spans="1:12" x14ac:dyDescent="0.2">
      <c r="B11" s="6" t="s">
        <v>15</v>
      </c>
    </row>
    <row r="13" spans="1:12" x14ac:dyDescent="0.2">
      <c r="B13" s="38" t="s">
        <v>53</v>
      </c>
      <c r="C13" s="15">
        <v>128331</v>
      </c>
    </row>
    <row r="14" spans="1:12" x14ac:dyDescent="0.2">
      <c r="B14" s="38" t="s">
        <v>54</v>
      </c>
      <c r="C14" s="17">
        <v>14670</v>
      </c>
    </row>
    <row r="15" spans="1:12" x14ac:dyDescent="0.2">
      <c r="A15" s="7"/>
      <c r="B15" s="18" t="s">
        <v>56</v>
      </c>
      <c r="C15" s="71">
        <f>+C13+C14</f>
        <v>143001</v>
      </c>
    </row>
    <row r="16" spans="1:12" x14ac:dyDescent="0.2">
      <c r="C16" s="72">
        <v>3</v>
      </c>
    </row>
    <row r="17" spans="2:5" x14ac:dyDescent="0.2">
      <c r="B17" s="45" t="s">
        <v>57</v>
      </c>
      <c r="C17" s="73">
        <f>C15*C16</f>
        <v>429003</v>
      </c>
    </row>
    <row r="18" spans="2:5" x14ac:dyDescent="0.2">
      <c r="B18" s="38" t="s">
        <v>58</v>
      </c>
    </row>
    <row r="23" spans="2:5" x14ac:dyDescent="0.2">
      <c r="B23" s="38" t="s">
        <v>55</v>
      </c>
      <c r="C23" s="17">
        <v>28555</v>
      </c>
    </row>
    <row r="25" spans="2:5" s="23" customFormat="1" x14ac:dyDescent="0.2">
      <c r="B25" s="6"/>
      <c r="C25" s="6"/>
      <c r="D25" s="6"/>
      <c r="E25" s="6"/>
    </row>
  </sheetData>
  <conditionalFormatting sqref="B1:I8 C9:I9 B10:I11 C12:I12 B13:I14 D15:I15 B16:I17 D18:I18 B19:I19 D20:I20 B21:I1048576">
    <cfRule type="expression" dxfId="1" priority="1">
      <formula>$L$3=1</formula>
    </cfRule>
  </conditionalFormatting>
  <pageMargins left="0.7" right="0.7" top="0.75" bottom="0.75" header="0.3" footer="0.3"/>
  <pageSetup scale="9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AA14-E9C7-4021-9094-B0D17D924C33}">
  <sheetPr>
    <tabColor theme="4" tint="0.79998168889431442"/>
  </sheetPr>
  <dimension ref="B2:Z57"/>
  <sheetViews>
    <sheetView showGridLines="0" tabSelected="1" view="pageBreakPreview" topLeftCell="A7" zoomScale="145" zoomScaleNormal="145" zoomScaleSheetLayoutView="145" workbookViewId="0">
      <selection activeCell="U28" sqref="U28"/>
    </sheetView>
  </sheetViews>
  <sheetFormatPr defaultRowHeight="12" x14ac:dyDescent="0.2"/>
  <cols>
    <col min="1" max="1" width="1.7109375" style="6" customWidth="1"/>
    <col min="2" max="2" width="24.42578125" style="6" customWidth="1"/>
    <col min="3" max="6" width="9.5703125" style="6" customWidth="1"/>
    <col min="7" max="7" width="0.85546875" style="6" customWidth="1"/>
    <col min="8" max="11" width="9.5703125" style="6" customWidth="1"/>
    <col min="12" max="12" width="4.42578125" style="6" customWidth="1"/>
    <col min="13" max="16384" width="9.140625" style="6"/>
  </cols>
  <sheetData>
    <row r="2" spans="2:26" ht="15.75" x14ac:dyDescent="0.25">
      <c r="B2" s="8" t="str">
        <f>+Cover!B24</f>
        <v>Sunshine Commercial Investments</v>
      </c>
    </row>
    <row r="3" spans="2:26" x14ac:dyDescent="0.2"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M3" s="6" t="s">
        <v>10</v>
      </c>
      <c r="N3" s="21">
        <v>1</v>
      </c>
    </row>
    <row r="5" spans="2:26" x14ac:dyDescent="0.2">
      <c r="B5" s="24" t="s">
        <v>18</v>
      </c>
      <c r="C5" s="25"/>
      <c r="D5" s="25"/>
      <c r="E5" s="25"/>
      <c r="F5" s="25"/>
      <c r="G5" s="25"/>
      <c r="H5" s="25"/>
      <c r="I5" s="25"/>
      <c r="J5" s="25"/>
      <c r="K5" s="25"/>
    </row>
    <row r="6" spans="2:26" ht="3.95" customHeight="1" x14ac:dyDescent="0.2"/>
    <row r="7" spans="2:26" x14ac:dyDescent="0.2">
      <c r="C7" s="69" t="s">
        <v>52</v>
      </c>
      <c r="D7" s="70"/>
      <c r="E7" s="14"/>
      <c r="F7" s="13"/>
      <c r="H7" s="12" t="s">
        <v>28</v>
      </c>
      <c r="I7" s="13"/>
    </row>
    <row r="8" spans="2:26" x14ac:dyDescent="0.2">
      <c r="C8" s="11" t="s">
        <v>3</v>
      </c>
      <c r="D8" s="11" t="s">
        <v>4</v>
      </c>
      <c r="E8" s="64"/>
      <c r="F8" s="64"/>
      <c r="H8" s="11" t="s">
        <v>3</v>
      </c>
      <c r="I8" s="11" t="s">
        <v>4</v>
      </c>
    </row>
    <row r="9" spans="2:26" ht="2.1" customHeight="1" x14ac:dyDescent="0.2">
      <c r="C9" s="27"/>
      <c r="D9" s="27"/>
      <c r="E9" s="27"/>
      <c r="F9" s="27"/>
      <c r="H9" s="27"/>
      <c r="I9" s="27"/>
    </row>
    <row r="10" spans="2:26" x14ac:dyDescent="0.2">
      <c r="B10" s="6" t="s">
        <v>5</v>
      </c>
      <c r="C10" s="15">
        <v>1200</v>
      </c>
      <c r="D10" s="14">
        <f>C10*12</f>
        <v>14400</v>
      </c>
      <c r="E10" s="14"/>
      <c r="F10" s="14"/>
      <c r="H10" s="15"/>
      <c r="I10" s="14">
        <f>H10*12</f>
        <v>0</v>
      </c>
    </row>
    <row r="11" spans="2:26" x14ac:dyDescent="0.2">
      <c r="B11" s="6" t="s">
        <v>6</v>
      </c>
      <c r="C11" s="17">
        <v>1800</v>
      </c>
      <c r="D11" s="16">
        <f t="shared" ref="D11:D15" si="0">C11*12</f>
        <v>21600</v>
      </c>
      <c r="E11" s="16"/>
      <c r="F11" s="16"/>
      <c r="H11" s="17"/>
      <c r="I11" s="16">
        <f t="shared" ref="I11:I15" si="1">H11*12</f>
        <v>0</v>
      </c>
    </row>
    <row r="12" spans="2:26" x14ac:dyDescent="0.2">
      <c r="B12" s="6" t="s">
        <v>7</v>
      </c>
      <c r="C12" s="17">
        <v>775</v>
      </c>
      <c r="D12" s="16">
        <f t="shared" si="0"/>
        <v>9300</v>
      </c>
      <c r="E12" s="16"/>
      <c r="F12" s="16"/>
      <c r="H12" s="17"/>
      <c r="I12" s="16">
        <f t="shared" si="1"/>
        <v>0</v>
      </c>
    </row>
    <row r="13" spans="2:26" x14ac:dyDescent="0.2">
      <c r="B13" s="6" t="s">
        <v>8</v>
      </c>
      <c r="C13" s="17">
        <v>700</v>
      </c>
      <c r="D13" s="16">
        <f t="shared" si="0"/>
        <v>8400</v>
      </c>
      <c r="E13" s="16"/>
      <c r="F13" s="16"/>
      <c r="H13" s="17"/>
      <c r="I13" s="16">
        <f t="shared" si="1"/>
        <v>0</v>
      </c>
    </row>
    <row r="14" spans="2:26" x14ac:dyDescent="0.2">
      <c r="B14" s="6" t="s">
        <v>9</v>
      </c>
      <c r="C14" s="17">
        <v>600</v>
      </c>
      <c r="D14" s="16">
        <f t="shared" si="0"/>
        <v>7200</v>
      </c>
      <c r="E14" s="16"/>
      <c r="F14" s="16"/>
      <c r="H14" s="17"/>
      <c r="I14" s="16">
        <f t="shared" si="1"/>
        <v>0</v>
      </c>
      <c r="Z14" s="41" t="s">
        <v>44</v>
      </c>
    </row>
    <row r="15" spans="2:26" x14ac:dyDescent="0.2">
      <c r="B15" s="18" t="s">
        <v>21</v>
      </c>
      <c r="C15" s="20">
        <f>SUM(C10:C14)</f>
        <v>5075</v>
      </c>
      <c r="D15" s="20">
        <f t="shared" si="0"/>
        <v>60900</v>
      </c>
      <c r="E15" s="44"/>
      <c r="F15" s="44"/>
      <c r="H15" s="20">
        <f>SUM(H10:H14)</f>
        <v>0</v>
      </c>
      <c r="I15" s="20">
        <f t="shared" si="1"/>
        <v>0</v>
      </c>
    </row>
    <row r="16" spans="2:26" ht="2.1" customHeight="1" x14ac:dyDescent="0.2"/>
    <row r="17" spans="2:6" s="23" customFormat="1" ht="9" x14ac:dyDescent="0.15">
      <c r="B17" s="22" t="s">
        <v>11</v>
      </c>
    </row>
    <row r="18" spans="2:6" s="29" customFormat="1" x14ac:dyDescent="0.2">
      <c r="B18" s="28"/>
    </row>
    <row r="19" spans="2:6" s="29" customFormat="1" x14ac:dyDescent="0.2">
      <c r="B19" s="33" t="s">
        <v>32</v>
      </c>
    </row>
    <row r="20" spans="2:6" s="29" customFormat="1" x14ac:dyDescent="0.2">
      <c r="B20" s="38" t="s">
        <v>42</v>
      </c>
      <c r="C20" s="53">
        <v>8</v>
      </c>
    </row>
    <row r="21" spans="2:6" s="29" customFormat="1" x14ac:dyDescent="0.2">
      <c r="B21" s="38" t="s">
        <v>48</v>
      </c>
      <c r="C21" s="53">
        <v>10</v>
      </c>
    </row>
    <row r="22" spans="2:6" s="29" customFormat="1" x14ac:dyDescent="0.2">
      <c r="B22" s="38" t="s">
        <v>43</v>
      </c>
      <c r="C22" s="53">
        <v>14</v>
      </c>
    </row>
    <row r="23" spans="2:6" s="29" customFormat="1" x14ac:dyDescent="0.2">
      <c r="B23" s="33"/>
    </row>
    <row r="24" spans="2:6" s="29" customFormat="1" x14ac:dyDescent="0.2">
      <c r="B24" s="33" t="s">
        <v>31</v>
      </c>
    </row>
    <row r="25" spans="2:6" s="29" customFormat="1" x14ac:dyDescent="0.2">
      <c r="B25" s="29" t="str">
        <f>+B15</f>
        <v>Total Current Rent</v>
      </c>
      <c r="C25" s="30">
        <f>+D15</f>
        <v>60900</v>
      </c>
    </row>
    <row r="26" spans="2:6" s="29" customFormat="1" x14ac:dyDescent="0.2">
      <c r="B26" s="29" t="s">
        <v>29</v>
      </c>
      <c r="C26" s="17">
        <v>8400</v>
      </c>
    </row>
    <row r="27" spans="2:6" s="29" customFormat="1" x14ac:dyDescent="0.2">
      <c r="B27" s="45" t="s">
        <v>30</v>
      </c>
      <c r="C27" s="52">
        <f>C25/C26</f>
        <v>7.25</v>
      </c>
    </row>
    <row r="28" spans="2:6" s="29" customFormat="1" x14ac:dyDescent="0.2">
      <c r="B28" s="7"/>
      <c r="C28" s="32"/>
    </row>
    <row r="29" spans="2:6" s="29" customFormat="1" x14ac:dyDescent="0.2">
      <c r="C29" s="54" t="s">
        <v>47</v>
      </c>
      <c r="D29" s="54" t="s">
        <v>48</v>
      </c>
      <c r="E29" s="65"/>
      <c r="F29" s="65"/>
    </row>
    <row r="30" spans="2:6" s="29" customFormat="1" x14ac:dyDescent="0.2">
      <c r="B30" s="33" t="s">
        <v>46</v>
      </c>
      <c r="C30" s="32"/>
    </row>
    <row r="31" spans="2:6" s="29" customFormat="1" x14ac:dyDescent="0.2">
      <c r="B31" s="38" t="s">
        <v>49</v>
      </c>
      <c r="C31" s="55">
        <f>+C20</f>
        <v>8</v>
      </c>
      <c r="D31" s="55">
        <f>+C21</f>
        <v>10</v>
      </c>
      <c r="E31" s="55"/>
      <c r="F31" s="55"/>
    </row>
    <row r="32" spans="2:6" s="29" customFormat="1" ht="12" customHeight="1" x14ac:dyDescent="0.2">
      <c r="B32" s="40" t="s">
        <v>50</v>
      </c>
      <c r="C32" s="56">
        <f>+C26</f>
        <v>8400</v>
      </c>
      <c r="D32" s="56">
        <f>C32</f>
        <v>8400</v>
      </c>
      <c r="E32" s="56"/>
      <c r="F32" s="56"/>
    </row>
    <row r="33" spans="2:14" s="29" customFormat="1" x14ac:dyDescent="0.2">
      <c r="B33" s="58" t="s">
        <v>45</v>
      </c>
      <c r="C33" s="59">
        <f>C31*C32</f>
        <v>67200</v>
      </c>
      <c r="D33" s="60">
        <f>D31*D32</f>
        <v>84000</v>
      </c>
      <c r="E33" s="67"/>
      <c r="F33" s="67"/>
    </row>
    <row r="34" spans="2:14" s="29" customFormat="1" x14ac:dyDescent="0.2">
      <c r="B34" s="61" t="s">
        <v>51</v>
      </c>
      <c r="C34" s="62">
        <f>C33/$C$25-1</f>
        <v>0.10344827586206895</v>
      </c>
      <c r="D34" s="63">
        <f>D33/$C$25-1</f>
        <v>0.3793103448275863</v>
      </c>
      <c r="E34" s="68"/>
      <c r="F34" s="68"/>
    </row>
    <row r="35" spans="2:14" s="29" customFormat="1" x14ac:dyDescent="0.2"/>
    <row r="36" spans="2:14" x14ac:dyDescent="0.2">
      <c r="B36" s="24" t="s">
        <v>20</v>
      </c>
      <c r="C36" s="25"/>
      <c r="D36" s="25"/>
      <c r="E36" s="25"/>
      <c r="F36" s="25"/>
      <c r="G36" s="25"/>
      <c r="H36" s="25"/>
      <c r="I36" s="25"/>
      <c r="J36" s="25"/>
      <c r="K36" s="25"/>
    </row>
    <row r="37" spans="2:14" ht="6" customHeight="1" x14ac:dyDescent="0.2"/>
    <row r="38" spans="2:14" x14ac:dyDescent="0.2">
      <c r="C38" s="11" t="s">
        <v>22</v>
      </c>
      <c r="D38" s="11" t="s">
        <v>40</v>
      </c>
      <c r="E38" s="11" t="s">
        <v>47</v>
      </c>
      <c r="F38" s="11" t="s">
        <v>48</v>
      </c>
    </row>
    <row r="39" spans="2:14" ht="2.1" customHeight="1" x14ac:dyDescent="0.2">
      <c r="C39" s="27"/>
      <c r="D39" s="27"/>
      <c r="E39" s="27"/>
      <c r="F39" s="27"/>
    </row>
    <row r="40" spans="2:14" x14ac:dyDescent="0.2">
      <c r="B40" s="7" t="str">
        <f>+B15</f>
        <v>Total Current Rent</v>
      </c>
      <c r="C40" s="31">
        <f>+D15</f>
        <v>60900</v>
      </c>
      <c r="D40" s="31">
        <f>+D15-$C$41-$N$42-$C$45</f>
        <v>90337</v>
      </c>
      <c r="E40" s="31">
        <f>+C33-$C$41-$N$42-$C$45</f>
        <v>96637</v>
      </c>
      <c r="F40" s="31">
        <f>+D33-$C$41-$N$42-$C$45</f>
        <v>113437</v>
      </c>
    </row>
    <row r="41" spans="2:14" x14ac:dyDescent="0.2">
      <c r="B41" s="40" t="s">
        <v>23</v>
      </c>
      <c r="C41" s="17">
        <v>-10000</v>
      </c>
      <c r="D41" s="17">
        <v>0</v>
      </c>
      <c r="E41" s="17">
        <v>0</v>
      </c>
      <c r="F41" s="17">
        <v>0</v>
      </c>
    </row>
    <row r="42" spans="2:14" x14ac:dyDescent="0.2">
      <c r="B42" s="40" t="s">
        <v>24</v>
      </c>
      <c r="C42" s="17">
        <v>-5855</v>
      </c>
      <c r="D42" s="17">
        <v>0</v>
      </c>
      <c r="E42" s="17">
        <v>0</v>
      </c>
      <c r="F42" s="17">
        <v>0</v>
      </c>
      <c r="I42" s="42" t="s">
        <v>35</v>
      </c>
      <c r="N42" s="17">
        <v>-13437</v>
      </c>
    </row>
    <row r="43" spans="2:14" x14ac:dyDescent="0.2">
      <c r="B43" s="40" t="s">
        <v>36</v>
      </c>
      <c r="C43" s="17">
        <v>-3423</v>
      </c>
      <c r="D43" s="39">
        <f>C43</f>
        <v>-3423</v>
      </c>
      <c r="E43" s="39">
        <f>D43</f>
        <v>-3423</v>
      </c>
      <c r="F43" s="39">
        <f>E43</f>
        <v>-3423</v>
      </c>
    </row>
    <row r="44" spans="2:14" x14ac:dyDescent="0.2">
      <c r="B44" s="40" t="s">
        <v>26</v>
      </c>
      <c r="C44" s="17">
        <v>-4000</v>
      </c>
      <c r="D44" s="39">
        <f>C44</f>
        <v>-4000</v>
      </c>
      <c r="E44" s="39">
        <f>D44</f>
        <v>-4000</v>
      </c>
      <c r="F44" s="39">
        <f>E44</f>
        <v>-4000</v>
      </c>
    </row>
    <row r="45" spans="2:14" x14ac:dyDescent="0.2">
      <c r="B45" s="40" t="s">
        <v>25</v>
      </c>
      <c r="C45" s="17">
        <v>-6000</v>
      </c>
      <c r="D45" s="17">
        <v>0</v>
      </c>
      <c r="E45" s="17">
        <v>0</v>
      </c>
      <c r="F45" s="17">
        <v>0</v>
      </c>
    </row>
    <row r="46" spans="2:14" x14ac:dyDescent="0.2">
      <c r="B46" s="18" t="s">
        <v>27</v>
      </c>
      <c r="C46" s="20">
        <f>SUM(C40:C45)</f>
        <v>31622</v>
      </c>
      <c r="D46" s="20">
        <f>SUM(D40:D45)</f>
        <v>82914</v>
      </c>
      <c r="E46" s="20">
        <f>SUM(E40:E45)</f>
        <v>89214</v>
      </c>
      <c r="F46" s="20">
        <f>SUM(F40:F45)</f>
        <v>106014</v>
      </c>
      <c r="I46" s="28" t="s">
        <v>37</v>
      </c>
    </row>
    <row r="47" spans="2:14" x14ac:dyDescent="0.2">
      <c r="B47" s="43"/>
      <c r="C47" s="44"/>
      <c r="D47" s="44"/>
      <c r="E47" s="44"/>
      <c r="F47" s="44"/>
      <c r="I47" s="28"/>
    </row>
    <row r="48" spans="2:14" x14ac:dyDescent="0.2">
      <c r="B48" s="45" t="s">
        <v>38</v>
      </c>
      <c r="C48" s="66">
        <f>C40/$C$40-1</f>
        <v>0</v>
      </c>
      <c r="D48" s="66">
        <f>D40/$C$40-1</f>
        <v>0.48336617405582927</v>
      </c>
      <c r="E48" s="66">
        <f>E40/$C$40-1</f>
        <v>0.58681444991789822</v>
      </c>
      <c r="F48" s="46">
        <f>F40/$C$40-1</f>
        <v>0.86267651888341534</v>
      </c>
      <c r="I48" s="28"/>
    </row>
    <row r="50" spans="2:8" x14ac:dyDescent="0.2">
      <c r="B50" s="38" t="str">
        <f>+B46</f>
        <v>Net Operating Income</v>
      </c>
      <c r="C50" s="39">
        <f>+C46</f>
        <v>31622</v>
      </c>
      <c r="D50" s="39">
        <f>+D46</f>
        <v>82914</v>
      </c>
      <c r="E50" s="39">
        <f t="shared" ref="E50:F50" si="2">+E46</f>
        <v>89214</v>
      </c>
      <c r="F50" s="39">
        <f t="shared" si="2"/>
        <v>106014</v>
      </c>
    </row>
    <row r="51" spans="2:8" x14ac:dyDescent="0.2">
      <c r="B51" s="40" t="s">
        <v>33</v>
      </c>
      <c r="C51" s="26">
        <f>+'CRE Valuation Summary'!C6</f>
        <v>580000</v>
      </c>
      <c r="D51" s="30">
        <f>C51</f>
        <v>580000</v>
      </c>
      <c r="E51" s="30">
        <f t="shared" ref="E51:F51" si="3">D51</f>
        <v>580000</v>
      </c>
      <c r="F51" s="30">
        <f t="shared" si="3"/>
        <v>580000</v>
      </c>
      <c r="H51" s="26">
        <f>+'CRE Valuation Summary'!F6</f>
        <v>0</v>
      </c>
    </row>
    <row r="52" spans="2:8" x14ac:dyDescent="0.2">
      <c r="B52" s="45" t="s">
        <v>34</v>
      </c>
      <c r="C52" s="47">
        <f>C50/C51</f>
        <v>5.4520689655172414E-2</v>
      </c>
      <c r="D52" s="47">
        <f>D50/D51</f>
        <v>0.1429551724137931</v>
      </c>
      <c r="E52" s="47">
        <f t="shared" ref="E52:F52" si="4">E50/E51</f>
        <v>0.15381724137931035</v>
      </c>
      <c r="F52" s="48">
        <f t="shared" si="4"/>
        <v>0.18278275862068966</v>
      </c>
    </row>
    <row r="54" spans="2:8" x14ac:dyDescent="0.2">
      <c r="C54" s="11" t="str">
        <f>+C38</f>
        <v>FY25</v>
      </c>
      <c r="D54" s="11" t="str">
        <f>+D38</f>
        <v>NNN</v>
      </c>
      <c r="E54" s="11" t="str">
        <f t="shared" ref="E54:F54" si="5">+E38</f>
        <v>Low-End</v>
      </c>
      <c r="F54" s="11" t="str">
        <f t="shared" si="5"/>
        <v>Base-Rate</v>
      </c>
    </row>
    <row r="55" spans="2:8" x14ac:dyDescent="0.2">
      <c r="B55" s="38" t="s">
        <v>39</v>
      </c>
      <c r="C55" s="30">
        <f>+C46</f>
        <v>31622</v>
      </c>
      <c r="D55" s="30">
        <f>+D46</f>
        <v>82914</v>
      </c>
      <c r="E55" s="30">
        <f t="shared" ref="E55:F55" si="6">+E46</f>
        <v>89214</v>
      </c>
      <c r="F55" s="30">
        <f t="shared" si="6"/>
        <v>106014</v>
      </c>
    </row>
    <row r="56" spans="2:8" x14ac:dyDescent="0.2">
      <c r="B56" s="40" t="s">
        <v>41</v>
      </c>
      <c r="C56" s="49">
        <v>7.0000000000000007E-2</v>
      </c>
      <c r="D56" s="50">
        <f>C56</f>
        <v>7.0000000000000007E-2</v>
      </c>
      <c r="E56" s="50">
        <f>D56</f>
        <v>7.0000000000000007E-2</v>
      </c>
      <c r="F56" s="50">
        <f>E56</f>
        <v>7.0000000000000007E-2</v>
      </c>
    </row>
    <row r="57" spans="2:8" x14ac:dyDescent="0.2">
      <c r="B57" s="45" t="s">
        <v>34</v>
      </c>
      <c r="C57" s="51">
        <f>C55/C56</f>
        <v>451742.8571428571</v>
      </c>
      <c r="D57" s="51">
        <f>D55/D56</f>
        <v>1184485.7142857141</v>
      </c>
      <c r="E57" s="51">
        <f t="shared" ref="E57:F57" si="7">E55/E56</f>
        <v>1274485.7142857141</v>
      </c>
      <c r="F57" s="57">
        <f t="shared" si="7"/>
        <v>1514485.7142857141</v>
      </c>
    </row>
  </sheetData>
  <conditionalFormatting sqref="B1:I1048576">
    <cfRule type="expression" dxfId="0" priority="1">
      <formula>$N$3=1</formula>
    </cfRule>
  </conditionalFormatting>
  <hyperlinks>
    <hyperlink ref="I42" r:id="rId1" display="Based on this calculator" xr:uid="{AF80B80E-96EF-47C3-B2A6-B6895650680F}"/>
    <hyperlink ref="Z14" r:id="rId2" xr:uid="{4B710544-674F-4FA8-B4DA-FA56D45B41A8}"/>
  </hyperlinks>
  <pageMargins left="0.7" right="0.7" top="0.75" bottom="0.75" header="0.3" footer="0.3"/>
  <pageSetup scale="98" orientation="portrait" r:id="rId3"/>
  <colBreaks count="1" manualBreakCount="1">
    <brk id="6" min="1" max="59" man="1"/>
  </col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</vt:lpstr>
      <vt:lpstr>CRE Valuation Summary</vt:lpstr>
      <vt:lpstr>CRE Income Capitalization</vt:lpstr>
      <vt:lpstr>Cover!Print_Area</vt:lpstr>
      <vt:lpstr>'CRE Income Capitalization'!Print_Area</vt:lpstr>
      <vt:lpstr>'CRE Valuation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2026-08-05T23:36:09Z</cp:lastPrinted>
  <dcterms:created xsi:type="dcterms:W3CDTF">2015-06-05T18:17:20Z</dcterms:created>
  <dcterms:modified xsi:type="dcterms:W3CDTF">2026-08-06T00:43:38Z</dcterms:modified>
</cp:coreProperties>
</file>