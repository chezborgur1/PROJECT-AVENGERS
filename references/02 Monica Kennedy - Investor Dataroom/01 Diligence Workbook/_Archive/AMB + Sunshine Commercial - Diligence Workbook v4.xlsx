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:\My Drive\AMB Advisory Services\Buyside Operations\Monica Kennedy - Sunshine Commercial Investments\02 Monica Kennedy - Investor Dataroom\01 Diligence Workbook\"/>
    </mc:Choice>
  </mc:AlternateContent>
  <xr:revisionPtr revIDLastSave="0" documentId="13_ncr:1_{DDD3C898-2991-41B3-AAC5-3BA570E2FBA7}" xr6:coauthVersionLast="47" xr6:coauthVersionMax="47" xr10:uidLastSave="{00000000-0000-0000-0000-000000000000}"/>
  <bookViews>
    <workbookView xWindow="-120" yWindow="-120" windowWidth="51840" windowHeight="21840" activeTab="5" xr2:uid="{00000000-000D-0000-FFFF-FFFF00000000}"/>
  </bookViews>
  <sheets>
    <sheet name="Cover" sheetId="1" r:id="rId1"/>
    <sheet name="Valuation Overview" sheetId="4" r:id="rId2"/>
    <sheet name="CRE P&amp;L" sheetId="3" r:id="rId3"/>
    <sheet name="Tennant View" sheetId="11" r:id="rId4"/>
    <sheet name="Sensitivity Analysis" sheetId="9" r:id="rId5"/>
    <sheet name="Market Rent Analysis" sheetId="6" r:id="rId6"/>
    <sheet name="CRE Precident Transactions" sheetId="10" r:id="rId7"/>
    <sheet name="Laundromat Valuation" sheetId="5" r:id="rId8"/>
  </sheets>
  <definedNames>
    <definedName name="_xlnm._FilterDatabase" localSheetId="5" hidden="1">'Market Rent Analysis'!$B$10:$I$24</definedName>
    <definedName name="_xlnm.Print_Area" localSheetId="0">Cover!$B$2:$Q$39</definedName>
    <definedName name="_xlnm.Print_Area" localSheetId="2">'CRE P&amp;L'!$B$2:$H$71</definedName>
    <definedName name="_xlnm.Print_Area" localSheetId="7">'Laundromat Valuation'!$B$2:$F$73</definedName>
    <definedName name="_xlnm.Print_Area" localSheetId="5">'Market Rent Analysis'!$B$2:$I$34</definedName>
    <definedName name="_xlnm.Print_Area" localSheetId="4">'Sensitivity Analysis'!$B$2:$J$49</definedName>
    <definedName name="_xlnm.Print_Area" localSheetId="3">'Tennant View'!$B$2:$H$98</definedName>
    <definedName name="_xlnm.Print_Area" localSheetId="1">'Valuation Overview'!$B$2:$F$35</definedName>
  </definedNames>
  <calcPr calcId="191029" iterate="1" iterateCount="1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6" l="1"/>
  <c r="G38" i="6"/>
  <c r="H25" i="6"/>
  <c r="G25" i="6"/>
  <c r="D33" i="6" s="1"/>
  <c r="I22" i="6"/>
  <c r="I19" i="6"/>
  <c r="I15" i="6"/>
  <c r="D26" i="6"/>
  <c r="I23" i="6"/>
  <c r="I20" i="6"/>
  <c r="I13" i="6"/>
  <c r="G40" i="6" l="1"/>
  <c r="I25" i="6"/>
  <c r="E33" i="6" s="1"/>
  <c r="C40" i="9"/>
  <c r="J38" i="9"/>
  <c r="J37" i="9" s="1"/>
  <c r="C25" i="9"/>
  <c r="C26" i="9" s="1"/>
  <c r="C27" i="9" s="1"/>
  <c r="J23" i="9"/>
  <c r="C44" i="3"/>
  <c r="C11" i="3" s="1"/>
  <c r="C8" i="3"/>
  <c r="D8" i="3" s="1"/>
  <c r="C10" i="3"/>
  <c r="D11" i="11"/>
  <c r="C23" i="11"/>
  <c r="D23" i="11"/>
  <c r="E23" i="11"/>
  <c r="F23" i="11"/>
  <c r="C28" i="11"/>
  <c r="C17" i="4" s="1"/>
  <c r="C29" i="11"/>
  <c r="C18" i="4" s="1"/>
  <c r="C30" i="11"/>
  <c r="C19" i="4" s="1"/>
  <c r="C31" i="11"/>
  <c r="C20" i="4" s="1"/>
  <c r="C32" i="11"/>
  <c r="C21" i="4" s="1"/>
  <c r="D33" i="11"/>
  <c r="E33" i="11"/>
  <c r="F33" i="11"/>
  <c r="E126" i="11"/>
  <c r="F126" i="11" s="1"/>
  <c r="G126" i="11" s="1"/>
  <c r="D126" i="11"/>
  <c r="D125" i="11" s="1"/>
  <c r="G124" i="11"/>
  <c r="F124" i="11"/>
  <c r="E124" i="11"/>
  <c r="D124" i="11"/>
  <c r="C124" i="11"/>
  <c r="E121" i="11"/>
  <c r="F121" i="11" s="1"/>
  <c r="G121" i="11" s="1"/>
  <c r="D121" i="11"/>
  <c r="B120" i="11"/>
  <c r="E113" i="11"/>
  <c r="F113" i="11" s="1"/>
  <c r="G113" i="11" s="1"/>
  <c r="D113" i="11"/>
  <c r="B110" i="11"/>
  <c r="C98" i="11"/>
  <c r="C81" i="11" s="1"/>
  <c r="C96" i="11"/>
  <c r="C84" i="11" s="1"/>
  <c r="E86" i="11"/>
  <c r="C85" i="11"/>
  <c r="C83" i="11"/>
  <c r="G83" i="11" s="1"/>
  <c r="C82" i="11"/>
  <c r="C79" i="11"/>
  <c r="E73" i="11"/>
  <c r="C73" i="11"/>
  <c r="G72" i="11"/>
  <c r="G71" i="11"/>
  <c r="G70" i="11"/>
  <c r="G69" i="11"/>
  <c r="C65" i="11"/>
  <c r="C64" i="11"/>
  <c r="C62" i="11"/>
  <c r="B2" i="11"/>
  <c r="C58" i="3"/>
  <c r="G58" i="3" s="1"/>
  <c r="C55" i="3"/>
  <c r="G55" i="3" s="1"/>
  <c r="C52" i="3"/>
  <c r="G52" i="3" s="1"/>
  <c r="E59" i="3"/>
  <c r="C56" i="3"/>
  <c r="G56" i="3" s="1"/>
  <c r="C69" i="3"/>
  <c r="C57" i="3" s="1"/>
  <c r="G57" i="3" s="1"/>
  <c r="C31" i="3"/>
  <c r="C33" i="3"/>
  <c r="C34" i="3"/>
  <c r="G43" i="3"/>
  <c r="G42" i="3"/>
  <c r="G41" i="3"/>
  <c r="G40" i="3"/>
  <c r="E44" i="3"/>
  <c r="C71" i="3"/>
  <c r="D41" i="3" s="1"/>
  <c r="E24" i="3" s="1"/>
  <c r="E25" i="3" s="1"/>
  <c r="N7" i="9"/>
  <c r="D25" i="9" s="1"/>
  <c r="B2" i="10"/>
  <c r="D9" i="9"/>
  <c r="C10" i="9"/>
  <c r="D10" i="9" s="1"/>
  <c r="E8" i="9"/>
  <c r="F8" i="9" s="1"/>
  <c r="G8" i="9" s="1"/>
  <c r="H8" i="9" s="1"/>
  <c r="I8" i="9" s="1"/>
  <c r="J8" i="9" s="1"/>
  <c r="J9" i="9" s="1"/>
  <c r="C47" i="6"/>
  <c r="D47" i="6" s="1"/>
  <c r="D46" i="6"/>
  <c r="C46" i="6"/>
  <c r="B6" i="6"/>
  <c r="B2" i="6"/>
  <c r="D8" i="4"/>
  <c r="D86" i="3"/>
  <c r="D94" i="3"/>
  <c r="D99" i="3"/>
  <c r="D98" i="3" s="1"/>
  <c r="D97" i="3"/>
  <c r="D10" i="4"/>
  <c r="D27" i="4"/>
  <c r="D15" i="4"/>
  <c r="F27" i="4"/>
  <c r="E27" i="4"/>
  <c r="C27" i="4"/>
  <c r="E15" i="4"/>
  <c r="F15" i="4"/>
  <c r="C15" i="4"/>
  <c r="E10" i="4"/>
  <c r="F10" i="4" s="1"/>
  <c r="C33" i="4"/>
  <c r="C32" i="4"/>
  <c r="C31" i="4"/>
  <c r="C30" i="4"/>
  <c r="C29" i="4"/>
  <c r="B18" i="4"/>
  <c r="B30" i="4" s="1"/>
  <c r="B19" i="4"/>
  <c r="B31" i="4" s="1"/>
  <c r="B20" i="4"/>
  <c r="B32" i="4" s="1"/>
  <c r="B21" i="4"/>
  <c r="B33" i="4" s="1"/>
  <c r="B17" i="4"/>
  <c r="B29" i="4" s="1"/>
  <c r="F27" i="5"/>
  <c r="D40" i="5"/>
  <c r="E40" i="5"/>
  <c r="F40" i="5"/>
  <c r="C40" i="5"/>
  <c r="D52" i="5"/>
  <c r="E52" i="5"/>
  <c r="F52" i="5"/>
  <c r="C52" i="5"/>
  <c r="D45" i="5"/>
  <c r="E45" i="5"/>
  <c r="C45" i="5"/>
  <c r="E28" i="5"/>
  <c r="D28" i="5"/>
  <c r="C28" i="5"/>
  <c r="E26" i="5"/>
  <c r="D26" i="5"/>
  <c r="C26" i="5"/>
  <c r="E24" i="5"/>
  <c r="D24" i="5"/>
  <c r="C24" i="5"/>
  <c r="C39" i="5"/>
  <c r="D39" i="5"/>
  <c r="E39" i="5"/>
  <c r="C41" i="5"/>
  <c r="D41" i="5"/>
  <c r="E41" i="5"/>
  <c r="F41" i="5"/>
  <c r="D38" i="5"/>
  <c r="E38" i="5"/>
  <c r="C38" i="5"/>
  <c r="C29" i="5"/>
  <c r="C30" i="5" s="1"/>
  <c r="D29" i="5"/>
  <c r="D30" i="5" s="1"/>
  <c r="E29" i="5"/>
  <c r="E30" i="5" s="1"/>
  <c r="D34" i="5"/>
  <c r="D37" i="5" s="1"/>
  <c r="E34" i="5"/>
  <c r="E37" i="5" s="1"/>
  <c r="C34" i="5"/>
  <c r="C37" i="5" s="1"/>
  <c r="E32" i="5"/>
  <c r="D32" i="5"/>
  <c r="C32" i="5"/>
  <c r="E22" i="5"/>
  <c r="D22" i="5"/>
  <c r="C22" i="5"/>
  <c r="C64" i="5"/>
  <c r="F21" i="5" s="1"/>
  <c r="C63" i="5"/>
  <c r="F25" i="5" s="1"/>
  <c r="F39" i="5" s="1"/>
  <c r="E20" i="5"/>
  <c r="D20" i="5"/>
  <c r="C20" i="5"/>
  <c r="F9" i="5"/>
  <c r="F10" i="5" s="1"/>
  <c r="E18" i="5"/>
  <c r="D18" i="5"/>
  <c r="C18" i="5"/>
  <c r="C61" i="5"/>
  <c r="F17" i="5" s="1"/>
  <c r="E16" i="5"/>
  <c r="D16" i="5"/>
  <c r="C16" i="5"/>
  <c r="F15" i="5"/>
  <c r="F45" i="5" s="1"/>
  <c r="D14" i="5"/>
  <c r="E14" i="5"/>
  <c r="C14" i="5"/>
  <c r="C58" i="5"/>
  <c r="E10" i="5"/>
  <c r="D10" i="5"/>
  <c r="B2" i="5"/>
  <c r="C82" i="4"/>
  <c r="C84" i="4" s="1"/>
  <c r="B2" i="4"/>
  <c r="E99" i="3"/>
  <c r="F99" i="3" s="1"/>
  <c r="G99" i="3" s="1"/>
  <c r="C97" i="3"/>
  <c r="F97" i="3"/>
  <c r="G97" i="3"/>
  <c r="E97" i="3"/>
  <c r="B93" i="3"/>
  <c r="E86" i="3"/>
  <c r="F86" i="3" s="1"/>
  <c r="G86" i="3" s="1"/>
  <c r="B83" i="3"/>
  <c r="E94" i="3"/>
  <c r="F94" i="3" s="1"/>
  <c r="G94" i="3" s="1"/>
  <c r="B2" i="3"/>
  <c r="B2" i="9" s="1"/>
  <c r="D48" i="6" l="1"/>
  <c r="G110" i="11" s="1"/>
  <c r="G116" i="11" s="1"/>
  <c r="G120" i="11" s="1"/>
  <c r="G122" i="11" s="1"/>
  <c r="C48" i="6"/>
  <c r="F83" i="3" s="1"/>
  <c r="J47" i="9"/>
  <c r="D47" i="9"/>
  <c r="J39" i="9"/>
  <c r="J22" i="9"/>
  <c r="D24" i="9"/>
  <c r="J24" i="9"/>
  <c r="D39" i="9"/>
  <c r="E38" i="9"/>
  <c r="E37" i="9" s="1"/>
  <c r="D40" i="9"/>
  <c r="E40" i="9"/>
  <c r="J40" i="9"/>
  <c r="F38" i="9"/>
  <c r="C41" i="9"/>
  <c r="C28" i="9"/>
  <c r="D28" i="9" s="1"/>
  <c r="D27" i="9"/>
  <c r="J32" i="9"/>
  <c r="D26" i="9"/>
  <c r="J26" i="9"/>
  <c r="J25" i="9"/>
  <c r="J27" i="9"/>
  <c r="D32" i="9"/>
  <c r="E23" i="9"/>
  <c r="D9" i="3"/>
  <c r="D10" i="3" s="1"/>
  <c r="E26" i="3"/>
  <c r="G73" i="11"/>
  <c r="H72" i="11"/>
  <c r="F69" i="11"/>
  <c r="D62" i="11" s="1"/>
  <c r="D63" i="11" s="1"/>
  <c r="D64" i="11" s="1"/>
  <c r="D65" i="11" s="1"/>
  <c r="F70" i="11"/>
  <c r="E62" i="11" s="1"/>
  <c r="E63" i="11" s="1"/>
  <c r="E64" i="11" s="1"/>
  <c r="E65" i="11" s="1"/>
  <c r="F78" i="11"/>
  <c r="D79" i="11"/>
  <c r="C33" i="11"/>
  <c r="C62" i="3" s="1"/>
  <c r="C51" i="3" s="1"/>
  <c r="G51" i="3" s="1"/>
  <c r="H51" i="3" s="1"/>
  <c r="H70" i="11"/>
  <c r="D85" i="11"/>
  <c r="F79" i="11"/>
  <c r="D69" i="11"/>
  <c r="D54" i="11" s="1"/>
  <c r="D55" i="11" s="1"/>
  <c r="D56" i="11" s="1"/>
  <c r="F85" i="11"/>
  <c r="D84" i="11"/>
  <c r="G84" i="11"/>
  <c r="H84" i="11" s="1"/>
  <c r="D70" i="11"/>
  <c r="E54" i="11" s="1"/>
  <c r="E55" i="11" s="1"/>
  <c r="E56" i="11" s="1"/>
  <c r="E57" i="11" s="1"/>
  <c r="C80" i="11"/>
  <c r="F80" i="11"/>
  <c r="F81" i="11"/>
  <c r="D71" i="11"/>
  <c r="F54" i="11" s="1"/>
  <c r="F55" i="11" s="1"/>
  <c r="F56" i="11" s="1"/>
  <c r="F57" i="11" s="1"/>
  <c r="D82" i="11"/>
  <c r="F71" i="11"/>
  <c r="F62" i="11" s="1"/>
  <c r="F63" i="11" s="1"/>
  <c r="F64" i="11" s="1"/>
  <c r="F65" i="11" s="1"/>
  <c r="F82" i="11"/>
  <c r="H83" i="11"/>
  <c r="D72" i="11"/>
  <c r="G54" i="11" s="1"/>
  <c r="G55" i="11" s="1"/>
  <c r="G56" i="11" s="1"/>
  <c r="G57" i="11" s="1"/>
  <c r="F83" i="11"/>
  <c r="F72" i="11"/>
  <c r="G62" i="11" s="1"/>
  <c r="G63" i="11" s="1"/>
  <c r="G64" i="11" s="1"/>
  <c r="G65" i="11" s="1"/>
  <c r="H71" i="11"/>
  <c r="F84" i="11"/>
  <c r="C89" i="11"/>
  <c r="C78" i="11" s="1"/>
  <c r="E110" i="11"/>
  <c r="C110" i="11"/>
  <c r="D81" i="11"/>
  <c r="G81" i="11"/>
  <c r="H81" i="11" s="1"/>
  <c r="G82" i="11"/>
  <c r="H82" i="11" s="1"/>
  <c r="G79" i="11"/>
  <c r="H79" i="11" s="1"/>
  <c r="D83" i="11"/>
  <c r="G85" i="11"/>
  <c r="H85" i="11" s="1"/>
  <c r="H69" i="11"/>
  <c r="C53" i="3"/>
  <c r="D53" i="3" s="1"/>
  <c r="C54" i="3"/>
  <c r="G54" i="3" s="1"/>
  <c r="H54" i="3" s="1"/>
  <c r="D52" i="3"/>
  <c r="H57" i="3"/>
  <c r="F55" i="3"/>
  <c r="F53" i="3"/>
  <c r="F58" i="3"/>
  <c r="F56" i="3"/>
  <c r="F54" i="3"/>
  <c r="F52" i="3"/>
  <c r="H58" i="3"/>
  <c r="F57" i="3"/>
  <c r="F51" i="3"/>
  <c r="D58" i="3"/>
  <c r="D57" i="3"/>
  <c r="H56" i="3"/>
  <c r="D56" i="3"/>
  <c r="D55" i="3"/>
  <c r="H55" i="3"/>
  <c r="H52" i="3"/>
  <c r="G44" i="3"/>
  <c r="H43" i="3"/>
  <c r="F42" i="3"/>
  <c r="F31" i="3" s="1"/>
  <c r="F32" i="3" s="1"/>
  <c r="F33" i="3" s="1"/>
  <c r="F34" i="3" s="1"/>
  <c r="H40" i="3"/>
  <c r="F43" i="3"/>
  <c r="G31" i="3" s="1"/>
  <c r="G32" i="3" s="1"/>
  <c r="G33" i="3" s="1"/>
  <c r="G34" i="3" s="1"/>
  <c r="F40" i="3"/>
  <c r="D31" i="3" s="1"/>
  <c r="H41" i="3"/>
  <c r="F41" i="3"/>
  <c r="E31" i="3" s="1"/>
  <c r="E32" i="3" s="1"/>
  <c r="E33" i="3" s="1"/>
  <c r="E34" i="3" s="1"/>
  <c r="H42" i="3"/>
  <c r="D40" i="3"/>
  <c r="D24" i="3" s="1"/>
  <c r="D25" i="3" s="1"/>
  <c r="D43" i="3"/>
  <c r="D42" i="3"/>
  <c r="E9" i="9"/>
  <c r="G9" i="9"/>
  <c r="J10" i="9"/>
  <c r="F9" i="9"/>
  <c r="I9" i="9"/>
  <c r="H9" i="9"/>
  <c r="H10" i="9"/>
  <c r="F10" i="9"/>
  <c r="I10" i="9"/>
  <c r="C11" i="9"/>
  <c r="E10" i="9"/>
  <c r="G10" i="9"/>
  <c r="C22" i="4"/>
  <c r="H17" i="4" s="1"/>
  <c r="C34" i="4"/>
  <c r="F22" i="5"/>
  <c r="F13" i="5"/>
  <c r="F28" i="5"/>
  <c r="F26" i="5"/>
  <c r="D42" i="5"/>
  <c r="E42" i="5"/>
  <c r="C42" i="5"/>
  <c r="C67" i="5"/>
  <c r="F29" i="5" s="1"/>
  <c r="F30" i="5" s="1"/>
  <c r="F18" i="5"/>
  <c r="F16" i="5"/>
  <c r="F14" i="5"/>
  <c r="G83" i="3" l="1"/>
  <c r="G89" i="3" s="1"/>
  <c r="H65" i="11"/>
  <c r="F110" i="11"/>
  <c r="F116" i="11" s="1"/>
  <c r="F125" i="11" s="1"/>
  <c r="F127" i="11" s="1"/>
  <c r="E39" i="9"/>
  <c r="E47" i="9"/>
  <c r="E22" i="9"/>
  <c r="J41" i="9"/>
  <c r="C42" i="9"/>
  <c r="F41" i="9"/>
  <c r="E41" i="9"/>
  <c r="D41" i="9"/>
  <c r="F37" i="9"/>
  <c r="G38" i="9"/>
  <c r="E25" i="9"/>
  <c r="E32" i="9"/>
  <c r="E28" i="9"/>
  <c r="E26" i="9"/>
  <c r="E24" i="9"/>
  <c r="E27" i="9"/>
  <c r="C29" i="9"/>
  <c r="J28" i="9"/>
  <c r="F23" i="9"/>
  <c r="F39" i="9" s="1"/>
  <c r="E9" i="3"/>
  <c r="E10" i="3" s="1"/>
  <c r="F9" i="3"/>
  <c r="F10" i="3" s="1"/>
  <c r="F24" i="3"/>
  <c r="F25" i="3" s="1"/>
  <c r="G24" i="3"/>
  <c r="D51" i="3"/>
  <c r="F86" i="11"/>
  <c r="H73" i="11"/>
  <c r="D73" i="11"/>
  <c r="G80" i="11"/>
  <c r="H80" i="11" s="1"/>
  <c r="D80" i="11"/>
  <c r="F89" i="3"/>
  <c r="F93" i="3" s="1"/>
  <c r="F95" i="3" s="1"/>
  <c r="F73" i="11"/>
  <c r="H64" i="11"/>
  <c r="G125" i="11"/>
  <c r="G127" i="11" s="1"/>
  <c r="D54" i="3"/>
  <c r="H54" i="11"/>
  <c r="H62" i="11"/>
  <c r="D110" i="11"/>
  <c r="D116" i="11" s="1"/>
  <c r="D120" i="11" s="1"/>
  <c r="D122" i="11" s="1"/>
  <c r="E116" i="11"/>
  <c r="C116" i="11"/>
  <c r="D78" i="11"/>
  <c r="D86" i="11" s="1"/>
  <c r="G78" i="11"/>
  <c r="C86" i="11"/>
  <c r="D57" i="11"/>
  <c r="H57" i="11" s="1"/>
  <c r="H56" i="11"/>
  <c r="F59" i="3"/>
  <c r="G53" i="3"/>
  <c r="C59" i="3"/>
  <c r="D83" i="3"/>
  <c r="D22" i="4" s="1"/>
  <c r="D23" i="4" s="1"/>
  <c r="H44" i="3"/>
  <c r="D32" i="3"/>
  <c r="H31" i="3"/>
  <c r="F44" i="3"/>
  <c r="D44" i="3"/>
  <c r="E10" i="11" s="1"/>
  <c r="F10" i="11" s="1"/>
  <c r="C12" i="9"/>
  <c r="D11" i="9"/>
  <c r="E11" i="9"/>
  <c r="G11" i="9"/>
  <c r="F11" i="9"/>
  <c r="J11" i="9"/>
  <c r="I11" i="9"/>
  <c r="H11" i="9"/>
  <c r="H18" i="4"/>
  <c r="H19" i="4"/>
  <c r="C6" i="6"/>
  <c r="C32" i="6" s="1"/>
  <c r="E83" i="3"/>
  <c r="C83" i="3"/>
  <c r="C13" i="11" s="1"/>
  <c r="H20" i="4"/>
  <c r="H21" i="4"/>
  <c r="H31" i="4"/>
  <c r="H30" i="4"/>
  <c r="H32" i="4"/>
  <c r="H33" i="4"/>
  <c r="H29" i="4"/>
  <c r="C47" i="5"/>
  <c r="C43" i="5"/>
  <c r="E43" i="5"/>
  <c r="E47" i="5"/>
  <c r="D43" i="5"/>
  <c r="D47" i="5"/>
  <c r="E32" i="6" l="1"/>
  <c r="D32" i="6"/>
  <c r="F22" i="4"/>
  <c r="F34" i="4" s="1"/>
  <c r="F35" i="4" s="1"/>
  <c r="F120" i="11"/>
  <c r="F122" i="11" s="1"/>
  <c r="N8" i="9"/>
  <c r="C12" i="3"/>
  <c r="C13" i="3" s="1"/>
  <c r="F22" i="9"/>
  <c r="F47" i="9"/>
  <c r="F40" i="9"/>
  <c r="H38" i="9"/>
  <c r="G37" i="9"/>
  <c r="C43" i="9"/>
  <c r="F42" i="9"/>
  <c r="E42" i="9"/>
  <c r="D42" i="9"/>
  <c r="J42" i="9"/>
  <c r="F27" i="9"/>
  <c r="F29" i="9"/>
  <c r="F25" i="9"/>
  <c r="F26" i="9"/>
  <c r="F32" i="9"/>
  <c r="F24" i="9"/>
  <c r="F28" i="9"/>
  <c r="C30" i="9"/>
  <c r="D29" i="9"/>
  <c r="J29" i="9"/>
  <c r="E29" i="9"/>
  <c r="G23" i="9"/>
  <c r="G24" i="9" s="1"/>
  <c r="D12" i="3"/>
  <c r="G25" i="3"/>
  <c r="G26" i="3" s="1"/>
  <c r="G13" i="11"/>
  <c r="G20" i="11" s="1"/>
  <c r="G30" i="11" s="1"/>
  <c r="F26" i="3"/>
  <c r="D59" i="3"/>
  <c r="F98" i="3"/>
  <c r="F100" i="3" s="1"/>
  <c r="F8" i="4" s="1"/>
  <c r="D89" i="3"/>
  <c r="D93" i="3" s="1"/>
  <c r="D95" i="3" s="1"/>
  <c r="D13" i="11"/>
  <c r="F13" i="11"/>
  <c r="E22" i="4"/>
  <c r="E34" i="4" s="1"/>
  <c r="E35" i="4" s="1"/>
  <c r="E13" i="11"/>
  <c r="G10" i="11"/>
  <c r="G11" i="11" s="1"/>
  <c r="F11" i="11"/>
  <c r="H78" i="11"/>
  <c r="H86" i="11" s="1"/>
  <c r="G86" i="11"/>
  <c r="E120" i="11"/>
  <c r="E122" i="11" s="1"/>
  <c r="E125" i="11"/>
  <c r="E127" i="11" s="1"/>
  <c r="C120" i="11"/>
  <c r="C122" i="11" s="1"/>
  <c r="C125" i="11"/>
  <c r="C127" i="11" s="1"/>
  <c r="D17" i="4"/>
  <c r="D34" i="4"/>
  <c r="D35" i="4" s="1"/>
  <c r="G59" i="3"/>
  <c r="H53" i="3"/>
  <c r="H59" i="3" s="1"/>
  <c r="D18" i="4"/>
  <c r="D21" i="4"/>
  <c r="D33" i="3"/>
  <c r="C13" i="9"/>
  <c r="E12" i="9"/>
  <c r="I12" i="9"/>
  <c r="J12" i="9"/>
  <c r="F12" i="9"/>
  <c r="D12" i="9"/>
  <c r="G12" i="9"/>
  <c r="H12" i="9"/>
  <c r="D19" i="4"/>
  <c r="E89" i="3"/>
  <c r="E98" i="3" s="1"/>
  <c r="E100" i="3" s="1"/>
  <c r="E8" i="4" s="1"/>
  <c r="C8" i="6"/>
  <c r="D49" i="6"/>
  <c r="C49" i="6"/>
  <c r="C89" i="3"/>
  <c r="C93" i="3" s="1"/>
  <c r="C95" i="3" s="1"/>
  <c r="D20" i="4"/>
  <c r="D48" i="5"/>
  <c r="D51" i="5"/>
  <c r="D53" i="5" s="1"/>
  <c r="E48" i="5"/>
  <c r="E51" i="5"/>
  <c r="E53" i="5" s="1"/>
  <c r="C48" i="5"/>
  <c r="C51" i="5"/>
  <c r="C53" i="5" s="1"/>
  <c r="G93" i="3"/>
  <c r="G95" i="3" s="1"/>
  <c r="G98" i="3"/>
  <c r="G100" i="3" s="1"/>
  <c r="F23" i="4" l="1"/>
  <c r="F17" i="4"/>
  <c r="F31" i="4"/>
  <c r="F19" i="4"/>
  <c r="F32" i="4"/>
  <c r="F18" i="4"/>
  <c r="F29" i="4"/>
  <c r="F33" i="4"/>
  <c r="F30" i="4"/>
  <c r="F21" i="4"/>
  <c r="F20" i="4"/>
  <c r="E12" i="3"/>
  <c r="D13" i="3"/>
  <c r="G47" i="9"/>
  <c r="G22" i="9"/>
  <c r="G39" i="9"/>
  <c r="G40" i="9"/>
  <c r="G41" i="9"/>
  <c r="G42" i="9"/>
  <c r="G43" i="9"/>
  <c r="F43" i="9"/>
  <c r="C44" i="9"/>
  <c r="E43" i="9"/>
  <c r="D43" i="9"/>
  <c r="J43" i="9"/>
  <c r="H37" i="9"/>
  <c r="I38" i="9"/>
  <c r="I37" i="9" s="1"/>
  <c r="G27" i="9"/>
  <c r="G25" i="9"/>
  <c r="G32" i="9"/>
  <c r="G30" i="9"/>
  <c r="G29" i="9"/>
  <c r="G28" i="9"/>
  <c r="G26" i="9"/>
  <c r="C31" i="9"/>
  <c r="G31" i="9" s="1"/>
  <c r="J30" i="9"/>
  <c r="D30" i="9"/>
  <c r="E30" i="9"/>
  <c r="F30" i="9"/>
  <c r="H23" i="9"/>
  <c r="G21" i="11"/>
  <c r="G31" i="11" s="1"/>
  <c r="G19" i="11"/>
  <c r="G29" i="11" s="1"/>
  <c r="C62" i="5" s="1"/>
  <c r="F19" i="5" s="1"/>
  <c r="F20" i="5" s="1"/>
  <c r="G22" i="11"/>
  <c r="G32" i="11" s="1"/>
  <c r="G18" i="11"/>
  <c r="G28" i="11" s="1"/>
  <c r="D31" i="4"/>
  <c r="E23" i="4"/>
  <c r="D33" i="4"/>
  <c r="D29" i="4"/>
  <c r="D30" i="4"/>
  <c r="D32" i="4"/>
  <c r="E18" i="4"/>
  <c r="C24" i="3"/>
  <c r="C32" i="3" s="1"/>
  <c r="H32" i="3" s="1"/>
  <c r="C55" i="11"/>
  <c r="C53" i="11"/>
  <c r="E21" i="4"/>
  <c r="E20" i="4"/>
  <c r="E17" i="4"/>
  <c r="E19" i="4"/>
  <c r="E33" i="4"/>
  <c r="E30" i="4"/>
  <c r="C23" i="3"/>
  <c r="D34" i="3"/>
  <c r="H34" i="3" s="1"/>
  <c r="H33" i="3"/>
  <c r="E93" i="3"/>
  <c r="E95" i="3" s="1"/>
  <c r="C14" i="9"/>
  <c r="D13" i="9"/>
  <c r="E13" i="9"/>
  <c r="H13" i="9"/>
  <c r="J13" i="9"/>
  <c r="F13" i="9"/>
  <c r="I13" i="9"/>
  <c r="G13" i="9"/>
  <c r="E31" i="4"/>
  <c r="E32" i="4"/>
  <c r="E29" i="4"/>
  <c r="C98" i="3"/>
  <c r="C100" i="3" s="1"/>
  <c r="C8" i="4" s="1"/>
  <c r="G23" i="11" l="1"/>
  <c r="G33" i="11" s="1"/>
  <c r="F12" i="3"/>
  <c r="F13" i="3" s="1"/>
  <c r="E13" i="3"/>
  <c r="H47" i="9"/>
  <c r="H39" i="9"/>
  <c r="H22" i="9"/>
  <c r="H40" i="9"/>
  <c r="H41" i="9"/>
  <c r="H42" i="9"/>
  <c r="H43" i="9"/>
  <c r="C45" i="9"/>
  <c r="E44" i="9"/>
  <c r="G44" i="9"/>
  <c r="D44" i="9"/>
  <c r="J44" i="9"/>
  <c r="F44" i="9"/>
  <c r="H44" i="9"/>
  <c r="H29" i="9"/>
  <c r="H28" i="9"/>
  <c r="H26" i="9"/>
  <c r="H27" i="9"/>
  <c r="H24" i="9"/>
  <c r="H25" i="9"/>
  <c r="H31" i="9"/>
  <c r="H32" i="9"/>
  <c r="H30" i="9"/>
  <c r="D31" i="9"/>
  <c r="J31" i="9"/>
  <c r="E31" i="9"/>
  <c r="F31" i="9"/>
  <c r="I23" i="9"/>
  <c r="I44" i="9" s="1"/>
  <c r="H24" i="3"/>
  <c r="C61" i="11"/>
  <c r="H61" i="11" s="1"/>
  <c r="H53" i="11"/>
  <c r="C9" i="11"/>
  <c r="C11" i="11" s="1"/>
  <c r="E9" i="11"/>
  <c r="E11" i="11" s="1"/>
  <c r="C63" i="11"/>
  <c r="H63" i="11" s="1"/>
  <c r="H55" i="11"/>
  <c r="C30" i="3"/>
  <c r="H30" i="3" s="1"/>
  <c r="H23" i="3"/>
  <c r="H25" i="3"/>
  <c r="D26" i="3"/>
  <c r="H26" i="3" s="1"/>
  <c r="C15" i="9"/>
  <c r="G14" i="9"/>
  <c r="H14" i="9"/>
  <c r="D14" i="9"/>
  <c r="I14" i="9"/>
  <c r="F14" i="9"/>
  <c r="J14" i="9"/>
  <c r="E14" i="9"/>
  <c r="I47" i="9" l="1"/>
  <c r="I22" i="9"/>
  <c r="I39" i="9"/>
  <c r="I40" i="9"/>
  <c r="I41" i="9"/>
  <c r="I42" i="9"/>
  <c r="I43" i="9"/>
  <c r="I45" i="9"/>
  <c r="H45" i="9"/>
  <c r="G45" i="9"/>
  <c r="F45" i="9"/>
  <c r="E45" i="9"/>
  <c r="D45" i="9"/>
  <c r="J45" i="9"/>
  <c r="C46" i="9"/>
  <c r="I29" i="9"/>
  <c r="I27" i="9"/>
  <c r="I28" i="9"/>
  <c r="I25" i="9"/>
  <c r="I26" i="9"/>
  <c r="I32" i="9"/>
  <c r="I30" i="9"/>
  <c r="I31" i="9"/>
  <c r="I24" i="9"/>
  <c r="G15" i="9"/>
  <c r="H15" i="9"/>
  <c r="I15" i="9"/>
  <c r="D15" i="9"/>
  <c r="J15" i="9"/>
  <c r="E15" i="9"/>
  <c r="F15" i="9"/>
  <c r="C16" i="9"/>
  <c r="E46" i="9" l="1"/>
  <c r="D46" i="9"/>
  <c r="G46" i="9"/>
  <c r="F46" i="9"/>
  <c r="J46" i="9"/>
  <c r="I46" i="9"/>
  <c r="H46" i="9"/>
  <c r="C17" i="9"/>
  <c r="D16" i="9"/>
  <c r="E16" i="9"/>
  <c r="F16" i="9"/>
  <c r="I16" i="9"/>
  <c r="J16" i="9"/>
  <c r="G16" i="9"/>
  <c r="H16" i="9"/>
  <c r="J17" i="9" l="1"/>
  <c r="G17" i="9"/>
  <c r="I17" i="9"/>
  <c r="E17" i="9"/>
  <c r="H17" i="9"/>
  <c r="D17" i="9"/>
  <c r="F17" i="9"/>
  <c r="B26" i="1"/>
  <c r="F23" i="5"/>
  <c r="F24" i="5"/>
  <c r="F31" i="5"/>
  <c r="F32" i="5"/>
  <c r="F34" i="5"/>
  <c r="F37" i="5"/>
  <c r="F38" i="5"/>
  <c r="F42" i="5"/>
  <c r="F43" i="5"/>
  <c r="F47" i="5"/>
  <c r="F48" i="5"/>
  <c r="F51" i="5"/>
  <c r="F53" i="5"/>
  <c r="C70" i="5"/>
  <c r="C71" i="5"/>
  <c r="C7" i="4"/>
  <c r="D7" i="4"/>
  <c r="E7" i="4"/>
  <c r="F7" i="4"/>
  <c r="C9" i="4"/>
  <c r="D9" i="4"/>
  <c r="E9" i="4"/>
  <c r="F9" i="4"/>
  <c r="C11" i="4"/>
  <c r="D11" i="4"/>
  <c r="E11" i="4"/>
  <c r="F11" i="4"/>
</calcChain>
</file>

<file path=xl/sharedStrings.xml><?xml version="1.0" encoding="utf-8"?>
<sst xmlns="http://schemas.openxmlformats.org/spreadsheetml/2006/main" count="485" uniqueCount="226">
  <si>
    <t>Diligence Workbook</t>
  </si>
  <si>
    <t>Sunshine Commercial Investments</t>
  </si>
  <si>
    <t>Laundromat</t>
  </si>
  <si>
    <t>Community Theater</t>
  </si>
  <si>
    <t>Turnaround Testron*</t>
  </si>
  <si>
    <t>Consignment Shop</t>
  </si>
  <si>
    <t>Book Store</t>
  </si>
  <si>
    <t>Print</t>
  </si>
  <si>
    <t>Valuation</t>
  </si>
  <si>
    <t>% Delta</t>
  </si>
  <si>
    <t>Precedent Transactions</t>
  </si>
  <si>
    <t>Income Capitalization Approach</t>
  </si>
  <si>
    <t>Average Valuation</t>
  </si>
  <si>
    <t>County Cost-Approach</t>
  </si>
  <si>
    <t>CRE Rent Overview</t>
  </si>
  <si>
    <t>Prior Transaction Consideration</t>
  </si>
  <si>
    <t>Total Current Rent</t>
  </si>
  <si>
    <t>FY25</t>
  </si>
  <si>
    <t>Net Operating Income</t>
  </si>
  <si>
    <t>Total Leasable Square Footage</t>
  </si>
  <si>
    <t>Current Rent / Sq. Ft.</t>
  </si>
  <si>
    <t>Market Rent Analysis</t>
  </si>
  <si>
    <t>(/) Prior Transaction Value</t>
  </si>
  <si>
    <t>Implied Cap Rate</t>
  </si>
  <si>
    <t>Based on this calculator (currently assumes $1M sale)</t>
  </si>
  <si>
    <t>(-) Property Management</t>
  </si>
  <si>
    <t>Pro Forma NOI</t>
  </si>
  <si>
    <t>NNN</t>
  </si>
  <si>
    <t>(/) Estimated Cap Rate</t>
  </si>
  <si>
    <t>Low-End Rate</t>
  </si>
  <si>
    <t>High-End Rate</t>
  </si>
  <si>
    <t>Source</t>
  </si>
  <si>
    <t>Implied Annual Rent</t>
  </si>
  <si>
    <t>Implied Annual Rent Calculation</t>
  </si>
  <si>
    <t>Low-End</t>
  </si>
  <si>
    <t>Base-Rate</t>
  </si>
  <si>
    <t>Estimated Rent / Sq. Ft</t>
  </si>
  <si>
    <t>(x) Leasable Sq. Ft.</t>
  </si>
  <si>
    <t>% Increase</t>
  </si>
  <si>
    <t>2024 Net Income</t>
  </si>
  <si>
    <t>Mortgage Interest</t>
  </si>
  <si>
    <t xml:space="preserve">Depreciation </t>
  </si>
  <si>
    <t>Total Earnings</t>
  </si>
  <si>
    <t>Implied Valuation</t>
  </si>
  <si>
    <t>Less Accumulated Depreciation</t>
  </si>
  <si>
    <t>Laundromat P&amp;L Summary</t>
  </si>
  <si>
    <t>FY22</t>
  </si>
  <si>
    <t>FY23</t>
  </si>
  <si>
    <t>FY24</t>
  </si>
  <si>
    <t>Revenue</t>
  </si>
  <si>
    <t>% Growth</t>
  </si>
  <si>
    <t>Utilities</t>
  </si>
  <si>
    <t>Labor</t>
  </si>
  <si>
    <t>Pro Forma</t>
  </si>
  <si>
    <t>Laundromat Pro Forma Assumptions</t>
  </si>
  <si>
    <t>18-Month Revenue Growth</t>
  </si>
  <si>
    <t>Utilities Margin</t>
  </si>
  <si>
    <t>% Margin</t>
  </si>
  <si>
    <t>% Sales</t>
  </si>
  <si>
    <t>Expenses</t>
  </si>
  <si>
    <t>Go-Forward Labor Cost</t>
  </si>
  <si>
    <t>Monica's Compensation</t>
  </si>
  <si>
    <t>Repairs &amp; Maintenance</t>
  </si>
  <si>
    <t>Go-Forward Repairs</t>
  </si>
  <si>
    <t>Lease</t>
  </si>
  <si>
    <t>Normalized Lease</t>
  </si>
  <si>
    <t>Taxes</t>
  </si>
  <si>
    <t>Laundromat P&amp;L Summary &amp; Valuation ($000s)</t>
  </si>
  <si>
    <t>Depreciation</t>
  </si>
  <si>
    <t>Go-Forward Depreciation</t>
  </si>
  <si>
    <t>Note: The increased depreciation is due to acquiring the CRE in Feb'23</t>
  </si>
  <si>
    <t>Note: The increased interest is due to including half of the total mortgage interest allocated to the laundromat</t>
  </si>
  <si>
    <t>Insurance</t>
  </si>
  <si>
    <t>Go-Forward Insurance</t>
  </si>
  <si>
    <t>Other Expenses</t>
  </si>
  <si>
    <t>Total Expenses</t>
  </si>
  <si>
    <t>Go-Forward Interest</t>
  </si>
  <si>
    <t>Net Income</t>
  </si>
  <si>
    <t>EBITDA Bridge</t>
  </si>
  <si>
    <t>Go-Forward Other Expenses</t>
  </si>
  <si>
    <t>(+) Owner Compensation</t>
  </si>
  <si>
    <t>Valuation Multiple</t>
  </si>
  <si>
    <t>Business Valuation</t>
  </si>
  <si>
    <t>SDE</t>
  </si>
  <si>
    <t>(x) Valuation Multiple</t>
  </si>
  <si>
    <t>Laundromat Valuation</t>
  </si>
  <si>
    <t>Adj. EBITDA</t>
  </si>
  <si>
    <t>Reported Net Income</t>
  </si>
  <si>
    <t>(+) Interest</t>
  </si>
  <si>
    <t>(+) Depreciation</t>
  </si>
  <si>
    <t>(-) Capital Reserve</t>
  </si>
  <si>
    <t>(+) Taxes</t>
  </si>
  <si>
    <t>Debt Servicing</t>
  </si>
  <si>
    <t>Interest Rate</t>
  </si>
  <si>
    <t>Principal</t>
  </si>
  <si>
    <t>Loan Term (Years)</t>
  </si>
  <si>
    <t>Down Payment (%)</t>
  </si>
  <si>
    <t>Down Payment ($)</t>
  </si>
  <si>
    <t>Taxes (% Sales)</t>
  </si>
  <si>
    <t>Valuation Overview ($000s)</t>
  </si>
  <si>
    <t>Clearing Price</t>
  </si>
  <si>
    <t>Current Valuation</t>
  </si>
  <si>
    <t>Base-Rate Valuation</t>
  </si>
  <si>
    <t>Commercial Real Estate</t>
  </si>
  <si>
    <t>Annual Rent Impact</t>
  </si>
  <si>
    <t>Total Valuation</t>
  </si>
  <si>
    <t>NNN Valuation</t>
  </si>
  <si>
    <t>Monthly Rent Impact</t>
  </si>
  <si>
    <t>Total Monthly Rent</t>
  </si>
  <si>
    <t>Total Annual Rent</t>
  </si>
  <si>
    <t>(-) Asking Price</t>
  </si>
  <si>
    <t>Delta</t>
  </si>
  <si>
    <t>Clearing</t>
  </si>
  <si>
    <t>Commercial Real Estate Valuation ($)</t>
  </si>
  <si>
    <t>CRE Market Rent Analysis ($)</t>
  </si>
  <si>
    <t>Total Monthly Rent (Base + NNN)</t>
  </si>
  <si>
    <t>Total Annual Rent (Base + NNN)</t>
  </si>
  <si>
    <t>Total Rent Increase</t>
  </si>
  <si>
    <t>Base Rent</t>
  </si>
  <si>
    <t>CAM</t>
  </si>
  <si>
    <t>Total Rent</t>
  </si>
  <si>
    <t>Current (FY25) Rent</t>
  </si>
  <si>
    <t>Clearing Price Rent</t>
  </si>
  <si>
    <t>NNN Rent</t>
  </si>
  <si>
    <t>NNN + Low-End Rent</t>
  </si>
  <si>
    <t>NNN + Base-Rate Rent</t>
  </si>
  <si>
    <t>Valuation Sensitivity Table</t>
  </si>
  <si>
    <t>NOI</t>
  </si>
  <si>
    <t>CRE Sensitivity Analysis</t>
  </si>
  <si>
    <t>Valuation Cap Rate Range</t>
  </si>
  <si>
    <t>Net Operating Income Range ($000s)</t>
  </si>
  <si>
    <t>Total Usable Sq. Ft.</t>
  </si>
  <si>
    <t>Vacancy Allowance</t>
  </si>
  <si>
    <t>Capital Reserves</t>
  </si>
  <si>
    <t>Pro Forma Rent Build</t>
  </si>
  <si>
    <t>Estimate</t>
  </si>
  <si>
    <t>Per Sq. Ft.</t>
  </si>
  <si>
    <t>Total NNN Charges</t>
  </si>
  <si>
    <t>1) Cannot verify through Google Maps -- appears to be Carrie’s Beauty Salon</t>
  </si>
  <si>
    <r>
      <t>Taxes</t>
    </r>
    <r>
      <rPr>
        <vertAlign val="superscript"/>
        <sz val="9"/>
        <color theme="1"/>
        <rFont val="Arial"/>
        <family val="2"/>
      </rPr>
      <t>2</t>
    </r>
  </si>
  <si>
    <t>2) Assumes go-forward taxes at $1M valuation</t>
  </si>
  <si>
    <t>Make sure this is allocated to laundromat in accordance with usage</t>
  </si>
  <si>
    <t>Actuals</t>
  </si>
  <si>
    <t>Estimated Pro Forma Rent Build</t>
  </si>
  <si>
    <t>Actual Pro Forma Rent Build</t>
  </si>
  <si>
    <t>NNN Allocation Overview</t>
  </si>
  <si>
    <t>Property Management Fee</t>
  </si>
  <si>
    <t>TI Reserves</t>
  </si>
  <si>
    <t>Non-NNN Owner Insurance</t>
  </si>
  <si>
    <t>Entity-Level Tax</t>
  </si>
  <si>
    <t>Entity-Level Accounting</t>
  </si>
  <si>
    <t>Maintenance Shortfall</t>
  </si>
  <si>
    <t>CRE Corporate Expense Overview</t>
  </si>
  <si>
    <t>Total Corporate Costs</t>
  </si>
  <si>
    <t>Input</t>
  </si>
  <si>
    <t>Notes</t>
  </si>
  <si>
    <t>Taken from current property manager</t>
  </si>
  <si>
    <t>% of gross rent</t>
  </si>
  <si>
    <t>% of leasable sq. ft.</t>
  </si>
  <si>
    <t>Exclude laundromat?</t>
  </si>
  <si>
    <t>Base Rent / Sq. Ft.</t>
  </si>
  <si>
    <t>NNN Rent / Sq. Ft.</t>
  </si>
  <si>
    <t>Total Rent / Sq. Ft.</t>
  </si>
  <si>
    <t>Rent / Sq. Ft. For Each Scenario</t>
  </si>
  <si>
    <t>Assumes $100 per month for financials</t>
  </si>
  <si>
    <t>Assumes $750 for annual corporate taxes</t>
  </si>
  <si>
    <t>Maintenance / CAM</t>
  </si>
  <si>
    <t>% per year</t>
  </si>
  <si>
    <t>Current Gross Rent</t>
  </si>
  <si>
    <t>As of 2025</t>
  </si>
  <si>
    <t>Breakdown base rent vs. the triple net cost allocation to each tennant</t>
  </si>
  <si>
    <t>NNN Build</t>
  </si>
  <si>
    <t>Corporate Expense Build</t>
  </si>
  <si>
    <t>(-) Corporate Expenses</t>
  </si>
  <si>
    <t>(+) NNN Rent</t>
  </si>
  <si>
    <t>(-) Corporate NNN</t>
  </si>
  <si>
    <t>Total Rent  Sq. Ft. Range</t>
  </si>
  <si>
    <t>Estimated Corporate Expenses</t>
  </si>
  <si>
    <t>NNN + Corporate Cost Range ($000s)</t>
  </si>
  <si>
    <t>the sixth unit is a storage</t>
  </si>
  <si>
    <t>% Inc.</t>
  </si>
  <si>
    <t>8% Cap Rate - Clearance NOI Based on Extimated Expenses</t>
  </si>
  <si>
    <t>9% Cap Rate - Clearance NOI Based on Extimated Expenses</t>
  </si>
  <si>
    <t>Note: Cells highligted in green clear the $1M CRE valuation threshhold</t>
  </si>
  <si>
    <t>Property</t>
  </si>
  <si>
    <t>City</t>
  </si>
  <si>
    <t>State</t>
  </si>
  <si>
    <t>Size (SF)</t>
  </si>
  <si>
    <t>Built</t>
  </si>
  <si>
    <t>Type</t>
  </si>
  <si>
    <t>NNN Rate</t>
  </si>
  <si>
    <t>6317–6327 Dogwood Dr</t>
  </si>
  <si>
    <t>Milton</t>
  </si>
  <si>
    <t>Florida</t>
  </si>
  <si>
    <t>Retail/flex</t>
  </si>
  <si>
    <t>5118 Canal St</t>
  </si>
  <si>
    <t>Retail</t>
  </si>
  <si>
    <t>-</t>
  </si>
  <si>
    <t>4848 Ward Basin Rd</t>
  </si>
  <si>
    <t>Office/Retail</t>
  </si>
  <si>
    <t>Quietwater Bldg 1 Suite 360</t>
  </si>
  <si>
    <t>Gulf Breeze</t>
  </si>
  <si>
    <t>Office</t>
  </si>
  <si>
    <t>8165 Progress Dr</t>
  </si>
  <si>
    <t>4628 Summerdale Blvd</t>
  </si>
  <si>
    <t>Pace</t>
  </si>
  <si>
    <t xml:space="preserve">5941 Berryhill Road
</t>
  </si>
  <si>
    <t>4455-4497 Mobile Hwy</t>
  </si>
  <si>
    <t>Pensacola</t>
  </si>
  <si>
    <t>50 S Blue Angel Pky</t>
  </si>
  <si>
    <t>Storefront</t>
  </si>
  <si>
    <t>275 W Airport Blvd</t>
  </si>
  <si>
    <t>5700 N Davis Hwy</t>
  </si>
  <si>
    <t>3620-3642 Barrancas Ave</t>
  </si>
  <si>
    <t>3960 W Navy Blvd</t>
  </si>
  <si>
    <t>5022 W Fairfield Dr</t>
  </si>
  <si>
    <t>2115 W 9 Mile Rd</t>
  </si>
  <si>
    <t>8602-8612 Pensacola Blvd</t>
  </si>
  <si>
    <t>7000 Pine Forest Rd</t>
  </si>
  <si>
    <t>1421 E Nine Mile Rd</t>
  </si>
  <si>
    <t>Medical</t>
  </si>
  <si>
    <t>Average</t>
  </si>
  <si>
    <t>Target Property</t>
  </si>
  <si>
    <t>Current</t>
  </si>
  <si>
    <t>Implied Upside ($000s)</t>
  </si>
  <si>
    <t xml:space="preserve">Annual Rental Income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</si>
</sst>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6" formatCode="&quot;$&quot;#,##0_);[Red]\(&quot;$&quot;#,##0\)"/>
    <numFmt numFmtId="8" formatCode="&quot;$&quot;#,##0.00_);[Red]\(&quot;$&quot;#,##0.00\)"/>
    <numFmt numFmtId="164" formatCode="[$$]#,##0;\([$$]#,##0\);&quot;–&quot;;@"/>
    <numFmt numFmtId="165" formatCode="#,##0;\(#,##0\);&quot;–&quot;;@"/>
    <numFmt numFmtId="166" formatCode="[$$]#,##0.00;\([$$]#,##0.00\);&quot;–&quot;;@"/>
    <numFmt numFmtId="167" formatCode="#,##0.0%;\(#,##0.0%\);&quot;–&quot;;@"/>
    <numFmt numFmtId="168" formatCode="0.0%"/>
    <numFmt numFmtId="169" formatCode="[$$]#,##0.0;\([$$]#,##0.0\);&quot;–&quot;;@"/>
    <numFmt numFmtId="170" formatCode="#,##0%;\(#,##0%\);&quot;–&quot;;@"/>
    <numFmt numFmtId="171" formatCode="0.0\x;\(0.0\x\);&quot;–&quot;"/>
    <numFmt numFmtId="181" formatCode="#,##0.00;\(#,##0.00\);&quot;–&quot;;@"/>
    <numFmt numFmtId="183" formatCode="[$$-380A]\ #,##0.00;\-[$$-380A]\ #,##0.00"/>
  </numFmts>
  <fonts count="38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1"/>
      <color theme="1"/>
      <name val="Arial"/>
      <family val="2"/>
    </font>
    <font>
      <b/>
      <sz val="26"/>
      <color rgb="FF000000"/>
      <name val="Arial"/>
      <family val="2"/>
    </font>
    <font>
      <b/>
      <i/>
      <sz val="20"/>
      <color rgb="FF000000"/>
      <name val="Arial"/>
      <family val="2"/>
    </font>
    <font>
      <i/>
      <sz val="18"/>
      <color theme="1"/>
      <name val="Arial"/>
      <family val="2"/>
    </font>
    <font>
      <b/>
      <sz val="12"/>
      <color theme="1"/>
      <name val="arial"/>
      <family val="2"/>
    </font>
    <font>
      <i/>
      <sz val="9"/>
      <color theme="1"/>
      <name val="arial"/>
      <family val="2"/>
    </font>
    <font>
      <sz val="9"/>
      <color rgb="FF0000FF"/>
      <name val="arial"/>
      <family val="2"/>
    </font>
    <font>
      <i/>
      <sz val="7"/>
      <color theme="1"/>
      <name val="arial"/>
      <family val="2"/>
    </font>
    <font>
      <sz val="7"/>
      <color theme="1"/>
      <name val="arial"/>
      <family val="2"/>
    </font>
    <font>
      <sz val="9"/>
      <color rgb="FF008000"/>
      <name val="arial"/>
      <family val="2"/>
    </font>
    <font>
      <sz val="9"/>
      <color rgb="FF800080"/>
      <name val="arial"/>
      <family val="2"/>
    </font>
    <font>
      <b/>
      <sz val="9"/>
      <color rgb="FF800080"/>
      <name val="arial"/>
      <family val="2"/>
    </font>
    <font>
      <u/>
      <sz val="9"/>
      <color theme="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Arial"/>
      <family val="2"/>
    </font>
    <font>
      <i/>
      <u/>
      <sz val="9"/>
      <color theme="10"/>
      <name val="Arial"/>
      <family val="2"/>
    </font>
    <font>
      <b/>
      <i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  <font>
      <b/>
      <i/>
      <sz val="9"/>
      <name val="arial"/>
      <family val="2"/>
    </font>
    <font>
      <b/>
      <sz val="9"/>
      <color rgb="FF0000FF"/>
      <name val="arial"/>
      <family val="2"/>
    </font>
    <font>
      <sz val="9"/>
      <color rgb="FFFF0000"/>
      <name val="arial"/>
      <family val="2"/>
    </font>
    <font>
      <b/>
      <sz val="13"/>
      <color theme="1"/>
      <name val="arial"/>
      <family val="2"/>
    </font>
    <font>
      <vertAlign val="superscript"/>
      <sz val="9"/>
      <color theme="1"/>
      <name val="Arial"/>
      <family val="2"/>
    </font>
    <font>
      <i/>
      <sz val="8"/>
      <color theme="1"/>
      <name val="arial"/>
      <family val="2"/>
    </font>
    <font>
      <i/>
      <sz val="9"/>
      <color rgb="FFFF0000"/>
      <name val="arial"/>
      <family val="2"/>
    </font>
    <font>
      <b/>
      <i/>
      <sz val="9"/>
      <color rgb="FFFF0000"/>
      <name val="arial"/>
      <family val="2"/>
    </font>
    <font>
      <u/>
      <sz val="9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90033"/>
        <bgColor rgb="FF990033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/>
      <top style="thin">
        <color rgb="FFFF0000"/>
      </top>
      <bottom style="thin">
        <color rgb="FFFF0000"/>
      </bottom>
      <diagonal/>
    </border>
    <border>
      <left/>
      <right style="thin">
        <color rgb="FFFF0000"/>
      </right>
      <top style="thin">
        <color rgb="FFFF0000"/>
      </top>
      <bottom style="thin">
        <color rgb="FFFF000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indexed="64"/>
      </right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21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256">
    <xf numFmtId="0" fontId="0" fillId="0" borderId="0" xfId="0"/>
    <xf numFmtId="0" fontId="8" fillId="2" borderId="0" xfId="0" applyFont="1" applyFill="1"/>
    <xf numFmtId="0" fontId="8" fillId="0" borderId="0" xfId="0" applyFont="1"/>
    <xf numFmtId="0" fontId="8" fillId="0" borderId="1" xfId="0" applyFont="1" applyBorder="1"/>
    <xf numFmtId="0" fontId="8" fillId="0" borderId="0" xfId="0" applyFont="1" applyAlignment="1">
      <alignment vertical="center"/>
    </xf>
    <xf numFmtId="0" fontId="8" fillId="0" borderId="2" xfId="0" applyFont="1" applyBorder="1"/>
    <xf numFmtId="0" fontId="6" fillId="0" borderId="0" xfId="0" applyFont="1"/>
    <xf numFmtId="0" fontId="7" fillId="0" borderId="0" xfId="0" applyFont="1"/>
    <xf numFmtId="0" fontId="12" fillId="0" borderId="0" xfId="0" applyFont="1"/>
    <xf numFmtId="0" fontId="13" fillId="0" borderId="3" xfId="0" applyFont="1" applyBorder="1"/>
    <xf numFmtId="0" fontId="6" fillId="0" borderId="3" xfId="0" applyFont="1" applyBorder="1"/>
    <xf numFmtId="0" fontId="7" fillId="0" borderId="4" xfId="0" applyFont="1" applyBorder="1" applyAlignment="1">
      <alignment horizontal="center"/>
    </xf>
    <xf numFmtId="0" fontId="7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164" fontId="6" fillId="0" borderId="0" xfId="0" applyNumberFormat="1" applyFont="1"/>
    <xf numFmtId="164" fontId="14" fillId="0" borderId="0" xfId="0" applyNumberFormat="1" applyFont="1"/>
    <xf numFmtId="165" fontId="6" fillId="0" borderId="0" xfId="0" applyNumberFormat="1" applyFont="1"/>
    <xf numFmtId="165" fontId="14" fillId="0" borderId="0" xfId="0" applyNumberFormat="1" applyFont="1"/>
    <xf numFmtId="0" fontId="7" fillId="0" borderId="2" xfId="0" applyFont="1" applyBorder="1"/>
    <xf numFmtId="0" fontId="6" fillId="0" borderId="2" xfId="0" applyFont="1" applyBorder="1"/>
    <xf numFmtId="164" fontId="7" fillId="0" borderId="2" xfId="0" applyNumberFormat="1" applyFont="1" applyBorder="1"/>
    <xf numFmtId="165" fontId="14" fillId="0" borderId="5" xfId="0" applyNumberFormat="1" applyFont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7" fillId="3" borderId="0" xfId="0" applyFont="1" applyFill="1"/>
    <xf numFmtId="0" fontId="6" fillId="3" borderId="0" xfId="0" applyFont="1" applyFill="1"/>
    <xf numFmtId="164" fontId="17" fillId="0" borderId="0" xfId="0" applyNumberFormat="1" applyFont="1"/>
    <xf numFmtId="0" fontId="7" fillId="0" borderId="0" xfId="0" applyFont="1" applyAlignment="1">
      <alignment horizontal="center"/>
    </xf>
    <xf numFmtId="0" fontId="13" fillId="0" borderId="0" xfId="0" applyFont="1"/>
    <xf numFmtId="0" fontId="5" fillId="0" borderId="0" xfId="0" applyFont="1"/>
    <xf numFmtId="164" fontId="18" fillId="0" borderId="0" xfId="0" applyNumberFormat="1" applyFont="1"/>
    <xf numFmtId="164" fontId="19" fillId="0" borderId="0" xfId="0" applyNumberFormat="1" applyFont="1"/>
    <xf numFmtId="166" fontId="7" fillId="0" borderId="0" xfId="0" applyNumberFormat="1" applyFont="1"/>
    <xf numFmtId="0" fontId="20" fillId="0" borderId="0" xfId="0" applyFont="1"/>
    <xf numFmtId="0" fontId="4" fillId="0" borderId="0" xfId="0" applyFont="1"/>
    <xf numFmtId="165" fontId="18" fillId="0" borderId="0" xfId="0" applyNumberFormat="1" applyFont="1"/>
    <xf numFmtId="0" fontId="4" fillId="0" borderId="0" xfId="0" applyFont="1" applyAlignment="1">
      <alignment horizontal="left" indent="1"/>
    </xf>
    <xf numFmtId="0" fontId="23" fillId="0" borderId="0" xfId="2" applyFont="1"/>
    <xf numFmtId="0" fontId="24" fillId="0" borderId="0" xfId="2" applyFont="1"/>
    <xf numFmtId="164" fontId="7" fillId="0" borderId="0" xfId="0" applyNumberFormat="1" applyFont="1"/>
    <xf numFmtId="0" fontId="7" fillId="4" borderId="6" xfId="0" applyFont="1" applyFill="1" applyBorder="1"/>
    <xf numFmtId="167" fontId="7" fillId="4" borderId="4" xfId="0" applyNumberFormat="1" applyFont="1" applyFill="1" applyBorder="1"/>
    <xf numFmtId="167" fontId="7" fillId="4" borderId="7" xfId="0" applyNumberFormat="1" applyFont="1" applyFill="1" applyBorder="1"/>
    <xf numFmtId="168" fontId="14" fillId="5" borderId="0" xfId="0" applyNumberFormat="1" applyFont="1" applyFill="1"/>
    <xf numFmtId="168" fontId="18" fillId="5" borderId="0" xfId="0" applyNumberFormat="1" applyFont="1" applyFill="1"/>
    <xf numFmtId="164" fontId="7" fillId="4" borderId="4" xfId="0" applyNumberFormat="1" applyFont="1" applyFill="1" applyBorder="1"/>
    <xf numFmtId="166" fontId="7" fillId="4" borderId="7" xfId="0" applyNumberFormat="1" applyFont="1" applyFill="1" applyBorder="1"/>
    <xf numFmtId="169" fontId="14" fillId="0" borderId="0" xfId="0" applyNumberFormat="1" applyFont="1"/>
    <xf numFmtId="166" fontId="7" fillId="0" borderId="4" xfId="0" applyNumberFormat="1" applyFont="1" applyBorder="1" applyAlignment="1">
      <alignment horizontal="center"/>
    </xf>
    <xf numFmtId="169" fontId="18" fillId="0" borderId="0" xfId="0" applyNumberFormat="1" applyFont="1"/>
    <xf numFmtId="164" fontId="7" fillId="4" borderId="7" xfId="0" applyNumberFormat="1" applyFont="1" applyFill="1" applyBorder="1"/>
    <xf numFmtId="0" fontId="7" fillId="4" borderId="8" xfId="0" applyFont="1" applyFill="1" applyBorder="1"/>
    <xf numFmtId="164" fontId="7" fillId="4" borderId="2" xfId="0" applyNumberFormat="1" applyFont="1" applyFill="1" applyBorder="1"/>
    <xf numFmtId="164" fontId="7" fillId="4" borderId="9" xfId="0" applyNumberFormat="1" applyFont="1" applyFill="1" applyBorder="1"/>
    <xf numFmtId="0" fontId="25" fillId="4" borderId="10" xfId="0" applyFont="1" applyFill="1" applyBorder="1"/>
    <xf numFmtId="170" fontId="7" fillId="4" borderId="3" xfId="0" applyNumberFormat="1" applyFont="1" applyFill="1" applyBorder="1"/>
    <xf numFmtId="170" fontId="7" fillId="4" borderId="11" xfId="0" applyNumberFormat="1" applyFont="1" applyFill="1" applyBorder="1"/>
    <xf numFmtId="170" fontId="7" fillId="0" borderId="0" xfId="0" applyNumberFormat="1" applyFont="1"/>
    <xf numFmtId="164" fontId="7" fillId="0" borderId="0" xfId="0" applyNumberFormat="1" applyFont="1" applyAlignment="1">
      <alignment horizontal="centerContinuous"/>
    </xf>
    <xf numFmtId="164" fontId="6" fillId="0" borderId="0" xfId="0" applyNumberFormat="1" applyFont="1" applyAlignment="1">
      <alignment horizontal="centerContinuous"/>
    </xf>
    <xf numFmtId="165" fontId="7" fillId="0" borderId="2" xfId="0" applyNumberFormat="1" applyFont="1" applyBorder="1"/>
    <xf numFmtId="171" fontId="6" fillId="0" borderId="0" xfId="0" applyNumberFormat="1" applyFont="1"/>
    <xf numFmtId="165" fontId="7" fillId="4" borderId="7" xfId="0" applyNumberFormat="1" applyFont="1" applyFill="1" applyBorder="1"/>
    <xf numFmtId="0" fontId="3" fillId="0" borderId="0" xfId="0" applyFont="1"/>
    <xf numFmtId="0" fontId="13" fillId="0" borderId="0" xfId="0" applyFont="1" applyAlignment="1">
      <alignment horizontal="left" indent="1"/>
    </xf>
    <xf numFmtId="164" fontId="30" fillId="0" borderId="0" xfId="0" applyNumberFormat="1" applyFont="1"/>
    <xf numFmtId="167" fontId="14" fillId="0" borderId="0" xfId="0" applyNumberFormat="1" applyFont="1"/>
    <xf numFmtId="170" fontId="26" fillId="0" borderId="0" xfId="0" applyNumberFormat="1" applyFont="1"/>
    <xf numFmtId="167" fontId="28" fillId="0" borderId="0" xfId="0" applyNumberFormat="1" applyFont="1"/>
    <xf numFmtId="0" fontId="3" fillId="0" borderId="0" xfId="0" applyFont="1" applyAlignment="1">
      <alignment horizontal="left" indent="1"/>
    </xf>
    <xf numFmtId="165" fontId="26" fillId="0" borderId="0" xfId="0" applyNumberFormat="1" applyFont="1"/>
    <xf numFmtId="164" fontId="26" fillId="0" borderId="0" xfId="0" applyNumberFormat="1" applyFont="1"/>
    <xf numFmtId="165" fontId="17" fillId="0" borderId="0" xfId="0" applyNumberFormat="1" applyFont="1"/>
    <xf numFmtId="164" fontId="30" fillId="0" borderId="2" xfId="0" applyNumberFormat="1" applyFont="1" applyBorder="1"/>
    <xf numFmtId="164" fontId="27" fillId="4" borderId="4" xfId="0" applyNumberFormat="1" applyFont="1" applyFill="1" applyBorder="1"/>
    <xf numFmtId="164" fontId="27" fillId="4" borderId="7" xfId="0" applyNumberFormat="1" applyFont="1" applyFill="1" applyBorder="1"/>
    <xf numFmtId="164" fontId="27" fillId="4" borderId="2" xfId="0" applyNumberFormat="1" applyFont="1" applyFill="1" applyBorder="1"/>
    <xf numFmtId="164" fontId="27" fillId="4" borderId="9" xfId="0" applyNumberFormat="1" applyFont="1" applyFill="1" applyBorder="1"/>
    <xf numFmtId="170" fontId="29" fillId="4" borderId="3" xfId="0" applyNumberFormat="1" applyFont="1" applyFill="1" applyBorder="1"/>
    <xf numFmtId="170" fontId="29" fillId="4" borderId="11" xfId="0" applyNumberFormat="1" applyFont="1" applyFill="1" applyBorder="1"/>
    <xf numFmtId="170" fontId="28" fillId="0" borderId="0" xfId="0" applyNumberFormat="1" applyFont="1"/>
    <xf numFmtId="170" fontId="13" fillId="0" borderId="0" xfId="0" applyNumberFormat="1" applyFont="1"/>
    <xf numFmtId="0" fontId="3" fillId="6" borderId="0" xfId="0" applyFont="1" applyFill="1"/>
    <xf numFmtId="165" fontId="14" fillId="6" borderId="0" xfId="0" applyNumberFormat="1" applyFont="1" applyFill="1"/>
    <xf numFmtId="165" fontId="5" fillId="6" borderId="0" xfId="0" applyNumberFormat="1" applyFont="1" applyFill="1"/>
    <xf numFmtId="164" fontId="14" fillId="6" borderId="0" xfId="0" applyNumberFormat="1" applyFont="1" applyFill="1"/>
    <xf numFmtId="164" fontId="5" fillId="6" borderId="0" xfId="0" applyNumberFormat="1" applyFont="1" applyFill="1"/>
    <xf numFmtId="165" fontId="14" fillId="6" borderId="13" xfId="0" applyNumberFormat="1" applyFont="1" applyFill="1" applyBorder="1"/>
    <xf numFmtId="165" fontId="5" fillId="6" borderId="14" xfId="0" applyNumberFormat="1" applyFont="1" applyFill="1" applyBorder="1"/>
    <xf numFmtId="0" fontId="25" fillId="0" borderId="0" xfId="0" applyFont="1"/>
    <xf numFmtId="170" fontId="29" fillId="0" borderId="0" xfId="0" applyNumberFormat="1" applyFont="1"/>
    <xf numFmtId="171" fontId="14" fillId="0" borderId="0" xfId="0" applyNumberFormat="1" applyFont="1"/>
    <xf numFmtId="171" fontId="18" fillId="0" borderId="0" xfId="0" applyNumberFormat="1" applyFont="1"/>
    <xf numFmtId="0" fontId="2" fillId="6" borderId="0" xfId="0" applyFont="1" applyFill="1"/>
    <xf numFmtId="0" fontId="2" fillId="0" borderId="0" xfId="0" applyFont="1"/>
    <xf numFmtId="9" fontId="14" fillId="0" borderId="0" xfId="0" applyNumberFormat="1" applyFont="1"/>
    <xf numFmtId="10" fontId="14" fillId="0" borderId="0" xfId="0" applyNumberFormat="1" applyFont="1"/>
    <xf numFmtId="0" fontId="14" fillId="0" borderId="0" xfId="0" applyFont="1"/>
    <xf numFmtId="0" fontId="7" fillId="0" borderId="4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  <xf numFmtId="164" fontId="27" fillId="0" borderId="2" xfId="0" applyNumberFormat="1" applyFont="1" applyBorder="1"/>
    <xf numFmtId="170" fontId="6" fillId="0" borderId="0" xfId="0" applyNumberFormat="1" applyFont="1"/>
    <xf numFmtId="0" fontId="2" fillId="0" borderId="0" xfId="0" applyFont="1" applyAlignment="1">
      <alignment horizontal="left" indent="1"/>
    </xf>
    <xf numFmtId="164" fontId="30" fillId="4" borderId="4" xfId="0" applyNumberFormat="1" applyFont="1" applyFill="1" applyBorder="1"/>
    <xf numFmtId="164" fontId="27" fillId="0" borderId="0" xfId="0" applyNumberFormat="1" applyFont="1"/>
    <xf numFmtId="0" fontId="9" fillId="0" borderId="0" xfId="0" applyFont="1" applyAlignment="1">
      <alignment horizontal="center"/>
    </xf>
    <xf numFmtId="0" fontId="0" fillId="0" borderId="0" xfId="0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1" fillId="0" borderId="0" xfId="0" applyFont="1"/>
    <xf numFmtId="0" fontId="32" fillId="0" borderId="0" xfId="0" applyFont="1"/>
    <xf numFmtId="0" fontId="1" fillId="0" borderId="3" xfId="0" applyFont="1" applyBorder="1"/>
    <xf numFmtId="164" fontId="7" fillId="0" borderId="0" xfId="0" applyNumberFormat="1" applyFont="1" applyBorder="1"/>
    <xf numFmtId="170" fontId="7" fillId="4" borderId="4" xfId="1" applyNumberFormat="1" applyFont="1" applyFill="1" applyBorder="1"/>
    <xf numFmtId="170" fontId="7" fillId="4" borderId="7" xfId="1" applyNumberFormat="1" applyFont="1" applyFill="1" applyBorder="1"/>
    <xf numFmtId="0" fontId="1" fillId="0" borderId="0" xfId="0" applyFont="1" applyAlignment="1">
      <alignment horizontal="center"/>
    </xf>
    <xf numFmtId="170" fontId="7" fillId="0" borderId="4" xfId="0" applyNumberFormat="1" applyFont="1" applyBorder="1" applyAlignment="1">
      <alignment horizontal="center"/>
    </xf>
    <xf numFmtId="0" fontId="5" fillId="0" borderId="0" xfId="0" applyFont="1" applyAlignment="1">
      <alignment horizontal="centerContinuous"/>
    </xf>
    <xf numFmtId="170" fontId="7" fillId="0" borderId="0" xfId="0" applyNumberFormat="1" applyFont="1" applyAlignment="1">
      <alignment horizontal="centerContinuous"/>
    </xf>
    <xf numFmtId="0" fontId="6" fillId="0" borderId="0" xfId="0" applyFont="1" applyBorder="1"/>
    <xf numFmtId="0" fontId="7" fillId="0" borderId="0" xfId="0" applyFont="1" applyBorder="1" applyAlignment="1">
      <alignment horizontal="center"/>
    </xf>
    <xf numFmtId="167" fontId="7" fillId="4" borderId="0" xfId="0" applyNumberFormat="1" applyFont="1" applyFill="1" applyBorder="1"/>
    <xf numFmtId="164" fontId="7" fillId="4" borderId="0" xfId="0" applyNumberFormat="1" applyFont="1" applyFill="1" applyBorder="1"/>
    <xf numFmtId="170" fontId="7" fillId="0" borderId="0" xfId="1" applyNumberFormat="1" applyFont="1" applyFill="1" applyBorder="1"/>
    <xf numFmtId="166" fontId="17" fillId="0" borderId="0" xfId="0" applyNumberFormat="1" applyFont="1"/>
    <xf numFmtId="0" fontId="1" fillId="0" borderId="0" xfId="0" applyFont="1" applyAlignment="1">
      <alignment horizontal="centerContinuous"/>
    </xf>
    <xf numFmtId="0" fontId="7" fillId="0" borderId="0" xfId="0" applyFont="1" applyBorder="1" applyAlignment="1">
      <alignment vertical="center" textRotation="90"/>
    </xf>
    <xf numFmtId="0" fontId="7" fillId="0" borderId="0" xfId="0" applyFont="1" applyBorder="1" applyAlignment="1">
      <alignment horizontal="centerContinuous"/>
    </xf>
    <xf numFmtId="0" fontId="7" fillId="7" borderId="8" xfId="0" applyFont="1" applyFill="1" applyBorder="1" applyAlignment="1">
      <alignment horizontal="centerContinuous"/>
    </xf>
    <xf numFmtId="0" fontId="6" fillId="7" borderId="2" xfId="0" applyFont="1" applyFill="1" applyBorder="1" applyAlignment="1">
      <alignment horizontal="centerContinuous"/>
    </xf>
    <xf numFmtId="0" fontId="1" fillId="7" borderId="9" xfId="0" applyFont="1" applyFill="1" applyBorder="1" applyAlignment="1">
      <alignment horizontal="centerContinuous"/>
    </xf>
    <xf numFmtId="164" fontId="6" fillId="0" borderId="0" xfId="0" applyNumberFormat="1" applyFont="1" applyAlignment="1">
      <alignment horizontal="center"/>
    </xf>
    <xf numFmtId="0" fontId="7" fillId="7" borderId="8" xfId="0" applyFont="1" applyFill="1" applyBorder="1" applyAlignment="1">
      <alignment horizontal="center" vertical="center" textRotation="90" wrapText="1"/>
    </xf>
    <xf numFmtId="0" fontId="7" fillId="7" borderId="16" xfId="0" applyFont="1" applyFill="1" applyBorder="1" applyAlignment="1">
      <alignment horizontal="center" vertical="center" textRotation="90" wrapText="1"/>
    </xf>
    <xf numFmtId="0" fontId="7" fillId="7" borderId="10" xfId="0" applyFont="1" applyFill="1" applyBorder="1" applyAlignment="1">
      <alignment horizontal="center" vertical="center" textRotation="90" wrapText="1"/>
    </xf>
    <xf numFmtId="165" fontId="6" fillId="0" borderId="0" xfId="0" applyNumberFormat="1" applyFont="1" applyAlignment="1">
      <alignment horizontal="center"/>
    </xf>
    <xf numFmtId="167" fontId="30" fillId="7" borderId="10" xfId="0" applyNumberFormat="1" applyFont="1" applyFill="1" applyBorder="1" applyAlignment="1">
      <alignment horizontal="center"/>
    </xf>
    <xf numFmtId="167" fontId="27" fillId="7" borderId="3" xfId="0" applyNumberFormat="1" applyFont="1" applyFill="1" applyBorder="1" applyAlignment="1">
      <alignment horizontal="center"/>
    </xf>
    <xf numFmtId="167" fontId="27" fillId="7" borderId="11" xfId="0" applyNumberFormat="1" applyFont="1" applyFill="1" applyBorder="1" applyAlignment="1">
      <alignment horizontal="center"/>
    </xf>
    <xf numFmtId="164" fontId="7" fillId="7" borderId="9" xfId="0" applyNumberFormat="1" applyFont="1" applyFill="1" applyBorder="1"/>
    <xf numFmtId="165" fontId="7" fillId="7" borderId="15" xfId="0" applyNumberFormat="1" applyFont="1" applyFill="1" applyBorder="1"/>
    <xf numFmtId="165" fontId="7" fillId="7" borderId="11" xfId="0" applyNumberFormat="1" applyFont="1" applyFill="1" applyBorder="1"/>
    <xf numFmtId="165" fontId="6" fillId="0" borderId="12" xfId="0" applyNumberFormat="1" applyFont="1" applyBorder="1" applyAlignment="1">
      <alignment horizontal="center"/>
    </xf>
    <xf numFmtId="0" fontId="1" fillId="0" borderId="0" xfId="0" applyFont="1" applyBorder="1"/>
    <xf numFmtId="165" fontId="17" fillId="0" borderId="0" xfId="0" applyNumberFormat="1" applyFont="1" applyBorder="1"/>
    <xf numFmtId="0" fontId="1" fillId="0" borderId="0" xfId="0" applyFont="1" applyAlignment="1">
      <alignment horizontal="left" indent="1"/>
    </xf>
    <xf numFmtId="0" fontId="1" fillId="0" borderId="4" xfId="0" applyFont="1" applyBorder="1"/>
    <xf numFmtId="166" fontId="26" fillId="0" borderId="0" xfId="0" applyNumberFormat="1" applyFont="1"/>
    <xf numFmtId="181" fontId="26" fillId="0" borderId="0" xfId="0" applyNumberFormat="1" applyFont="1"/>
    <xf numFmtId="166" fontId="7" fillId="0" borderId="2" xfId="0" applyNumberFormat="1" applyFont="1" applyBorder="1"/>
    <xf numFmtId="165" fontId="36" fillId="0" borderId="0" xfId="0" applyNumberFormat="1" applyFont="1"/>
    <xf numFmtId="0" fontId="7" fillId="0" borderId="17" xfId="0" applyFont="1" applyBorder="1" applyAlignment="1">
      <alignment horizontal="center"/>
    </xf>
    <xf numFmtId="166" fontId="26" fillId="0" borderId="18" xfId="0" applyNumberFormat="1" applyFont="1" applyBorder="1"/>
    <xf numFmtId="181" fontId="26" fillId="0" borderId="18" xfId="0" applyNumberFormat="1" applyFont="1" applyBorder="1"/>
    <xf numFmtId="0" fontId="7" fillId="0" borderId="0" xfId="0" applyFont="1" applyFill="1"/>
    <xf numFmtId="0" fontId="6" fillId="0" borderId="0" xfId="0" applyFont="1" applyFill="1"/>
    <xf numFmtId="166" fontId="18" fillId="0" borderId="0" xfId="0" applyNumberFormat="1" applyFont="1"/>
    <xf numFmtId="181" fontId="18" fillId="0" borderId="0" xfId="0" applyNumberFormat="1" applyFont="1"/>
    <xf numFmtId="181" fontId="18" fillId="5" borderId="0" xfId="0" applyNumberFormat="1" applyFont="1" applyFill="1"/>
    <xf numFmtId="0" fontId="1" fillId="0" borderId="0" xfId="0" applyFont="1" applyAlignment="1">
      <alignment horizontal="left"/>
    </xf>
    <xf numFmtId="166" fontId="7" fillId="4" borderId="17" xfId="0" applyNumberFormat="1" applyFont="1" applyFill="1" applyBorder="1"/>
    <xf numFmtId="0" fontId="7" fillId="0" borderId="4" xfId="0" applyFont="1" applyBorder="1" applyAlignment="1">
      <alignment horizontal="centerContinuous"/>
    </xf>
    <xf numFmtId="0" fontId="13" fillId="0" borderId="0" xfId="0" applyFont="1" applyAlignment="1">
      <alignment horizontal="centerContinuous"/>
    </xf>
    <xf numFmtId="0" fontId="7" fillId="0" borderId="7" xfId="0" applyFont="1" applyBorder="1" applyAlignment="1">
      <alignment horizontal="center"/>
    </xf>
    <xf numFmtId="167" fontId="31" fillId="0" borderId="15" xfId="0" applyNumberFormat="1" applyFont="1" applyBorder="1"/>
    <xf numFmtId="0" fontId="7" fillId="0" borderId="2" xfId="0" applyFont="1" applyBorder="1" applyAlignment="1">
      <alignment horizontal="center"/>
    </xf>
    <xf numFmtId="166" fontId="18" fillId="0" borderId="19" xfId="0" applyNumberFormat="1" applyFont="1" applyFill="1" applyBorder="1" applyAlignment="1"/>
    <xf numFmtId="181" fontId="17" fillId="0" borderId="0" xfId="0" applyNumberFormat="1" applyFont="1"/>
    <xf numFmtId="166" fontId="7" fillId="0" borderId="0" xfId="0" applyNumberFormat="1" applyFont="1" applyBorder="1"/>
    <xf numFmtId="181" fontId="18" fillId="0" borderId="20" xfId="0" applyNumberFormat="1" applyFont="1" applyFill="1" applyBorder="1" applyAlignment="1"/>
    <xf numFmtId="0" fontId="7" fillId="0" borderId="0" xfId="0" applyFont="1" applyBorder="1"/>
    <xf numFmtId="181" fontId="5" fillId="0" borderId="0" xfId="0" applyNumberFormat="1" applyFont="1"/>
    <xf numFmtId="165" fontId="17" fillId="0" borderId="15" xfId="0" applyNumberFormat="1" applyFont="1" applyBorder="1"/>
    <xf numFmtId="164" fontId="14" fillId="0" borderId="15" xfId="0" applyNumberFormat="1" applyFont="1" applyBorder="1"/>
    <xf numFmtId="164" fontId="31" fillId="0" borderId="15" xfId="0" applyNumberFormat="1" applyFont="1" applyBorder="1"/>
    <xf numFmtId="164" fontId="31" fillId="0" borderId="0" xfId="0" applyNumberFormat="1" applyFont="1" applyBorder="1"/>
    <xf numFmtId="165" fontId="31" fillId="0" borderId="0" xfId="0" applyNumberFormat="1" applyFont="1"/>
    <xf numFmtId="164" fontId="31" fillId="0" borderId="0" xfId="0" applyNumberFormat="1" applyFont="1"/>
    <xf numFmtId="6" fontId="14" fillId="0" borderId="15" xfId="0" applyNumberFormat="1" applyFont="1" applyBorder="1"/>
    <xf numFmtId="164" fontId="18" fillId="0" borderId="15" xfId="0" applyNumberFormat="1" applyFont="1" applyBorder="1"/>
    <xf numFmtId="0" fontId="13" fillId="0" borderId="0" xfId="0" applyFont="1" applyBorder="1" applyAlignment="1">
      <alignment horizontal="centerContinuous"/>
    </xf>
    <xf numFmtId="0" fontId="7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Continuous"/>
    </xf>
    <xf numFmtId="0" fontId="7" fillId="0" borderId="0" xfId="0" applyFont="1" applyFill="1" applyBorder="1"/>
    <xf numFmtId="0" fontId="6" fillId="0" borderId="0" xfId="0" applyFont="1" applyFill="1" applyBorder="1"/>
    <xf numFmtId="0" fontId="5" fillId="0" borderId="0" xfId="0" applyFont="1" applyFill="1"/>
    <xf numFmtId="165" fontId="6" fillId="0" borderId="0" xfId="0" applyNumberFormat="1" applyFont="1" applyBorder="1" applyAlignment="1">
      <alignment horizontal="center"/>
    </xf>
    <xf numFmtId="165" fontId="18" fillId="0" borderId="0" xfId="0" applyNumberFormat="1" applyFont="1" applyBorder="1"/>
    <xf numFmtId="166" fontId="30" fillId="7" borderId="10" xfId="0" applyNumberFormat="1" applyFont="1" applyFill="1" applyBorder="1" applyAlignment="1">
      <alignment horizontal="center"/>
    </xf>
    <xf numFmtId="166" fontId="30" fillId="7" borderId="11" xfId="0" applyNumberFormat="1" applyFont="1" applyFill="1" applyBorder="1" applyAlignment="1">
      <alignment horizontal="center"/>
    </xf>
    <xf numFmtId="183" fontId="7" fillId="0" borderId="0" xfId="0" applyNumberFormat="1" applyFont="1"/>
    <xf numFmtId="164" fontId="1" fillId="0" borderId="0" xfId="0" applyNumberFormat="1" applyFont="1"/>
    <xf numFmtId="0" fontId="7" fillId="0" borderId="0" xfId="0" applyFont="1" applyFill="1" applyBorder="1" applyAlignment="1">
      <alignment horizontal="center" vertical="center" textRotation="90" wrapText="1"/>
    </xf>
    <xf numFmtId="165" fontId="7" fillId="0" borderId="0" xfId="0" applyNumberFormat="1" applyFont="1" applyFill="1" applyBorder="1"/>
    <xf numFmtId="181" fontId="6" fillId="0" borderId="0" xfId="0" applyNumberFormat="1" applyFont="1" applyFill="1" applyAlignment="1">
      <alignment horizontal="center"/>
    </xf>
    <xf numFmtId="0" fontId="1" fillId="0" borderId="0" xfId="0" applyFont="1" applyFill="1"/>
    <xf numFmtId="166" fontId="27" fillId="7" borderId="3" xfId="0" applyNumberFormat="1" applyFont="1" applyFill="1" applyBorder="1" applyAlignment="1">
      <alignment horizontal="center"/>
    </xf>
    <xf numFmtId="164" fontId="35" fillId="0" borderId="0" xfId="0" applyNumberFormat="1" applyFont="1"/>
    <xf numFmtId="181" fontId="1" fillId="0" borderId="0" xfId="0" applyNumberFormat="1" applyFont="1" applyAlignment="1">
      <alignment horizontal="center"/>
    </xf>
    <xf numFmtId="181" fontId="7" fillId="0" borderId="0" xfId="0" applyNumberFormat="1" applyFont="1" applyAlignment="1">
      <alignment horizontal="center"/>
    </xf>
    <xf numFmtId="164" fontId="6" fillId="8" borderId="0" xfId="0" applyNumberFormat="1" applyFont="1" applyFill="1" applyAlignment="1">
      <alignment horizontal="center"/>
    </xf>
    <xf numFmtId="165" fontId="6" fillId="8" borderId="0" xfId="0" applyNumberFormat="1" applyFont="1" applyFill="1" applyAlignment="1">
      <alignment horizontal="center"/>
    </xf>
    <xf numFmtId="170" fontId="25" fillId="7" borderId="0" xfId="0" applyNumberFormat="1" applyFont="1" applyFill="1" applyBorder="1" applyAlignment="1">
      <alignment horizontal="center"/>
    </xf>
    <xf numFmtId="164" fontId="6" fillId="0" borderId="0" xfId="0" applyNumberFormat="1" applyFont="1" applyFill="1" applyAlignment="1">
      <alignment horizontal="center"/>
    </xf>
    <xf numFmtId="165" fontId="6" fillId="0" borderId="0" xfId="0" applyNumberFormat="1" applyFont="1" applyFill="1" applyAlignment="1">
      <alignment horizontal="center"/>
    </xf>
    <xf numFmtId="170" fontId="25" fillId="7" borderId="15" xfId="0" applyNumberFormat="1" applyFont="1" applyFill="1" applyBorder="1" applyAlignment="1">
      <alignment horizontal="center"/>
    </xf>
    <xf numFmtId="0" fontId="25" fillId="7" borderId="16" xfId="0" applyFont="1" applyFill="1" applyBorder="1" applyAlignment="1">
      <alignment horizontal="center"/>
    </xf>
    <xf numFmtId="0" fontId="1" fillId="8" borderId="0" xfId="0" applyFont="1" applyFill="1"/>
    <xf numFmtId="165" fontId="34" fillId="8" borderId="0" xfId="0" applyNumberFormat="1" applyFont="1" applyFill="1" applyAlignment="1">
      <alignment horizontal="left"/>
    </xf>
    <xf numFmtId="0" fontId="1" fillId="0" borderId="0" xfId="0" applyFont="1" applyAlignment="1"/>
    <xf numFmtId="0" fontId="7" fillId="0" borderId="21" xfId="0" applyFont="1" applyBorder="1" applyAlignment="1">
      <alignment horizontal="center"/>
    </xf>
    <xf numFmtId="0" fontId="37" fillId="0" borderId="0" xfId="2" applyFont="1" applyAlignment="1">
      <alignment horizontal="center"/>
    </xf>
    <xf numFmtId="3" fontId="1" fillId="0" borderId="0" xfId="0" applyNumberFormat="1" applyFont="1" applyAlignment="1">
      <alignment horizontal="center"/>
    </xf>
    <xf numFmtId="8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165" fontId="14" fillId="0" borderId="0" xfId="0" applyNumberFormat="1" applyFont="1" applyAlignment="1">
      <alignment horizontal="center"/>
    </xf>
    <xf numFmtId="181" fontId="14" fillId="0" borderId="0" xfId="0" applyNumberFormat="1" applyFont="1" applyAlignment="1">
      <alignment horizontal="center"/>
    </xf>
    <xf numFmtId="166" fontId="1" fillId="0" borderId="0" xfId="0" applyNumberFormat="1" applyFont="1" applyAlignment="1"/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/>
    </xf>
    <xf numFmtId="0" fontId="7" fillId="4" borderId="8" xfId="0" applyFont="1" applyFill="1" applyBorder="1" applyAlignment="1">
      <alignment horizontal="left"/>
    </xf>
    <xf numFmtId="0" fontId="1" fillId="4" borderId="2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left"/>
    </xf>
    <xf numFmtId="0" fontId="7" fillId="4" borderId="3" xfId="0" applyFont="1" applyFill="1" applyBorder="1" applyAlignment="1">
      <alignment horizontal="center"/>
    </xf>
    <xf numFmtId="165" fontId="7" fillId="4" borderId="3" xfId="0" applyNumberFormat="1" applyFont="1" applyFill="1" applyBorder="1" applyAlignment="1">
      <alignment horizontal="center"/>
    </xf>
    <xf numFmtId="3" fontId="7" fillId="4" borderId="2" xfId="0" applyNumberFormat="1" applyFont="1" applyFill="1" applyBorder="1" applyAlignment="1">
      <alignment horizontal="center"/>
    </xf>
    <xf numFmtId="166" fontId="7" fillId="4" borderId="2" xfId="0" applyNumberFormat="1" applyFont="1" applyFill="1" applyBorder="1" applyAlignment="1">
      <alignment horizontal="center"/>
    </xf>
    <xf numFmtId="166" fontId="7" fillId="4" borderId="9" xfId="0" applyNumberFormat="1" applyFont="1" applyFill="1" applyBorder="1" applyAlignment="1">
      <alignment horizontal="center"/>
    </xf>
    <xf numFmtId="166" fontId="7" fillId="4" borderId="3" xfId="0" applyNumberFormat="1" applyFont="1" applyFill="1" applyBorder="1" applyAlignment="1">
      <alignment horizontal="center"/>
    </xf>
    <xf numFmtId="166" fontId="7" fillId="4" borderId="11" xfId="0" applyNumberFormat="1" applyFont="1" applyFill="1" applyBorder="1" applyAlignment="1">
      <alignment horizontal="center"/>
    </xf>
    <xf numFmtId="0" fontId="7" fillId="4" borderId="0" xfId="0" applyFont="1" applyFill="1" applyBorder="1" applyAlignment="1">
      <alignment horizontal="left"/>
    </xf>
    <xf numFmtId="0" fontId="7" fillId="4" borderId="0" xfId="0" applyFont="1" applyFill="1" applyBorder="1" applyAlignment="1">
      <alignment horizontal="center"/>
    </xf>
    <xf numFmtId="165" fontId="7" fillId="4" borderId="0" xfId="0" applyNumberFormat="1" applyFont="1" applyFill="1" applyBorder="1" applyAlignment="1">
      <alignment horizontal="center"/>
    </xf>
    <xf numFmtId="170" fontId="7" fillId="4" borderId="0" xfId="0" applyNumberFormat="1" applyFont="1" applyFill="1" applyBorder="1" applyAlignment="1">
      <alignment horizontal="center"/>
    </xf>
    <xf numFmtId="166" fontId="7" fillId="0" borderId="0" xfId="0" applyNumberFormat="1" applyFont="1" applyFill="1" applyBorder="1" applyAlignment="1">
      <alignment horizontal="center"/>
    </xf>
    <xf numFmtId="0" fontId="1" fillId="0" borderId="0" xfId="0" applyFont="1" applyFill="1" applyAlignment="1"/>
    <xf numFmtId="170" fontId="7" fillId="0" borderId="0" xfId="0" applyNumberFormat="1" applyFont="1" applyFill="1" applyBorder="1" applyAlignment="1">
      <alignment horizontal="center"/>
    </xf>
    <xf numFmtId="166" fontId="1" fillId="0" borderId="0" xfId="0" applyNumberFormat="1" applyFont="1" applyFill="1" applyBorder="1" applyAlignment="1"/>
    <xf numFmtId="165" fontId="7" fillId="0" borderId="0" xfId="0" applyNumberFormat="1" applyFont="1" applyFill="1" applyBorder="1" applyAlignment="1">
      <alignment horizontal="centerContinuous"/>
    </xf>
    <xf numFmtId="0" fontId="7" fillId="0" borderId="0" xfId="0" applyFont="1" applyFill="1" applyBorder="1" applyAlignment="1">
      <alignment horizontal="centerContinuous"/>
    </xf>
    <xf numFmtId="0" fontId="7" fillId="0" borderId="2" xfId="0" applyFont="1" applyFill="1" applyBorder="1" applyAlignment="1">
      <alignment horizontal="center"/>
    </xf>
    <xf numFmtId="165" fontId="7" fillId="0" borderId="2" xfId="0" applyNumberFormat="1" applyFont="1" applyFill="1" applyBorder="1" applyAlignment="1">
      <alignment horizontal="center"/>
    </xf>
    <xf numFmtId="0" fontId="1" fillId="4" borderId="8" xfId="0" applyFont="1" applyFill="1" applyBorder="1"/>
    <xf numFmtId="164" fontId="1" fillId="4" borderId="2" xfId="0" applyNumberFormat="1" applyFont="1" applyFill="1" applyBorder="1" applyAlignment="1">
      <alignment horizontal="center"/>
    </xf>
    <xf numFmtId="164" fontId="1" fillId="4" borderId="9" xfId="0" applyNumberFormat="1" applyFont="1" applyFill="1" applyBorder="1" applyAlignment="1">
      <alignment horizontal="center"/>
    </xf>
    <xf numFmtId="0" fontId="13" fillId="4" borderId="10" xfId="0" applyFont="1" applyFill="1" applyBorder="1" applyAlignment="1">
      <alignment horizontal="left"/>
    </xf>
    <xf numFmtId="170" fontId="1" fillId="4" borderId="3" xfId="0" applyNumberFormat="1" applyFont="1" applyFill="1" applyBorder="1" applyAlignment="1">
      <alignment horizontal="center"/>
    </xf>
    <xf numFmtId="170" fontId="1" fillId="4" borderId="11" xfId="0" applyNumberFormat="1" applyFont="1" applyFill="1" applyBorder="1" applyAlignment="1">
      <alignment horizontal="center"/>
    </xf>
    <xf numFmtId="0" fontId="7" fillId="0" borderId="15" xfId="0" applyFont="1" applyFill="1" applyBorder="1" applyAlignment="1">
      <alignment horizontal="center"/>
    </xf>
    <xf numFmtId="0" fontId="7" fillId="0" borderId="9" xfId="0" applyFont="1" applyFill="1" applyBorder="1" applyAlignment="1">
      <alignment horizontal="center"/>
    </xf>
    <xf numFmtId="164" fontId="1" fillId="4" borderId="11" xfId="0" applyNumberFormat="1" applyFont="1" applyFill="1" applyBorder="1" applyAlignment="1">
      <alignment horizontal="center"/>
    </xf>
    <xf numFmtId="166" fontId="1" fillId="4" borderId="3" xfId="0" applyNumberFormat="1" applyFont="1" applyFill="1" applyBorder="1" applyAlignment="1">
      <alignment horizontal="center"/>
    </xf>
    <xf numFmtId="181" fontId="14" fillId="0" borderId="0" xfId="0" quotePrefix="1" applyNumberFormat="1" applyFont="1" applyAlignment="1">
      <alignment horizontal="center"/>
    </xf>
    <xf numFmtId="183" fontId="1" fillId="0" borderId="0" xfId="0" applyNumberFormat="1" applyFont="1"/>
    <xf numFmtId="165" fontId="31" fillId="6" borderId="12" xfId="0" applyNumberFormat="1" applyFont="1" applyFill="1" applyBorder="1"/>
  </cellXfs>
  <cellStyles count="3">
    <cellStyle name="Hyperlink" xfId="2" builtinId="8"/>
    <cellStyle name="Normal" xfId="0" builtinId="0"/>
    <cellStyle name="Percent" xfId="1" builtinId="5"/>
  </cellStyles>
  <dxfs count="25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49934</xdr:colOff>
      <xdr:row>11</xdr:row>
      <xdr:rowOff>139212</xdr:rowOff>
    </xdr:from>
    <xdr:to>
      <xdr:col>13</xdr:col>
      <xdr:colOff>297635</xdr:colOff>
      <xdr:row>21</xdr:row>
      <xdr:rowOff>177311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84941F5-B196-1B2E-806A-2DB601A08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3646" y="2022231"/>
          <a:ext cx="5457143" cy="18698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437749</xdr:colOff>
      <xdr:row>36</xdr:row>
      <xdr:rowOff>7327</xdr:rowOff>
    </xdr:from>
    <xdr:to>
      <xdr:col>25</xdr:col>
      <xdr:colOff>356640</xdr:colOff>
      <xdr:row>42</xdr:row>
      <xdr:rowOff>145327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0F7511-0FF0-49D0-9ECC-834228468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6768" y="4835769"/>
          <a:ext cx="7824641" cy="1061193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125220</xdr:rowOff>
    </xdr:from>
    <xdr:to>
      <xdr:col>19</xdr:col>
      <xdr:colOff>489973</xdr:colOff>
      <xdr:row>53</xdr:row>
      <xdr:rowOff>120183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092B107-BAA1-4CF1-9D8D-47671F1CFA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72500" y="2500517"/>
          <a:ext cx="4133285" cy="1399901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56</xdr:row>
      <xdr:rowOff>0</xdr:rowOff>
    </xdr:from>
    <xdr:to>
      <xdr:col>18</xdr:col>
      <xdr:colOff>200221</xdr:colOff>
      <xdr:row>62</xdr:row>
      <xdr:rowOff>10346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278421D-ACD6-446D-ABC2-F6558CE7CC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72500" y="4232672"/>
          <a:ext cx="3236315" cy="93903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c26306c-dc14-4161-9b0b-84c907788799}">
  <we:reference id="WA200009404" version="1.0.0.8" store="en-US" storeType="OMEX"/>
  <we:alternateReferences/>
  <we:properties>
    <we:property name="Microsoft.Office.CampaignId" value="&quot;none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srcpa.gov/tax-estimator/?parcel=33-2N-28-0000-02901-0000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srcpa.gov/tax-estimator/?parcel=33-2N-28-0000-02901-0000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mmercialcafe.com/commercial-property/us/fl/milton/5941-berryhill-road/" TargetMode="External"/><Relationship Id="rId13" Type="http://schemas.openxmlformats.org/officeDocument/2006/relationships/hyperlink" Target="https://www.cityfeet.com/cont/listing/3620-3642-barrancas-ave-pensacola-fl-32507/cs27522007?sk=185fd027efce440283b13b848915a18a" TargetMode="External"/><Relationship Id="rId18" Type="http://schemas.openxmlformats.org/officeDocument/2006/relationships/hyperlink" Target="https://www.cityfeet.com/cont/listing/7000-pine-forest-rd-pensacola-fl-32526/cs39432918?sk=61aecbefa81547bfbc1e933bb9b10fb7" TargetMode="External"/><Relationship Id="rId3" Type="http://schemas.openxmlformats.org/officeDocument/2006/relationships/hyperlink" Target="https://images1.showcase.com/d2/pXEIMbMHsymva01Ik1UijAX2-FJx8fSLA-bjw5RFP1Y/document.pdf" TargetMode="External"/><Relationship Id="rId21" Type="http://schemas.openxmlformats.org/officeDocument/2006/relationships/drawing" Target="../drawings/drawing2.xml"/><Relationship Id="rId7" Type="http://schemas.openxmlformats.org/officeDocument/2006/relationships/hyperlink" Target="https://www.showcase.com/4628-summerdale-blvd-pace-fl-32571/38694774/" TargetMode="External"/><Relationship Id="rId12" Type="http://schemas.openxmlformats.org/officeDocument/2006/relationships/hyperlink" Target="https://www.cityfeet.com/cont/listing/5700-n-davis-hwy-pensacola-fl-32503/cs40677665?sk=185fd027efce440283b13b848915a18a" TargetMode="External"/><Relationship Id="rId17" Type="http://schemas.openxmlformats.org/officeDocument/2006/relationships/hyperlink" Target="https://www.cityfeet.com/cont/listing/8602-8612-pensacola-blvd-pensacola-fl-32534/cs40869959?sk=61aecbefa81547bfbc1e933bb9b10fb7" TargetMode="External"/><Relationship Id="rId2" Type="http://schemas.openxmlformats.org/officeDocument/2006/relationships/hyperlink" Target="https://images1.showcase.com/d2/U58AwmkgF_g4BHqXRoaY2zWjcW587hcIc0SDZnhqjG8/document.pdf" TargetMode="External"/><Relationship Id="rId16" Type="http://schemas.openxmlformats.org/officeDocument/2006/relationships/hyperlink" Target="https://www.cityfeet.com/cont/listing/2115-w-9-mile-rd-pensacola-fl-32534/cs26548218?sk=61aecbefa81547bfbc1e933bb9b10fb7" TargetMode="External"/><Relationship Id="rId20" Type="http://schemas.openxmlformats.org/officeDocument/2006/relationships/printerSettings" Target="../printerSettings/printerSettings6.bin"/><Relationship Id="rId1" Type="http://schemas.openxmlformats.org/officeDocument/2006/relationships/hyperlink" Target="https://www.commercialcafe.com/commercial-real-estate/us/fl/milton/" TargetMode="External"/><Relationship Id="rId6" Type="http://schemas.openxmlformats.org/officeDocument/2006/relationships/hyperlink" Target="https://www.loopnet.com/Listing/8165-Progress-Dr-Milton-FL/30005179/" TargetMode="External"/><Relationship Id="rId11" Type="http://schemas.openxmlformats.org/officeDocument/2006/relationships/hyperlink" Target="https://www.cityfeet.com/cont/listing/275-w-airport-blvd-pensacola-fl-32505/cs40987829?sk=185fd027efce440283b13b848915a18a" TargetMode="External"/><Relationship Id="rId5" Type="http://schemas.openxmlformats.org/officeDocument/2006/relationships/hyperlink" Target="https://www.commercialsearch.com/commercial-property/us/fl/gulf-breeze/quietwater-bldg-1-suite-360-1/" TargetMode="External"/><Relationship Id="rId15" Type="http://schemas.openxmlformats.org/officeDocument/2006/relationships/hyperlink" Target="https://www.cityfeet.com/cont/listing/5022-w-fairfield-dr-pensacola-fl-32506/cs26762393?sk=61aecbefa81547bfbc1e933bb9b10fb7" TargetMode="External"/><Relationship Id="rId10" Type="http://schemas.openxmlformats.org/officeDocument/2006/relationships/hyperlink" Target="https://www.cityfeet.com/cont/listing/50-s-blue-angel-pky-pensacola-fl-32506/cs25756394?sk=b311911553034653a9bdd77920e80854" TargetMode="External"/><Relationship Id="rId19" Type="http://schemas.openxmlformats.org/officeDocument/2006/relationships/hyperlink" Target="https://www.cityfeet.com/cont/listing/1421-e-nine-mile-rd-pensacola-fl-32514/cs39301999?sk=4c70f067e93f47c6a62fba83a9a2e2b3" TargetMode="External"/><Relationship Id="rId4" Type="http://schemas.openxmlformats.org/officeDocument/2006/relationships/hyperlink" Target="https://realmo.com/listing/4848-ward-basin-rd-milton-fl-32583/11844022" TargetMode="External"/><Relationship Id="rId9" Type="http://schemas.openxmlformats.org/officeDocument/2006/relationships/hyperlink" Target="https://www.cityfeet.com/cont/listing/4455-4497-mobile-hwy-pensacola-fl-32506/cs38731909?sk=b311911553034653a9bdd77920e80854" TargetMode="External"/><Relationship Id="rId14" Type="http://schemas.openxmlformats.org/officeDocument/2006/relationships/hyperlink" Target="https://www.cityfeet.com/cont/listing/3960-w-navy-blvd-pensacola-fl-32507/cs28730232?sk=185fd027efce440283b13b848915a18a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Z39"/>
  <sheetViews>
    <sheetView showGridLines="0" view="pageBreakPreview" zoomScaleNormal="100" zoomScaleSheetLayoutView="100" workbookViewId="0"/>
  </sheetViews>
  <sheetFormatPr defaultRowHeight="15" x14ac:dyDescent="0.25"/>
  <cols>
    <col min="1" max="1" width="1.7109375" customWidth="1"/>
    <col min="2" max="17" width="8.7109375" customWidth="1"/>
  </cols>
  <sheetData>
    <row r="2" spans="1:26" ht="13.5" customHeight="1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2"/>
      <c r="S2" s="2"/>
      <c r="T2" s="2"/>
      <c r="U2" s="2"/>
      <c r="V2" s="2"/>
      <c r="W2" s="2"/>
      <c r="X2" s="2"/>
      <c r="Y2" s="2"/>
      <c r="Z2" s="2"/>
    </row>
    <row r="3" spans="1:26" ht="13.5" customHeight="1" thickBo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6" customHeight="1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25">
      <c r="A11" s="2"/>
      <c r="B11" s="2"/>
      <c r="C11" s="2"/>
      <c r="D11" s="2"/>
      <c r="E11" s="2"/>
      <c r="F11" s="2"/>
      <c r="G11" s="2"/>
      <c r="H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 x14ac:dyDescent="0.25">
      <c r="A16" s="2"/>
      <c r="B16" s="2"/>
      <c r="C16" s="2"/>
      <c r="D16" s="2"/>
      <c r="E16" s="2"/>
      <c r="F16" s="2"/>
      <c r="G16" s="2"/>
      <c r="H16" s="2"/>
      <c r="I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25">
      <c r="A23" s="2"/>
      <c r="B23" s="2"/>
      <c r="C23" s="2"/>
      <c r="D23" s="2"/>
      <c r="E23" s="5"/>
      <c r="F23" s="5"/>
      <c r="G23" s="5"/>
      <c r="H23" s="5"/>
      <c r="I23" s="5"/>
      <c r="J23" s="5"/>
      <c r="K23" s="5"/>
      <c r="L23" s="5"/>
      <c r="M23" s="5"/>
      <c r="N23" s="5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3" customHeight="1" x14ac:dyDescent="0.5">
      <c r="A24" s="2"/>
      <c r="B24" s="105" t="s">
        <v>1</v>
      </c>
      <c r="C24" s="106"/>
      <c r="D24" s="106"/>
      <c r="E24" s="106"/>
      <c r="F24" s="106"/>
      <c r="G24" s="106"/>
      <c r="H24" s="106"/>
      <c r="I24" s="106"/>
      <c r="J24" s="106"/>
      <c r="K24" s="106"/>
      <c r="L24" s="106"/>
      <c r="M24" s="106"/>
      <c r="N24" s="106"/>
      <c r="O24" s="106"/>
      <c r="P24" s="106"/>
      <c r="Q24" s="106"/>
      <c r="R24" s="2"/>
      <c r="S24" s="2"/>
      <c r="T24" s="2"/>
      <c r="U24" s="2"/>
      <c r="V24" s="2"/>
      <c r="W24" s="2"/>
      <c r="X24" s="2"/>
      <c r="Y24" s="2"/>
      <c r="Z24" s="2"/>
    </row>
    <row r="25" spans="1:26" ht="25.5" x14ac:dyDescent="0.25">
      <c r="A25" s="2"/>
      <c r="B25" s="107" t="s">
        <v>0</v>
      </c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 x14ac:dyDescent="0.35">
      <c r="A26" s="4"/>
      <c r="B26" s="108" t="str">
        <f ca="1">"As of "&amp;TEXT(TODAY(),"mm/dd/yy")</f>
        <v>As of 08/12/26</v>
      </c>
      <c r="C26" s="106"/>
      <c r="D26" s="106"/>
      <c r="E26" s="106"/>
      <c r="F26" s="106"/>
      <c r="G26" s="106"/>
      <c r="H26" s="106"/>
      <c r="I26" s="106"/>
      <c r="J26" s="106"/>
      <c r="K26" s="106"/>
      <c r="L26" s="106"/>
      <c r="M26" s="106"/>
      <c r="N26" s="106"/>
      <c r="O26" s="106"/>
      <c r="P26" s="106"/>
      <c r="Q26" s="106"/>
      <c r="R26" s="4"/>
      <c r="S26" s="4"/>
      <c r="T26" s="4"/>
      <c r="U26" s="4"/>
      <c r="V26" s="4"/>
      <c r="W26" s="4"/>
      <c r="X26" s="4"/>
      <c r="Y26" s="4"/>
      <c r="Z26" s="4"/>
    </row>
    <row r="27" spans="1:26" ht="14.2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25">
      <c r="A28" s="2"/>
      <c r="B28" s="2"/>
      <c r="C28" s="2"/>
      <c r="D28" s="2"/>
      <c r="E28" s="5"/>
      <c r="F28" s="5"/>
      <c r="G28" s="5"/>
      <c r="H28" s="5"/>
      <c r="I28" s="5"/>
      <c r="J28" s="5"/>
      <c r="K28" s="5"/>
      <c r="L28" s="5"/>
      <c r="M28" s="5"/>
      <c r="N28" s="5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6" customHeight="1" thickBot="1" x14ac:dyDescent="0.3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3.5" customHeight="1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2"/>
      <c r="S38" s="2"/>
      <c r="T38" s="2"/>
      <c r="U38" s="2"/>
      <c r="V38" s="2"/>
      <c r="W38" s="2"/>
      <c r="X38" s="2"/>
      <c r="Y38" s="2"/>
      <c r="Z38" s="2"/>
    </row>
    <row r="39" spans="1:26" ht="12" customHeight="1" x14ac:dyDescent="0.25">
      <c r="A39" s="2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2"/>
      <c r="S39" s="2"/>
      <c r="T39" s="2"/>
      <c r="U39" s="2"/>
      <c r="V39" s="2"/>
      <c r="W39" s="2"/>
      <c r="X39" s="2"/>
      <c r="Y39" s="2"/>
      <c r="Z39" s="2"/>
    </row>
  </sheetData>
  <mergeCells count="3">
    <mergeCell ref="B24:Q24"/>
    <mergeCell ref="B25:Q25"/>
    <mergeCell ref="B26:Q26"/>
  </mergeCells>
  <pageMargins left="0.7" right="0.7" top="0.75" bottom="0.75" header="0.3" footer="0.3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82497-BA6D-42FA-B491-9EFF945B5FAF}">
  <sheetPr>
    <tabColor rgb="FFC00000"/>
    <pageSetUpPr fitToPage="1"/>
  </sheetPr>
  <dimension ref="A2:I90"/>
  <sheetViews>
    <sheetView showGridLines="0" view="pageBreakPreview" zoomScale="130" zoomScaleNormal="145" zoomScaleSheetLayoutView="130" workbookViewId="0"/>
  </sheetViews>
  <sheetFormatPr defaultRowHeight="12" x14ac:dyDescent="0.2"/>
  <cols>
    <col min="1" max="1" width="1.7109375" style="6" customWidth="1"/>
    <col min="2" max="2" width="21.140625" style="6" customWidth="1"/>
    <col min="3" max="6" width="10.42578125" style="6" customWidth="1"/>
    <col min="7" max="7" width="4.42578125" style="6" customWidth="1"/>
    <col min="8" max="16384" width="9.140625" style="6"/>
  </cols>
  <sheetData>
    <row r="2" spans="2:9" ht="15.75" x14ac:dyDescent="0.25">
      <c r="B2" s="8" t="str">
        <f>+Cover!B24</f>
        <v>Sunshine Commercial Investments</v>
      </c>
    </row>
    <row r="3" spans="2:9" x14ac:dyDescent="0.2">
      <c r="B3" s="9" t="s">
        <v>99</v>
      </c>
      <c r="C3" s="10"/>
      <c r="D3" s="10"/>
      <c r="E3" s="10"/>
      <c r="F3" s="10"/>
      <c r="H3" s="6" t="s">
        <v>7</v>
      </c>
      <c r="I3" s="21">
        <v>1</v>
      </c>
    </row>
    <row r="5" spans="2:9" ht="24" x14ac:dyDescent="0.2">
      <c r="C5" s="98" t="s">
        <v>101</v>
      </c>
      <c r="D5" s="98" t="s">
        <v>100</v>
      </c>
      <c r="E5" s="98" t="s">
        <v>106</v>
      </c>
      <c r="F5" s="98" t="s">
        <v>102</v>
      </c>
    </row>
    <row r="6" spans="2:9" ht="2.1" customHeight="1" x14ac:dyDescent="0.2">
      <c r="C6" s="99"/>
      <c r="D6" s="99"/>
      <c r="E6" s="99"/>
      <c r="F6" s="99"/>
    </row>
    <row r="7" spans="2:9" x14ac:dyDescent="0.2">
      <c r="B7" s="94" t="s">
        <v>2</v>
      </c>
      <c r="C7" s="26">
        <f ca="1">ROUND(+'Laundromat Valuation'!F53,-2)</f>
        <v>600</v>
      </c>
      <c r="D7" s="30">
        <f ca="1">C7</f>
        <v>600</v>
      </c>
      <c r="E7" s="30">
        <f ca="1">C7</f>
        <v>600</v>
      </c>
      <c r="F7" s="30">
        <f ca="1">E7</f>
        <v>600</v>
      </c>
    </row>
    <row r="8" spans="2:9" x14ac:dyDescent="0.2">
      <c r="B8" s="94" t="s">
        <v>103</v>
      </c>
      <c r="C8" s="16">
        <f>+'CRE P&amp;L'!C100/1000</f>
        <v>718.46249999999998</v>
      </c>
      <c r="D8" s="16">
        <f>+'CRE P&amp;L'!D100/1000</f>
        <v>1000</v>
      </c>
      <c r="E8" s="16">
        <f>+'CRE P&amp;L'!E100/1000</f>
        <v>518.46249999999998</v>
      </c>
      <c r="F8" s="16">
        <f>+'CRE P&amp;L'!F100/1000</f>
        <v>597.21249999999998</v>
      </c>
    </row>
    <row r="9" spans="2:9" x14ac:dyDescent="0.2">
      <c r="B9" s="40" t="s">
        <v>105</v>
      </c>
      <c r="C9" s="45">
        <f ca="1">+C8+C7</f>
        <v>1318.4625000000001</v>
      </c>
      <c r="D9" s="45">
        <f t="shared" ref="D9:F9" ca="1" si="0">+D8+D7</f>
        <v>1600</v>
      </c>
      <c r="E9" s="45">
        <f t="shared" ca="1" si="0"/>
        <v>1118.4625000000001</v>
      </c>
      <c r="F9" s="50">
        <f t="shared" ca="1" si="0"/>
        <v>1197.2125000000001</v>
      </c>
    </row>
    <row r="10" spans="2:9" x14ac:dyDescent="0.2">
      <c r="B10" s="102" t="s">
        <v>110</v>
      </c>
      <c r="C10" s="17">
        <v>-1600</v>
      </c>
      <c r="D10" s="35">
        <f>C10</f>
        <v>-1600</v>
      </c>
      <c r="E10" s="35">
        <f>C10</f>
        <v>-1600</v>
      </c>
      <c r="F10" s="35">
        <f>E10</f>
        <v>-1600</v>
      </c>
    </row>
    <row r="11" spans="2:9" x14ac:dyDescent="0.2">
      <c r="B11" s="40" t="s">
        <v>111</v>
      </c>
      <c r="C11" s="45">
        <f ca="1">+C9+C10</f>
        <v>-281.53749999999991</v>
      </c>
      <c r="D11" s="45">
        <f t="shared" ref="D11:F11" ca="1" si="1">+D9+D10</f>
        <v>0</v>
      </c>
      <c r="E11" s="45">
        <f t="shared" ca="1" si="1"/>
        <v>-481.53749999999991</v>
      </c>
      <c r="F11" s="50">
        <f t="shared" ca="1" si="1"/>
        <v>-402.78749999999991</v>
      </c>
    </row>
    <row r="12" spans="2:9" x14ac:dyDescent="0.2">
      <c r="B12" s="7"/>
      <c r="C12" s="39"/>
      <c r="D12" s="39"/>
      <c r="E12" s="39"/>
      <c r="F12" s="39"/>
    </row>
    <row r="13" spans="2:9" x14ac:dyDescent="0.2">
      <c r="B13" s="24" t="s">
        <v>104</v>
      </c>
      <c r="C13" s="25"/>
      <c r="D13" s="25"/>
      <c r="E13" s="25"/>
      <c r="F13" s="25"/>
    </row>
    <row r="14" spans="2:9" ht="3.95" customHeight="1" x14ac:dyDescent="0.2"/>
    <row r="15" spans="2:9" ht="24" x14ac:dyDescent="0.2">
      <c r="B15" s="33"/>
      <c r="C15" s="98" t="str">
        <f>+C$5</f>
        <v>Current Valuation</v>
      </c>
      <c r="D15" s="98" t="str">
        <f t="shared" ref="D15:F15" si="2">+D$5</f>
        <v>Clearing Price</v>
      </c>
      <c r="E15" s="98" t="str">
        <f t="shared" si="2"/>
        <v>NNN Valuation</v>
      </c>
      <c r="F15" s="98" t="str">
        <f t="shared" si="2"/>
        <v>Base-Rate Valuation</v>
      </c>
    </row>
    <row r="16" spans="2:9" ht="2.1" customHeight="1" x14ac:dyDescent="0.2">
      <c r="B16" s="33"/>
      <c r="C16" s="99"/>
      <c r="D16" s="99"/>
      <c r="E16" s="99"/>
      <c r="F16" s="99"/>
    </row>
    <row r="17" spans="2:8" ht="12" customHeight="1" x14ac:dyDescent="0.2">
      <c r="B17" s="6" t="str">
        <f>+'Tennant View'!B18</f>
        <v>Community Theater</v>
      </c>
      <c r="C17" s="26">
        <f>+'Tennant View'!C28/1000</f>
        <v>21.6</v>
      </c>
      <c r="D17" s="14">
        <f>D$22*$H17</f>
        <v>29.588030964109784</v>
      </c>
      <c r="E17" s="14">
        <f>E$22*$H17</f>
        <v>15.925123152709359</v>
      </c>
      <c r="F17" s="14">
        <f>F$22*$H17</f>
        <v>24.118226600985224</v>
      </c>
      <c r="H17" s="101">
        <f>C17/$C$22</f>
        <v>0.35467980295566504</v>
      </c>
    </row>
    <row r="18" spans="2:8" ht="12" customHeight="1" x14ac:dyDescent="0.2">
      <c r="B18" s="6" t="str">
        <f>+'Tennant View'!B19</f>
        <v>Laundromat</v>
      </c>
      <c r="C18" s="26">
        <f>+'Tennant View'!C29/1000</f>
        <v>14.4</v>
      </c>
      <c r="D18" s="16">
        <f t="shared" ref="D18:F21" si="3">D$22*$H18</f>
        <v>19.72535397607319</v>
      </c>
      <c r="E18" s="16">
        <f t="shared" si="3"/>
        <v>10.616748768472906</v>
      </c>
      <c r="F18" s="16">
        <f t="shared" si="3"/>
        <v>16.078817733990149</v>
      </c>
      <c r="H18" s="101">
        <f t="shared" ref="H18:H21" si="4">C18/$C$22</f>
        <v>0.23645320197044337</v>
      </c>
    </row>
    <row r="19" spans="2:8" ht="12" customHeight="1" x14ac:dyDescent="0.2">
      <c r="B19" s="6" t="str">
        <f>+'Tennant View'!B20</f>
        <v>Turnaround Testron*</v>
      </c>
      <c r="C19" s="26">
        <f>+'Tennant View'!C30/1000</f>
        <v>9.3000000000000007</v>
      </c>
      <c r="D19" s="16">
        <f t="shared" si="3"/>
        <v>12.739291109547269</v>
      </c>
      <c r="E19" s="16">
        <f t="shared" si="3"/>
        <v>6.8566502463054189</v>
      </c>
      <c r="F19" s="16">
        <f t="shared" si="3"/>
        <v>10.384236453201972</v>
      </c>
      <c r="H19" s="101">
        <f t="shared" si="4"/>
        <v>0.15270935960591134</v>
      </c>
    </row>
    <row r="20" spans="2:8" ht="12" customHeight="1" x14ac:dyDescent="0.2">
      <c r="B20" s="6" t="str">
        <f>+'Tennant View'!B21</f>
        <v>Consignment Shop</v>
      </c>
      <c r="C20" s="26">
        <f>+'Tennant View'!C31/1000</f>
        <v>8.4</v>
      </c>
      <c r="D20" s="16">
        <f t="shared" si="3"/>
        <v>11.506456486042694</v>
      </c>
      <c r="E20" s="16">
        <f t="shared" si="3"/>
        <v>6.1931034482758616</v>
      </c>
      <c r="F20" s="16">
        <f t="shared" si="3"/>
        <v>9.3793103448275854</v>
      </c>
      <c r="H20" s="101">
        <f t="shared" si="4"/>
        <v>0.13793103448275862</v>
      </c>
    </row>
    <row r="21" spans="2:8" ht="12" customHeight="1" x14ac:dyDescent="0.2">
      <c r="B21" s="6" t="str">
        <f>+'Tennant View'!B22</f>
        <v>Book Store</v>
      </c>
      <c r="C21" s="26">
        <f>+'Tennant View'!C32/1000</f>
        <v>7.2</v>
      </c>
      <c r="D21" s="16">
        <f t="shared" si="3"/>
        <v>9.8626769880365952</v>
      </c>
      <c r="E21" s="16">
        <f t="shared" si="3"/>
        <v>5.308374384236453</v>
      </c>
      <c r="F21" s="16">
        <f t="shared" si="3"/>
        <v>8.0394088669950747</v>
      </c>
      <c r="H21" s="101">
        <f t="shared" si="4"/>
        <v>0.11822660098522168</v>
      </c>
    </row>
    <row r="22" spans="2:8" x14ac:dyDescent="0.2">
      <c r="B22" s="18" t="s">
        <v>109</v>
      </c>
      <c r="C22" s="100">
        <f>SUM(C17:C21)</f>
        <v>60.9</v>
      </c>
      <c r="D22" s="100">
        <f>+'CRE P&amp;L'!D83/1000</f>
        <v>83.421809523809529</v>
      </c>
      <c r="E22" s="100">
        <f>+'CRE P&amp;L'!E83/1000</f>
        <v>44.9</v>
      </c>
      <c r="F22" s="100">
        <f>+'CRE P&amp;L'!G83/1000</f>
        <v>68</v>
      </c>
    </row>
    <row r="23" spans="2:8" x14ac:dyDescent="0.2">
      <c r="B23" s="28" t="s">
        <v>38</v>
      </c>
      <c r="C23" s="28"/>
      <c r="D23" s="81">
        <f>D22/$C$22-1</f>
        <v>0.36981624833841598</v>
      </c>
      <c r="E23" s="81">
        <f>E22/$C$22-1</f>
        <v>-0.26272577996715929</v>
      </c>
      <c r="F23" s="81">
        <f>F22/$C$22-1</f>
        <v>0.1165845648604269</v>
      </c>
    </row>
    <row r="25" spans="2:8" x14ac:dyDescent="0.2">
      <c r="B25" s="24" t="s">
        <v>107</v>
      </c>
      <c r="C25" s="25"/>
      <c r="D25" s="25"/>
      <c r="E25" s="25"/>
      <c r="F25" s="25"/>
    </row>
    <row r="26" spans="2:8" ht="3.95" customHeight="1" x14ac:dyDescent="0.2"/>
    <row r="27" spans="2:8" ht="24" x14ac:dyDescent="0.2">
      <c r="B27" s="33"/>
      <c r="C27" s="98" t="str">
        <f>+C$5</f>
        <v>Current Valuation</v>
      </c>
      <c r="D27" s="98" t="str">
        <f t="shared" ref="D27:F27" si="5">+D$5</f>
        <v>Clearing Price</v>
      </c>
      <c r="E27" s="98" t="str">
        <f t="shared" si="5"/>
        <v>NNN Valuation</v>
      </c>
      <c r="F27" s="98" t="str">
        <f t="shared" si="5"/>
        <v>Base-Rate Valuation</v>
      </c>
    </row>
    <row r="28" spans="2:8" x14ac:dyDescent="0.2">
      <c r="B28" s="33"/>
      <c r="C28" s="99"/>
      <c r="D28" s="99"/>
      <c r="E28" s="99"/>
      <c r="F28" s="99"/>
    </row>
    <row r="29" spans="2:8" x14ac:dyDescent="0.2">
      <c r="B29" s="6" t="str">
        <f>+B17</f>
        <v>Community Theater</v>
      </c>
      <c r="C29" s="26">
        <f>+'Tennant View'!C18</f>
        <v>1800</v>
      </c>
      <c r="D29" s="14">
        <f>D$34*$H29</f>
        <v>2465.6692470091489</v>
      </c>
      <c r="E29" s="14">
        <f>E$34*$H29</f>
        <v>1327.0935960591132</v>
      </c>
      <c r="F29" s="14">
        <f>F$34*$H29</f>
        <v>2009.8522167487686</v>
      </c>
      <c r="H29" s="101">
        <f>C29/$C$34</f>
        <v>0.35467980295566504</v>
      </c>
    </row>
    <row r="30" spans="2:8" x14ac:dyDescent="0.2">
      <c r="B30" s="6" t="str">
        <f t="shared" ref="B30:B33" si="6">+B18</f>
        <v>Laundromat</v>
      </c>
      <c r="C30" s="26">
        <f>+'Tennant View'!C19</f>
        <v>1200</v>
      </c>
      <c r="D30" s="16">
        <f t="shared" ref="D30:F33" si="7">D$34*$H30</f>
        <v>1643.7794980060992</v>
      </c>
      <c r="E30" s="16">
        <f t="shared" si="7"/>
        <v>884.72906403940874</v>
      </c>
      <c r="F30" s="16">
        <f t="shared" si="7"/>
        <v>1339.9014778325122</v>
      </c>
      <c r="H30" s="101">
        <f t="shared" ref="H30:H33" si="8">C30/$C$34</f>
        <v>0.23645320197044334</v>
      </c>
    </row>
    <row r="31" spans="2:8" x14ac:dyDescent="0.2">
      <c r="B31" s="6" t="str">
        <f t="shared" si="6"/>
        <v>Turnaround Testron*</v>
      </c>
      <c r="C31" s="26">
        <f>+'Tennant View'!C20</f>
        <v>775</v>
      </c>
      <c r="D31" s="16">
        <f t="shared" si="7"/>
        <v>1061.6075924622724</v>
      </c>
      <c r="E31" s="16">
        <f t="shared" si="7"/>
        <v>571.38752052545158</v>
      </c>
      <c r="F31" s="16">
        <f t="shared" si="7"/>
        <v>865.35303776683099</v>
      </c>
      <c r="H31" s="101">
        <f t="shared" si="8"/>
        <v>0.15270935960591134</v>
      </c>
    </row>
    <row r="32" spans="2:8" x14ac:dyDescent="0.2">
      <c r="B32" s="6" t="str">
        <f t="shared" si="6"/>
        <v>Consignment Shop</v>
      </c>
      <c r="C32" s="26">
        <f>+'Tennant View'!C21</f>
        <v>700</v>
      </c>
      <c r="D32" s="16">
        <f t="shared" si="7"/>
        <v>958.87137383689117</v>
      </c>
      <c r="E32" s="16">
        <f t="shared" si="7"/>
        <v>516.09195402298849</v>
      </c>
      <c r="F32" s="16">
        <f t="shared" si="7"/>
        <v>781.60919540229884</v>
      </c>
      <c r="H32" s="101">
        <f t="shared" si="8"/>
        <v>0.13793103448275862</v>
      </c>
    </row>
    <row r="33" spans="1:8" x14ac:dyDescent="0.2">
      <c r="B33" s="6" t="str">
        <f t="shared" si="6"/>
        <v>Book Store</v>
      </c>
      <c r="C33" s="26">
        <f>+'Tennant View'!C22</f>
        <v>600</v>
      </c>
      <c r="D33" s="16">
        <f t="shared" si="7"/>
        <v>821.88974900304959</v>
      </c>
      <c r="E33" s="16">
        <f t="shared" si="7"/>
        <v>442.36453201970437</v>
      </c>
      <c r="F33" s="16">
        <f t="shared" si="7"/>
        <v>669.95073891625611</v>
      </c>
      <c r="H33" s="101">
        <f t="shared" si="8"/>
        <v>0.11822660098522167</v>
      </c>
    </row>
    <row r="34" spans="1:8" x14ac:dyDescent="0.2">
      <c r="B34" s="18" t="s">
        <v>108</v>
      </c>
      <c r="C34" s="100">
        <f>SUM(C29:C33)</f>
        <v>5075</v>
      </c>
      <c r="D34" s="100">
        <f>+D22/12*1000</f>
        <v>6951.8174603174612</v>
      </c>
      <c r="E34" s="100">
        <f>+E22/12*1000</f>
        <v>3741.6666666666665</v>
      </c>
      <c r="F34" s="100">
        <f>+F22/12*1000</f>
        <v>5666.666666666667</v>
      </c>
    </row>
    <row r="35" spans="1:8" x14ac:dyDescent="0.2">
      <c r="A35" s="7"/>
      <c r="B35" s="28" t="s">
        <v>38</v>
      </c>
      <c r="C35" s="28"/>
      <c r="D35" s="81">
        <f>D34/$C$34-1</f>
        <v>0.36981624833841598</v>
      </c>
      <c r="E35" s="81">
        <f>E34/$C$34-1</f>
        <v>-0.26272577996715929</v>
      </c>
      <c r="F35" s="81">
        <f>F34/$C$34-1</f>
        <v>0.1165845648604269</v>
      </c>
    </row>
    <row r="45" spans="1:8" s="23" customFormat="1" ht="9" x14ac:dyDescent="0.15"/>
    <row r="72" spans="2:5" x14ac:dyDescent="0.2">
      <c r="C72" s="11" t="s">
        <v>8</v>
      </c>
      <c r="D72" s="11" t="s">
        <v>9</v>
      </c>
      <c r="E72" s="11" t="s">
        <v>9</v>
      </c>
    </row>
    <row r="73" spans="2:5" x14ac:dyDescent="0.2">
      <c r="B73" s="6" t="s">
        <v>15</v>
      </c>
      <c r="C73" s="15">
        <v>580000</v>
      </c>
    </row>
    <row r="74" spans="2:5" x14ac:dyDescent="0.2">
      <c r="B74" s="6" t="s">
        <v>13</v>
      </c>
      <c r="C74" s="17">
        <v>435734</v>
      </c>
    </row>
    <row r="75" spans="2:5" x14ac:dyDescent="0.2">
      <c r="B75" s="6" t="s">
        <v>10</v>
      </c>
    </row>
    <row r="76" spans="2:5" x14ac:dyDescent="0.2">
      <c r="B76" s="18" t="s">
        <v>12</v>
      </c>
      <c r="C76" s="19"/>
      <c r="D76" s="19"/>
      <c r="E76" s="19"/>
    </row>
    <row r="78" spans="2:5" x14ac:dyDescent="0.2">
      <c r="B78" s="6" t="s">
        <v>11</v>
      </c>
    </row>
    <row r="80" spans="2:5" x14ac:dyDescent="0.2">
      <c r="B80" s="34" t="s">
        <v>39</v>
      </c>
      <c r="C80" s="15">
        <v>128331</v>
      </c>
    </row>
    <row r="81" spans="2:3" x14ac:dyDescent="0.2">
      <c r="B81" s="34" t="s">
        <v>40</v>
      </c>
      <c r="C81" s="17">
        <v>14670</v>
      </c>
    </row>
    <row r="82" spans="2:3" x14ac:dyDescent="0.2">
      <c r="B82" s="18" t="s">
        <v>42</v>
      </c>
      <c r="C82" s="60">
        <f>+C80+C81</f>
        <v>143001</v>
      </c>
    </row>
    <row r="83" spans="2:3" x14ac:dyDescent="0.2">
      <c r="C83" s="61">
        <v>3</v>
      </c>
    </row>
    <row r="84" spans="2:3" x14ac:dyDescent="0.2">
      <c r="B84" s="40" t="s">
        <v>43</v>
      </c>
      <c r="C84" s="62">
        <f>C82*C83</f>
        <v>429003</v>
      </c>
    </row>
    <row r="85" spans="2:3" x14ac:dyDescent="0.2">
      <c r="B85" s="34" t="s">
        <v>44</v>
      </c>
    </row>
    <row r="90" spans="2:3" x14ac:dyDescent="0.2">
      <c r="B90" s="34" t="s">
        <v>41</v>
      </c>
      <c r="C90" s="17">
        <v>28555</v>
      </c>
    </row>
  </sheetData>
  <conditionalFormatting sqref="B1:F12 B14:C14 D14:F24 C15:C16 B17:C24 B29:F35 B52:C75 D52:F1048576 C76 B77:C78 C79 B80:C81 B83:C84 B86:C86 B88:C1048576">
    <cfRule type="expression" dxfId="24" priority="6">
      <formula>$I$3=1</formula>
    </cfRule>
  </conditionalFormatting>
  <conditionalFormatting sqref="B13:F13">
    <cfRule type="expression" dxfId="23" priority="5">
      <formula>$K$3=1</formula>
    </cfRule>
  </conditionalFormatting>
  <conditionalFormatting sqref="B25:F25">
    <cfRule type="expression" dxfId="22" priority="3">
      <formula>$K$3=1</formula>
    </cfRule>
  </conditionalFormatting>
  <conditionalFormatting sqref="B26:F26">
    <cfRule type="expression" dxfId="21" priority="2">
      <formula>$I$3=1</formula>
    </cfRule>
  </conditionalFormatting>
  <conditionalFormatting sqref="C27:F28">
    <cfRule type="expression" dxfId="20" priority="1">
      <formula>$I$3=1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4AA14-E9C7-4021-9094-B0D17D924C33}">
  <sheetPr>
    <tabColor theme="4" tint="0.79998168889431442"/>
    <pageSetUpPr fitToPage="1"/>
  </sheetPr>
  <dimension ref="B2:N100"/>
  <sheetViews>
    <sheetView showGridLines="0" view="pageBreakPreview" zoomScale="145" zoomScaleNormal="145" zoomScaleSheetLayoutView="145" workbookViewId="0">
      <selection activeCell="B36" sqref="B36:H36"/>
    </sheetView>
  </sheetViews>
  <sheetFormatPr defaultRowHeight="12" outlineLevelRow="1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113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s="29" customFormat="1" x14ac:dyDescent="0.2">
      <c r="B5" s="24" t="s">
        <v>134</v>
      </c>
      <c r="C5" s="25"/>
      <c r="D5" s="25"/>
      <c r="E5" s="25"/>
      <c r="F5" s="25"/>
      <c r="G5" s="25"/>
      <c r="H5" s="25"/>
    </row>
    <row r="6" spans="2:12" s="29" customFormat="1" ht="3.95" customHeight="1" x14ac:dyDescent="0.2">
      <c r="E6" s="57"/>
      <c r="F6" s="57"/>
      <c r="G6" s="57"/>
      <c r="H6" s="57"/>
    </row>
    <row r="7" spans="2:12" s="29" customFormat="1" x14ac:dyDescent="0.2">
      <c r="C7" s="11" t="s">
        <v>17</v>
      </c>
      <c r="D7" s="11" t="s">
        <v>27</v>
      </c>
      <c r="E7" s="11" t="s">
        <v>34</v>
      </c>
      <c r="F7" s="11" t="s">
        <v>35</v>
      </c>
      <c r="H7" s="57"/>
    </row>
    <row r="8" spans="2:12" s="29" customFormat="1" x14ac:dyDescent="0.2">
      <c r="B8" s="109" t="s">
        <v>118</v>
      </c>
      <c r="C8" s="26">
        <f>+'Tennant View'!C33</f>
        <v>60900</v>
      </c>
      <c r="D8" s="30">
        <f>C8</f>
        <v>60900</v>
      </c>
      <c r="E8" s="57"/>
      <c r="F8" s="57"/>
      <c r="H8" s="57"/>
    </row>
    <row r="9" spans="2:12" s="29" customFormat="1" x14ac:dyDescent="0.2">
      <c r="B9" s="145" t="s">
        <v>174</v>
      </c>
      <c r="C9" s="17">
        <v>0</v>
      </c>
      <c r="D9" s="35">
        <f>C44</f>
        <v>39437</v>
      </c>
      <c r="E9" s="35">
        <f>D9</f>
        <v>39437</v>
      </c>
      <c r="F9" s="35">
        <f>E9</f>
        <v>39437</v>
      </c>
      <c r="H9" s="57"/>
    </row>
    <row r="10" spans="2:12" s="29" customFormat="1" x14ac:dyDescent="0.2">
      <c r="B10" s="18" t="s">
        <v>120</v>
      </c>
      <c r="C10" s="20">
        <f>+C8+C9</f>
        <v>60900</v>
      </c>
      <c r="D10" s="20">
        <f>+D8+D9</f>
        <v>100337</v>
      </c>
      <c r="E10" s="20">
        <f>+E8+E9</f>
        <v>39437</v>
      </c>
      <c r="F10" s="20">
        <f>+F8+F9</f>
        <v>39437</v>
      </c>
      <c r="H10" s="57"/>
    </row>
    <row r="11" spans="2:12" s="29" customFormat="1" x14ac:dyDescent="0.2">
      <c r="B11" s="145" t="s">
        <v>175</v>
      </c>
      <c r="C11" s="187">
        <f>-C44</f>
        <v>-39437</v>
      </c>
      <c r="D11" s="17">
        <v>0</v>
      </c>
      <c r="E11" s="17">
        <v>0</v>
      </c>
      <c r="F11" s="17">
        <v>0</v>
      </c>
      <c r="H11" s="57"/>
    </row>
    <row r="12" spans="2:12" s="29" customFormat="1" x14ac:dyDescent="0.2">
      <c r="B12" s="145" t="s">
        <v>173</v>
      </c>
      <c r="C12" s="35">
        <f>-C59</f>
        <v>-10435</v>
      </c>
      <c r="D12" s="35">
        <f>C12</f>
        <v>-10435</v>
      </c>
      <c r="E12" s="35">
        <f t="shared" ref="E12:F12" si="0">D12</f>
        <v>-10435</v>
      </c>
      <c r="F12" s="35">
        <f t="shared" si="0"/>
        <v>-10435</v>
      </c>
      <c r="H12" s="57"/>
    </row>
    <row r="13" spans="2:12" s="29" customFormat="1" x14ac:dyDescent="0.2">
      <c r="B13" s="40" t="s">
        <v>127</v>
      </c>
      <c r="C13" s="45">
        <f>SUM(C10:C12)</f>
        <v>11028</v>
      </c>
      <c r="D13" s="45">
        <f t="shared" ref="D13:F13" si="1">SUM(D10:D12)</f>
        <v>89902</v>
      </c>
      <c r="E13" s="45">
        <f t="shared" si="1"/>
        <v>29002</v>
      </c>
      <c r="F13" s="50">
        <f t="shared" si="1"/>
        <v>29002</v>
      </c>
      <c r="H13" s="57"/>
    </row>
    <row r="14" spans="2:12" s="29" customFormat="1" x14ac:dyDescent="0.2">
      <c r="E14" s="57"/>
      <c r="F14" s="57"/>
      <c r="G14" s="57"/>
      <c r="H14" s="57"/>
    </row>
    <row r="15" spans="2:12" s="29" customFormat="1" x14ac:dyDescent="0.2">
      <c r="E15" s="57"/>
      <c r="F15" s="57"/>
      <c r="G15" s="57"/>
      <c r="H15" s="57"/>
    </row>
    <row r="16" spans="2:12" s="29" customFormat="1" x14ac:dyDescent="0.2">
      <c r="E16" s="57"/>
      <c r="F16" s="57"/>
      <c r="G16" s="57"/>
      <c r="H16" s="57"/>
    </row>
    <row r="17" spans="2:8" s="29" customFormat="1" x14ac:dyDescent="0.2">
      <c r="E17" s="57"/>
      <c r="F17" s="57"/>
      <c r="G17" s="57"/>
      <c r="H17" s="57"/>
    </row>
    <row r="18" spans="2:8" s="29" customFormat="1" x14ac:dyDescent="0.2">
      <c r="E18" s="57"/>
      <c r="F18" s="57"/>
      <c r="G18" s="57"/>
      <c r="H18" s="57"/>
    </row>
    <row r="19" spans="2:8" s="29" customFormat="1" x14ac:dyDescent="0.2">
      <c r="E19" s="57"/>
      <c r="F19" s="57"/>
      <c r="G19" s="57"/>
      <c r="H19" s="57"/>
    </row>
    <row r="20" spans="2:8" s="29" customFormat="1" x14ac:dyDescent="0.2">
      <c r="E20" s="57"/>
      <c r="F20" s="57"/>
      <c r="G20" s="57"/>
      <c r="H20" s="57"/>
    </row>
    <row r="21" spans="2:8" s="29" customFormat="1" x14ac:dyDescent="0.2">
      <c r="C21" s="12" t="s">
        <v>143</v>
      </c>
      <c r="D21" s="117"/>
      <c r="E21" s="118"/>
      <c r="F21" s="118"/>
      <c r="G21" s="118"/>
      <c r="H21" s="118"/>
    </row>
    <row r="22" spans="2:8" s="29" customFormat="1" x14ac:dyDescent="0.2">
      <c r="C22" s="11" t="s">
        <v>118</v>
      </c>
      <c r="D22" s="11" t="s">
        <v>72</v>
      </c>
      <c r="E22" s="116" t="s">
        <v>66</v>
      </c>
      <c r="F22" s="116" t="s">
        <v>119</v>
      </c>
      <c r="G22" s="116" t="s">
        <v>51</v>
      </c>
      <c r="H22" s="116" t="s">
        <v>120</v>
      </c>
    </row>
    <row r="23" spans="2:8" s="29" customFormat="1" x14ac:dyDescent="0.2">
      <c r="B23" s="109" t="s">
        <v>121</v>
      </c>
      <c r="C23" s="124">
        <f>+'Market Rent Analysis'!$C$8</f>
        <v>7.25</v>
      </c>
      <c r="D23" s="15">
        <v>0</v>
      </c>
      <c r="E23" s="15">
        <v>0</v>
      </c>
      <c r="F23" s="15">
        <v>0</v>
      </c>
      <c r="G23" s="15">
        <v>0</v>
      </c>
      <c r="H23" s="32">
        <f>SUM(C23:G23)</f>
        <v>7.25</v>
      </c>
    </row>
    <row r="24" spans="2:8" s="29" customFormat="1" x14ac:dyDescent="0.2">
      <c r="B24" s="109" t="s">
        <v>123</v>
      </c>
      <c r="C24" s="167">
        <f>+'Market Rent Analysis'!$C$8</f>
        <v>7.25</v>
      </c>
      <c r="D24" s="157">
        <f>+D40</f>
        <v>1.1904761904761905</v>
      </c>
      <c r="E24" s="157">
        <f>+D41</f>
        <v>1.5996428571428571</v>
      </c>
      <c r="F24" s="157">
        <f>+D42</f>
        <v>1.1904761904761905</v>
      </c>
      <c r="G24" s="157">
        <f>+D43</f>
        <v>0.7142857142857143</v>
      </c>
      <c r="H24" s="32">
        <f>SUM(C24:G24)</f>
        <v>11.94488095238095</v>
      </c>
    </row>
    <row r="25" spans="2:8" s="29" customFormat="1" x14ac:dyDescent="0.2">
      <c r="B25" s="109" t="s">
        <v>124</v>
      </c>
      <c r="C25" s="171"/>
      <c r="D25" s="157">
        <f>D24</f>
        <v>1.1904761904761905</v>
      </c>
      <c r="E25" s="157">
        <f t="shared" ref="E25:G25" si="2">E24</f>
        <v>1.5996428571428571</v>
      </c>
      <c r="F25" s="157">
        <f t="shared" si="2"/>
        <v>1.1904761904761905</v>
      </c>
      <c r="G25" s="157">
        <f t="shared" si="2"/>
        <v>0.7142857142857143</v>
      </c>
      <c r="H25" s="32">
        <f t="shared" ref="H25:H26" si="3">SUM(C25:G25)</f>
        <v>4.6948809523809523</v>
      </c>
    </row>
    <row r="26" spans="2:8" s="29" customFormat="1" x14ac:dyDescent="0.2">
      <c r="B26" s="109" t="s">
        <v>125</v>
      </c>
      <c r="C26" s="171"/>
      <c r="D26" s="157">
        <f t="shared" ref="D25:D26" si="4">D25</f>
        <v>1.1904761904761905</v>
      </c>
      <c r="E26" s="157">
        <f t="shared" ref="E25:G26" si="5">E25</f>
        <v>1.5996428571428571</v>
      </c>
      <c r="F26" s="157">
        <f t="shared" si="5"/>
        <v>1.1904761904761905</v>
      </c>
      <c r="G26" s="157">
        <f t="shared" si="5"/>
        <v>0.7142857142857143</v>
      </c>
      <c r="H26" s="32">
        <f t="shared" si="3"/>
        <v>4.6948809523809523</v>
      </c>
    </row>
    <row r="27" spans="2:8" s="155" customFormat="1" ht="3.95" customHeight="1" x14ac:dyDescent="0.2">
      <c r="B27" s="154"/>
    </row>
    <row r="28" spans="2:8" s="155" customFormat="1" hidden="1" outlineLevel="1" x14ac:dyDescent="0.2">
      <c r="B28" s="29"/>
      <c r="C28" s="12" t="s">
        <v>144</v>
      </c>
      <c r="D28" s="117"/>
      <c r="E28" s="118"/>
      <c r="F28" s="118"/>
      <c r="G28" s="118"/>
      <c r="H28" s="118"/>
    </row>
    <row r="29" spans="2:8" s="155" customFormat="1" hidden="1" outlineLevel="1" x14ac:dyDescent="0.2">
      <c r="B29" s="29"/>
      <c r="C29" s="11" t="s">
        <v>118</v>
      </c>
      <c r="D29" s="11" t="s">
        <v>72</v>
      </c>
      <c r="E29" s="116" t="s">
        <v>66</v>
      </c>
      <c r="F29" s="116" t="s">
        <v>119</v>
      </c>
      <c r="G29" s="116" t="s">
        <v>51</v>
      </c>
      <c r="H29" s="116" t="s">
        <v>120</v>
      </c>
    </row>
    <row r="30" spans="2:8" s="155" customFormat="1" hidden="1" outlineLevel="1" x14ac:dyDescent="0.2">
      <c r="B30" s="109" t="s">
        <v>121</v>
      </c>
      <c r="C30" s="156">
        <f>+C23</f>
        <v>7.25</v>
      </c>
      <c r="D30" s="15">
        <v>0</v>
      </c>
      <c r="E30" s="15">
        <v>0</v>
      </c>
      <c r="F30" s="15">
        <v>0</v>
      </c>
      <c r="G30" s="15">
        <v>0</v>
      </c>
      <c r="H30" s="32">
        <f>SUM(C30:G30)</f>
        <v>7.25</v>
      </c>
    </row>
    <row r="31" spans="2:8" s="155" customFormat="1" hidden="1" outlineLevel="1" x14ac:dyDescent="0.2">
      <c r="B31" s="109" t="s">
        <v>122</v>
      </c>
      <c r="C31" s="157" t="e">
        <f>+#REF!</f>
        <v>#REF!</v>
      </c>
      <c r="D31" s="158">
        <f>+F40</f>
        <v>0</v>
      </c>
      <c r="E31" s="157">
        <f>+F41</f>
        <v>1.5996428571428571</v>
      </c>
      <c r="F31" s="158">
        <f>+F42</f>
        <v>0</v>
      </c>
      <c r="G31" s="158">
        <f>+F43</f>
        <v>0</v>
      </c>
      <c r="H31" s="32" t="e">
        <f t="shared" ref="H31:H34" si="6">SUM(C31:G31)</f>
        <v>#REF!</v>
      </c>
    </row>
    <row r="32" spans="2:8" s="155" customFormat="1" hidden="1" outlineLevel="1" x14ac:dyDescent="0.2">
      <c r="B32" s="109" t="s">
        <v>123</v>
      </c>
      <c r="C32" s="157">
        <f t="shared" ref="C32:C34" si="7">+C24</f>
        <v>7.25</v>
      </c>
      <c r="D32" s="158">
        <f>D31</f>
        <v>0</v>
      </c>
      <c r="E32" s="157">
        <f t="shared" ref="E32:E34" si="8">E31</f>
        <v>1.5996428571428571</v>
      </c>
      <c r="F32" s="158">
        <f t="shared" ref="F32:F34" si="9">F31</f>
        <v>0</v>
      </c>
      <c r="G32" s="158">
        <f t="shared" ref="G32:G34" si="10">G31</f>
        <v>0</v>
      </c>
      <c r="H32" s="32">
        <f t="shared" si="6"/>
        <v>8.8496428571428574</v>
      </c>
    </row>
    <row r="33" spans="2:14" s="155" customFormat="1" hidden="1" outlineLevel="1" x14ac:dyDescent="0.2">
      <c r="B33" s="109" t="s">
        <v>124</v>
      </c>
      <c r="C33" s="157">
        <f t="shared" si="7"/>
        <v>0</v>
      </c>
      <c r="D33" s="158">
        <f t="shared" ref="D33:D34" si="11">D32</f>
        <v>0</v>
      </c>
      <c r="E33" s="157">
        <f t="shared" si="8"/>
        <v>1.5996428571428571</v>
      </c>
      <c r="F33" s="158">
        <f t="shared" si="9"/>
        <v>0</v>
      </c>
      <c r="G33" s="158">
        <f t="shared" si="10"/>
        <v>0</v>
      </c>
      <c r="H33" s="32">
        <f t="shared" si="6"/>
        <v>1.5996428571428571</v>
      </c>
    </row>
    <row r="34" spans="2:14" s="155" customFormat="1" hidden="1" outlineLevel="1" x14ac:dyDescent="0.2">
      <c r="B34" s="109" t="s">
        <v>125</v>
      </c>
      <c r="C34" s="157">
        <f t="shared" si="7"/>
        <v>0</v>
      </c>
      <c r="D34" s="158">
        <f t="shared" si="11"/>
        <v>0</v>
      </c>
      <c r="E34" s="157">
        <f t="shared" si="8"/>
        <v>1.5996428571428571</v>
      </c>
      <c r="F34" s="158">
        <f t="shared" si="9"/>
        <v>0</v>
      </c>
      <c r="G34" s="158">
        <f t="shared" si="10"/>
        <v>0</v>
      </c>
      <c r="H34" s="32">
        <f t="shared" si="6"/>
        <v>1.5996428571428571</v>
      </c>
    </row>
    <row r="35" spans="2:14" ht="3.95" hidden="1" customHeight="1" outlineLevel="1" x14ac:dyDescent="0.2"/>
    <row r="36" spans="2:14" s="29" customFormat="1" collapsed="1" x14ac:dyDescent="0.2">
      <c r="B36" s="24" t="s">
        <v>171</v>
      </c>
      <c r="C36" s="25"/>
      <c r="D36" s="25"/>
      <c r="E36" s="25"/>
      <c r="F36" s="25"/>
      <c r="G36" s="25"/>
      <c r="H36" s="25"/>
    </row>
    <row r="37" spans="2:14" s="185" customFormat="1" ht="3.95" customHeight="1" x14ac:dyDescent="0.2">
      <c r="B37" s="154"/>
      <c r="C37" s="155"/>
      <c r="D37" s="155"/>
      <c r="E37" s="155"/>
      <c r="F37" s="155"/>
      <c r="G37" s="155"/>
      <c r="H37" s="155"/>
    </row>
    <row r="38" spans="2:14" x14ac:dyDescent="0.2">
      <c r="C38" s="12" t="s">
        <v>145</v>
      </c>
      <c r="D38" s="13"/>
      <c r="E38" s="13"/>
      <c r="F38" s="13"/>
      <c r="G38" s="13"/>
      <c r="H38" s="13"/>
    </row>
    <row r="39" spans="2:14" x14ac:dyDescent="0.2">
      <c r="B39" s="33"/>
      <c r="C39" s="11" t="s">
        <v>135</v>
      </c>
      <c r="D39" s="151" t="s">
        <v>136</v>
      </c>
      <c r="E39" s="11" t="s">
        <v>142</v>
      </c>
      <c r="F39" s="151" t="s">
        <v>136</v>
      </c>
      <c r="G39" s="11" t="s">
        <v>111</v>
      </c>
      <c r="H39" s="11" t="s">
        <v>136</v>
      </c>
    </row>
    <row r="40" spans="2:14" x14ac:dyDescent="0.2">
      <c r="B40" s="159" t="s">
        <v>72</v>
      </c>
      <c r="C40" s="177">
        <v>10000</v>
      </c>
      <c r="D40" s="152">
        <f>C40/$C$71</f>
        <v>1.1904761904761905</v>
      </c>
      <c r="E40" s="15"/>
      <c r="F40" s="152">
        <f>E40/$C$71</f>
        <v>0</v>
      </c>
      <c r="G40" s="71">
        <f>E40-C40</f>
        <v>-10000</v>
      </c>
      <c r="H40" s="147">
        <f>G40/$C$71</f>
        <v>-1.1904761904761905</v>
      </c>
    </row>
    <row r="41" spans="2:14" ht="13.5" x14ac:dyDescent="0.2">
      <c r="B41" s="159" t="s">
        <v>139</v>
      </c>
      <c r="C41" s="17">
        <v>13437</v>
      </c>
      <c r="D41" s="153">
        <f>C41/$C$71</f>
        <v>1.5996428571428571</v>
      </c>
      <c r="E41" s="17">
        <v>13437</v>
      </c>
      <c r="F41" s="153">
        <f>E41/$C$71</f>
        <v>1.5996428571428571</v>
      </c>
      <c r="G41" s="70">
        <f t="shared" ref="G41:G43" si="12">E41-C41</f>
        <v>0</v>
      </c>
      <c r="H41" s="148">
        <f>G41/$C$71</f>
        <v>0</v>
      </c>
      <c r="J41" s="38" t="s">
        <v>24</v>
      </c>
      <c r="N41" s="17"/>
    </row>
    <row r="42" spans="2:14" x14ac:dyDescent="0.2">
      <c r="B42" s="159" t="s">
        <v>166</v>
      </c>
      <c r="C42" s="176">
        <v>10000</v>
      </c>
      <c r="D42" s="153">
        <f>C42/$C$71</f>
        <v>1.1904761904761905</v>
      </c>
      <c r="E42" s="17"/>
      <c r="F42" s="153">
        <f>E42/$C$71</f>
        <v>0</v>
      </c>
      <c r="G42" s="70">
        <f t="shared" si="12"/>
        <v>-10000</v>
      </c>
      <c r="H42" s="148">
        <f>G42/$C$71</f>
        <v>-1.1904761904761905</v>
      </c>
    </row>
    <row r="43" spans="2:14" x14ac:dyDescent="0.2">
      <c r="B43" s="159" t="s">
        <v>51</v>
      </c>
      <c r="C43" s="176">
        <v>6000</v>
      </c>
      <c r="D43" s="153">
        <f>C43/$C$71</f>
        <v>0.7142857142857143</v>
      </c>
      <c r="E43" s="17"/>
      <c r="F43" s="153">
        <f>E43/$C$71</f>
        <v>0</v>
      </c>
      <c r="G43" s="70">
        <f t="shared" si="12"/>
        <v>-6000</v>
      </c>
      <c r="H43" s="148">
        <f>G43/$C$71</f>
        <v>-0.7142857142857143</v>
      </c>
      <c r="J43" s="150" t="s">
        <v>141</v>
      </c>
    </row>
    <row r="44" spans="2:14" x14ac:dyDescent="0.2">
      <c r="B44" s="40" t="s">
        <v>137</v>
      </c>
      <c r="C44" s="45">
        <f>SUM(C40:C43)</f>
        <v>39437</v>
      </c>
      <c r="D44" s="160">
        <f>SUM(D40:D43)</f>
        <v>4.6948809523809523</v>
      </c>
      <c r="E44" s="45">
        <f>SUM(E40:E43)</f>
        <v>13437</v>
      </c>
      <c r="F44" s="160">
        <f>SUM(F40:F43)</f>
        <v>1.5996428571428571</v>
      </c>
      <c r="G44" s="45">
        <f>SUM(G40:G43)</f>
        <v>-26000</v>
      </c>
      <c r="H44" s="46">
        <f>SUM(H40:H43)</f>
        <v>-3.0952380952380953</v>
      </c>
    </row>
    <row r="45" spans="2:14" x14ac:dyDescent="0.2">
      <c r="B45" s="22" t="s">
        <v>140</v>
      </c>
    </row>
    <row r="46" spans="2:14" ht="3.95" customHeight="1" x14ac:dyDescent="0.2"/>
    <row r="47" spans="2:14" s="29" customFormat="1" x14ac:dyDescent="0.2">
      <c r="B47" s="24" t="s">
        <v>172</v>
      </c>
      <c r="C47" s="25"/>
      <c r="D47" s="25"/>
      <c r="E47" s="25"/>
      <c r="F47" s="25"/>
      <c r="G47" s="25"/>
      <c r="H47" s="25"/>
    </row>
    <row r="48" spans="2:14" s="185" customFormat="1" ht="3.95" customHeight="1" x14ac:dyDescent="0.2">
      <c r="B48" s="154"/>
      <c r="C48" s="155"/>
      <c r="D48" s="155"/>
      <c r="E48" s="155"/>
      <c r="F48" s="155"/>
      <c r="G48" s="155"/>
      <c r="H48" s="155"/>
    </row>
    <row r="49" spans="2:11" s="119" customFormat="1" x14ac:dyDescent="0.2">
      <c r="C49" s="12" t="s">
        <v>152</v>
      </c>
      <c r="D49" s="13"/>
      <c r="E49" s="13"/>
      <c r="F49" s="13"/>
      <c r="G49" s="13"/>
      <c r="H49" s="13"/>
    </row>
    <row r="50" spans="2:11" x14ac:dyDescent="0.2">
      <c r="C50" s="11" t="s">
        <v>135</v>
      </c>
      <c r="D50" s="151" t="s">
        <v>136</v>
      </c>
      <c r="E50" s="11" t="s">
        <v>142</v>
      </c>
      <c r="F50" s="151" t="s">
        <v>136</v>
      </c>
      <c r="G50" s="11" t="s">
        <v>111</v>
      </c>
      <c r="H50" s="11" t="s">
        <v>136</v>
      </c>
    </row>
    <row r="51" spans="2:11" x14ac:dyDescent="0.2">
      <c r="B51" s="109" t="s">
        <v>132</v>
      </c>
      <c r="C51" s="71">
        <f>C62*C63</f>
        <v>3045</v>
      </c>
      <c r="D51" s="152">
        <f>C51/$C$71</f>
        <v>0.36249999999999999</v>
      </c>
      <c r="E51" s="15"/>
      <c r="F51" s="152">
        <f>E51/$C$71</f>
        <v>0</v>
      </c>
      <c r="G51" s="71">
        <f>E51-C51</f>
        <v>-3045</v>
      </c>
      <c r="H51" s="147">
        <f>G51/$C$71</f>
        <v>-0.36249999999999999</v>
      </c>
    </row>
    <row r="52" spans="2:11" x14ac:dyDescent="0.2">
      <c r="B52" s="109" t="s">
        <v>146</v>
      </c>
      <c r="C52" s="35">
        <f>+C64</f>
        <v>0</v>
      </c>
      <c r="D52" s="152">
        <f>C52/$C$71</f>
        <v>0</v>
      </c>
      <c r="E52" s="17">
        <v>0</v>
      </c>
      <c r="F52" s="152">
        <f>E52/$C$71</f>
        <v>0</v>
      </c>
      <c r="G52" s="70">
        <f t="shared" ref="G52:G54" si="13">E52-C52</f>
        <v>0</v>
      </c>
      <c r="H52" s="148">
        <f>G52/$C$71</f>
        <v>0</v>
      </c>
    </row>
    <row r="53" spans="2:11" x14ac:dyDescent="0.2">
      <c r="B53" s="109" t="s">
        <v>133</v>
      </c>
      <c r="C53" s="70">
        <f>C65*$C$71</f>
        <v>1680</v>
      </c>
      <c r="D53" s="152">
        <f>C53/$C$71</f>
        <v>0.2</v>
      </c>
      <c r="E53" s="17"/>
      <c r="F53" s="152">
        <f>E53/$C$71</f>
        <v>0</v>
      </c>
      <c r="G53" s="70">
        <f t="shared" si="13"/>
        <v>-1680</v>
      </c>
      <c r="H53" s="148">
        <f>G53/$C$71</f>
        <v>-0.2</v>
      </c>
    </row>
    <row r="54" spans="2:11" x14ac:dyDescent="0.2">
      <c r="B54" s="109" t="s">
        <v>147</v>
      </c>
      <c r="C54" s="70">
        <f>C66*$C$71</f>
        <v>1260</v>
      </c>
      <c r="D54" s="152">
        <f>C54/$C$71</f>
        <v>0.15</v>
      </c>
      <c r="E54" s="17"/>
      <c r="F54" s="152">
        <f>E54/$C$71</f>
        <v>0</v>
      </c>
      <c r="G54" s="70">
        <f t="shared" si="13"/>
        <v>-1260</v>
      </c>
      <c r="H54" s="148">
        <f>G54/$C$71</f>
        <v>-0.15</v>
      </c>
    </row>
    <row r="55" spans="2:11" x14ac:dyDescent="0.2">
      <c r="B55" s="109" t="s">
        <v>148</v>
      </c>
      <c r="C55" s="35">
        <f>+C67</f>
        <v>2500</v>
      </c>
      <c r="D55" s="152">
        <f>C55/$C$71</f>
        <v>0.29761904761904762</v>
      </c>
      <c r="F55" s="152">
        <f>E55/$C$71</f>
        <v>0</v>
      </c>
      <c r="G55" s="70">
        <f t="shared" ref="G55:G58" si="14">E55-C55</f>
        <v>-2500</v>
      </c>
      <c r="H55" s="148">
        <f>G55/$C$71</f>
        <v>-0.29761904761904762</v>
      </c>
    </row>
    <row r="56" spans="2:11" x14ac:dyDescent="0.2">
      <c r="B56" s="109" t="s">
        <v>149</v>
      </c>
      <c r="C56" s="35">
        <f>+C68</f>
        <v>750</v>
      </c>
      <c r="D56" s="152">
        <f>C56/$C$71</f>
        <v>8.9285714285714288E-2</v>
      </c>
      <c r="F56" s="152">
        <f>E56/$C$71</f>
        <v>0</v>
      </c>
      <c r="G56" s="70">
        <f t="shared" si="14"/>
        <v>-750</v>
      </c>
      <c r="H56" s="148">
        <f>G56/$C$71</f>
        <v>-8.9285714285714288E-2</v>
      </c>
    </row>
    <row r="57" spans="2:11" x14ac:dyDescent="0.2">
      <c r="B57" s="109" t="s">
        <v>150</v>
      </c>
      <c r="C57" s="35">
        <f>+C69</f>
        <v>1200</v>
      </c>
      <c r="D57" s="152">
        <f>C57/$C$71</f>
        <v>0.14285714285714285</v>
      </c>
      <c r="F57" s="152">
        <f>E57/$C$71</f>
        <v>0</v>
      </c>
      <c r="G57" s="70">
        <f t="shared" si="14"/>
        <v>-1200</v>
      </c>
      <c r="H57" s="148">
        <f>G57/$C$71</f>
        <v>-0.14285714285714285</v>
      </c>
    </row>
    <row r="58" spans="2:11" x14ac:dyDescent="0.2">
      <c r="B58" s="109" t="s">
        <v>151</v>
      </c>
      <c r="C58" s="35">
        <f>+C70</f>
        <v>0</v>
      </c>
      <c r="D58" s="152">
        <f>C58/$C$71</f>
        <v>0</v>
      </c>
      <c r="F58" s="152">
        <f>E58/$C$71</f>
        <v>0</v>
      </c>
      <c r="G58" s="70">
        <f t="shared" si="14"/>
        <v>0</v>
      </c>
      <c r="H58" s="148">
        <f>G58/$C$71</f>
        <v>0</v>
      </c>
    </row>
    <row r="59" spans="2:11" x14ac:dyDescent="0.2">
      <c r="B59" s="40" t="s">
        <v>153</v>
      </c>
      <c r="C59" s="45">
        <f>SUM(C51:C58)</f>
        <v>10435</v>
      </c>
      <c r="D59" s="160">
        <f t="shared" ref="D59:H59" si="15">SUM(D51:D58)</f>
        <v>1.2422619047619046</v>
      </c>
      <c r="E59" s="45">
        <f t="shared" si="15"/>
        <v>0</v>
      </c>
      <c r="F59" s="160">
        <f t="shared" si="15"/>
        <v>0</v>
      </c>
      <c r="G59" s="45">
        <f t="shared" si="15"/>
        <v>-10435</v>
      </c>
      <c r="H59" s="46">
        <f t="shared" si="15"/>
        <v>-1.2422619047619046</v>
      </c>
    </row>
    <row r="60" spans="2:11" s="184" customFormat="1" x14ac:dyDescent="0.2">
      <c r="B60" s="183"/>
    </row>
    <row r="61" spans="2:11" x14ac:dyDescent="0.2">
      <c r="C61" s="181" t="s">
        <v>154</v>
      </c>
      <c r="D61" s="182" t="s">
        <v>155</v>
      </c>
      <c r="E61" s="182"/>
      <c r="F61" s="182"/>
      <c r="G61" s="182"/>
      <c r="H61" s="182"/>
    </row>
    <row r="62" spans="2:11" x14ac:dyDescent="0.2">
      <c r="B62" s="109" t="s">
        <v>168</v>
      </c>
      <c r="C62" s="179">
        <f>+'Tennant View'!C33</f>
        <v>60900</v>
      </c>
      <c r="D62" s="180" t="s">
        <v>169</v>
      </c>
      <c r="E62" s="127"/>
      <c r="F62" s="127"/>
      <c r="G62" s="127"/>
      <c r="H62" s="127"/>
    </row>
    <row r="63" spans="2:11" x14ac:dyDescent="0.2">
      <c r="B63" s="109" t="s">
        <v>132</v>
      </c>
      <c r="C63" s="164">
        <v>0.05</v>
      </c>
      <c r="D63" s="162" t="s">
        <v>157</v>
      </c>
      <c r="E63" s="13"/>
      <c r="F63" s="13"/>
      <c r="G63" s="13"/>
      <c r="H63" s="13"/>
    </row>
    <row r="64" spans="2:11" x14ac:dyDescent="0.2">
      <c r="B64" s="109" t="s">
        <v>146</v>
      </c>
      <c r="C64" s="174">
        <v>0</v>
      </c>
      <c r="D64" s="162" t="s">
        <v>156</v>
      </c>
      <c r="E64" s="13"/>
      <c r="F64" s="13"/>
      <c r="G64" s="13"/>
      <c r="H64" s="13"/>
      <c r="K64" s="175"/>
    </row>
    <row r="65" spans="2:10" x14ac:dyDescent="0.2">
      <c r="B65" s="109" t="s">
        <v>133</v>
      </c>
      <c r="C65" s="164">
        <v>0.2</v>
      </c>
      <c r="D65" s="162" t="s">
        <v>158</v>
      </c>
      <c r="E65" s="13"/>
      <c r="F65" s="13"/>
      <c r="G65" s="13"/>
      <c r="H65" s="13"/>
      <c r="J65" s="150" t="s">
        <v>159</v>
      </c>
    </row>
    <row r="66" spans="2:10" x14ac:dyDescent="0.2">
      <c r="B66" s="109" t="s">
        <v>147</v>
      </c>
      <c r="C66" s="164">
        <v>0.15</v>
      </c>
      <c r="D66" s="162" t="s">
        <v>158</v>
      </c>
      <c r="E66" s="13"/>
      <c r="F66" s="13"/>
      <c r="G66" s="13"/>
      <c r="H66" s="13"/>
      <c r="J66" s="150" t="s">
        <v>159</v>
      </c>
    </row>
    <row r="67" spans="2:10" x14ac:dyDescent="0.2">
      <c r="B67" s="109" t="s">
        <v>148</v>
      </c>
      <c r="C67" s="174">
        <v>2500</v>
      </c>
      <c r="D67" s="162" t="s">
        <v>167</v>
      </c>
      <c r="E67" s="13"/>
      <c r="F67" s="13"/>
      <c r="G67" s="13"/>
      <c r="H67" s="13"/>
    </row>
    <row r="68" spans="2:10" x14ac:dyDescent="0.2">
      <c r="B68" s="109" t="s">
        <v>149</v>
      </c>
      <c r="C68" s="174">
        <v>750</v>
      </c>
      <c r="D68" s="162" t="s">
        <v>165</v>
      </c>
      <c r="E68" s="13"/>
      <c r="F68" s="13"/>
      <c r="G68" s="13"/>
      <c r="H68" s="13"/>
    </row>
    <row r="69" spans="2:10" x14ac:dyDescent="0.2">
      <c r="B69" s="109" t="s">
        <v>150</v>
      </c>
      <c r="C69" s="173">
        <f>100*12</f>
        <v>1200</v>
      </c>
      <c r="D69" s="162" t="s">
        <v>164</v>
      </c>
      <c r="E69" s="13"/>
      <c r="F69" s="13"/>
      <c r="G69" s="13"/>
      <c r="H69" s="13"/>
    </row>
    <row r="70" spans="2:10" x14ac:dyDescent="0.2">
      <c r="B70" s="109" t="s">
        <v>151</v>
      </c>
      <c r="C70" s="178">
        <v>0</v>
      </c>
      <c r="D70" s="162" t="s">
        <v>167</v>
      </c>
      <c r="E70" s="125"/>
      <c r="F70" s="13"/>
      <c r="G70" s="13"/>
      <c r="H70" s="13"/>
    </row>
    <row r="71" spans="2:10" x14ac:dyDescent="0.2">
      <c r="B71" s="143" t="s">
        <v>131</v>
      </c>
      <c r="C71" s="172">
        <f>+'Market Rent Analysis'!$C$7</f>
        <v>8400</v>
      </c>
    </row>
    <row r="81" spans="2:8" x14ac:dyDescent="0.2">
      <c r="C81" s="11" t="s">
        <v>17</v>
      </c>
      <c r="D81" s="11" t="s">
        <v>112</v>
      </c>
      <c r="E81" s="11" t="s">
        <v>27</v>
      </c>
      <c r="F81" s="11" t="s">
        <v>34</v>
      </c>
      <c r="G81" s="11" t="s">
        <v>35</v>
      </c>
      <c r="H81" s="120"/>
    </row>
    <row r="82" spans="2:8" x14ac:dyDescent="0.2">
      <c r="C82" s="27"/>
      <c r="D82" s="27"/>
      <c r="E82" s="27"/>
      <c r="F82" s="27"/>
      <c r="G82" s="27"/>
      <c r="H82" s="27"/>
    </row>
    <row r="83" spans="2:8" x14ac:dyDescent="0.2">
      <c r="B83" s="7" t="str">
        <f>+'Tennant View'!B23</f>
        <v>Total Current Rent</v>
      </c>
      <c r="C83" s="31">
        <f>+'Tennant View'!C33</f>
        <v>60900</v>
      </c>
      <c r="D83" s="104">
        <f>D98-D42-D86</f>
        <v>83421.809523809527</v>
      </c>
      <c r="E83" s="31">
        <f>+'Tennant View'!C33-$C$40-$N$41-$C$43</f>
        <v>44900</v>
      </c>
      <c r="F83" s="31">
        <f>+'Market Rent Analysis'!C48-$C$40-$N$41-$C$43</f>
        <v>51200</v>
      </c>
      <c r="G83" s="31">
        <f>+'Market Rent Analysis'!D48-$C$40-$N$41-$C$43</f>
        <v>68000</v>
      </c>
      <c r="H83" s="31"/>
    </row>
    <row r="86" spans="2:8" x14ac:dyDescent="0.2">
      <c r="B86" s="36" t="s">
        <v>25</v>
      </c>
      <c r="C86" s="17">
        <v>-3423</v>
      </c>
      <c r="D86" s="35">
        <f>C86</f>
        <v>-3423</v>
      </c>
      <c r="E86" s="35">
        <f>C86</f>
        <v>-3423</v>
      </c>
      <c r="F86" s="35">
        <f>E86</f>
        <v>-3423</v>
      </c>
      <c r="G86" s="35">
        <f>F86</f>
        <v>-3423</v>
      </c>
      <c r="H86" s="35"/>
    </row>
    <row r="89" spans="2:8" x14ac:dyDescent="0.2">
      <c r="B89" s="18" t="s">
        <v>18</v>
      </c>
      <c r="C89" s="20">
        <f>SUM(C83:C88)</f>
        <v>57477</v>
      </c>
      <c r="D89" s="20">
        <f>SUM(D83:D88)</f>
        <v>79998.809523809527</v>
      </c>
      <c r="E89" s="20">
        <f>SUM(E83:E88)</f>
        <v>41477</v>
      </c>
      <c r="F89" s="20">
        <f>SUM(F83:F88)</f>
        <v>47777</v>
      </c>
      <c r="G89" s="20">
        <f>SUM(G83:G88)</f>
        <v>64577</v>
      </c>
      <c r="H89" s="112"/>
    </row>
    <row r="90" spans="2:8" x14ac:dyDescent="0.2">
      <c r="B90" s="7"/>
      <c r="C90" s="39"/>
      <c r="D90" s="39"/>
      <c r="E90" s="39"/>
      <c r="F90" s="39"/>
      <c r="G90" s="39"/>
      <c r="H90" s="39"/>
    </row>
    <row r="93" spans="2:8" x14ac:dyDescent="0.2">
      <c r="B93" s="34" t="str">
        <f>+B89</f>
        <v>Net Operating Income</v>
      </c>
      <c r="C93" s="35">
        <f>+C89</f>
        <v>57477</v>
      </c>
      <c r="D93" s="35">
        <f>+D89</f>
        <v>79998.809523809527</v>
      </c>
      <c r="E93" s="35">
        <f>+E89</f>
        <v>41477</v>
      </c>
      <c r="F93" s="35">
        <f t="shared" ref="F93:G93" si="16">+F89</f>
        <v>47777</v>
      </c>
      <c r="G93" s="35">
        <f t="shared" si="16"/>
        <v>64577</v>
      </c>
      <c r="H93" s="35"/>
    </row>
    <row r="94" spans="2:8" x14ac:dyDescent="0.2">
      <c r="B94" s="36" t="s">
        <v>22</v>
      </c>
      <c r="C94" s="15">
        <v>580000</v>
      </c>
      <c r="D94" s="30">
        <f>C94</f>
        <v>580000</v>
      </c>
      <c r="E94" s="30">
        <f>C94</f>
        <v>580000</v>
      </c>
      <c r="F94" s="30">
        <f t="shared" ref="F94:G94" si="17">E94</f>
        <v>580000</v>
      </c>
      <c r="G94" s="30">
        <f t="shared" si="17"/>
        <v>580000</v>
      </c>
      <c r="H94" s="30"/>
    </row>
    <row r="95" spans="2:8" x14ac:dyDescent="0.2">
      <c r="B95" s="40" t="s">
        <v>23</v>
      </c>
      <c r="C95" s="41">
        <f>C93/C94</f>
        <v>9.9098275862068971E-2</v>
      </c>
      <c r="D95" s="41">
        <f>D93/D94</f>
        <v>0.13792898193760264</v>
      </c>
      <c r="E95" s="41">
        <f>E93/E94</f>
        <v>7.1512068965517248E-2</v>
      </c>
      <c r="F95" s="41">
        <f t="shared" ref="F95:G95" si="18">F93/F94</f>
        <v>8.2374137931034486E-2</v>
      </c>
      <c r="G95" s="42">
        <f t="shared" si="18"/>
        <v>0.11133965517241379</v>
      </c>
      <c r="H95" s="121"/>
    </row>
    <row r="97" spans="2:8" x14ac:dyDescent="0.2">
      <c r="C97" s="11" t="str">
        <f>+C81</f>
        <v>FY25</v>
      </c>
      <c r="D97" s="11" t="str">
        <f>+D81</f>
        <v>Clearing</v>
      </c>
      <c r="E97" s="11" t="str">
        <f>+E81</f>
        <v>NNN</v>
      </c>
      <c r="F97" s="11" t="str">
        <f t="shared" ref="F97:G97" si="19">+F81</f>
        <v>Low-End</v>
      </c>
      <c r="G97" s="11" t="str">
        <f t="shared" si="19"/>
        <v>Base-Rate</v>
      </c>
      <c r="H97" s="120"/>
    </row>
    <row r="98" spans="2:8" x14ac:dyDescent="0.2">
      <c r="B98" s="34" t="s">
        <v>26</v>
      </c>
      <c r="C98" s="30">
        <f>+C89</f>
        <v>57477</v>
      </c>
      <c r="D98" s="71">
        <f>D100*D99</f>
        <v>80000</v>
      </c>
      <c r="E98" s="30">
        <f>+E89</f>
        <v>41477</v>
      </c>
      <c r="F98" s="30">
        <f t="shared" ref="F98:G98" si="20">+F89</f>
        <v>47777</v>
      </c>
      <c r="G98" s="30">
        <f t="shared" si="20"/>
        <v>64577</v>
      </c>
      <c r="H98" s="30"/>
    </row>
    <row r="99" spans="2:8" x14ac:dyDescent="0.2">
      <c r="B99" s="36" t="s">
        <v>28</v>
      </c>
      <c r="C99" s="43">
        <v>0.08</v>
      </c>
      <c r="D99" s="44">
        <f>C99</f>
        <v>0.08</v>
      </c>
      <c r="E99" s="44">
        <f>C99</f>
        <v>0.08</v>
      </c>
      <c r="F99" s="44">
        <f>E99</f>
        <v>0.08</v>
      </c>
      <c r="G99" s="44">
        <f>F99</f>
        <v>0.08</v>
      </c>
      <c r="H99" s="44"/>
    </row>
    <row r="100" spans="2:8" x14ac:dyDescent="0.2">
      <c r="B100" s="40" t="s">
        <v>43</v>
      </c>
      <c r="C100" s="45">
        <f>C98/C99</f>
        <v>718462.5</v>
      </c>
      <c r="D100" s="103">
        <v>1000000</v>
      </c>
      <c r="E100" s="45">
        <f>E98/E99</f>
        <v>518462.5</v>
      </c>
      <c r="F100" s="45">
        <f t="shared" ref="F100:G100" si="21">F98/F99</f>
        <v>597212.5</v>
      </c>
      <c r="G100" s="50">
        <f t="shared" si="21"/>
        <v>807212.5</v>
      </c>
      <c r="H100" s="122"/>
    </row>
  </sheetData>
  <conditionalFormatting sqref="E6:I6 B114:I1048576 B92:I101 I102:I113 B86:I86 B89:I90 I43:J43 I44 I39:I42 B39:H44 I28:I34 E28:H29 H30:H34 B27:I27 B51:B58 E56:E58 F52:I58 B71:I83 B63:B70 F66:I66 C66:D66 D61:I65 C65:C66 B1:I5 C68:C70 C52:D58 C61:C63 B59:I60 E52:E54 B35:I38 C49:I51 B49 B45:I48 D67:I70 E14:I22 H7:I13 D8:F9 H23:I26">
    <cfRule type="expression" dxfId="19" priority="8">
      <formula>$L$3=1</formula>
    </cfRule>
  </conditionalFormatting>
  <conditionalFormatting sqref="D23:G23">
    <cfRule type="expression" dxfId="18" priority="7">
      <formula>$L$3=1</formula>
    </cfRule>
  </conditionalFormatting>
  <conditionalFormatting sqref="D30:G30">
    <cfRule type="expression" dxfId="17" priority="6">
      <formula>$L$3=1</formula>
    </cfRule>
  </conditionalFormatting>
  <conditionalFormatting sqref="J41 C7:F7">
    <cfRule type="expression" dxfId="16" priority="5">
      <formula>$O$3=1</formula>
    </cfRule>
  </conditionalFormatting>
  <conditionalFormatting sqref="J65:J66">
    <cfRule type="expression" dxfId="15" priority="2">
      <formula>$L$3=1</formula>
    </cfRule>
  </conditionalFormatting>
  <hyperlinks>
    <hyperlink ref="J41" r:id="rId1" display="Based on this calculator" xr:uid="{E0A57258-5F4F-47A7-864A-E6A5617C9345}"/>
  </hyperlinks>
  <pageMargins left="0.7" right="0.7" top="0.75" bottom="0.75" header="0.3" footer="0.3"/>
  <pageSetup orientation="portrait" r:id="rId2"/>
  <colBreaks count="1" manualBreakCount="1">
    <brk id="8" min="1" max="59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F843-6AF7-4DD3-8CB8-D4372E3AEBBE}">
  <sheetPr>
    <tabColor rgb="FFC00000"/>
    <pageSetUpPr fitToPage="1"/>
  </sheetPr>
  <dimension ref="B2:N127"/>
  <sheetViews>
    <sheetView showGridLines="0" view="pageBreakPreview" zoomScale="175" zoomScaleNormal="145" zoomScaleSheetLayoutView="175" workbookViewId="0"/>
  </sheetViews>
  <sheetFormatPr defaultRowHeight="12" x14ac:dyDescent="0.2"/>
  <cols>
    <col min="1" max="1" width="1.7109375" style="6" customWidth="1"/>
    <col min="2" max="2" width="20.5703125" style="6" customWidth="1"/>
    <col min="3" max="8" width="9.5703125" style="6" customWidth="1"/>
    <col min="9" max="9" width="0.85546875" style="6" customWidth="1"/>
    <col min="10" max="10" width="4.42578125" style="6" customWidth="1"/>
    <col min="11" max="16384" width="9.140625" style="6"/>
  </cols>
  <sheetData>
    <row r="2" spans="2:12" ht="15.75" x14ac:dyDescent="0.25">
      <c r="B2" s="8" t="str">
        <f>+Cover!B24</f>
        <v>Sunshine Commercial Investments</v>
      </c>
    </row>
    <row r="3" spans="2:12" x14ac:dyDescent="0.2">
      <c r="B3" s="9" t="s">
        <v>113</v>
      </c>
      <c r="C3" s="10"/>
      <c r="D3" s="10"/>
      <c r="E3" s="10"/>
      <c r="F3" s="10"/>
      <c r="G3" s="10"/>
      <c r="H3" s="10"/>
      <c r="K3" s="6" t="s">
        <v>7</v>
      </c>
      <c r="L3" s="21">
        <v>0</v>
      </c>
    </row>
    <row r="5" spans="2:12" x14ac:dyDescent="0.2">
      <c r="B5" s="24" t="s">
        <v>14</v>
      </c>
      <c r="C5" s="25"/>
      <c r="D5" s="25"/>
      <c r="E5" s="25"/>
      <c r="F5" s="25"/>
      <c r="G5" s="25"/>
      <c r="H5" s="25"/>
      <c r="I5" s="25"/>
    </row>
    <row r="6" spans="2:12" ht="3.95" customHeight="1" x14ac:dyDescent="0.2"/>
    <row r="7" spans="2:12" x14ac:dyDescent="0.2">
      <c r="C7" s="58" t="s">
        <v>163</v>
      </c>
      <c r="D7" s="13"/>
      <c r="E7" s="13"/>
      <c r="F7" s="13"/>
      <c r="G7" s="13"/>
    </row>
    <row r="8" spans="2:12" x14ac:dyDescent="0.2">
      <c r="C8" s="165" t="s">
        <v>17</v>
      </c>
      <c r="D8" s="11" t="s">
        <v>112</v>
      </c>
      <c r="E8" s="165" t="s">
        <v>27</v>
      </c>
      <c r="F8" s="11" t="s">
        <v>34</v>
      </c>
      <c r="G8" s="11" t="s">
        <v>35</v>
      </c>
    </row>
    <row r="9" spans="2:12" ht="12" customHeight="1" x14ac:dyDescent="0.2">
      <c r="B9" s="109" t="s">
        <v>160</v>
      </c>
      <c r="C9" s="166">
        <f>+'CRE P&amp;L'!C23</f>
        <v>7.25</v>
      </c>
      <c r="E9" s="166">
        <f>+'CRE P&amp;L'!C23</f>
        <v>7.25</v>
      </c>
    </row>
    <row r="10" spans="2:12" ht="12" customHeight="1" x14ac:dyDescent="0.2">
      <c r="B10" s="109" t="s">
        <v>161</v>
      </c>
      <c r="C10" s="17">
        <v>0</v>
      </c>
      <c r="E10" s="169">
        <f>+'CRE P&amp;L'!D44</f>
        <v>4.6948809523809523</v>
      </c>
      <c r="F10" s="169">
        <f>E10</f>
        <v>4.6948809523809523</v>
      </c>
      <c r="G10" s="169">
        <f>F10</f>
        <v>4.6948809523809523</v>
      </c>
    </row>
    <row r="11" spans="2:12" x14ac:dyDescent="0.2">
      <c r="B11" s="18" t="s">
        <v>162</v>
      </c>
      <c r="C11" s="149">
        <f>SUM(C9:C10)</f>
        <v>7.25</v>
      </c>
      <c r="D11" s="149">
        <f>SUM(D9:D10)</f>
        <v>0</v>
      </c>
      <c r="E11" s="168">
        <f>SUM(E9:E10)</f>
        <v>11.944880952380952</v>
      </c>
      <c r="F11" s="149">
        <f>SUM(F9:F10)</f>
        <v>4.6948809523809523</v>
      </c>
      <c r="G11" s="149">
        <f>SUM(G9:G10)</f>
        <v>4.6948809523809523</v>
      </c>
    </row>
    <row r="12" spans="2:12" ht="3.95" customHeight="1" x14ac:dyDescent="0.2">
      <c r="B12" s="170"/>
      <c r="C12" s="168"/>
      <c r="D12" s="168"/>
      <c r="E12" s="168"/>
      <c r="F12" s="168"/>
      <c r="G12" s="168"/>
    </row>
    <row r="13" spans="2:12" x14ac:dyDescent="0.2">
      <c r="B13" s="40" t="s">
        <v>117</v>
      </c>
      <c r="C13" s="113">
        <f>'CRE P&amp;L'!C83/'CRE P&amp;L'!$C$83-1</f>
        <v>0</v>
      </c>
      <c r="D13" s="113">
        <f>'CRE P&amp;L'!D83/'CRE P&amp;L'!$C$83-1</f>
        <v>0.36981624833841598</v>
      </c>
      <c r="E13" s="113">
        <f>'CRE P&amp;L'!E83/'CRE P&amp;L'!$C$83-1</f>
        <v>-0.26272577996715929</v>
      </c>
      <c r="F13" s="113">
        <f>'CRE P&amp;L'!F83/'CRE P&amp;L'!$C$83-1</f>
        <v>-0.15927750410509034</v>
      </c>
      <c r="G13" s="114">
        <f>'CRE P&amp;L'!G83/'CRE P&amp;L'!$C$83-1</f>
        <v>0.1165845648604269</v>
      </c>
      <c r="H13" s="123"/>
    </row>
    <row r="14" spans="2:12" ht="3.95" customHeight="1" x14ac:dyDescent="0.2"/>
    <row r="15" spans="2:12" x14ac:dyDescent="0.2">
      <c r="C15" s="58" t="s">
        <v>115</v>
      </c>
      <c r="D15" s="59"/>
      <c r="E15" s="59"/>
      <c r="F15" s="13"/>
      <c r="G15" s="13"/>
      <c r="H15" s="13"/>
    </row>
    <row r="16" spans="2:12" x14ac:dyDescent="0.2">
      <c r="C16" s="11" t="s">
        <v>17</v>
      </c>
      <c r="D16" s="11" t="s">
        <v>112</v>
      </c>
      <c r="E16" s="11" t="s">
        <v>27</v>
      </c>
      <c r="F16" s="11" t="s">
        <v>34</v>
      </c>
      <c r="G16" s="11" t="s">
        <v>35</v>
      </c>
      <c r="H16" s="120"/>
      <c r="L16" s="146"/>
    </row>
    <row r="17" spans="2:11" ht="2.1" customHeight="1" x14ac:dyDescent="0.2">
      <c r="C17" s="27"/>
      <c r="D17" s="27"/>
      <c r="E17" s="27"/>
      <c r="F17" s="27"/>
      <c r="G17" s="27"/>
      <c r="H17" s="27"/>
    </row>
    <row r="18" spans="2:11" x14ac:dyDescent="0.2">
      <c r="B18" s="6" t="s">
        <v>3</v>
      </c>
      <c r="C18" s="15">
        <v>1800</v>
      </c>
      <c r="E18" s="16"/>
      <c r="F18" s="16"/>
      <c r="G18" s="71">
        <f>C18*(1+$G$13)</f>
        <v>2009.8522167487683</v>
      </c>
      <c r="H18" s="71"/>
    </row>
    <row r="19" spans="2:11" x14ac:dyDescent="0.2">
      <c r="B19" s="6" t="s">
        <v>2</v>
      </c>
      <c r="C19" s="17">
        <v>1200</v>
      </c>
      <c r="E19" s="14"/>
      <c r="F19" s="14"/>
      <c r="G19" s="70">
        <f>C19*(1+$G$13)</f>
        <v>1339.9014778325122</v>
      </c>
      <c r="H19" s="70"/>
    </row>
    <row r="20" spans="2:11" x14ac:dyDescent="0.2">
      <c r="B20" s="6" t="s">
        <v>4</v>
      </c>
      <c r="C20" s="17">
        <v>775</v>
      </c>
      <c r="E20" s="16"/>
      <c r="F20" s="16"/>
      <c r="G20" s="70">
        <f>C20*(1+$G$13)</f>
        <v>865.35303776683088</v>
      </c>
      <c r="H20" s="70"/>
      <c r="K20" s="150" t="s">
        <v>141</v>
      </c>
    </row>
    <row r="21" spans="2:11" x14ac:dyDescent="0.2">
      <c r="B21" s="6" t="s">
        <v>5</v>
      </c>
      <c r="C21" s="17">
        <v>700</v>
      </c>
      <c r="E21" s="16"/>
      <c r="F21" s="16"/>
      <c r="G21" s="70">
        <f>C21*(1+$G$13)</f>
        <v>781.60919540229884</v>
      </c>
      <c r="H21" s="70"/>
    </row>
    <row r="22" spans="2:11" x14ac:dyDescent="0.2">
      <c r="B22" s="6" t="s">
        <v>6</v>
      </c>
      <c r="C22" s="17">
        <v>600</v>
      </c>
      <c r="E22" s="16"/>
      <c r="F22" s="16"/>
      <c r="G22" s="70">
        <f>C22*(1+$G$13)</f>
        <v>669.95073891625611</v>
      </c>
      <c r="H22" s="70"/>
    </row>
    <row r="23" spans="2:11" x14ac:dyDescent="0.2">
      <c r="B23" s="18" t="s">
        <v>16</v>
      </c>
      <c r="C23" s="20">
        <f>SUM(C18:C22)</f>
        <v>5075</v>
      </c>
      <c r="D23" s="20">
        <f>SUM(D18:D22)</f>
        <v>0</v>
      </c>
      <c r="E23" s="20">
        <f>SUM(E18:E22)</f>
        <v>0</v>
      </c>
      <c r="F23" s="20">
        <f>SUM(F18:F22)</f>
        <v>0</v>
      </c>
      <c r="G23" s="20">
        <f>SUM(G18:G22)</f>
        <v>5666.666666666667</v>
      </c>
      <c r="H23" s="112"/>
    </row>
    <row r="24" spans="2:11" s="29" customFormat="1" ht="3.95" customHeight="1" x14ac:dyDescent="0.2">
      <c r="B24" s="28"/>
    </row>
    <row r="25" spans="2:11" s="29" customFormat="1" x14ac:dyDescent="0.2">
      <c r="B25" s="6"/>
      <c r="C25" s="58" t="s">
        <v>116</v>
      </c>
      <c r="D25" s="59"/>
      <c r="E25" s="59"/>
      <c r="F25" s="13"/>
      <c r="G25" s="13"/>
      <c r="H25" s="13"/>
    </row>
    <row r="26" spans="2:11" s="29" customFormat="1" x14ac:dyDescent="0.2">
      <c r="B26" s="6"/>
      <c r="C26" s="11" t="s">
        <v>17</v>
      </c>
      <c r="D26" s="11" t="s">
        <v>112</v>
      </c>
      <c r="E26" s="11" t="s">
        <v>27</v>
      </c>
      <c r="F26" s="11" t="s">
        <v>34</v>
      </c>
      <c r="G26" s="11" t="s">
        <v>35</v>
      </c>
      <c r="H26" s="120"/>
    </row>
    <row r="27" spans="2:11" s="29" customFormat="1" ht="2.1" customHeight="1" x14ac:dyDescent="0.2">
      <c r="B27" s="6"/>
      <c r="C27" s="27"/>
      <c r="D27" s="27"/>
      <c r="E27" s="27"/>
      <c r="F27" s="27"/>
    </row>
    <row r="28" spans="2:11" s="29" customFormat="1" x14ac:dyDescent="0.2">
      <c r="B28" s="6" t="s">
        <v>3</v>
      </c>
      <c r="C28" s="14">
        <f>C18*12</f>
        <v>21600</v>
      </c>
      <c r="D28" s="14"/>
      <c r="E28" s="16"/>
      <c r="F28" s="16"/>
      <c r="G28" s="14">
        <f>G18*12</f>
        <v>24118.226600985221</v>
      </c>
      <c r="H28" s="14"/>
    </row>
    <row r="29" spans="2:11" s="29" customFormat="1" x14ac:dyDescent="0.2">
      <c r="B29" s="6" t="s">
        <v>2</v>
      </c>
      <c r="C29" s="16">
        <f>C19*12</f>
        <v>14400</v>
      </c>
      <c r="D29" s="16"/>
      <c r="E29" s="14"/>
      <c r="F29" s="14"/>
      <c r="G29" s="16">
        <f>G19*12</f>
        <v>16078.817733990147</v>
      </c>
      <c r="H29" s="16"/>
    </row>
    <row r="30" spans="2:11" s="29" customFormat="1" x14ac:dyDescent="0.2">
      <c r="B30" s="6" t="s">
        <v>4</v>
      </c>
      <c r="C30" s="16">
        <f>C20*12</f>
        <v>9300</v>
      </c>
      <c r="D30" s="16"/>
      <c r="E30" s="16"/>
      <c r="F30" s="16"/>
      <c r="G30" s="16">
        <f>G20*12</f>
        <v>10384.236453201971</v>
      </c>
      <c r="H30" s="16"/>
    </row>
    <row r="31" spans="2:11" s="29" customFormat="1" x14ac:dyDescent="0.2">
      <c r="B31" s="6" t="s">
        <v>5</v>
      </c>
      <c r="C31" s="16">
        <f>C21*12</f>
        <v>8400</v>
      </c>
      <c r="D31" s="16"/>
      <c r="E31" s="16"/>
      <c r="F31" s="16"/>
      <c r="G31" s="16">
        <f>G21*12</f>
        <v>9379.310344827587</v>
      </c>
      <c r="H31" s="16"/>
    </row>
    <row r="32" spans="2:11" s="29" customFormat="1" x14ac:dyDescent="0.2">
      <c r="B32" s="6" t="s">
        <v>6</v>
      </c>
      <c r="C32" s="16">
        <f>C22*12</f>
        <v>7200</v>
      </c>
      <c r="D32" s="16"/>
      <c r="E32" s="16"/>
      <c r="F32" s="16"/>
      <c r="G32" s="16">
        <f>G22*12</f>
        <v>8039.4088669950734</v>
      </c>
      <c r="H32" s="16"/>
    </row>
    <row r="33" spans="2:8" s="29" customFormat="1" x14ac:dyDescent="0.2">
      <c r="B33" s="18" t="s">
        <v>16</v>
      </c>
      <c r="C33" s="20">
        <f>SUM(C28:C32)</f>
        <v>60900</v>
      </c>
      <c r="D33" s="20">
        <f>SUM(D28:D32)</f>
        <v>0</v>
      </c>
      <c r="E33" s="20">
        <f>SUM(E28:E32)</f>
        <v>0</v>
      </c>
      <c r="F33" s="20">
        <f>SUM(F28:F32)</f>
        <v>0</v>
      </c>
      <c r="G33" s="20">
        <f>G23*12</f>
        <v>68000</v>
      </c>
      <c r="H33" s="112"/>
    </row>
    <row r="34" spans="2:8" s="29" customFormat="1" x14ac:dyDescent="0.2">
      <c r="B34" s="22" t="s">
        <v>138</v>
      </c>
    </row>
    <row r="35" spans="2:8" s="29" customFormat="1" x14ac:dyDescent="0.2">
      <c r="B35" s="22"/>
    </row>
    <row r="36" spans="2:8" s="29" customFormat="1" x14ac:dyDescent="0.2">
      <c r="B36" s="22" t="s">
        <v>170</v>
      </c>
    </row>
    <row r="37" spans="2:8" s="29" customFormat="1" x14ac:dyDescent="0.2">
      <c r="B37" s="22"/>
    </row>
    <row r="38" spans="2:8" s="29" customFormat="1" x14ac:dyDescent="0.2">
      <c r="B38" s="22"/>
    </row>
    <row r="39" spans="2:8" s="29" customFormat="1" x14ac:dyDescent="0.2">
      <c r="B39" s="22"/>
    </row>
    <row r="40" spans="2:8" s="29" customFormat="1" x14ac:dyDescent="0.2">
      <c r="B40" s="22"/>
    </row>
    <row r="41" spans="2:8" s="29" customFormat="1" x14ac:dyDescent="0.2">
      <c r="B41" s="22"/>
    </row>
    <row r="42" spans="2:8" s="29" customFormat="1" x14ac:dyDescent="0.2">
      <c r="B42" s="22"/>
    </row>
    <row r="43" spans="2:8" s="29" customFormat="1" x14ac:dyDescent="0.2">
      <c r="B43" s="22"/>
    </row>
    <row r="44" spans="2:8" s="29" customFormat="1" x14ac:dyDescent="0.2">
      <c r="B44" s="22"/>
    </row>
    <row r="45" spans="2:8" s="29" customFormat="1" x14ac:dyDescent="0.2">
      <c r="B45" s="22"/>
    </row>
    <row r="46" spans="2:8" s="29" customFormat="1" x14ac:dyDescent="0.2">
      <c r="B46" s="22"/>
    </row>
    <row r="47" spans="2:8" s="29" customFormat="1" x14ac:dyDescent="0.2">
      <c r="B47" s="22"/>
    </row>
    <row r="48" spans="2:8" s="29" customFormat="1" ht="3.95" customHeight="1" x14ac:dyDescent="0.2">
      <c r="E48" s="49"/>
      <c r="F48" s="49"/>
      <c r="G48" s="49"/>
      <c r="H48" s="49"/>
    </row>
    <row r="49" spans="2:8" s="29" customFormat="1" x14ac:dyDescent="0.2">
      <c r="B49" s="24" t="s">
        <v>134</v>
      </c>
      <c r="C49" s="25"/>
      <c r="D49" s="25"/>
      <c r="E49" s="25"/>
      <c r="F49" s="25"/>
      <c r="G49" s="25"/>
      <c r="H49" s="25"/>
    </row>
    <row r="50" spans="2:8" s="29" customFormat="1" ht="3.95" customHeight="1" x14ac:dyDescent="0.2">
      <c r="E50" s="57"/>
      <c r="F50" s="57"/>
      <c r="G50" s="57"/>
      <c r="H50" s="57"/>
    </row>
    <row r="51" spans="2:8" s="29" customFormat="1" x14ac:dyDescent="0.2">
      <c r="C51" s="12" t="s">
        <v>143</v>
      </c>
      <c r="D51" s="117"/>
      <c r="E51" s="118"/>
      <c r="F51" s="118"/>
      <c r="G51" s="118"/>
      <c r="H51" s="118"/>
    </row>
    <row r="52" spans="2:8" s="29" customFormat="1" x14ac:dyDescent="0.2">
      <c r="C52" s="11" t="s">
        <v>118</v>
      </c>
      <c r="D52" s="11" t="s">
        <v>72</v>
      </c>
      <c r="E52" s="116" t="s">
        <v>66</v>
      </c>
      <c r="F52" s="116" t="s">
        <v>119</v>
      </c>
      <c r="G52" s="116" t="s">
        <v>51</v>
      </c>
      <c r="H52" s="116" t="s">
        <v>120</v>
      </c>
    </row>
    <row r="53" spans="2:8" s="29" customFormat="1" x14ac:dyDescent="0.2">
      <c r="B53" s="109" t="s">
        <v>121</v>
      </c>
      <c r="C53" s="124">
        <f>+'Market Rent Analysis'!$C$8</f>
        <v>7.25</v>
      </c>
      <c r="D53" s="15">
        <v>0</v>
      </c>
      <c r="E53" s="15">
        <v>0</v>
      </c>
      <c r="F53" s="15">
        <v>0</v>
      </c>
      <c r="G53" s="15">
        <v>0</v>
      </c>
      <c r="H53" s="32">
        <f>SUM(C53:G53)</f>
        <v>7.25</v>
      </c>
    </row>
    <row r="54" spans="2:8" s="29" customFormat="1" x14ac:dyDescent="0.2">
      <c r="B54" s="109" t="s">
        <v>122</v>
      </c>
      <c r="C54" s="171"/>
      <c r="D54" s="157">
        <f>+D69</f>
        <v>1.1904761904761905</v>
      </c>
      <c r="E54" s="157">
        <f>+D70</f>
        <v>1.5996428571428571</v>
      </c>
      <c r="F54" s="157">
        <f>+D71</f>
        <v>1.1904761904761905</v>
      </c>
      <c r="G54" s="157">
        <f>+D72</f>
        <v>0.7142857142857143</v>
      </c>
      <c r="H54" s="32">
        <f t="shared" ref="H54:H57" si="0">SUM(C54:G54)</f>
        <v>4.6948809523809523</v>
      </c>
    </row>
    <row r="55" spans="2:8" s="29" customFormat="1" x14ac:dyDescent="0.2">
      <c r="B55" s="109" t="s">
        <v>123</v>
      </c>
      <c r="C55" s="167">
        <f>+'Market Rent Analysis'!$C$8</f>
        <v>7.25</v>
      </c>
      <c r="D55" s="157">
        <f>D54</f>
        <v>1.1904761904761905</v>
      </c>
      <c r="E55" s="157">
        <f t="shared" ref="E55:G57" si="1">E54</f>
        <v>1.5996428571428571</v>
      </c>
      <c r="F55" s="157">
        <f t="shared" si="1"/>
        <v>1.1904761904761905</v>
      </c>
      <c r="G55" s="157">
        <f t="shared" si="1"/>
        <v>0.7142857142857143</v>
      </c>
      <c r="H55" s="32">
        <f t="shared" si="0"/>
        <v>11.94488095238095</v>
      </c>
    </row>
    <row r="56" spans="2:8" s="29" customFormat="1" x14ac:dyDescent="0.2">
      <c r="B56" s="109" t="s">
        <v>124</v>
      </c>
      <c r="C56" s="171"/>
      <c r="D56" s="157">
        <f t="shared" ref="D56:D57" si="2">D55</f>
        <v>1.1904761904761905</v>
      </c>
      <c r="E56" s="157">
        <f t="shared" si="1"/>
        <v>1.5996428571428571</v>
      </c>
      <c r="F56" s="157">
        <f t="shared" si="1"/>
        <v>1.1904761904761905</v>
      </c>
      <c r="G56" s="157">
        <f t="shared" si="1"/>
        <v>0.7142857142857143</v>
      </c>
      <c r="H56" s="32">
        <f t="shared" si="0"/>
        <v>4.6948809523809523</v>
      </c>
    </row>
    <row r="57" spans="2:8" s="29" customFormat="1" x14ac:dyDescent="0.2">
      <c r="B57" s="109" t="s">
        <v>125</v>
      </c>
      <c r="C57" s="171"/>
      <c r="D57" s="157">
        <f t="shared" si="2"/>
        <v>1.1904761904761905</v>
      </c>
      <c r="E57" s="157">
        <f t="shared" si="1"/>
        <v>1.5996428571428571</v>
      </c>
      <c r="F57" s="157">
        <f t="shared" si="1"/>
        <v>1.1904761904761905</v>
      </c>
      <c r="G57" s="157">
        <f t="shared" si="1"/>
        <v>0.7142857142857143</v>
      </c>
      <c r="H57" s="32">
        <f t="shared" si="0"/>
        <v>4.6948809523809523</v>
      </c>
    </row>
    <row r="58" spans="2:8" s="155" customFormat="1" ht="3.95" customHeight="1" x14ac:dyDescent="0.2">
      <c r="B58" s="154"/>
    </row>
    <row r="59" spans="2:8" s="155" customFormat="1" x14ac:dyDescent="0.2">
      <c r="B59" s="29"/>
      <c r="C59" s="12" t="s">
        <v>144</v>
      </c>
      <c r="D59" s="117"/>
      <c r="E59" s="118"/>
      <c r="F59" s="118"/>
      <c r="G59" s="118"/>
      <c r="H59" s="118"/>
    </row>
    <row r="60" spans="2:8" s="155" customFormat="1" x14ac:dyDescent="0.2">
      <c r="B60" s="29"/>
      <c r="C60" s="11" t="s">
        <v>118</v>
      </c>
      <c r="D60" s="11" t="s">
        <v>72</v>
      </c>
      <c r="E60" s="116" t="s">
        <v>66</v>
      </c>
      <c r="F60" s="116" t="s">
        <v>119</v>
      </c>
      <c r="G60" s="116" t="s">
        <v>51</v>
      </c>
      <c r="H60" s="116" t="s">
        <v>120</v>
      </c>
    </row>
    <row r="61" spans="2:8" s="155" customFormat="1" x14ac:dyDescent="0.2">
      <c r="B61" s="109" t="s">
        <v>121</v>
      </c>
      <c r="C61" s="156">
        <f>+C53</f>
        <v>7.25</v>
      </c>
      <c r="D61" s="15">
        <v>0</v>
      </c>
      <c r="E61" s="15">
        <v>0</v>
      </c>
      <c r="F61" s="15">
        <v>0</v>
      </c>
      <c r="G61" s="15">
        <v>0</v>
      </c>
      <c r="H61" s="32">
        <f>SUM(C61:G61)</f>
        <v>7.25</v>
      </c>
    </row>
    <row r="62" spans="2:8" s="155" customFormat="1" x14ac:dyDescent="0.2">
      <c r="B62" s="109" t="s">
        <v>122</v>
      </c>
      <c r="C62" s="157">
        <f t="shared" ref="C62:C65" si="3">+C54</f>
        <v>0</v>
      </c>
      <c r="D62" s="158">
        <f>+F69</f>
        <v>0</v>
      </c>
      <c r="E62" s="157">
        <f>+F70</f>
        <v>1.5996428571428571</v>
      </c>
      <c r="F62" s="158">
        <f>+F71</f>
        <v>0</v>
      </c>
      <c r="G62" s="158">
        <f>+F72</f>
        <v>0</v>
      </c>
      <c r="H62" s="32">
        <f t="shared" ref="H62:H65" si="4">SUM(C62:G62)</f>
        <v>1.5996428571428571</v>
      </c>
    </row>
    <row r="63" spans="2:8" s="155" customFormat="1" x14ac:dyDescent="0.2">
      <c r="B63" s="109" t="s">
        <v>123</v>
      </c>
      <c r="C63" s="157">
        <f t="shared" si="3"/>
        <v>7.25</v>
      </c>
      <c r="D63" s="158">
        <f>D62</f>
        <v>0</v>
      </c>
      <c r="E63" s="157">
        <f t="shared" ref="E63:G65" si="5">E62</f>
        <v>1.5996428571428571</v>
      </c>
      <c r="F63" s="158">
        <f t="shared" si="5"/>
        <v>0</v>
      </c>
      <c r="G63" s="158">
        <f t="shared" si="5"/>
        <v>0</v>
      </c>
      <c r="H63" s="32">
        <f t="shared" si="4"/>
        <v>8.8496428571428574</v>
      </c>
    </row>
    <row r="64" spans="2:8" s="155" customFormat="1" x14ac:dyDescent="0.2">
      <c r="B64" s="109" t="s">
        <v>124</v>
      </c>
      <c r="C64" s="157">
        <f t="shared" si="3"/>
        <v>0</v>
      </c>
      <c r="D64" s="158">
        <f t="shared" ref="D64:D65" si="6">D63</f>
        <v>0</v>
      </c>
      <c r="E64" s="157">
        <f t="shared" si="5"/>
        <v>1.5996428571428571</v>
      </c>
      <c r="F64" s="158">
        <f t="shared" si="5"/>
        <v>0</v>
      </c>
      <c r="G64" s="158">
        <f t="shared" si="5"/>
        <v>0</v>
      </c>
      <c r="H64" s="32">
        <f t="shared" si="4"/>
        <v>1.5996428571428571</v>
      </c>
    </row>
    <row r="65" spans="2:14" s="155" customFormat="1" x14ac:dyDescent="0.2">
      <c r="B65" s="109" t="s">
        <v>125</v>
      </c>
      <c r="C65" s="157">
        <f t="shared" si="3"/>
        <v>0</v>
      </c>
      <c r="D65" s="158">
        <f t="shared" si="6"/>
        <v>0</v>
      </c>
      <c r="E65" s="157">
        <f t="shared" si="5"/>
        <v>1.5996428571428571</v>
      </c>
      <c r="F65" s="158">
        <f t="shared" si="5"/>
        <v>0</v>
      </c>
      <c r="G65" s="158">
        <f t="shared" si="5"/>
        <v>0</v>
      </c>
      <c r="H65" s="32">
        <f t="shared" si="4"/>
        <v>1.5996428571428571</v>
      </c>
    </row>
    <row r="66" spans="2:14" ht="3.95" customHeight="1" x14ac:dyDescent="0.2"/>
    <row r="67" spans="2:14" x14ac:dyDescent="0.2">
      <c r="C67" s="12" t="s">
        <v>145</v>
      </c>
      <c r="D67" s="13"/>
      <c r="E67" s="13"/>
      <c r="F67" s="13"/>
      <c r="G67" s="13"/>
      <c r="H67" s="13"/>
    </row>
    <row r="68" spans="2:14" x14ac:dyDescent="0.2">
      <c r="B68" s="33"/>
      <c r="C68" s="11" t="s">
        <v>135</v>
      </c>
      <c r="D68" s="151" t="s">
        <v>136</v>
      </c>
      <c r="E68" s="11" t="s">
        <v>142</v>
      </c>
      <c r="F68" s="151" t="s">
        <v>136</v>
      </c>
      <c r="G68" s="11" t="s">
        <v>111</v>
      </c>
      <c r="H68" s="11" t="s">
        <v>136</v>
      </c>
    </row>
    <row r="69" spans="2:14" x14ac:dyDescent="0.2">
      <c r="B69" s="159" t="s">
        <v>72</v>
      </c>
      <c r="C69" s="177">
        <v>10000</v>
      </c>
      <c r="D69" s="152">
        <f>C69/$C$98</f>
        <v>1.1904761904761905</v>
      </c>
      <c r="E69" s="15"/>
      <c r="F69" s="152">
        <f>E69/$C$98</f>
        <v>0</v>
      </c>
      <c r="G69" s="71">
        <f>E69-C69</f>
        <v>-10000</v>
      </c>
      <c r="H69" s="147">
        <f>G69/$C$98</f>
        <v>-1.1904761904761905</v>
      </c>
    </row>
    <row r="70" spans="2:14" ht="13.5" x14ac:dyDescent="0.2">
      <c r="B70" s="159" t="s">
        <v>139</v>
      </c>
      <c r="C70" s="17">
        <v>13437</v>
      </c>
      <c r="D70" s="153">
        <f>C70/$C$98</f>
        <v>1.5996428571428571</v>
      </c>
      <c r="E70" s="17">
        <v>13437</v>
      </c>
      <c r="F70" s="153">
        <f>E70/$C$98</f>
        <v>1.5996428571428571</v>
      </c>
      <c r="G70" s="70">
        <f t="shared" ref="G70:G72" si="7">E70-C70</f>
        <v>0</v>
      </c>
      <c r="H70" s="148">
        <f>G70/$C$98</f>
        <v>0</v>
      </c>
      <c r="J70" s="38" t="s">
        <v>24</v>
      </c>
      <c r="N70" s="17"/>
    </row>
    <row r="71" spans="2:14" x14ac:dyDescent="0.2">
      <c r="B71" s="159" t="s">
        <v>166</v>
      </c>
      <c r="C71" s="176">
        <v>10000</v>
      </c>
      <c r="D71" s="153">
        <f>C71/$C$98</f>
        <v>1.1904761904761905</v>
      </c>
      <c r="E71" s="17"/>
      <c r="F71" s="153">
        <f>E71/$C$98</f>
        <v>0</v>
      </c>
      <c r="G71" s="70">
        <f t="shared" si="7"/>
        <v>-10000</v>
      </c>
      <c r="H71" s="148">
        <f>G71/$C$98</f>
        <v>-1.1904761904761905</v>
      </c>
    </row>
    <row r="72" spans="2:14" x14ac:dyDescent="0.2">
      <c r="B72" s="159" t="s">
        <v>51</v>
      </c>
      <c r="C72" s="176">
        <v>6000</v>
      </c>
      <c r="D72" s="153">
        <f>C72/$C$98</f>
        <v>0.7142857142857143</v>
      </c>
      <c r="E72" s="17"/>
      <c r="F72" s="153">
        <f>E72/$C$98</f>
        <v>0</v>
      </c>
      <c r="G72" s="70">
        <f t="shared" si="7"/>
        <v>-6000</v>
      </c>
      <c r="H72" s="148">
        <f>G72/$C$98</f>
        <v>-0.7142857142857143</v>
      </c>
      <c r="J72" s="150" t="s">
        <v>141</v>
      </c>
    </row>
    <row r="73" spans="2:14" x14ac:dyDescent="0.2">
      <c r="B73" s="40" t="s">
        <v>137</v>
      </c>
      <c r="C73" s="45">
        <f>SUM(C69:C72)</f>
        <v>39437</v>
      </c>
      <c r="D73" s="160">
        <f>SUM(D69:D72)</f>
        <v>4.6948809523809523</v>
      </c>
      <c r="E73" s="45">
        <f>SUM(E69:E72)</f>
        <v>13437</v>
      </c>
      <c r="F73" s="160">
        <f>SUM(F69:F72)</f>
        <v>1.5996428571428571</v>
      </c>
      <c r="G73" s="45">
        <f>SUM(G69:G72)</f>
        <v>-26000</v>
      </c>
      <c r="H73" s="46">
        <f>SUM(H69:H72)</f>
        <v>-3.0952380952380953</v>
      </c>
    </row>
    <row r="74" spans="2:14" x14ac:dyDescent="0.2">
      <c r="B74" s="22" t="s">
        <v>140</v>
      </c>
    </row>
    <row r="75" spans="2:14" ht="3.95" customHeight="1" x14ac:dyDescent="0.2"/>
    <row r="76" spans="2:14" s="119" customFormat="1" x14ac:dyDescent="0.2">
      <c r="C76" s="12" t="s">
        <v>152</v>
      </c>
      <c r="D76" s="13"/>
      <c r="E76" s="13"/>
      <c r="F76" s="13"/>
      <c r="G76" s="13"/>
      <c r="H76" s="13"/>
    </row>
    <row r="77" spans="2:14" x14ac:dyDescent="0.2">
      <c r="C77" s="11" t="s">
        <v>135</v>
      </c>
      <c r="D77" s="151" t="s">
        <v>136</v>
      </c>
      <c r="E77" s="11" t="s">
        <v>142</v>
      </c>
      <c r="F77" s="151" t="s">
        <v>136</v>
      </c>
      <c r="G77" s="11" t="s">
        <v>111</v>
      </c>
      <c r="H77" s="11" t="s">
        <v>136</v>
      </c>
    </row>
    <row r="78" spans="2:14" x14ac:dyDescent="0.2">
      <c r="B78" s="109" t="s">
        <v>132</v>
      </c>
      <c r="C78" s="71" t="e">
        <f>C89*C90</f>
        <v>#REF!</v>
      </c>
      <c r="D78" s="152" t="e">
        <f>C78/$C$98</f>
        <v>#REF!</v>
      </c>
      <c r="E78" s="15"/>
      <c r="F78" s="152">
        <f>E78/$C$98</f>
        <v>0</v>
      </c>
      <c r="G78" s="71" t="e">
        <f>E78-C78</f>
        <v>#REF!</v>
      </c>
      <c r="H78" s="147" t="e">
        <f>G78/$C$98</f>
        <v>#REF!</v>
      </c>
    </row>
    <row r="79" spans="2:14" x14ac:dyDescent="0.2">
      <c r="B79" s="109" t="s">
        <v>146</v>
      </c>
      <c r="C79" s="35">
        <f>+C91</f>
        <v>0</v>
      </c>
      <c r="D79" s="152">
        <f>C79/$C$98</f>
        <v>0</v>
      </c>
      <c r="E79" s="17"/>
      <c r="F79" s="152">
        <f>E79/$C$98</f>
        <v>0</v>
      </c>
      <c r="G79" s="70">
        <f t="shared" ref="G79:G85" si="8">E79-C79</f>
        <v>0</v>
      </c>
      <c r="H79" s="148">
        <f>G79/$C$98</f>
        <v>0</v>
      </c>
    </row>
    <row r="80" spans="2:14" x14ac:dyDescent="0.2">
      <c r="B80" s="109" t="s">
        <v>133</v>
      </c>
      <c r="C80" s="70">
        <f>C92*$C$98</f>
        <v>1680</v>
      </c>
      <c r="D80" s="152">
        <f>C80/$C$98</f>
        <v>0.2</v>
      </c>
      <c r="E80" s="17"/>
      <c r="F80" s="152">
        <f>E80/$C$98</f>
        <v>0</v>
      </c>
      <c r="G80" s="70">
        <f t="shared" si="8"/>
        <v>-1680</v>
      </c>
      <c r="H80" s="148">
        <f>G80/$C$98</f>
        <v>-0.2</v>
      </c>
    </row>
    <row r="81" spans="2:11" x14ac:dyDescent="0.2">
      <c r="B81" s="109" t="s">
        <v>147</v>
      </c>
      <c r="C81" s="70">
        <f>C93*$C$98</f>
        <v>1260</v>
      </c>
      <c r="D81" s="152">
        <f>C81/$C$98</f>
        <v>0.15</v>
      </c>
      <c r="E81" s="17"/>
      <c r="F81" s="152">
        <f>E81/$C$98</f>
        <v>0</v>
      </c>
      <c r="G81" s="70">
        <f t="shared" si="8"/>
        <v>-1260</v>
      </c>
      <c r="H81" s="148">
        <f>G81/$C$98</f>
        <v>-0.15</v>
      </c>
    </row>
    <row r="82" spans="2:11" x14ac:dyDescent="0.2">
      <c r="B82" s="109" t="s">
        <v>148</v>
      </c>
      <c r="C82" s="35">
        <f>+C94</f>
        <v>2500</v>
      </c>
      <c r="D82" s="152">
        <f>C82/$C$98</f>
        <v>0.29761904761904762</v>
      </c>
      <c r="F82" s="152">
        <f>E82/$C$98</f>
        <v>0</v>
      </c>
      <c r="G82" s="70">
        <f t="shared" si="8"/>
        <v>-2500</v>
      </c>
      <c r="H82" s="148">
        <f>G82/$C$98</f>
        <v>-0.29761904761904762</v>
      </c>
    </row>
    <row r="83" spans="2:11" x14ac:dyDescent="0.2">
      <c r="B83" s="109" t="s">
        <v>149</v>
      </c>
      <c r="C83" s="35">
        <f>+C95</f>
        <v>750</v>
      </c>
      <c r="D83" s="152">
        <f>C83/$C$98</f>
        <v>8.9285714285714288E-2</v>
      </c>
      <c r="F83" s="152">
        <f>E83/$C$98</f>
        <v>0</v>
      </c>
      <c r="G83" s="70">
        <f t="shared" si="8"/>
        <v>-750</v>
      </c>
      <c r="H83" s="148">
        <f>G83/$C$98</f>
        <v>-8.9285714285714288E-2</v>
      </c>
    </row>
    <row r="84" spans="2:11" x14ac:dyDescent="0.2">
      <c r="B84" s="109" t="s">
        <v>150</v>
      </c>
      <c r="C84" s="35">
        <f>+C96</f>
        <v>1200</v>
      </c>
      <c r="D84" s="152">
        <f>C84/$C$98</f>
        <v>0.14285714285714285</v>
      </c>
      <c r="F84" s="152">
        <f>E84/$C$98</f>
        <v>0</v>
      </c>
      <c r="G84" s="70">
        <f t="shared" si="8"/>
        <v>-1200</v>
      </c>
      <c r="H84" s="148">
        <f>G84/$C$98</f>
        <v>-0.14285714285714285</v>
      </c>
    </row>
    <row r="85" spans="2:11" x14ac:dyDescent="0.2">
      <c r="B85" s="109" t="s">
        <v>151</v>
      </c>
      <c r="C85" s="35">
        <f>+C97</f>
        <v>0</v>
      </c>
      <c r="D85" s="152">
        <f>C85/$C$98</f>
        <v>0</v>
      </c>
      <c r="F85" s="152">
        <f>E85/$C$98</f>
        <v>0</v>
      </c>
      <c r="G85" s="70">
        <f t="shared" si="8"/>
        <v>0</v>
      </c>
      <c r="H85" s="148">
        <f>G85/$C$98</f>
        <v>0</v>
      </c>
    </row>
    <row r="86" spans="2:11" x14ac:dyDescent="0.2">
      <c r="B86" s="40" t="s">
        <v>153</v>
      </c>
      <c r="C86" s="45" t="e">
        <f>SUM(C78:C85)</f>
        <v>#REF!</v>
      </c>
      <c r="D86" s="160" t="e">
        <f t="shared" ref="D86:H86" si="9">SUM(D78:D85)</f>
        <v>#REF!</v>
      </c>
      <c r="E86" s="45">
        <f t="shared" si="9"/>
        <v>0</v>
      </c>
      <c r="F86" s="160">
        <f t="shared" si="9"/>
        <v>0</v>
      </c>
      <c r="G86" s="45" t="e">
        <f t="shared" si="9"/>
        <v>#REF!</v>
      </c>
      <c r="H86" s="46" t="e">
        <f t="shared" si="9"/>
        <v>#REF!</v>
      </c>
    </row>
    <row r="87" spans="2:11" x14ac:dyDescent="0.2">
      <c r="B87" s="40" t="s">
        <v>153</v>
      </c>
    </row>
    <row r="88" spans="2:11" x14ac:dyDescent="0.2">
      <c r="C88" s="163" t="s">
        <v>154</v>
      </c>
      <c r="D88" s="161" t="s">
        <v>155</v>
      </c>
      <c r="E88" s="161"/>
      <c r="F88" s="161"/>
      <c r="G88" s="161"/>
      <c r="H88" s="161"/>
    </row>
    <row r="89" spans="2:11" x14ac:dyDescent="0.2">
      <c r="B89" s="109" t="s">
        <v>168</v>
      </c>
      <c r="C89" s="179" t="e">
        <f>+#REF!</f>
        <v>#REF!</v>
      </c>
      <c r="D89" s="180" t="s">
        <v>169</v>
      </c>
      <c r="E89" s="127"/>
      <c r="F89" s="127"/>
      <c r="G89" s="127"/>
      <c r="H89" s="127"/>
    </row>
    <row r="90" spans="2:11" x14ac:dyDescent="0.2">
      <c r="B90" s="109" t="s">
        <v>132</v>
      </c>
      <c r="C90" s="164">
        <v>0.05</v>
      </c>
      <c r="D90" s="162" t="s">
        <v>157</v>
      </c>
      <c r="E90" s="13"/>
      <c r="F90" s="13"/>
      <c r="G90" s="13"/>
      <c r="H90" s="13"/>
    </row>
    <row r="91" spans="2:11" x14ac:dyDescent="0.2">
      <c r="B91" s="109" t="s">
        <v>146</v>
      </c>
      <c r="C91" s="174">
        <v>0</v>
      </c>
      <c r="D91" s="162" t="s">
        <v>156</v>
      </c>
      <c r="E91" s="13"/>
      <c r="F91" s="13"/>
      <c r="G91" s="13"/>
      <c r="H91" s="13"/>
      <c r="K91" s="175"/>
    </row>
    <row r="92" spans="2:11" x14ac:dyDescent="0.2">
      <c r="B92" s="109" t="s">
        <v>133</v>
      </c>
      <c r="C92" s="164">
        <v>0.2</v>
      </c>
      <c r="D92" s="162" t="s">
        <v>158</v>
      </c>
      <c r="E92" s="13"/>
      <c r="F92" s="13"/>
      <c r="G92" s="13"/>
      <c r="H92" s="13"/>
      <c r="J92" s="150" t="s">
        <v>159</v>
      </c>
    </row>
    <row r="93" spans="2:11" x14ac:dyDescent="0.2">
      <c r="B93" s="109" t="s">
        <v>147</v>
      </c>
      <c r="C93" s="164">
        <v>0.15</v>
      </c>
      <c r="D93" s="162" t="s">
        <v>158</v>
      </c>
      <c r="E93" s="13"/>
      <c r="F93" s="13"/>
      <c r="G93" s="13"/>
      <c r="H93" s="13"/>
      <c r="J93" s="150" t="s">
        <v>159</v>
      </c>
    </row>
    <row r="94" spans="2:11" x14ac:dyDescent="0.2">
      <c r="B94" s="109" t="s">
        <v>148</v>
      </c>
      <c r="C94" s="174">
        <v>2500</v>
      </c>
      <c r="D94" s="162"/>
      <c r="E94" s="13"/>
      <c r="F94" s="13"/>
      <c r="G94" s="13"/>
      <c r="H94" s="13"/>
    </row>
    <row r="95" spans="2:11" x14ac:dyDescent="0.2">
      <c r="B95" s="109" t="s">
        <v>149</v>
      </c>
      <c r="C95" s="174">
        <v>750</v>
      </c>
      <c r="D95" s="162" t="s">
        <v>165</v>
      </c>
      <c r="E95" s="13"/>
      <c r="F95" s="13"/>
      <c r="G95" s="13"/>
      <c r="H95" s="13"/>
    </row>
    <row r="96" spans="2:11" x14ac:dyDescent="0.2">
      <c r="B96" s="109" t="s">
        <v>150</v>
      </c>
      <c r="C96" s="173">
        <f>100*12</f>
        <v>1200</v>
      </c>
      <c r="D96" s="162" t="s">
        <v>164</v>
      </c>
      <c r="E96" s="13"/>
      <c r="F96" s="13"/>
      <c r="G96" s="13"/>
      <c r="H96" s="13"/>
    </row>
    <row r="97" spans="2:8" x14ac:dyDescent="0.2">
      <c r="B97" s="109" t="s">
        <v>151</v>
      </c>
      <c r="C97" s="178">
        <v>0</v>
      </c>
      <c r="D97" s="162" t="s">
        <v>167</v>
      </c>
      <c r="E97" s="125"/>
      <c r="F97" s="13"/>
      <c r="G97" s="13"/>
      <c r="H97" s="13"/>
    </row>
    <row r="98" spans="2:8" x14ac:dyDescent="0.2">
      <c r="B98" s="143" t="s">
        <v>131</v>
      </c>
      <c r="C98" s="172">
        <f>+'Market Rent Analysis'!$C$7</f>
        <v>8400</v>
      </c>
    </row>
    <row r="100" spans="2:8" x14ac:dyDescent="0.2">
      <c r="B100" s="109" t="s">
        <v>179</v>
      </c>
    </row>
    <row r="108" spans="2:8" x14ac:dyDescent="0.2">
      <c r="C108" s="11" t="s">
        <v>17</v>
      </c>
      <c r="D108" s="11" t="s">
        <v>112</v>
      </c>
      <c r="E108" s="11" t="s">
        <v>27</v>
      </c>
      <c r="F108" s="11" t="s">
        <v>34</v>
      </c>
      <c r="G108" s="11" t="s">
        <v>35</v>
      </c>
      <c r="H108" s="120"/>
    </row>
    <row r="109" spans="2:8" x14ac:dyDescent="0.2">
      <c r="C109" s="27"/>
      <c r="D109" s="27"/>
      <c r="E109" s="27"/>
      <c r="F109" s="27"/>
      <c r="G109" s="27"/>
      <c r="H109" s="27"/>
    </row>
    <row r="110" spans="2:8" x14ac:dyDescent="0.2">
      <c r="B110" s="7" t="e">
        <f>+#REF!</f>
        <v>#REF!</v>
      </c>
      <c r="C110" s="31" t="e">
        <f>+#REF!</f>
        <v>#REF!</v>
      </c>
      <c r="D110" s="104">
        <f>D125-D71-D113</f>
        <v>83421.809523809527</v>
      </c>
      <c r="E110" s="31" t="e">
        <f>+#REF!-$C$69-$N$70-$C$72</f>
        <v>#REF!</v>
      </c>
      <c r="F110" s="31">
        <f>+'Market Rent Analysis'!C48-$C$69-$N$70-$C$72</f>
        <v>51200</v>
      </c>
      <c r="G110" s="31">
        <f>+'Market Rent Analysis'!D48-$C$69-$N$70-$C$72</f>
        <v>68000</v>
      </c>
      <c r="H110" s="31"/>
    </row>
    <row r="113" spans="2:8" x14ac:dyDescent="0.2">
      <c r="B113" s="36" t="s">
        <v>25</v>
      </c>
      <c r="C113" s="17">
        <v>-3423</v>
      </c>
      <c r="D113" s="35">
        <f>C113</f>
        <v>-3423</v>
      </c>
      <c r="E113" s="35">
        <f>C113</f>
        <v>-3423</v>
      </c>
      <c r="F113" s="35">
        <f>E113</f>
        <v>-3423</v>
      </c>
      <c r="G113" s="35">
        <f>F113</f>
        <v>-3423</v>
      </c>
      <c r="H113" s="35"/>
    </row>
    <row r="116" spans="2:8" x14ac:dyDescent="0.2">
      <c r="B116" s="18" t="s">
        <v>18</v>
      </c>
      <c r="C116" s="20" t="e">
        <f>SUM(C110:C115)</f>
        <v>#REF!</v>
      </c>
      <c r="D116" s="20">
        <f>SUM(D110:D115)</f>
        <v>79998.809523809527</v>
      </c>
      <c r="E116" s="20" t="e">
        <f>SUM(E110:E115)</f>
        <v>#REF!</v>
      </c>
      <c r="F116" s="20">
        <f>SUM(F110:F115)</f>
        <v>47777</v>
      </c>
      <c r="G116" s="20">
        <f>SUM(G110:G115)</f>
        <v>64577</v>
      </c>
      <c r="H116" s="112"/>
    </row>
    <row r="117" spans="2:8" x14ac:dyDescent="0.2">
      <c r="B117" s="7"/>
      <c r="C117" s="39"/>
      <c r="D117" s="39"/>
      <c r="E117" s="39"/>
      <c r="F117" s="39"/>
      <c r="G117" s="39"/>
      <c r="H117" s="39"/>
    </row>
    <row r="120" spans="2:8" x14ac:dyDescent="0.2">
      <c r="B120" s="34" t="str">
        <f>+B116</f>
        <v>Net Operating Income</v>
      </c>
      <c r="C120" s="35" t="e">
        <f>+C116</f>
        <v>#REF!</v>
      </c>
      <c r="D120" s="35">
        <f>+D116</f>
        <v>79998.809523809527</v>
      </c>
      <c r="E120" s="35" t="e">
        <f>+E116</f>
        <v>#REF!</v>
      </c>
      <c r="F120" s="35">
        <f t="shared" ref="F120:G120" si="10">+F116</f>
        <v>47777</v>
      </c>
      <c r="G120" s="35">
        <f t="shared" si="10"/>
        <v>64577</v>
      </c>
      <c r="H120" s="35"/>
    </row>
    <row r="121" spans="2:8" x14ac:dyDescent="0.2">
      <c r="B121" s="36" t="s">
        <v>22</v>
      </c>
      <c r="C121" s="15">
        <v>580000</v>
      </c>
      <c r="D121" s="30">
        <f>C121</f>
        <v>580000</v>
      </c>
      <c r="E121" s="30">
        <f>C121</f>
        <v>580000</v>
      </c>
      <c r="F121" s="30">
        <f t="shared" ref="F121:G121" si="11">E121</f>
        <v>580000</v>
      </c>
      <c r="G121" s="30">
        <f t="shared" si="11"/>
        <v>580000</v>
      </c>
      <c r="H121" s="30"/>
    </row>
    <row r="122" spans="2:8" x14ac:dyDescent="0.2">
      <c r="B122" s="40" t="s">
        <v>23</v>
      </c>
      <c r="C122" s="41" t="e">
        <f>C120/C121</f>
        <v>#REF!</v>
      </c>
      <c r="D122" s="41">
        <f>D120/D121</f>
        <v>0.13792898193760264</v>
      </c>
      <c r="E122" s="41" t="e">
        <f>E120/E121</f>
        <v>#REF!</v>
      </c>
      <c r="F122" s="41">
        <f t="shared" ref="F122:G122" si="12">F120/F121</f>
        <v>8.2374137931034486E-2</v>
      </c>
      <c r="G122" s="42">
        <f t="shared" si="12"/>
        <v>0.11133965517241379</v>
      </c>
      <c r="H122" s="121"/>
    </row>
    <row r="124" spans="2:8" x14ac:dyDescent="0.2">
      <c r="C124" s="11" t="str">
        <f>+C108</f>
        <v>FY25</v>
      </c>
      <c r="D124" s="11" t="str">
        <f>+D108</f>
        <v>Clearing</v>
      </c>
      <c r="E124" s="11" t="str">
        <f>+E108</f>
        <v>NNN</v>
      </c>
      <c r="F124" s="11" t="str">
        <f t="shared" ref="F124:G124" si="13">+F108</f>
        <v>Low-End</v>
      </c>
      <c r="G124" s="11" t="str">
        <f t="shared" si="13"/>
        <v>Base-Rate</v>
      </c>
      <c r="H124" s="120"/>
    </row>
    <row r="125" spans="2:8" x14ac:dyDescent="0.2">
      <c r="B125" s="34" t="s">
        <v>26</v>
      </c>
      <c r="C125" s="30" t="e">
        <f>+C116</f>
        <v>#REF!</v>
      </c>
      <c r="D125" s="71">
        <f>D127*D126</f>
        <v>80000</v>
      </c>
      <c r="E125" s="30" t="e">
        <f>+E116</f>
        <v>#REF!</v>
      </c>
      <c r="F125" s="30">
        <f t="shared" ref="F125:G125" si="14">+F116</f>
        <v>47777</v>
      </c>
      <c r="G125" s="30">
        <f t="shared" si="14"/>
        <v>64577</v>
      </c>
      <c r="H125" s="30"/>
    </row>
    <row r="126" spans="2:8" x14ac:dyDescent="0.2">
      <c r="B126" s="36" t="s">
        <v>28</v>
      </c>
      <c r="C126" s="43">
        <v>0.08</v>
      </c>
      <c r="D126" s="44">
        <f>C126</f>
        <v>0.08</v>
      </c>
      <c r="E126" s="44">
        <f>C126</f>
        <v>0.08</v>
      </c>
      <c r="F126" s="44">
        <f>E126</f>
        <v>0.08</v>
      </c>
      <c r="G126" s="44">
        <f>F126</f>
        <v>0.08</v>
      </c>
      <c r="H126" s="44"/>
    </row>
    <row r="127" spans="2:8" x14ac:dyDescent="0.2">
      <c r="B127" s="40" t="s">
        <v>43</v>
      </c>
      <c r="C127" s="45" t="e">
        <f>C125/C126</f>
        <v>#REF!</v>
      </c>
      <c r="D127" s="103">
        <v>1000000</v>
      </c>
      <c r="E127" s="45" t="e">
        <f>E125/E126</f>
        <v>#REF!</v>
      </c>
      <c r="F127" s="45">
        <f t="shared" ref="F127:G127" si="15">F125/F126</f>
        <v>597212.5</v>
      </c>
      <c r="G127" s="50">
        <f t="shared" si="15"/>
        <v>807212.5</v>
      </c>
      <c r="H127" s="122"/>
    </row>
  </sheetData>
  <conditionalFormatting sqref="B49:I49 E50:I52 B141:I1048576 B119:I128 I129:I140 B113:I113 B116:I117 I72:J72 I73 I68:I71 B68:H73 I59:I65 E59:H60 H61:H65 H53:I57 B58:I58 B66:I67 B74:I74 B78:B85 B75:B76 C75:I78 E83:E85 E79:E81 F79:I85 B98:I110 B90:B97 F93:I93 C93:D93 D88:I92 C92 B1:I4 E48:I48 C95:C97 D94:I97 C79:D85 C88:C90 B86:I87">
    <cfRule type="expression" dxfId="14" priority="8">
      <formula>$L$3=1</formula>
    </cfRule>
  </conditionalFormatting>
  <conditionalFormatting sqref="D53:G53">
    <cfRule type="expression" dxfId="13" priority="7">
      <formula>$L$3=1</formula>
    </cfRule>
  </conditionalFormatting>
  <conditionalFormatting sqref="D61:G61">
    <cfRule type="expression" dxfId="12" priority="6">
      <formula>$L$3=1</formula>
    </cfRule>
  </conditionalFormatting>
  <conditionalFormatting sqref="J70">
    <cfRule type="expression" dxfId="11" priority="5">
      <formula>$O$3=1</formula>
    </cfRule>
  </conditionalFormatting>
  <conditionalFormatting sqref="J92:J93">
    <cfRule type="expression" dxfId="10" priority="3">
      <formula>$L$3=1</formula>
    </cfRule>
  </conditionalFormatting>
  <conditionalFormatting sqref="B34:B47 B18:C23 E18:I22 D23:I23 B33:I33 B27:F32 I27:I32 G28:H32 B24:I26 B5:I9 B10 D10:I10 E34:I47 B11:I17">
    <cfRule type="expression" dxfId="9" priority="2">
      <formula>$L$3=1</formula>
    </cfRule>
  </conditionalFormatting>
  <conditionalFormatting sqref="K20">
    <cfRule type="expression" dxfId="8" priority="1">
      <formula>$L$3=1</formula>
    </cfRule>
  </conditionalFormatting>
  <hyperlinks>
    <hyperlink ref="J70" r:id="rId1" display="Based on this calculator" xr:uid="{838CC63D-5DDC-4D01-8ADA-A50C5B0368C1}"/>
  </hyperlinks>
  <pageMargins left="0.7" right="0.7" top="0.75" bottom="0.75" header="0.3" footer="0.3"/>
  <pageSetup scale="66" orientation="portrait" r:id="rId2"/>
  <colBreaks count="1" manualBreakCount="1">
    <brk id="8" min="1" max="59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BC34-6AFA-4149-83C8-E8A7B9792369}">
  <sheetPr>
    <tabColor theme="4" tint="0.79998168889431442"/>
  </sheetPr>
  <dimension ref="B2:O49"/>
  <sheetViews>
    <sheetView showGridLines="0" view="pageBreakPreview" zoomScale="160" zoomScaleNormal="130" zoomScaleSheetLayoutView="160" workbookViewId="0">
      <selection activeCell="D36" sqref="D36"/>
    </sheetView>
  </sheetViews>
  <sheetFormatPr defaultRowHeight="12" x14ac:dyDescent="0.2"/>
  <cols>
    <col min="1" max="1" width="1" style="109" customWidth="1"/>
    <col min="2" max="2" width="6.7109375" style="109" customWidth="1"/>
    <col min="3" max="3" width="5.140625" style="109" customWidth="1"/>
    <col min="4" max="10" width="8" style="109" customWidth="1"/>
    <col min="11" max="11" width="46.140625" style="109" customWidth="1"/>
    <col min="12" max="13" width="9.140625" style="109"/>
    <col min="14" max="14" width="10.5703125" style="109" bestFit="1" customWidth="1"/>
    <col min="15" max="16384" width="9.140625" style="109"/>
  </cols>
  <sheetData>
    <row r="2" spans="2:15" ht="16.5" x14ac:dyDescent="0.25">
      <c r="B2" s="110" t="str">
        <f>+'CRE P&amp;L'!B2</f>
        <v>Sunshine Commercial Investments</v>
      </c>
      <c r="C2" s="110"/>
    </row>
    <row r="3" spans="2:15" x14ac:dyDescent="0.2">
      <c r="B3" s="9" t="s">
        <v>128</v>
      </c>
      <c r="C3" s="9"/>
      <c r="D3" s="111"/>
      <c r="E3" s="111"/>
      <c r="F3" s="111"/>
      <c r="G3" s="111"/>
      <c r="H3" s="111"/>
      <c r="I3" s="111"/>
      <c r="J3" s="111"/>
      <c r="L3" s="109" t="s">
        <v>7</v>
      </c>
      <c r="M3" s="21">
        <v>1</v>
      </c>
    </row>
    <row r="5" spans="2:15" x14ac:dyDescent="0.2">
      <c r="B5" s="24" t="s">
        <v>126</v>
      </c>
      <c r="C5" s="24"/>
      <c r="D5" s="25"/>
      <c r="E5" s="25"/>
      <c r="F5" s="25"/>
      <c r="G5" s="25"/>
      <c r="H5" s="25"/>
      <c r="I5" s="25"/>
      <c r="J5" s="25"/>
    </row>
    <row r="6" spans="2:15" ht="3.95" customHeight="1" x14ac:dyDescent="0.2">
      <c r="B6" s="6"/>
      <c r="C6" s="6"/>
      <c r="D6" s="6"/>
      <c r="E6" s="6"/>
      <c r="F6" s="6"/>
      <c r="G6" s="6"/>
      <c r="H6" s="6"/>
      <c r="I6" s="6"/>
    </row>
    <row r="7" spans="2:15" x14ac:dyDescent="0.2">
      <c r="B7" s="6"/>
      <c r="C7" s="6"/>
      <c r="D7" s="128" t="s">
        <v>129</v>
      </c>
      <c r="E7" s="129"/>
      <c r="F7" s="129"/>
      <c r="G7" s="129"/>
      <c r="H7" s="129"/>
      <c r="I7" s="129"/>
      <c r="J7" s="130"/>
      <c r="L7" s="143" t="s">
        <v>131</v>
      </c>
      <c r="M7" s="143"/>
      <c r="N7" s="144">
        <f>+'Market Rent Analysis'!$C$7</f>
        <v>8400</v>
      </c>
    </row>
    <row r="8" spans="2:15" ht="12" customHeight="1" x14ac:dyDescent="0.2">
      <c r="B8" s="126"/>
      <c r="D8" s="136">
        <v>7.0000000000000007E-2</v>
      </c>
      <c r="E8" s="137">
        <f>D8+0.5%</f>
        <v>7.5000000000000011E-2</v>
      </c>
      <c r="F8" s="137">
        <f>E8+0.5%</f>
        <v>8.0000000000000016E-2</v>
      </c>
      <c r="G8" s="137">
        <f>F8+0.5%</f>
        <v>8.500000000000002E-2</v>
      </c>
      <c r="H8" s="137">
        <f>G8+0.5%</f>
        <v>9.0000000000000024E-2</v>
      </c>
      <c r="I8" s="137">
        <f>H8+0.5%</f>
        <v>9.5000000000000029E-2</v>
      </c>
      <c r="J8" s="138">
        <f>I8+0.5%</f>
        <v>0.10000000000000003</v>
      </c>
      <c r="L8" s="28" t="s">
        <v>177</v>
      </c>
      <c r="M8" s="28"/>
      <c r="N8" s="197">
        <f>+'CRE P&amp;L'!C59/1000</f>
        <v>10.435</v>
      </c>
      <c r="O8" s="28"/>
    </row>
    <row r="9" spans="2:15" ht="12" customHeight="1" x14ac:dyDescent="0.2">
      <c r="B9" s="132" t="s">
        <v>130</v>
      </c>
      <c r="C9" s="139">
        <v>20</v>
      </c>
      <c r="D9" s="131">
        <f>$C9/D$8</f>
        <v>285.71428571428567</v>
      </c>
      <c r="E9" s="131">
        <f t="shared" ref="E9:J17" si="0">$C9/E$8</f>
        <v>266.66666666666663</v>
      </c>
      <c r="F9" s="131">
        <f t="shared" si="0"/>
        <v>249.99999999999994</v>
      </c>
      <c r="G9" s="131">
        <f t="shared" si="0"/>
        <v>235.29411764705875</v>
      </c>
      <c r="H9" s="131">
        <f t="shared" si="0"/>
        <v>222.22222222222217</v>
      </c>
      <c r="I9" s="131">
        <f t="shared" si="0"/>
        <v>210.52631578947361</v>
      </c>
      <c r="J9" s="131">
        <f t="shared" si="0"/>
        <v>199.99999999999994</v>
      </c>
    </row>
    <row r="10" spans="2:15" x14ac:dyDescent="0.2">
      <c r="B10" s="133"/>
      <c r="C10" s="140">
        <f>C9+10</f>
        <v>30</v>
      </c>
      <c r="D10" s="135">
        <f t="shared" ref="D10:D17" si="1">$C10/D$8</f>
        <v>428.57142857142856</v>
      </c>
      <c r="E10" s="135">
        <f t="shared" si="0"/>
        <v>399.99999999999994</v>
      </c>
      <c r="F10" s="186">
        <f t="shared" si="0"/>
        <v>374.99999999999994</v>
      </c>
      <c r="G10" s="135">
        <f t="shared" si="0"/>
        <v>352.94117647058818</v>
      </c>
      <c r="H10" s="135">
        <f t="shared" si="0"/>
        <v>333.33333333333326</v>
      </c>
      <c r="I10" s="135">
        <f t="shared" si="0"/>
        <v>315.78947368421041</v>
      </c>
      <c r="J10" s="135">
        <f t="shared" si="0"/>
        <v>299.99999999999989</v>
      </c>
    </row>
    <row r="11" spans="2:15" x14ac:dyDescent="0.2">
      <c r="B11" s="133"/>
      <c r="C11" s="140">
        <f t="shared" ref="C11:C17" si="2">C10+10</f>
        <v>40</v>
      </c>
      <c r="D11" s="135">
        <f t="shared" si="1"/>
        <v>571.42857142857133</v>
      </c>
      <c r="E11" s="135">
        <f t="shared" si="0"/>
        <v>533.33333333333326</v>
      </c>
      <c r="F11" s="135">
        <f t="shared" si="0"/>
        <v>499.99999999999989</v>
      </c>
      <c r="G11" s="135">
        <f t="shared" si="0"/>
        <v>470.58823529411751</v>
      </c>
      <c r="H11" s="135">
        <f t="shared" si="0"/>
        <v>444.44444444444434</v>
      </c>
      <c r="I11" s="135">
        <f t="shared" si="0"/>
        <v>421.05263157894723</v>
      </c>
      <c r="J11" s="135">
        <f t="shared" si="0"/>
        <v>399.99999999999989</v>
      </c>
    </row>
    <row r="12" spans="2:15" x14ac:dyDescent="0.2">
      <c r="B12" s="133"/>
      <c r="C12" s="140">
        <f t="shared" si="2"/>
        <v>50</v>
      </c>
      <c r="D12" s="135">
        <f t="shared" si="1"/>
        <v>714.28571428571422</v>
      </c>
      <c r="E12" s="135">
        <f t="shared" si="0"/>
        <v>666.66666666666652</v>
      </c>
      <c r="F12" s="135">
        <f t="shared" si="0"/>
        <v>624.99999999999989</v>
      </c>
      <c r="G12" s="135">
        <f t="shared" si="0"/>
        <v>588.23529411764696</v>
      </c>
      <c r="H12" s="135">
        <f t="shared" si="0"/>
        <v>555.55555555555543</v>
      </c>
      <c r="I12" s="135">
        <f t="shared" si="0"/>
        <v>526.31578947368405</v>
      </c>
      <c r="J12" s="135">
        <f t="shared" si="0"/>
        <v>499.99999999999983</v>
      </c>
    </row>
    <row r="13" spans="2:15" x14ac:dyDescent="0.2">
      <c r="B13" s="133"/>
      <c r="C13" s="140">
        <f t="shared" si="2"/>
        <v>60</v>
      </c>
      <c r="D13" s="135">
        <f t="shared" si="1"/>
        <v>857.14285714285711</v>
      </c>
      <c r="E13" s="135">
        <f t="shared" si="0"/>
        <v>799.99999999999989</v>
      </c>
      <c r="F13" s="135">
        <f t="shared" si="0"/>
        <v>749.99999999999989</v>
      </c>
      <c r="G13" s="135">
        <f t="shared" si="0"/>
        <v>705.88235294117635</v>
      </c>
      <c r="H13" s="135">
        <f t="shared" si="0"/>
        <v>666.66666666666652</v>
      </c>
      <c r="I13" s="135">
        <f t="shared" si="0"/>
        <v>631.57894736842081</v>
      </c>
      <c r="J13" s="135">
        <f t="shared" si="0"/>
        <v>599.99999999999977</v>
      </c>
    </row>
    <row r="14" spans="2:15" x14ac:dyDescent="0.2">
      <c r="B14" s="133"/>
      <c r="C14" s="140">
        <f t="shared" si="2"/>
        <v>70</v>
      </c>
      <c r="D14" s="135">
        <f t="shared" si="1"/>
        <v>999.99999999999989</v>
      </c>
      <c r="E14" s="135">
        <f t="shared" si="0"/>
        <v>933.33333333333314</v>
      </c>
      <c r="F14" s="135">
        <f t="shared" si="0"/>
        <v>874.99999999999989</v>
      </c>
      <c r="G14" s="135">
        <f t="shared" si="0"/>
        <v>823.52941176470574</v>
      </c>
      <c r="H14" s="135">
        <f t="shared" si="0"/>
        <v>777.7777777777776</v>
      </c>
      <c r="I14" s="135">
        <f t="shared" si="0"/>
        <v>736.84210526315769</v>
      </c>
      <c r="J14" s="135">
        <f t="shared" si="0"/>
        <v>699.99999999999977</v>
      </c>
    </row>
    <row r="15" spans="2:15" x14ac:dyDescent="0.2">
      <c r="B15" s="133"/>
      <c r="C15" s="140">
        <f t="shared" si="2"/>
        <v>80</v>
      </c>
      <c r="D15" s="135">
        <f t="shared" si="1"/>
        <v>1142.8571428571427</v>
      </c>
      <c r="E15" s="135">
        <f t="shared" si="0"/>
        <v>1066.6666666666665</v>
      </c>
      <c r="F15" s="142">
        <f t="shared" si="0"/>
        <v>999.99999999999977</v>
      </c>
      <c r="G15" s="135">
        <f t="shared" si="0"/>
        <v>941.17647058823502</v>
      </c>
      <c r="H15" s="135">
        <f t="shared" si="0"/>
        <v>888.88888888888869</v>
      </c>
      <c r="I15" s="135">
        <f t="shared" si="0"/>
        <v>842.10526315789446</v>
      </c>
      <c r="J15" s="135">
        <f t="shared" si="0"/>
        <v>799.99999999999977</v>
      </c>
    </row>
    <row r="16" spans="2:15" x14ac:dyDescent="0.2">
      <c r="B16" s="133"/>
      <c r="C16" s="140">
        <f t="shared" si="2"/>
        <v>90</v>
      </c>
      <c r="D16" s="135">
        <f t="shared" si="1"/>
        <v>1285.7142857142856</v>
      </c>
      <c r="E16" s="135">
        <f t="shared" si="0"/>
        <v>1199.9999999999998</v>
      </c>
      <c r="F16" s="135">
        <f t="shared" si="0"/>
        <v>1124.9999999999998</v>
      </c>
      <c r="G16" s="135">
        <f t="shared" si="0"/>
        <v>1058.8235294117644</v>
      </c>
      <c r="H16" s="142">
        <f t="shared" si="0"/>
        <v>999.99999999999977</v>
      </c>
      <c r="I16" s="135">
        <f t="shared" si="0"/>
        <v>947.36842105263133</v>
      </c>
      <c r="J16" s="135">
        <f t="shared" si="0"/>
        <v>899.99999999999966</v>
      </c>
    </row>
    <row r="17" spans="2:13" x14ac:dyDescent="0.2">
      <c r="B17" s="134"/>
      <c r="C17" s="141">
        <f t="shared" si="2"/>
        <v>100</v>
      </c>
      <c r="D17" s="135">
        <f t="shared" si="1"/>
        <v>1428.5714285714284</v>
      </c>
      <c r="E17" s="135">
        <f t="shared" si="0"/>
        <v>1333.333333333333</v>
      </c>
      <c r="F17" s="135">
        <f t="shared" si="0"/>
        <v>1249.9999999999998</v>
      </c>
      <c r="G17" s="135">
        <f t="shared" si="0"/>
        <v>1176.4705882352939</v>
      </c>
      <c r="H17" s="135">
        <f t="shared" si="0"/>
        <v>1111.1111111111109</v>
      </c>
      <c r="I17" s="135">
        <f t="shared" si="0"/>
        <v>1052.6315789473681</v>
      </c>
      <c r="J17" s="142">
        <f t="shared" si="0"/>
        <v>999.99999999999966</v>
      </c>
    </row>
    <row r="19" spans="2:13" x14ac:dyDescent="0.2">
      <c r="B19" s="24" t="s">
        <v>181</v>
      </c>
      <c r="C19" s="24"/>
      <c r="D19" s="25"/>
      <c r="E19" s="25"/>
      <c r="F19" s="25"/>
      <c r="G19" s="25"/>
      <c r="H19" s="25"/>
      <c r="I19" s="25"/>
      <c r="J19" s="25"/>
    </row>
    <row r="20" spans="2:13" ht="3.95" customHeight="1" x14ac:dyDescent="0.2"/>
    <row r="21" spans="2:13" x14ac:dyDescent="0.2">
      <c r="B21" s="6"/>
      <c r="C21" s="6"/>
      <c r="D21" s="128" t="s">
        <v>176</v>
      </c>
      <c r="E21" s="129"/>
      <c r="F21" s="129"/>
      <c r="G21" s="129"/>
      <c r="H21" s="129"/>
      <c r="I21" s="129"/>
      <c r="J21" s="130"/>
    </row>
    <row r="22" spans="2:13" x14ac:dyDescent="0.2">
      <c r="B22" s="6"/>
      <c r="C22" s="6"/>
      <c r="D22" s="206" t="s">
        <v>180</v>
      </c>
      <c r="E22" s="202">
        <f>E23/$D23-1</f>
        <v>0.16666666666666674</v>
      </c>
      <c r="F22" s="202">
        <f t="shared" ref="F22:J22" si="3">F23/$D23-1</f>
        <v>0.33333333333333348</v>
      </c>
      <c r="G22" s="202">
        <f t="shared" si="3"/>
        <v>0.50000000000000022</v>
      </c>
      <c r="H22" s="202">
        <f t="shared" si="3"/>
        <v>0.66666666666666696</v>
      </c>
      <c r="I22" s="202">
        <f t="shared" si="3"/>
        <v>0.8333333333333337</v>
      </c>
      <c r="J22" s="205">
        <f t="shared" si="3"/>
        <v>1</v>
      </c>
    </row>
    <row r="23" spans="2:13" x14ac:dyDescent="0.2">
      <c r="B23" s="126"/>
      <c r="D23" s="188">
        <v>7.25</v>
      </c>
      <c r="E23" s="196">
        <f>($J$23-$D$23)/6+D23</f>
        <v>8.4583333333333339</v>
      </c>
      <c r="F23" s="196">
        <f t="shared" ref="F23:I23" si="4">($J$23-$D$23)/6+E23</f>
        <v>9.6666666666666679</v>
      </c>
      <c r="G23" s="196">
        <f t="shared" si="4"/>
        <v>10.875000000000002</v>
      </c>
      <c r="H23" s="196">
        <f t="shared" si="4"/>
        <v>12.083333333333336</v>
      </c>
      <c r="I23" s="196">
        <f t="shared" si="4"/>
        <v>13.29166666666667</v>
      </c>
      <c r="J23" s="189">
        <f>D23*2</f>
        <v>14.5</v>
      </c>
      <c r="L23" s="190"/>
    </row>
    <row r="24" spans="2:13" x14ac:dyDescent="0.2">
      <c r="B24" s="132" t="s">
        <v>178</v>
      </c>
      <c r="C24" s="139">
        <v>20</v>
      </c>
      <c r="D24" s="131">
        <f>D$23*$N$7/1000-$C24</f>
        <v>40.9</v>
      </c>
      <c r="E24" s="131">
        <f>E$23*$N$7/1000-$C24</f>
        <v>51.05</v>
      </c>
      <c r="F24" s="131">
        <f>F$23*$N$7/1000-$C24</f>
        <v>61.200000000000017</v>
      </c>
      <c r="G24" s="131">
        <f>G$23*$N$7/1000-$C24</f>
        <v>71.350000000000009</v>
      </c>
      <c r="H24" s="200">
        <f>H$23*$N$7/1000-$C24</f>
        <v>81.500000000000014</v>
      </c>
      <c r="I24" s="200">
        <f>I$23*$N$7/1000-$C24</f>
        <v>91.650000000000034</v>
      </c>
      <c r="J24" s="200">
        <f>J$23*$N$7/1000-$C24</f>
        <v>101.8</v>
      </c>
    </row>
    <row r="25" spans="2:13" x14ac:dyDescent="0.2">
      <c r="B25" s="133"/>
      <c r="C25" s="140">
        <f>($C$32-$C$24)/8+C24</f>
        <v>27.5</v>
      </c>
      <c r="D25" s="135">
        <f>D$23*$N$7/1000-$C25</f>
        <v>33.4</v>
      </c>
      <c r="E25" s="135">
        <f>E$23*$N$7/1000-$C25</f>
        <v>43.55</v>
      </c>
      <c r="F25" s="135">
        <f>F$23*$N$7/1000-$C25</f>
        <v>53.700000000000017</v>
      </c>
      <c r="G25" s="135">
        <f>G$23*$N$7/1000-$C25</f>
        <v>63.850000000000009</v>
      </c>
      <c r="H25" s="135">
        <f>H$23*$N$7/1000-$C25</f>
        <v>74.000000000000014</v>
      </c>
      <c r="I25" s="201">
        <f>I$23*$N$7/1000-$C25</f>
        <v>84.150000000000034</v>
      </c>
      <c r="J25" s="201">
        <f>J$23*$N$7/1000-$C25</f>
        <v>94.3</v>
      </c>
    </row>
    <row r="26" spans="2:13" x14ac:dyDescent="0.2">
      <c r="B26" s="133"/>
      <c r="C26" s="140">
        <f t="shared" ref="C26:C31" si="5">($C$32-$C$24)/8+C25</f>
        <v>35</v>
      </c>
      <c r="D26" s="135">
        <f>D$23*$N$7/1000-$C26</f>
        <v>25.9</v>
      </c>
      <c r="E26" s="135">
        <f>E$23*$N$7/1000-$C26</f>
        <v>36.049999999999997</v>
      </c>
      <c r="F26" s="135">
        <f>F$23*$N$7/1000-$C26</f>
        <v>46.200000000000017</v>
      </c>
      <c r="G26" s="135">
        <f>G$23*$N$7/1000-$C26</f>
        <v>56.350000000000009</v>
      </c>
      <c r="H26" s="135">
        <f>H$23*$N$7/1000-$C26</f>
        <v>66.500000000000014</v>
      </c>
      <c r="I26" s="135">
        <f>I$23*$N$7/1000-$C26</f>
        <v>76.650000000000034</v>
      </c>
      <c r="J26" s="201">
        <f>J$23*$N$7/1000-$C26</f>
        <v>86.8</v>
      </c>
      <c r="M26" s="198"/>
    </row>
    <row r="27" spans="2:13" x14ac:dyDescent="0.2">
      <c r="B27" s="133"/>
      <c r="C27" s="140">
        <f t="shared" si="5"/>
        <v>42.5</v>
      </c>
      <c r="D27" s="135">
        <f>D$23*$N$7/1000-$C27</f>
        <v>18.399999999999999</v>
      </c>
      <c r="E27" s="135">
        <f>E$23*$N$7/1000-$C27</f>
        <v>28.549999999999997</v>
      </c>
      <c r="F27" s="135">
        <f>F$23*$N$7/1000-$C27</f>
        <v>38.700000000000017</v>
      </c>
      <c r="G27" s="135">
        <f>G$23*$N$7/1000-$C27</f>
        <v>48.850000000000009</v>
      </c>
      <c r="H27" s="135">
        <f>H$23*$N$7/1000-$C27</f>
        <v>59.000000000000014</v>
      </c>
      <c r="I27" s="135">
        <f>I$23*$N$7/1000-$C27</f>
        <v>69.150000000000034</v>
      </c>
      <c r="J27" s="201">
        <f>J$23*$N$7/1000-$C27</f>
        <v>79.3</v>
      </c>
      <c r="M27" s="199"/>
    </row>
    <row r="28" spans="2:13" x14ac:dyDescent="0.2">
      <c r="B28" s="133"/>
      <c r="C28" s="140">
        <f t="shared" si="5"/>
        <v>50</v>
      </c>
      <c r="D28" s="135">
        <f>D$23*$N$7/1000-$C28</f>
        <v>10.899999999999999</v>
      </c>
      <c r="E28" s="135">
        <f>E$23*$N$7/1000-$C28</f>
        <v>21.049999999999997</v>
      </c>
      <c r="F28" s="135">
        <f>F$23*$N$7/1000-$C28</f>
        <v>31.200000000000017</v>
      </c>
      <c r="G28" s="135">
        <f>G$23*$N$7/1000-$C28</f>
        <v>41.350000000000009</v>
      </c>
      <c r="H28" s="135">
        <f>H$23*$N$7/1000-$C28</f>
        <v>51.500000000000014</v>
      </c>
      <c r="I28" s="135">
        <f>I$23*$N$7/1000-$C28</f>
        <v>61.650000000000034</v>
      </c>
      <c r="J28" s="135">
        <f>J$23*$N$7/1000-$C28</f>
        <v>71.8</v>
      </c>
      <c r="M28" s="199"/>
    </row>
    <row r="29" spans="2:13" x14ac:dyDescent="0.2">
      <c r="B29" s="133"/>
      <c r="C29" s="140">
        <f t="shared" si="5"/>
        <v>57.5</v>
      </c>
      <c r="D29" s="135">
        <f>D$23*$N$7/1000-$C29</f>
        <v>3.3999999999999986</v>
      </c>
      <c r="E29" s="135">
        <f>E$23*$N$7/1000-$C29</f>
        <v>13.549999999999997</v>
      </c>
      <c r="F29" s="135">
        <f>F$23*$N$7/1000-$C29</f>
        <v>23.700000000000017</v>
      </c>
      <c r="G29" s="135">
        <f>G$23*$N$7/1000-$C29</f>
        <v>33.850000000000009</v>
      </c>
      <c r="H29" s="135">
        <f>H$23*$N$7/1000-$C29</f>
        <v>44.000000000000014</v>
      </c>
      <c r="I29" s="135">
        <f>I$23*$N$7/1000-$C29</f>
        <v>54.150000000000034</v>
      </c>
      <c r="J29" s="135">
        <f>J$23*$N$7/1000-$C29</f>
        <v>64.3</v>
      </c>
    </row>
    <row r="30" spans="2:13" x14ac:dyDescent="0.2">
      <c r="B30" s="133"/>
      <c r="C30" s="140">
        <f t="shared" si="5"/>
        <v>65</v>
      </c>
      <c r="D30" s="135">
        <f>D$23*$N$7/1000-$C30</f>
        <v>-4.1000000000000014</v>
      </c>
      <c r="E30" s="135">
        <f>E$23*$N$7/1000-$C30</f>
        <v>6.0499999999999972</v>
      </c>
      <c r="F30" s="135">
        <f>F$23*$N$7/1000-$C30</f>
        <v>16.200000000000017</v>
      </c>
      <c r="G30" s="135">
        <f>G$23*$N$7/1000-$C30</f>
        <v>26.350000000000009</v>
      </c>
      <c r="H30" s="135">
        <f>H$23*$N$7/1000-$C30</f>
        <v>36.500000000000014</v>
      </c>
      <c r="I30" s="135">
        <f>I$23*$N$7/1000-$C30</f>
        <v>46.650000000000034</v>
      </c>
      <c r="J30" s="135">
        <f>J$23*$N$7/1000-$C30</f>
        <v>56.8</v>
      </c>
      <c r="M30" s="198"/>
    </row>
    <row r="31" spans="2:13" x14ac:dyDescent="0.2">
      <c r="B31" s="133"/>
      <c r="C31" s="140">
        <f t="shared" si="5"/>
        <v>72.5</v>
      </c>
      <c r="D31" s="135">
        <f>D$23*$N$7/1000-$C31</f>
        <v>-11.600000000000001</v>
      </c>
      <c r="E31" s="135">
        <f>E$23*$N$7/1000-$C31</f>
        <v>-1.4500000000000028</v>
      </c>
      <c r="F31" s="135">
        <f>F$23*$N$7/1000-$C31</f>
        <v>8.7000000000000171</v>
      </c>
      <c r="G31" s="135">
        <f>G$23*$N$7/1000-$C31</f>
        <v>18.850000000000009</v>
      </c>
      <c r="H31" s="135">
        <f>H$23*$N$7/1000-$C31</f>
        <v>29.000000000000014</v>
      </c>
      <c r="I31" s="135">
        <f>I$23*$N$7/1000-$C31</f>
        <v>39.150000000000034</v>
      </c>
      <c r="J31" s="135">
        <f>J$23*$N$7/1000-$C31</f>
        <v>49.3</v>
      </c>
    </row>
    <row r="32" spans="2:13" x14ac:dyDescent="0.2">
      <c r="B32" s="134"/>
      <c r="C32" s="141">
        <v>80</v>
      </c>
      <c r="D32" s="135">
        <f>D$23*$N$7/1000-$C32</f>
        <v>-19.100000000000001</v>
      </c>
      <c r="E32" s="135">
        <f>E$23*$N$7/1000-$C32</f>
        <v>-8.9500000000000028</v>
      </c>
      <c r="F32" s="135">
        <f>F$23*$N$7/1000-$C32</f>
        <v>1.2000000000000171</v>
      </c>
      <c r="G32" s="135">
        <f>G$23*$N$7/1000-$C32</f>
        <v>11.350000000000009</v>
      </c>
      <c r="H32" s="135">
        <f>H$23*$N$7/1000-$C32</f>
        <v>21.500000000000014</v>
      </c>
      <c r="I32" s="135">
        <f>I$23*$N$7/1000-$C32</f>
        <v>31.650000000000034</v>
      </c>
      <c r="J32" s="135">
        <f>J$23*$N$7/1000-$C32</f>
        <v>41.8</v>
      </c>
    </row>
    <row r="33" spans="2:13" s="195" customFormat="1" x14ac:dyDescent="0.2">
      <c r="B33" s="192"/>
      <c r="C33" s="193"/>
      <c r="D33" s="194"/>
      <c r="E33" s="194"/>
      <c r="F33" s="194"/>
      <c r="G33" s="194"/>
      <c r="H33" s="194"/>
      <c r="I33" s="194"/>
      <c r="J33" s="194"/>
    </row>
    <row r="34" spans="2:13" x14ac:dyDescent="0.2">
      <c r="B34" s="24" t="s">
        <v>182</v>
      </c>
      <c r="C34" s="24"/>
      <c r="D34" s="25"/>
      <c r="E34" s="25"/>
      <c r="F34" s="25"/>
      <c r="G34" s="25"/>
      <c r="H34" s="25"/>
      <c r="I34" s="25"/>
      <c r="J34" s="25"/>
    </row>
    <row r="35" spans="2:13" ht="3.95" customHeight="1" x14ac:dyDescent="0.2"/>
    <row r="36" spans="2:13" x14ac:dyDescent="0.2">
      <c r="B36" s="6"/>
      <c r="C36" s="6"/>
      <c r="D36" s="128" t="s">
        <v>176</v>
      </c>
      <c r="E36" s="129"/>
      <c r="F36" s="129"/>
      <c r="G36" s="129"/>
      <c r="H36" s="129"/>
      <c r="I36" s="129"/>
      <c r="J36" s="130"/>
    </row>
    <row r="37" spans="2:13" x14ac:dyDescent="0.2">
      <c r="B37" s="6"/>
      <c r="C37" s="6"/>
      <c r="D37" s="206" t="s">
        <v>180</v>
      </c>
      <c r="E37" s="202">
        <f>E38/$D38-1</f>
        <v>0.16666666666666674</v>
      </c>
      <c r="F37" s="202">
        <f t="shared" ref="F37" si="6">F38/$D38-1</f>
        <v>0.33333333333333348</v>
      </c>
      <c r="G37" s="202">
        <f t="shared" ref="G37" si="7">G38/$D38-1</f>
        <v>0.50000000000000022</v>
      </c>
      <c r="H37" s="202">
        <f t="shared" ref="H37" si="8">H38/$D38-1</f>
        <v>0.66666666666666696</v>
      </c>
      <c r="I37" s="202">
        <f t="shared" ref="I37" si="9">I38/$D38-1</f>
        <v>0.8333333333333337</v>
      </c>
      <c r="J37" s="205">
        <f t="shared" ref="J37" si="10">J38/$D38-1</f>
        <v>1</v>
      </c>
    </row>
    <row r="38" spans="2:13" x14ac:dyDescent="0.2">
      <c r="B38" s="126"/>
      <c r="D38" s="188">
        <v>7.25</v>
      </c>
      <c r="E38" s="196">
        <f>($J$23-$D$23)/6+D38</f>
        <v>8.4583333333333339</v>
      </c>
      <c r="F38" s="196">
        <f t="shared" ref="F38:I38" si="11">($J$23-$D$23)/6+E38</f>
        <v>9.6666666666666679</v>
      </c>
      <c r="G38" s="196">
        <f t="shared" si="11"/>
        <v>10.875000000000002</v>
      </c>
      <c r="H38" s="196">
        <f t="shared" si="11"/>
        <v>12.083333333333336</v>
      </c>
      <c r="I38" s="196">
        <f t="shared" si="11"/>
        <v>13.29166666666667</v>
      </c>
      <c r="J38" s="189">
        <f>D38*2</f>
        <v>14.5</v>
      </c>
      <c r="L38" s="190"/>
    </row>
    <row r="39" spans="2:13" x14ac:dyDescent="0.2">
      <c r="B39" s="132" t="s">
        <v>178</v>
      </c>
      <c r="C39" s="139">
        <v>20</v>
      </c>
      <c r="D39" s="131">
        <f>D$23*$N$7/1000-$C39</f>
        <v>40.9</v>
      </c>
      <c r="E39" s="131">
        <f>E$23*$N$7/1000-$C39</f>
        <v>51.05</v>
      </c>
      <c r="F39" s="131">
        <f>F$23*$N$7/1000-$C39</f>
        <v>61.200000000000017</v>
      </c>
      <c r="G39" s="131">
        <f>G$23*$N$7/1000-$C39</f>
        <v>71.350000000000009</v>
      </c>
      <c r="H39" s="203">
        <f>H$23*$N$7/1000-$C39</f>
        <v>81.500000000000014</v>
      </c>
      <c r="I39" s="200">
        <f>I$23*$N$7/1000-$C39</f>
        <v>91.650000000000034</v>
      </c>
      <c r="J39" s="200">
        <f>J$23*$N$7/1000-$C39</f>
        <v>101.8</v>
      </c>
    </row>
    <row r="40" spans="2:13" x14ac:dyDescent="0.2">
      <c r="B40" s="133"/>
      <c r="C40" s="140">
        <f>($C$32-$C$24)/8+C39</f>
        <v>27.5</v>
      </c>
      <c r="D40" s="135">
        <f>D$23*$N$7/1000-$C40</f>
        <v>33.4</v>
      </c>
      <c r="E40" s="135">
        <f>E$23*$N$7/1000-$C40</f>
        <v>43.55</v>
      </c>
      <c r="F40" s="135">
        <f>F$23*$N$7/1000-$C40</f>
        <v>53.700000000000017</v>
      </c>
      <c r="G40" s="135">
        <f>G$23*$N$7/1000-$C40</f>
        <v>63.850000000000009</v>
      </c>
      <c r="H40" s="204">
        <f>H$23*$N$7/1000-$C40</f>
        <v>74.000000000000014</v>
      </c>
      <c r="I40" s="204">
        <f>I$23*$N$7/1000-$C40</f>
        <v>84.150000000000034</v>
      </c>
      <c r="J40" s="201">
        <f>J$23*$N$7/1000-$C40</f>
        <v>94.3</v>
      </c>
    </row>
    <row r="41" spans="2:13" x14ac:dyDescent="0.2">
      <c r="B41" s="133"/>
      <c r="C41" s="140">
        <f t="shared" ref="C41:C46" si="12">($C$32-$C$24)/8+C40</f>
        <v>35</v>
      </c>
      <c r="D41" s="135">
        <f>D$23*$N$7/1000-$C41</f>
        <v>25.9</v>
      </c>
      <c r="E41" s="135">
        <f>E$23*$N$7/1000-$C41</f>
        <v>36.049999999999997</v>
      </c>
      <c r="F41" s="135">
        <f>F$23*$N$7/1000-$C41</f>
        <v>46.200000000000017</v>
      </c>
      <c r="G41" s="135">
        <f>G$23*$N$7/1000-$C41</f>
        <v>56.350000000000009</v>
      </c>
      <c r="H41" s="204">
        <f>H$23*$N$7/1000-$C41</f>
        <v>66.500000000000014</v>
      </c>
      <c r="I41" s="204">
        <f>I$23*$N$7/1000-$C41</f>
        <v>76.650000000000034</v>
      </c>
      <c r="J41" s="204">
        <f>J$23*$N$7/1000-$C41</f>
        <v>86.8</v>
      </c>
      <c r="M41" s="198"/>
    </row>
    <row r="42" spans="2:13" x14ac:dyDescent="0.2">
      <c r="B42" s="133"/>
      <c r="C42" s="140">
        <f t="shared" si="12"/>
        <v>42.5</v>
      </c>
      <c r="D42" s="135">
        <f>D$23*$N$7/1000-$C42</f>
        <v>18.399999999999999</v>
      </c>
      <c r="E42" s="135">
        <f>E$23*$N$7/1000-$C42</f>
        <v>28.549999999999997</v>
      </c>
      <c r="F42" s="135">
        <f>F$23*$N$7/1000-$C42</f>
        <v>38.700000000000017</v>
      </c>
      <c r="G42" s="135">
        <f>G$23*$N$7/1000-$C42</f>
        <v>48.850000000000009</v>
      </c>
      <c r="H42" s="204">
        <f>H$23*$N$7/1000-$C42</f>
        <v>59.000000000000014</v>
      </c>
      <c r="I42" s="204">
        <f>I$23*$N$7/1000-$C42</f>
        <v>69.150000000000034</v>
      </c>
      <c r="J42" s="204">
        <f>J$23*$N$7/1000-$C42</f>
        <v>79.3</v>
      </c>
      <c r="M42" s="199"/>
    </row>
    <row r="43" spans="2:13" x14ac:dyDescent="0.2">
      <c r="B43" s="133"/>
      <c r="C43" s="140">
        <f t="shared" si="12"/>
        <v>50</v>
      </c>
      <c r="D43" s="135">
        <f>D$23*$N$7/1000-$C43</f>
        <v>10.899999999999999</v>
      </c>
      <c r="E43" s="135">
        <f>E$23*$N$7/1000-$C43</f>
        <v>21.049999999999997</v>
      </c>
      <c r="F43" s="135">
        <f>F$23*$N$7/1000-$C43</f>
        <v>31.200000000000017</v>
      </c>
      <c r="G43" s="135">
        <f>G$23*$N$7/1000-$C43</f>
        <v>41.350000000000009</v>
      </c>
      <c r="H43" s="135">
        <f>H$23*$N$7/1000-$C43</f>
        <v>51.500000000000014</v>
      </c>
      <c r="I43" s="135">
        <f>I$23*$N$7/1000-$C43</f>
        <v>61.650000000000034</v>
      </c>
      <c r="J43" s="135">
        <f>J$23*$N$7/1000-$C43</f>
        <v>71.8</v>
      </c>
      <c r="M43" s="199"/>
    </row>
    <row r="44" spans="2:13" x14ac:dyDescent="0.2">
      <c r="B44" s="133"/>
      <c r="C44" s="140">
        <f t="shared" si="12"/>
        <v>57.5</v>
      </c>
      <c r="D44" s="135">
        <f>D$23*$N$7/1000-$C44</f>
        <v>3.3999999999999986</v>
      </c>
      <c r="E44" s="135">
        <f>E$23*$N$7/1000-$C44</f>
        <v>13.549999999999997</v>
      </c>
      <c r="F44" s="135">
        <f>F$23*$N$7/1000-$C44</f>
        <v>23.700000000000017</v>
      </c>
      <c r="G44" s="135">
        <f>G$23*$N$7/1000-$C44</f>
        <v>33.850000000000009</v>
      </c>
      <c r="H44" s="135">
        <f>H$23*$N$7/1000-$C44</f>
        <v>44.000000000000014</v>
      </c>
      <c r="I44" s="135">
        <f>I$23*$N$7/1000-$C44</f>
        <v>54.150000000000034</v>
      </c>
      <c r="J44" s="135">
        <f>J$23*$N$7/1000-$C44</f>
        <v>64.3</v>
      </c>
    </row>
    <row r="45" spans="2:13" x14ac:dyDescent="0.2">
      <c r="B45" s="133"/>
      <c r="C45" s="140">
        <f t="shared" si="12"/>
        <v>65</v>
      </c>
      <c r="D45" s="135">
        <f>D$23*$N$7/1000-$C45</f>
        <v>-4.1000000000000014</v>
      </c>
      <c r="E45" s="135">
        <f>E$23*$N$7/1000-$C45</f>
        <v>6.0499999999999972</v>
      </c>
      <c r="F45" s="135">
        <f>F$23*$N$7/1000-$C45</f>
        <v>16.200000000000017</v>
      </c>
      <c r="G45" s="135">
        <f>G$23*$N$7/1000-$C45</f>
        <v>26.350000000000009</v>
      </c>
      <c r="H45" s="135">
        <f>H$23*$N$7/1000-$C45</f>
        <v>36.500000000000014</v>
      </c>
      <c r="I45" s="135">
        <f>I$23*$N$7/1000-$C45</f>
        <v>46.650000000000034</v>
      </c>
      <c r="J45" s="135">
        <f>J$23*$N$7/1000-$C45</f>
        <v>56.8</v>
      </c>
      <c r="M45" s="198"/>
    </row>
    <row r="46" spans="2:13" x14ac:dyDescent="0.2">
      <c r="B46" s="133"/>
      <c r="C46" s="140">
        <f t="shared" si="12"/>
        <v>72.5</v>
      </c>
      <c r="D46" s="135">
        <f>D$23*$N$7/1000-$C46</f>
        <v>-11.600000000000001</v>
      </c>
      <c r="E46" s="135">
        <f>E$23*$N$7/1000-$C46</f>
        <v>-1.4500000000000028</v>
      </c>
      <c r="F46" s="135">
        <f>F$23*$N$7/1000-$C46</f>
        <v>8.7000000000000171</v>
      </c>
      <c r="G46" s="135">
        <f>G$23*$N$7/1000-$C46</f>
        <v>18.850000000000009</v>
      </c>
      <c r="H46" s="135">
        <f>H$23*$N$7/1000-$C46</f>
        <v>29.000000000000014</v>
      </c>
      <c r="I46" s="135">
        <f>I$23*$N$7/1000-$C46</f>
        <v>39.150000000000034</v>
      </c>
      <c r="J46" s="135">
        <f>J$23*$N$7/1000-$C46</f>
        <v>49.3</v>
      </c>
    </row>
    <row r="47" spans="2:13" x14ac:dyDescent="0.2">
      <c r="B47" s="134"/>
      <c r="C47" s="141">
        <v>80</v>
      </c>
      <c r="D47" s="135">
        <f>D$23*$N$7/1000-$C47</f>
        <v>-19.100000000000001</v>
      </c>
      <c r="E47" s="135">
        <f>E$23*$N$7/1000-$C47</f>
        <v>-8.9500000000000028</v>
      </c>
      <c r="F47" s="135">
        <f>F$23*$N$7/1000-$C47</f>
        <v>1.2000000000000171</v>
      </c>
      <c r="G47" s="135">
        <f>G$23*$N$7/1000-$C47</f>
        <v>11.350000000000009</v>
      </c>
      <c r="H47" s="135">
        <f>H$23*$N$7/1000-$C47</f>
        <v>21.500000000000014</v>
      </c>
      <c r="I47" s="135">
        <f>I$23*$N$7/1000-$C47</f>
        <v>31.650000000000034</v>
      </c>
      <c r="J47" s="135">
        <f>J$23*$N$7/1000-$C47</f>
        <v>41.8</v>
      </c>
    </row>
    <row r="48" spans="2:13" ht="3.95" customHeight="1" x14ac:dyDescent="0.2"/>
    <row r="49" spans="2:8" x14ac:dyDescent="0.2">
      <c r="B49" s="208" t="s">
        <v>183</v>
      </c>
      <c r="C49" s="201"/>
      <c r="D49" s="201"/>
      <c r="E49" s="201"/>
      <c r="F49" s="207"/>
      <c r="G49" s="207"/>
      <c r="H49" s="207"/>
    </row>
  </sheetData>
  <mergeCells count="3">
    <mergeCell ref="B9:B17"/>
    <mergeCell ref="B24:B32"/>
    <mergeCell ref="B39:B47"/>
  </mergeCells>
  <conditionalFormatting sqref="L8:O8 M26:M28 M30 M41:M43 M45 B1:J1048576">
    <cfRule type="expression" dxfId="7" priority="2">
      <formula>$M$3=1</formula>
    </cfRule>
  </conditionalFormatting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2E30B-43B2-48AD-A4F9-3A6156E23268}">
  <sheetPr>
    <tabColor theme="4" tint="0.79998168889431442"/>
    <pageSetUpPr fitToPage="1"/>
  </sheetPr>
  <dimension ref="B2:AB57"/>
  <sheetViews>
    <sheetView showGridLines="0" tabSelected="1" view="pageBreakPreview" zoomScale="130" zoomScaleNormal="160" zoomScaleSheetLayoutView="130" workbookViewId="0">
      <selection activeCell="F40" sqref="F40"/>
    </sheetView>
  </sheetViews>
  <sheetFormatPr defaultRowHeight="12" x14ac:dyDescent="0.2"/>
  <cols>
    <col min="1" max="1" width="1.7109375" style="109" customWidth="1"/>
    <col min="2" max="2" width="24" style="109" customWidth="1"/>
    <col min="3" max="3" width="10" style="109" bestFit="1" customWidth="1"/>
    <col min="4" max="4" width="12.28515625" style="109" bestFit="1" customWidth="1"/>
    <col min="5" max="5" width="8.85546875" style="109" bestFit="1" customWidth="1"/>
    <col min="6" max="6" width="10.42578125" style="109" bestFit="1" customWidth="1"/>
    <col min="7" max="7" width="13.5703125" style="109" bestFit="1" customWidth="1"/>
    <col min="8" max="8" width="12.85546875" style="109" bestFit="1" customWidth="1"/>
    <col min="9" max="9" width="13.42578125" style="109" bestFit="1" customWidth="1"/>
    <col min="10" max="10" width="4.28515625" style="109" customWidth="1"/>
    <col min="11" max="11" width="9.5703125" style="109" customWidth="1"/>
    <col min="12" max="16384" width="9.140625" style="109"/>
  </cols>
  <sheetData>
    <row r="2" spans="2:14" ht="16.5" x14ac:dyDescent="0.25">
      <c r="B2" s="110" t="str">
        <f>+Cover!B24</f>
        <v>Sunshine Commercial Investments</v>
      </c>
    </row>
    <row r="3" spans="2:14" x14ac:dyDescent="0.2">
      <c r="B3" s="9" t="s">
        <v>114</v>
      </c>
      <c r="C3" s="111"/>
      <c r="D3" s="111"/>
      <c r="E3" s="111"/>
      <c r="F3" s="111"/>
      <c r="G3" s="111"/>
      <c r="H3" s="111"/>
      <c r="I3" s="111"/>
    </row>
    <row r="4" spans="2:14" x14ac:dyDescent="0.2">
      <c r="K4" s="109" t="s">
        <v>7</v>
      </c>
      <c r="L4" s="21">
        <v>1</v>
      </c>
    </row>
    <row r="5" spans="2:14" x14ac:dyDescent="0.2">
      <c r="B5" s="33" t="s">
        <v>20</v>
      </c>
      <c r="C5" s="29"/>
    </row>
    <row r="6" spans="2:14" x14ac:dyDescent="0.2">
      <c r="B6" s="29" t="str">
        <f>+'Tennant View'!B23</f>
        <v>Total Current Rent</v>
      </c>
      <c r="C6" s="30">
        <f>+'Tennant View'!C33</f>
        <v>60900</v>
      </c>
    </row>
    <row r="7" spans="2:14" x14ac:dyDescent="0.2">
      <c r="B7" s="29" t="s">
        <v>19</v>
      </c>
      <c r="C7" s="17">
        <v>8400</v>
      </c>
    </row>
    <row r="8" spans="2:14" x14ac:dyDescent="0.2">
      <c r="B8" s="40" t="s">
        <v>20</v>
      </c>
      <c r="C8" s="46">
        <f>C6/C7</f>
        <v>7.25</v>
      </c>
    </row>
    <row r="9" spans="2:14" x14ac:dyDescent="0.2">
      <c r="B9" s="28"/>
      <c r="C9" s="29"/>
    </row>
    <row r="10" spans="2:14" s="209" customFormat="1" x14ac:dyDescent="0.2">
      <c r="B10" s="11" t="s">
        <v>184</v>
      </c>
      <c r="C10" s="11" t="s">
        <v>185</v>
      </c>
      <c r="D10" s="11" t="s">
        <v>187</v>
      </c>
      <c r="E10" s="11" t="s">
        <v>188</v>
      </c>
      <c r="F10" s="11" t="s">
        <v>189</v>
      </c>
      <c r="G10" s="11" t="s">
        <v>118</v>
      </c>
      <c r="H10" s="11" t="s">
        <v>190</v>
      </c>
      <c r="I10" s="11" t="s">
        <v>120</v>
      </c>
    </row>
    <row r="11" spans="2:14" s="209" customFormat="1" x14ac:dyDescent="0.2">
      <c r="B11" s="159" t="s">
        <v>216</v>
      </c>
      <c r="C11" s="115" t="s">
        <v>208</v>
      </c>
      <c r="D11" s="115">
        <v>800</v>
      </c>
      <c r="E11" s="115">
        <v>1998</v>
      </c>
      <c r="F11" s="115" t="s">
        <v>196</v>
      </c>
      <c r="G11" s="216">
        <v>19.5</v>
      </c>
      <c r="H11" s="216">
        <v>4.97</v>
      </c>
      <c r="I11" s="198">
        <v>24.47</v>
      </c>
      <c r="N11" s="211" t="s">
        <v>216</v>
      </c>
    </row>
    <row r="12" spans="2:14" s="209" customFormat="1" x14ac:dyDescent="0.2">
      <c r="B12" s="159" t="s">
        <v>204</v>
      </c>
      <c r="C12" s="115" t="s">
        <v>205</v>
      </c>
      <c r="D12" s="212">
        <v>1062</v>
      </c>
      <c r="E12" s="115">
        <v>2004</v>
      </c>
      <c r="F12" s="115" t="s">
        <v>202</v>
      </c>
      <c r="G12" s="216">
        <v>18.5</v>
      </c>
      <c r="H12" s="253" t="s">
        <v>197</v>
      </c>
      <c r="I12" s="253" t="s">
        <v>197</v>
      </c>
      <c r="N12" s="211" t="s">
        <v>204</v>
      </c>
    </row>
    <row r="13" spans="2:14" s="209" customFormat="1" x14ac:dyDescent="0.2">
      <c r="B13" s="159" t="s">
        <v>191</v>
      </c>
      <c r="C13" s="115" t="s">
        <v>192</v>
      </c>
      <c r="D13" s="212">
        <v>1291</v>
      </c>
      <c r="E13" s="115">
        <v>2004</v>
      </c>
      <c r="F13" s="115" t="s">
        <v>194</v>
      </c>
      <c r="G13" s="216">
        <v>18</v>
      </c>
      <c r="H13" s="216">
        <v>2.93</v>
      </c>
      <c r="I13" s="198">
        <f>G13+H13</f>
        <v>20.93</v>
      </c>
      <c r="N13" s="211" t="s">
        <v>191</v>
      </c>
    </row>
    <row r="14" spans="2:14" s="209" customFormat="1" x14ac:dyDescent="0.2">
      <c r="B14" s="159" t="s">
        <v>195</v>
      </c>
      <c r="C14" s="115" t="s">
        <v>192</v>
      </c>
      <c r="D14" s="212">
        <v>3110</v>
      </c>
      <c r="E14" s="115">
        <v>1951</v>
      </c>
      <c r="F14" s="115" t="s">
        <v>196</v>
      </c>
      <c r="G14" s="216">
        <v>18</v>
      </c>
      <c r="H14" s="253" t="s">
        <v>197</v>
      </c>
      <c r="I14" s="253" t="s">
        <v>197</v>
      </c>
      <c r="N14" s="211" t="s">
        <v>195</v>
      </c>
    </row>
    <row r="15" spans="2:14" s="209" customFormat="1" x14ac:dyDescent="0.2">
      <c r="B15" s="159" t="s">
        <v>212</v>
      </c>
      <c r="C15" s="115" t="s">
        <v>208</v>
      </c>
      <c r="D15" s="212">
        <v>1452</v>
      </c>
      <c r="E15" s="115">
        <v>1987</v>
      </c>
      <c r="F15" s="115" t="s">
        <v>196</v>
      </c>
      <c r="G15" s="216">
        <v>17.5</v>
      </c>
      <c r="H15" s="216">
        <v>3.5</v>
      </c>
      <c r="I15" s="198">
        <f>G15+H15</f>
        <v>21</v>
      </c>
      <c r="J15" s="217"/>
      <c r="N15" s="211" t="s">
        <v>212</v>
      </c>
    </row>
    <row r="16" spans="2:14" s="209" customFormat="1" x14ac:dyDescent="0.2">
      <c r="B16" s="159" t="s">
        <v>218</v>
      </c>
      <c r="C16" s="115" t="s">
        <v>208</v>
      </c>
      <c r="D16" s="212">
        <v>1200</v>
      </c>
      <c r="E16" s="115">
        <v>1990</v>
      </c>
      <c r="F16" s="115" t="s">
        <v>196</v>
      </c>
      <c r="G16" s="216">
        <v>16.5</v>
      </c>
      <c r="H16" s="253" t="s">
        <v>197</v>
      </c>
      <c r="I16" s="253" t="s">
        <v>197</v>
      </c>
      <c r="N16" s="211" t="s">
        <v>218</v>
      </c>
    </row>
    <row r="17" spans="2:14" s="209" customFormat="1" x14ac:dyDescent="0.2">
      <c r="B17" s="159" t="s">
        <v>200</v>
      </c>
      <c r="C17" s="115" t="s">
        <v>201</v>
      </c>
      <c r="D17" s="212">
        <v>1861</v>
      </c>
      <c r="E17" s="115">
        <v>1985</v>
      </c>
      <c r="F17" s="115" t="s">
        <v>202</v>
      </c>
      <c r="G17" s="216">
        <v>16</v>
      </c>
      <c r="H17" s="253" t="s">
        <v>197</v>
      </c>
      <c r="I17" s="253" t="s">
        <v>197</v>
      </c>
      <c r="N17" s="211" t="s">
        <v>200</v>
      </c>
    </row>
    <row r="18" spans="2:14" s="209" customFormat="1" x14ac:dyDescent="0.2">
      <c r="B18" s="159" t="s">
        <v>215</v>
      </c>
      <c r="C18" s="115" t="s">
        <v>208</v>
      </c>
      <c r="D18" s="212">
        <v>1100</v>
      </c>
      <c r="E18" s="115">
        <v>2004</v>
      </c>
      <c r="F18" s="115" t="s">
        <v>202</v>
      </c>
      <c r="G18" s="216">
        <v>16</v>
      </c>
      <c r="H18" s="216">
        <v>4.5</v>
      </c>
      <c r="I18" s="198">
        <v>20.5</v>
      </c>
      <c r="N18" s="211" t="s">
        <v>215</v>
      </c>
    </row>
    <row r="19" spans="2:14" s="209" customFormat="1" x14ac:dyDescent="0.2">
      <c r="B19" s="159" t="s">
        <v>211</v>
      </c>
      <c r="C19" s="115" t="s">
        <v>208</v>
      </c>
      <c r="D19" s="212">
        <v>3600</v>
      </c>
      <c r="E19" s="115">
        <v>1995</v>
      </c>
      <c r="F19" s="115" t="s">
        <v>196</v>
      </c>
      <c r="G19" s="216">
        <v>15.25</v>
      </c>
      <c r="H19" s="216">
        <v>4</v>
      </c>
      <c r="I19" s="198">
        <f>H19+G19</f>
        <v>19.25</v>
      </c>
      <c r="N19" s="211" t="s">
        <v>211</v>
      </c>
    </row>
    <row r="20" spans="2:14" s="209" customFormat="1" x14ac:dyDescent="0.2">
      <c r="B20" s="159" t="s">
        <v>198</v>
      </c>
      <c r="C20" s="115" t="s">
        <v>192</v>
      </c>
      <c r="D20" s="212">
        <v>2147</v>
      </c>
      <c r="E20" s="115">
        <v>1960</v>
      </c>
      <c r="F20" s="115" t="s">
        <v>199</v>
      </c>
      <c r="G20" s="216">
        <v>15</v>
      </c>
      <c r="H20" s="216">
        <v>2.25</v>
      </c>
      <c r="I20" s="198">
        <f>G20+H20</f>
        <v>17.25</v>
      </c>
      <c r="N20" s="211" t="s">
        <v>198</v>
      </c>
    </row>
    <row r="21" spans="2:14" s="209" customFormat="1" x14ac:dyDescent="0.2">
      <c r="B21" s="159" t="s">
        <v>217</v>
      </c>
      <c r="C21" s="115" t="s">
        <v>208</v>
      </c>
      <c r="D21" s="212">
        <v>1300</v>
      </c>
      <c r="E21" s="115">
        <v>1974</v>
      </c>
      <c r="F21" s="115" t="s">
        <v>196</v>
      </c>
      <c r="G21" s="216">
        <v>14.5</v>
      </c>
      <c r="H21" s="253" t="s">
        <v>197</v>
      </c>
      <c r="I21" s="253" t="s">
        <v>197</v>
      </c>
      <c r="N21" s="211" t="s">
        <v>217</v>
      </c>
    </row>
    <row r="22" spans="2:14" s="209" customFormat="1" x14ac:dyDescent="0.2">
      <c r="B22" s="159" t="s">
        <v>207</v>
      </c>
      <c r="C22" s="115" t="s">
        <v>208</v>
      </c>
      <c r="D22" s="212">
        <v>7800</v>
      </c>
      <c r="E22" s="115">
        <v>1985</v>
      </c>
      <c r="F22" s="115" t="s">
        <v>196</v>
      </c>
      <c r="G22" s="216">
        <v>14</v>
      </c>
      <c r="H22" s="216">
        <v>4.5</v>
      </c>
      <c r="I22" s="198">
        <f>+H22+G22</f>
        <v>18.5</v>
      </c>
      <c r="N22" s="211" t="s">
        <v>207</v>
      </c>
    </row>
    <row r="23" spans="2:14" s="209" customFormat="1" x14ac:dyDescent="0.2">
      <c r="B23" s="159" t="s">
        <v>213</v>
      </c>
      <c r="C23" s="115" t="s">
        <v>208</v>
      </c>
      <c r="D23" s="115">
        <v>900</v>
      </c>
      <c r="E23" s="115">
        <v>1952</v>
      </c>
      <c r="F23" s="115" t="s">
        <v>196</v>
      </c>
      <c r="G23" s="216">
        <v>13.5</v>
      </c>
      <c r="H23" s="216">
        <v>3.75</v>
      </c>
      <c r="I23" s="198">
        <f>+H23+G23</f>
        <v>17.25</v>
      </c>
      <c r="N23" s="211" t="s">
        <v>213</v>
      </c>
    </row>
    <row r="24" spans="2:14" s="209" customFormat="1" x14ac:dyDescent="0.2">
      <c r="B24" s="159" t="s">
        <v>214</v>
      </c>
      <c r="C24" s="115" t="s">
        <v>208</v>
      </c>
      <c r="D24" s="212">
        <v>1300</v>
      </c>
      <c r="E24" s="115">
        <v>1984</v>
      </c>
      <c r="F24" s="115" t="s">
        <v>196</v>
      </c>
      <c r="G24" s="216">
        <v>13.5</v>
      </c>
      <c r="H24" s="216">
        <v>3</v>
      </c>
      <c r="I24" s="198">
        <v>16.5</v>
      </c>
      <c r="N24" s="211" t="s">
        <v>214</v>
      </c>
    </row>
    <row r="25" spans="2:14" s="209" customFormat="1" x14ac:dyDescent="0.2">
      <c r="B25" s="221" t="s">
        <v>221</v>
      </c>
      <c r="C25" s="222"/>
      <c r="D25" s="226"/>
      <c r="E25" s="222"/>
      <c r="F25" s="222"/>
      <c r="G25" s="227">
        <f>AVERAGE(G11:G24)</f>
        <v>16.125</v>
      </c>
      <c r="H25" s="227">
        <f t="shared" ref="H25:I25" si="0">AVERAGE(H11:H24)</f>
        <v>3.7111111111111108</v>
      </c>
      <c r="I25" s="228">
        <f t="shared" si="0"/>
        <v>19.516666666666666</v>
      </c>
      <c r="J25" s="213"/>
    </row>
    <row r="26" spans="2:14" s="209" customFormat="1" x14ac:dyDescent="0.2">
      <c r="B26" s="223" t="s">
        <v>222</v>
      </c>
      <c r="C26" s="224" t="s">
        <v>192</v>
      </c>
      <c r="D26" s="225">
        <f>+C7</f>
        <v>8400</v>
      </c>
      <c r="E26" s="224">
        <v>1965</v>
      </c>
      <c r="F26" s="224" t="s">
        <v>196</v>
      </c>
      <c r="G26" s="229">
        <v>7.25</v>
      </c>
      <c r="H26" s="252">
        <v>0</v>
      </c>
      <c r="I26" s="230">
        <v>7.25</v>
      </c>
    </row>
    <row r="27" spans="2:14" s="236" customFormat="1" x14ac:dyDescent="0.2">
      <c r="C27" s="219"/>
      <c r="D27" s="220"/>
      <c r="E27" s="219"/>
      <c r="F27" s="219"/>
      <c r="G27" s="235"/>
      <c r="H27" s="238"/>
      <c r="I27" s="235"/>
    </row>
    <row r="28" spans="2:14" s="236" customFormat="1" x14ac:dyDescent="0.2">
      <c r="B28" s="24" t="s">
        <v>224</v>
      </c>
      <c r="C28" s="25"/>
      <c r="D28" s="25"/>
      <c r="E28" s="25"/>
      <c r="F28" s="219"/>
      <c r="G28" s="219"/>
      <c r="H28" s="219"/>
      <c r="I28" s="195"/>
    </row>
    <row r="29" spans="2:14" s="236" customFormat="1" ht="3.95" customHeight="1" x14ac:dyDescent="0.2">
      <c r="B29" s="154"/>
      <c r="C29" s="155"/>
      <c r="D29" s="155"/>
      <c r="E29" s="155"/>
      <c r="F29" s="155"/>
      <c r="G29" s="155"/>
      <c r="H29" s="155"/>
      <c r="I29" s="155"/>
    </row>
    <row r="30" spans="2:14" s="236" customFormat="1" x14ac:dyDescent="0.2">
      <c r="B30" s="218"/>
      <c r="C30" s="249" t="s">
        <v>223</v>
      </c>
      <c r="D30" s="239" t="s">
        <v>53</v>
      </c>
      <c r="E30" s="240"/>
      <c r="F30" s="219"/>
      <c r="G30" s="235"/>
      <c r="H30" s="238"/>
      <c r="I30" s="235"/>
    </row>
    <row r="31" spans="2:14" s="195" customFormat="1" x14ac:dyDescent="0.2">
      <c r="C31" s="250" t="s">
        <v>120</v>
      </c>
      <c r="D31" s="241" t="s">
        <v>118</v>
      </c>
      <c r="E31" s="242" t="s">
        <v>120</v>
      </c>
      <c r="F31" s="219"/>
      <c r="H31" s="237"/>
    </row>
    <row r="32" spans="2:14" s="195" customFormat="1" x14ac:dyDescent="0.2">
      <c r="B32" s="243" t="s">
        <v>225</v>
      </c>
      <c r="C32" s="245">
        <f>+C6/1000</f>
        <v>60.9</v>
      </c>
      <c r="D32" s="244">
        <f>$C$32*(1+D$33)</f>
        <v>135.44999999999999</v>
      </c>
      <c r="E32" s="245">
        <f>$C$32*(1+E$33)</f>
        <v>163.94</v>
      </c>
      <c r="F32" s="219"/>
      <c r="G32" s="237"/>
      <c r="H32" s="237"/>
      <c r="I32" s="237"/>
    </row>
    <row r="33" spans="2:28" s="195" customFormat="1" x14ac:dyDescent="0.2">
      <c r="B33" s="246" t="s">
        <v>38</v>
      </c>
      <c r="C33" s="251"/>
      <c r="D33" s="247">
        <f>G25/G26-1</f>
        <v>1.2241379310344827</v>
      </c>
      <c r="E33" s="248">
        <f>I25/I26-1</f>
        <v>1.6919540229885057</v>
      </c>
      <c r="F33" s="219"/>
      <c r="G33" s="237"/>
      <c r="H33" s="237"/>
      <c r="I33" s="237"/>
    </row>
    <row r="34" spans="2:28" s="195" customFormat="1" x14ac:dyDescent="0.2">
      <c r="B34" s="218"/>
      <c r="C34" s="219"/>
      <c r="D34" s="220"/>
      <c r="E34" s="219"/>
      <c r="F34" s="219"/>
      <c r="G34" s="237"/>
      <c r="H34" s="237"/>
      <c r="I34" s="237"/>
    </row>
    <row r="35" spans="2:28" s="195" customFormat="1" x14ac:dyDescent="0.2">
      <c r="B35" s="218"/>
      <c r="C35" s="219"/>
      <c r="D35" s="220"/>
      <c r="E35" s="219"/>
      <c r="F35" s="219"/>
      <c r="G35" s="237"/>
      <c r="H35" s="237"/>
      <c r="I35" s="237"/>
    </row>
    <row r="36" spans="2:28" x14ac:dyDescent="0.2">
      <c r="B36" s="231"/>
      <c r="C36" s="232"/>
      <c r="D36" s="233"/>
      <c r="E36" s="232"/>
      <c r="F36" s="232"/>
      <c r="G36" s="234"/>
      <c r="H36" s="234"/>
      <c r="I36" s="234"/>
    </row>
    <row r="37" spans="2:28" x14ac:dyDescent="0.2">
      <c r="G37" s="191">
        <v>1000</v>
      </c>
    </row>
    <row r="38" spans="2:28" x14ac:dyDescent="0.2">
      <c r="G38" s="191">
        <f>G37/20</f>
        <v>50</v>
      </c>
    </row>
    <row r="39" spans="2:28" x14ac:dyDescent="0.2">
      <c r="B39" s="33" t="s">
        <v>21</v>
      </c>
      <c r="C39" s="29"/>
      <c r="G39" s="254">
        <f>G37*0.065</f>
        <v>65</v>
      </c>
      <c r="AB39" s="37" t="s">
        <v>31</v>
      </c>
    </row>
    <row r="40" spans="2:28" x14ac:dyDescent="0.2">
      <c r="B40" s="34" t="s">
        <v>29</v>
      </c>
      <c r="C40" s="47">
        <v>8</v>
      </c>
      <c r="G40" s="191">
        <f>+G39+G38</f>
        <v>115</v>
      </c>
    </row>
    <row r="41" spans="2:28" x14ac:dyDescent="0.2">
      <c r="B41" s="34" t="s">
        <v>35</v>
      </c>
      <c r="C41" s="47">
        <v>10</v>
      </c>
    </row>
    <row r="42" spans="2:28" x14ac:dyDescent="0.2">
      <c r="B42" s="34" t="s">
        <v>30</v>
      </c>
      <c r="C42" s="47">
        <v>14</v>
      </c>
    </row>
    <row r="44" spans="2:28" x14ac:dyDescent="0.2">
      <c r="B44" s="29"/>
      <c r="C44" s="48" t="s">
        <v>34</v>
      </c>
      <c r="D44" s="48" t="s">
        <v>35</v>
      </c>
    </row>
    <row r="45" spans="2:28" x14ac:dyDescent="0.2">
      <c r="B45" s="33" t="s">
        <v>33</v>
      </c>
      <c r="C45" s="32"/>
      <c r="D45" s="29"/>
    </row>
    <row r="46" spans="2:28" x14ac:dyDescent="0.2">
      <c r="B46" s="34" t="s">
        <v>36</v>
      </c>
      <c r="C46" s="49">
        <f>+'Market Rent Analysis'!C40</f>
        <v>8</v>
      </c>
      <c r="D46" s="49">
        <f>+'Market Rent Analysis'!C41</f>
        <v>10</v>
      </c>
    </row>
    <row r="47" spans="2:28" x14ac:dyDescent="0.2">
      <c r="B47" s="36" t="s">
        <v>37</v>
      </c>
      <c r="C47" s="35">
        <f>+'Market Rent Analysis'!C7</f>
        <v>8400</v>
      </c>
      <c r="D47" s="35">
        <f>C47</f>
        <v>8400</v>
      </c>
    </row>
    <row r="48" spans="2:28" x14ac:dyDescent="0.2">
      <c r="B48" s="51" t="s">
        <v>32</v>
      </c>
      <c r="C48" s="52">
        <f>C46*C47</f>
        <v>67200</v>
      </c>
      <c r="D48" s="53">
        <f>D46*D47</f>
        <v>84000</v>
      </c>
    </row>
    <row r="49" spans="2:10" x14ac:dyDescent="0.2">
      <c r="B49" s="54" t="s">
        <v>38</v>
      </c>
      <c r="C49" s="55">
        <f>C48/'Market Rent Analysis'!$C$6-1</f>
        <v>0.10344827586206895</v>
      </c>
      <c r="D49" s="56">
        <f>D48/'Market Rent Analysis'!$C$6-1</f>
        <v>0.3793103448275863</v>
      </c>
    </row>
    <row r="52" spans="2:10" ht="12.75" thickBot="1" x14ac:dyDescent="0.25"/>
    <row r="53" spans="2:10" ht="12.75" thickBot="1" x14ac:dyDescent="0.25">
      <c r="B53" s="210" t="s">
        <v>184</v>
      </c>
      <c r="C53" s="210" t="s">
        <v>185</v>
      </c>
      <c r="D53" s="210" t="s">
        <v>186</v>
      </c>
      <c r="E53" s="210" t="s">
        <v>187</v>
      </c>
      <c r="F53" s="210" t="s">
        <v>188</v>
      </c>
      <c r="G53" s="210" t="s">
        <v>189</v>
      </c>
      <c r="H53" s="210" t="s">
        <v>118</v>
      </c>
      <c r="I53" s="210" t="s">
        <v>190</v>
      </c>
      <c r="J53" s="210" t="s">
        <v>120</v>
      </c>
    </row>
    <row r="54" spans="2:10" s="209" customFormat="1" x14ac:dyDescent="0.2">
      <c r="B54" s="211" t="s">
        <v>209</v>
      </c>
      <c r="C54" s="115" t="s">
        <v>208</v>
      </c>
      <c r="D54" s="115" t="s">
        <v>193</v>
      </c>
      <c r="E54" s="212">
        <v>26000</v>
      </c>
      <c r="F54" s="115">
        <v>1998</v>
      </c>
      <c r="G54" s="115" t="s">
        <v>210</v>
      </c>
      <c r="H54" s="115" t="s">
        <v>197</v>
      </c>
      <c r="I54" s="115" t="s">
        <v>197</v>
      </c>
      <c r="J54" s="213">
        <v>10</v>
      </c>
    </row>
    <row r="55" spans="2:10" x14ac:dyDescent="0.2">
      <c r="B55" s="211" t="s">
        <v>203</v>
      </c>
      <c r="C55" s="115" t="s">
        <v>192</v>
      </c>
      <c r="D55" s="115" t="s">
        <v>193</v>
      </c>
      <c r="E55" s="212">
        <v>23800</v>
      </c>
      <c r="F55" s="115">
        <v>1998</v>
      </c>
      <c r="G55" s="115" t="s">
        <v>196</v>
      </c>
      <c r="H55" s="115" t="s">
        <v>197</v>
      </c>
      <c r="I55" s="115" t="s">
        <v>197</v>
      </c>
      <c r="J55" s="213">
        <v>9.07</v>
      </c>
    </row>
    <row r="56" spans="2:10" x14ac:dyDescent="0.2">
      <c r="B56" s="211" t="s">
        <v>206</v>
      </c>
      <c r="C56" s="115" t="s">
        <v>192</v>
      </c>
      <c r="D56" s="115" t="s">
        <v>193</v>
      </c>
      <c r="E56" s="212">
        <v>17147</v>
      </c>
      <c r="F56" s="115">
        <v>2004</v>
      </c>
      <c r="G56" s="115" t="s">
        <v>196</v>
      </c>
      <c r="H56" s="115" t="s">
        <v>197</v>
      </c>
      <c r="I56" s="115" t="s">
        <v>197</v>
      </c>
      <c r="J56" s="213">
        <v>20.25</v>
      </c>
    </row>
    <row r="57" spans="2:10" x14ac:dyDescent="0.2">
      <c r="B57" s="211" t="s">
        <v>219</v>
      </c>
      <c r="C57" s="115" t="s">
        <v>208</v>
      </c>
      <c r="D57" s="212">
        <v>4380</v>
      </c>
      <c r="E57" s="115">
        <v>2000</v>
      </c>
      <c r="F57" s="115" t="s">
        <v>220</v>
      </c>
      <c r="G57" s="215"/>
      <c r="H57" s="215"/>
      <c r="I57" s="214">
        <v>19.5</v>
      </c>
    </row>
  </sheetData>
  <autoFilter ref="B10:I24" xr:uid="{1FB2E30B-43B2-48AD-A4F9-3A6156E23268}">
    <sortState xmlns:xlrd2="http://schemas.microsoft.com/office/spreadsheetml/2017/richdata2" ref="B11:I24">
      <sortCondition descending="1" ref="G10:G24"/>
    </sortState>
  </autoFilter>
  <conditionalFormatting sqref="B5:C9 B39:C42">
    <cfRule type="expression" dxfId="6" priority="6">
      <formula>$O$3=1</formula>
    </cfRule>
  </conditionalFormatting>
  <conditionalFormatting sqref="B44:D49">
    <cfRule type="expression" dxfId="5" priority="5">
      <formula>$O$3=1</formula>
    </cfRule>
  </conditionalFormatting>
  <conditionalFormatting sqref="H31 A31:A32 A30:I30 A27:A29 C27:I27 C31:F31 C32 F32:I32 A33:I1048576 A1:I26">
    <cfRule type="expression" dxfId="4" priority="4">
      <formula>$L$4=1</formula>
    </cfRule>
  </conditionalFormatting>
  <conditionalFormatting sqref="B29:I29">
    <cfRule type="expression" dxfId="3" priority="3">
      <formula>$L$3=1</formula>
    </cfRule>
  </conditionalFormatting>
  <conditionalFormatting sqref="B28:E28">
    <cfRule type="expression" dxfId="2" priority="2">
      <formula>$L$3=1</formula>
    </cfRule>
  </conditionalFormatting>
  <conditionalFormatting sqref="F28:H28">
    <cfRule type="expression" dxfId="1" priority="1">
      <formula>$L$4=1</formula>
    </cfRule>
  </conditionalFormatting>
  <hyperlinks>
    <hyperlink ref="AB39" r:id="rId1" xr:uid="{4B710544-674F-4FA8-B4DA-FA56D45B41A8}"/>
    <hyperlink ref="N13" r:id="rId2" display="https://images1.showcase.com/d2/U58AwmkgF_g4BHqXRoaY2zWjcW587hcIc0SDZnhqjG8/document.pdf" xr:uid="{FF0ACEDF-8052-441A-BB31-4CD7A16376EC}"/>
    <hyperlink ref="N14" r:id="rId3" display="https://images1.showcase.com/d2/pXEIMbMHsymva01Ik1UijAX2-FJx8fSLA-bjw5RFP1Y/document.pdf" xr:uid="{B6ECB7A9-FC41-4304-BDE6-DFC21C69FF8A}"/>
    <hyperlink ref="N20" r:id="rId4" display="https://realmo.com/listing/4848-ward-basin-rd-milton-fl-32583/11844022" xr:uid="{1A748C44-B029-463F-A02F-7E425D9B9644}"/>
    <hyperlink ref="N17" r:id="rId5" display="https://www.commercialsearch.com/commercial-property/us/fl/gulf-breeze/quietwater-bldg-1-suite-360-1/" xr:uid="{DC81D6D2-FE51-4833-A7F6-B0705A097D5D}"/>
    <hyperlink ref="B55" r:id="rId6" display="https://www.loopnet.com/Listing/8165-Progress-Dr-Milton-FL/30005179/" xr:uid="{BDE22254-1310-4C85-8928-08457AF0B6FE}"/>
    <hyperlink ref="N12" r:id="rId7" display="https://www.showcase.com/4628-summerdale-blvd-pace-fl-32571/38694774/" xr:uid="{39B14ED8-9222-4594-BA08-C5B5868F7581}"/>
    <hyperlink ref="B56" r:id="rId8" display="https://www.commercialcafe.com/commercial-property/us/fl/milton/5941-berryhill-road/" xr:uid="{93565C65-A382-4459-99B0-A72A4283B2EF}"/>
    <hyperlink ref="N22" r:id="rId9" display="https://www.cityfeet.com/cont/listing/4455-4497-mobile-hwy-pensacola-fl-32506/cs38731909?sk=b311911553034653a9bdd77920e80854" xr:uid="{8F31FACF-D09F-4253-8490-EE5DAE33422C}"/>
    <hyperlink ref="B54" r:id="rId10" display="https://www.cityfeet.com/cont/listing/50-s-blue-angel-pky-pensacola-fl-32506/cs25756394?sk=b311911553034653a9bdd77920e80854" xr:uid="{203F84B7-7412-4A8A-A424-F7706911895E}"/>
    <hyperlink ref="N19" r:id="rId11" display="https://www.cityfeet.com/cont/listing/275-w-airport-blvd-pensacola-fl-32505/cs40987829?sk=185fd027efce440283b13b848915a18a" xr:uid="{86B48B92-6BB1-4FF1-919D-A1CCB7D1C2D7}"/>
    <hyperlink ref="N15" r:id="rId12" display="https://www.cityfeet.com/cont/listing/5700-n-davis-hwy-pensacola-fl-32503/cs40677665?sk=185fd027efce440283b13b848915a18a" xr:uid="{7E9DDA30-C5F4-4138-BD3A-6DCD6EEF2D6D}"/>
    <hyperlink ref="N23" r:id="rId13" display="https://www.cityfeet.com/cont/listing/3620-3642-barrancas-ave-pensacola-fl-32507/cs27522007?sk=185fd027efce440283b13b848915a18a" xr:uid="{A8280557-5592-4DA2-8302-A4A9AAD688F3}"/>
    <hyperlink ref="N24" r:id="rId14" display="https://www.cityfeet.com/cont/listing/3960-w-navy-blvd-pensacola-fl-32507/cs28730232?sk=185fd027efce440283b13b848915a18a" xr:uid="{774B25CF-9CD3-4406-A33D-FC09A93C893C}"/>
    <hyperlink ref="N18" r:id="rId15" display="https://www.cityfeet.com/cont/listing/5022-w-fairfield-dr-pensacola-fl-32506/cs26762393?sk=61aecbefa81547bfbc1e933bb9b10fb7" xr:uid="{5A91DD6B-CBC3-4056-A8E2-ECEFAB8C50F6}"/>
    <hyperlink ref="N11" r:id="rId16" display="https://www.cityfeet.com/cont/listing/2115-w-9-mile-rd-pensacola-fl-32534/cs26548218?sk=61aecbefa81547bfbc1e933bb9b10fb7" xr:uid="{E186153D-4E56-459E-B158-AC5D5D99D5FF}"/>
    <hyperlink ref="N21" r:id="rId17" display="https://www.cityfeet.com/cont/listing/8602-8612-pensacola-blvd-pensacola-fl-32534/cs40869959?sk=61aecbefa81547bfbc1e933bb9b10fb7" xr:uid="{7209C271-60D7-43D8-8D9D-58B7E88EC9E2}"/>
    <hyperlink ref="N16" r:id="rId18" display="https://www.cityfeet.com/cont/listing/7000-pine-forest-rd-pensacola-fl-32526/cs39432918?sk=61aecbefa81547bfbc1e933bb9b10fb7" xr:uid="{73435382-76D8-43B1-8480-FD6E77DDAFC9}"/>
    <hyperlink ref="B57" r:id="rId19" display="https://www.cityfeet.com/cont/listing/1421-e-nine-mile-rd-pensacola-fl-32514/cs39301999?sk=4c70f067e93f47c6a62fba83a9a2e2b3" xr:uid="{B250DCCA-B6AA-4DB7-A4CD-C09B90CED2A7}"/>
  </hyperlinks>
  <pageMargins left="0.7" right="0.7" top="0.75" bottom="0.75" header="0.3" footer="0.3"/>
  <pageSetup orientation="landscape" r:id="rId20"/>
  <drawing r:id="rId2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ECA3E-E010-4545-872E-6A73A31BD1FD}">
  <sheetPr>
    <tabColor rgb="FFC00000"/>
  </sheetPr>
  <dimension ref="B2:AA10"/>
  <sheetViews>
    <sheetView showGridLines="0" zoomScale="160" zoomScaleNormal="160" workbookViewId="0">
      <selection activeCell="D25" sqref="D25"/>
    </sheetView>
  </sheetViews>
  <sheetFormatPr defaultRowHeight="12" x14ac:dyDescent="0.2"/>
  <cols>
    <col min="1" max="1" width="1.7109375" style="109" customWidth="1"/>
    <col min="2" max="2" width="26.7109375" style="109" customWidth="1"/>
    <col min="3" max="16384" width="9.140625" style="109"/>
  </cols>
  <sheetData>
    <row r="2" spans="2:27" ht="16.5" x14ac:dyDescent="0.25">
      <c r="B2" s="110" t="str">
        <f>+Cover!B24</f>
        <v>Sunshine Commercial Investments</v>
      </c>
    </row>
    <row r="3" spans="2:27" x14ac:dyDescent="0.2">
      <c r="B3" s="9" t="s">
        <v>114</v>
      </c>
      <c r="C3" s="111"/>
      <c r="D3" s="111"/>
      <c r="E3" s="111"/>
      <c r="F3" s="111"/>
      <c r="G3" s="111"/>
    </row>
    <row r="10" spans="2:27" x14ac:dyDescent="0.2">
      <c r="AA10" s="3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164C7-029F-40D1-9CB9-A4AEDA22B154}">
  <sheetPr>
    <tabColor theme="4" tint="0.79998168889431442"/>
    <pageSetUpPr fitToPage="1"/>
  </sheetPr>
  <dimension ref="B2:U73"/>
  <sheetViews>
    <sheetView showGridLines="0" view="pageBreakPreview" topLeftCell="A3" zoomScale="160" zoomScaleNormal="145" zoomScaleSheetLayoutView="160" workbookViewId="0">
      <selection activeCell="I12" sqref="I12"/>
    </sheetView>
  </sheetViews>
  <sheetFormatPr defaultRowHeight="12" x14ac:dyDescent="0.2"/>
  <cols>
    <col min="1" max="1" width="1.7109375" style="6" customWidth="1"/>
    <col min="2" max="2" width="24.42578125" style="6" customWidth="1"/>
    <col min="3" max="6" width="9.140625" style="6" customWidth="1"/>
    <col min="7" max="7" width="3.7109375" style="6" customWidth="1"/>
    <col min="8" max="16384" width="9.140625" style="6"/>
  </cols>
  <sheetData>
    <row r="2" spans="2:21" ht="15.75" x14ac:dyDescent="0.25">
      <c r="B2" s="8" t="str">
        <f>+Cover!B24</f>
        <v>Sunshine Commercial Investments</v>
      </c>
    </row>
    <row r="3" spans="2:21" x14ac:dyDescent="0.2">
      <c r="B3" s="9" t="s">
        <v>67</v>
      </c>
      <c r="C3" s="10"/>
      <c r="D3" s="10"/>
      <c r="E3" s="10"/>
      <c r="F3" s="10"/>
      <c r="H3" s="6" t="s">
        <v>7</v>
      </c>
      <c r="I3" s="21">
        <v>0</v>
      </c>
    </row>
    <row r="5" spans="2:21" x14ac:dyDescent="0.2">
      <c r="B5" s="24" t="s">
        <v>45</v>
      </c>
      <c r="C5" s="25"/>
      <c r="D5" s="25"/>
      <c r="E5" s="25"/>
      <c r="F5" s="25"/>
      <c r="G5" s="29"/>
    </row>
    <row r="6" spans="2:21" ht="3.95" customHeight="1" x14ac:dyDescent="0.2"/>
    <row r="7" spans="2:21" x14ac:dyDescent="0.2">
      <c r="C7" s="11" t="s">
        <v>46</v>
      </c>
      <c r="D7" s="11" t="s">
        <v>47</v>
      </c>
      <c r="E7" s="11" t="s">
        <v>48</v>
      </c>
      <c r="F7" s="11" t="s">
        <v>53</v>
      </c>
      <c r="G7" s="29"/>
      <c r="H7" s="29"/>
    </row>
    <row r="8" spans="2:21" ht="2.1" customHeight="1" x14ac:dyDescent="0.2">
      <c r="C8" s="27"/>
      <c r="D8" s="27"/>
      <c r="E8" s="27"/>
      <c r="F8" s="27"/>
      <c r="G8" s="29"/>
      <c r="H8" s="29"/>
    </row>
    <row r="9" spans="2:21" x14ac:dyDescent="0.2">
      <c r="B9" s="7" t="s">
        <v>49</v>
      </c>
      <c r="C9" s="65">
        <v>338.59399999999999</v>
      </c>
      <c r="D9" s="65">
        <v>357.94299999999998</v>
      </c>
      <c r="E9" s="65">
        <v>376.06</v>
      </c>
      <c r="F9" s="39">
        <f>E9*(1+C57)</f>
        <v>376.06</v>
      </c>
      <c r="G9" s="29"/>
      <c r="H9" s="29"/>
    </row>
    <row r="10" spans="2:21" s="29" customFormat="1" x14ac:dyDescent="0.2">
      <c r="B10" s="28" t="s">
        <v>50</v>
      </c>
      <c r="C10" s="28"/>
      <c r="D10" s="81">
        <f>D9/C9-1</f>
        <v>5.714513547198119E-2</v>
      </c>
      <c r="E10" s="81">
        <f>E9/D9-1</f>
        <v>5.0614203937498381E-2</v>
      </c>
      <c r="F10" s="81">
        <f>F9/E9-1</f>
        <v>0</v>
      </c>
    </row>
    <row r="11" spans="2:21" ht="3.95" customHeight="1" x14ac:dyDescent="0.2">
      <c r="B11" s="29"/>
      <c r="C11" s="29"/>
      <c r="D11" s="29"/>
      <c r="E11" s="29"/>
      <c r="F11" s="29"/>
      <c r="G11" s="29"/>
      <c r="H11" s="29"/>
    </row>
    <row r="12" spans="2:21" x14ac:dyDescent="0.2">
      <c r="B12" s="33" t="s">
        <v>59</v>
      </c>
      <c r="C12" s="29"/>
      <c r="D12" s="29"/>
      <c r="E12" s="29"/>
      <c r="F12" s="29"/>
      <c r="G12" s="29"/>
      <c r="H12" s="29"/>
    </row>
    <row r="13" spans="2:21" x14ac:dyDescent="0.2">
      <c r="B13" s="82" t="s">
        <v>51</v>
      </c>
      <c r="C13" s="85">
        <v>90.936000000000007</v>
      </c>
      <c r="D13" s="85">
        <v>91.989000000000004</v>
      </c>
      <c r="E13" s="85">
        <v>91.269000000000005</v>
      </c>
      <c r="F13" s="86">
        <f>F9*C58</f>
        <v>96.13433157094417</v>
      </c>
      <c r="G13" s="29"/>
      <c r="H13" s="29"/>
    </row>
    <row r="14" spans="2:21" x14ac:dyDescent="0.2">
      <c r="B14" s="64" t="s">
        <v>58</v>
      </c>
      <c r="C14" s="80">
        <f>C13/C$9</f>
        <v>0.26856943714300907</v>
      </c>
      <c r="D14" s="80">
        <f t="shared" ref="D14:F14" si="0">D13/D$9</f>
        <v>0.25699343191513735</v>
      </c>
      <c r="E14" s="80">
        <f t="shared" si="0"/>
        <v>0.24269797372759666</v>
      </c>
      <c r="F14" s="80">
        <f t="shared" si="0"/>
        <v>0.25563562083429286</v>
      </c>
      <c r="G14" s="29"/>
      <c r="H14" s="29"/>
    </row>
    <row r="15" spans="2:21" x14ac:dyDescent="0.2">
      <c r="B15" s="82" t="s">
        <v>52</v>
      </c>
      <c r="C15" s="83">
        <v>0</v>
      </c>
      <c r="D15" s="83">
        <v>0</v>
      </c>
      <c r="E15" s="87">
        <v>55</v>
      </c>
      <c r="F15" s="88">
        <f>+C60</f>
        <v>55</v>
      </c>
      <c r="G15" s="29"/>
      <c r="H15" s="29"/>
    </row>
    <row r="16" spans="2:21" x14ac:dyDescent="0.2">
      <c r="B16" s="64" t="s">
        <v>58</v>
      </c>
      <c r="C16" s="80">
        <f>C15/C$9</f>
        <v>0</v>
      </c>
      <c r="D16" s="80">
        <f t="shared" ref="D16" si="1">D15/D$9</f>
        <v>0</v>
      </c>
      <c r="E16" s="80">
        <f t="shared" ref="E16" si="2">E15/E$9</f>
        <v>0.14625325745891612</v>
      </c>
      <c r="F16" s="80">
        <f t="shared" ref="F16" si="3">F15/F$9</f>
        <v>0.14625325745891612</v>
      </c>
      <c r="G16" s="29"/>
      <c r="H16" s="29"/>
      <c r="U16" s="37"/>
    </row>
    <row r="17" spans="2:8" x14ac:dyDescent="0.2">
      <c r="B17" s="82" t="s">
        <v>62</v>
      </c>
      <c r="C17" s="83">
        <v>22.728000000000002</v>
      </c>
      <c r="D17" s="83">
        <v>46.543999999999997</v>
      </c>
      <c r="E17" s="83">
        <v>30.54</v>
      </c>
      <c r="F17" s="84">
        <f>+C61</f>
        <v>33.270666666666664</v>
      </c>
      <c r="G17" s="29"/>
      <c r="H17" s="29"/>
    </row>
    <row r="18" spans="2:8" s="23" customFormat="1" x14ac:dyDescent="0.2">
      <c r="B18" s="64" t="s">
        <v>58</v>
      </c>
      <c r="C18" s="80">
        <f>C17/C$9</f>
        <v>6.7124638948120763E-2</v>
      </c>
      <c r="D18" s="80">
        <f t="shared" ref="D18" si="4">D17/D$9</f>
        <v>0.13003187658370188</v>
      </c>
      <c r="E18" s="80">
        <f t="shared" ref="E18" si="5">E17/E$9</f>
        <v>8.1210445141732701E-2</v>
      </c>
      <c r="F18" s="80">
        <f t="shared" ref="F18" si="6">F17/F$9</f>
        <v>8.8471697778723241E-2</v>
      </c>
      <c r="G18" s="29"/>
      <c r="H18" s="29"/>
    </row>
    <row r="19" spans="2:8" s="29" customFormat="1" x14ac:dyDescent="0.2">
      <c r="B19" s="82" t="s">
        <v>64</v>
      </c>
      <c r="C19" s="83">
        <v>14.4</v>
      </c>
      <c r="D19" s="83">
        <v>13.2</v>
      </c>
      <c r="E19" s="83">
        <v>14.412000000000001</v>
      </c>
      <c r="F19" s="255">
        <f>+C62</f>
        <v>16.078817733990146</v>
      </c>
    </row>
    <row r="20" spans="2:8" s="23" customFormat="1" x14ac:dyDescent="0.2">
      <c r="B20" s="64" t="s">
        <v>58</v>
      </c>
      <c r="C20" s="80">
        <f>C19/C$9</f>
        <v>4.2528810315599214E-2</v>
      </c>
      <c r="D20" s="80">
        <f t="shared" ref="D20" si="7">D19/D$9</f>
        <v>3.6877379918031639E-2</v>
      </c>
      <c r="E20" s="80">
        <f t="shared" ref="E20" si="8">E19/E$9</f>
        <v>3.8323671754507259E-2</v>
      </c>
      <c r="F20" s="80">
        <f t="shared" ref="F20" si="9">F19/F$9</f>
        <v>4.2755990357895401E-2</v>
      </c>
      <c r="G20" s="29"/>
      <c r="H20" s="29"/>
    </row>
    <row r="21" spans="2:8" s="29" customFormat="1" x14ac:dyDescent="0.2">
      <c r="B21" s="82" t="s">
        <v>72</v>
      </c>
      <c r="C21" s="83">
        <v>0</v>
      </c>
      <c r="D21" s="83">
        <v>14.958</v>
      </c>
      <c r="E21" s="83">
        <v>4.3840000000000003</v>
      </c>
      <c r="F21" s="84">
        <f>+C64</f>
        <v>4.3840000000000003</v>
      </c>
    </row>
    <row r="22" spans="2:8" s="23" customFormat="1" x14ac:dyDescent="0.2">
      <c r="B22" s="64" t="s">
        <v>58</v>
      </c>
      <c r="C22" s="68">
        <f>C21/C$9</f>
        <v>0</v>
      </c>
      <c r="D22" s="80">
        <f t="shared" ref="D22" si="10">D21/D$9</f>
        <v>4.178877642529677E-2</v>
      </c>
      <c r="E22" s="80">
        <f t="shared" ref="E22" si="11">E21/E$9</f>
        <v>1.1657714194543424E-2</v>
      </c>
      <c r="F22" s="80">
        <f t="shared" ref="F22" si="12">F21/F$9</f>
        <v>1.1657714194543424E-2</v>
      </c>
      <c r="G22" s="29"/>
      <c r="H22" s="29"/>
    </row>
    <row r="23" spans="2:8" s="29" customFormat="1" x14ac:dyDescent="0.2">
      <c r="B23" s="93" t="s">
        <v>92</v>
      </c>
      <c r="C23" s="83">
        <v>0</v>
      </c>
      <c r="D23" s="83">
        <v>12.608000000000001</v>
      </c>
      <c r="E23" s="83">
        <v>14.67</v>
      </c>
      <c r="F23" s="84">
        <f ca="1">(C71/C72)+(C71*C73)</f>
        <v>57.336474791838135</v>
      </c>
      <c r="H23" s="28" t="s">
        <v>71</v>
      </c>
    </row>
    <row r="24" spans="2:8" s="23" customFormat="1" x14ac:dyDescent="0.2">
      <c r="B24" s="64" t="s">
        <v>58</v>
      </c>
      <c r="C24" s="68">
        <f>C23/C$9</f>
        <v>0</v>
      </c>
      <c r="D24" s="80">
        <f t="shared" ref="D24" si="13">D23/D$9</f>
        <v>3.5223485303525981E-2</v>
      </c>
      <c r="E24" s="80">
        <f t="shared" ref="E24" si="14">E23/E$9</f>
        <v>3.9009732489496358E-2</v>
      </c>
      <c r="F24" s="80">
        <f t="shared" ref="F24" ca="1" si="15">F23/F$9</f>
        <v>0.1524662947184974</v>
      </c>
      <c r="G24" s="29"/>
      <c r="H24" s="29"/>
    </row>
    <row r="25" spans="2:8" s="29" customFormat="1" x14ac:dyDescent="0.2">
      <c r="B25" s="82" t="s">
        <v>68</v>
      </c>
      <c r="C25" s="83">
        <v>8.6609999999999996</v>
      </c>
      <c r="D25" s="83">
        <v>27.542000000000002</v>
      </c>
      <c r="E25" s="83">
        <v>28.555</v>
      </c>
      <c r="F25" s="84">
        <f>+C63</f>
        <v>8.6609999999999996</v>
      </c>
      <c r="H25" s="28" t="s">
        <v>70</v>
      </c>
    </row>
    <row r="26" spans="2:8" s="23" customFormat="1" x14ac:dyDescent="0.2">
      <c r="B26" s="64" t="s">
        <v>58</v>
      </c>
      <c r="C26" s="80">
        <f>C25/C$9</f>
        <v>2.5579307371069775E-2</v>
      </c>
      <c r="D26" s="80">
        <f t="shared" ref="D26" si="16">D25/D$9</f>
        <v>7.6945211947153605E-2</v>
      </c>
      <c r="E26" s="80">
        <f t="shared" ref="E26" si="17">E25/E$9</f>
        <v>7.5932032122533633E-2</v>
      </c>
      <c r="F26" s="80">
        <f t="shared" ref="F26" si="18">F25/F$9</f>
        <v>2.3030899324575863E-2</v>
      </c>
      <c r="G26" s="29"/>
      <c r="H26" s="29"/>
    </row>
    <row r="27" spans="2:8" s="29" customFormat="1" x14ac:dyDescent="0.2">
      <c r="B27" s="82" t="s">
        <v>66</v>
      </c>
      <c r="C27" s="83">
        <v>0</v>
      </c>
      <c r="D27" s="83">
        <v>0</v>
      </c>
      <c r="E27" s="83">
        <v>0</v>
      </c>
      <c r="F27" s="84">
        <f>+F9*C66</f>
        <v>0</v>
      </c>
    </row>
    <row r="28" spans="2:8" s="23" customFormat="1" x14ac:dyDescent="0.2">
      <c r="B28" s="64" t="s">
        <v>58</v>
      </c>
      <c r="C28" s="68">
        <f>C27/C$9</f>
        <v>0</v>
      </c>
      <c r="D28" s="80">
        <f t="shared" ref="D28" si="19">D27/D$9</f>
        <v>0</v>
      </c>
      <c r="E28" s="80">
        <f t="shared" ref="E28" si="20">E27/E$9</f>
        <v>0</v>
      </c>
      <c r="F28" s="80">
        <f t="shared" ref="F28" si="21">F27/F$9</f>
        <v>0</v>
      </c>
      <c r="G28" s="29"/>
      <c r="H28" s="29"/>
    </row>
    <row r="29" spans="2:8" s="29" customFormat="1" x14ac:dyDescent="0.2">
      <c r="B29" s="82" t="s">
        <v>74</v>
      </c>
      <c r="C29" s="83">
        <f>+C31-C25-C23-C21-C19-C17-C15-C13-C27</f>
        <v>10.551999999999964</v>
      </c>
      <c r="D29" s="83">
        <f>+D31-D25-D23-D21-D19-D17-D15-D13-D27</f>
        <v>9.9200000000000017</v>
      </c>
      <c r="E29" s="83">
        <f>+E31-E25-E23-E21-E19-E17-E15-E13-E27</f>
        <v>8.8990000000000009</v>
      </c>
      <c r="F29" s="84">
        <f>+C67</f>
        <v>9.7903333333333222</v>
      </c>
    </row>
    <row r="30" spans="2:8" s="23" customFormat="1" x14ac:dyDescent="0.2">
      <c r="B30" s="64" t="s">
        <v>58</v>
      </c>
      <c r="C30" s="80">
        <f>C29/C$9</f>
        <v>3.1164167114597317E-2</v>
      </c>
      <c r="D30" s="80">
        <f t="shared" ref="D30" si="22">D29/D$9</f>
        <v>2.7713909756581362E-2</v>
      </c>
      <c r="E30" s="80">
        <f t="shared" ref="E30" si="23">E29/E$9</f>
        <v>2.3663777056852631E-2</v>
      </c>
      <c r="F30" s="80">
        <f t="shared" ref="F30" si="24">F29/F$9</f>
        <v>2.603396621106558E-2</v>
      </c>
      <c r="G30" s="29"/>
      <c r="H30" s="29"/>
    </row>
    <row r="31" spans="2:8" s="29" customFormat="1" x14ac:dyDescent="0.2">
      <c r="B31" s="18" t="s">
        <v>75</v>
      </c>
      <c r="C31" s="73">
        <v>147.27699999999999</v>
      </c>
      <c r="D31" s="73">
        <v>216.761</v>
      </c>
      <c r="E31" s="73">
        <v>247.72900000000001</v>
      </c>
      <c r="F31" s="20">
        <f ca="1">+F29+F25+F23+F21+F19+F17+F15+F13</f>
        <v>280.65562409677244</v>
      </c>
    </row>
    <row r="32" spans="2:8" s="23" customFormat="1" x14ac:dyDescent="0.2">
      <c r="B32" s="64" t="s">
        <v>58</v>
      </c>
      <c r="C32" s="80">
        <f>C31/C$9</f>
        <v>0.43496636089239615</v>
      </c>
      <c r="D32" s="80">
        <f t="shared" ref="D32" si="25">D31/D$9</f>
        <v>0.60557407184942857</v>
      </c>
      <c r="E32" s="80">
        <f t="shared" ref="E32" si="26">E31/E$9</f>
        <v>0.65874860394617885</v>
      </c>
      <c r="F32" s="80">
        <f t="shared" ref="F32" ca="1" si="27">F31/F$9</f>
        <v>0.74630544087850992</v>
      </c>
      <c r="G32" s="29"/>
      <c r="H32" s="29"/>
    </row>
    <row r="33" spans="2:6" s="29" customFormat="1" ht="3.95" customHeight="1" x14ac:dyDescent="0.2">
      <c r="B33" s="63"/>
      <c r="C33" s="17"/>
      <c r="D33" s="17"/>
      <c r="E33" s="17"/>
    </row>
    <row r="34" spans="2:6" s="29" customFormat="1" x14ac:dyDescent="0.2">
      <c r="B34" s="40" t="s">
        <v>87</v>
      </c>
      <c r="C34" s="74">
        <f>+C9-C31</f>
        <v>191.31700000000001</v>
      </c>
      <c r="D34" s="74">
        <f t="shared" ref="D34:F34" si="28">+D9-D31</f>
        <v>141.18199999999999</v>
      </c>
      <c r="E34" s="74">
        <f t="shared" si="28"/>
        <v>128.33099999999999</v>
      </c>
      <c r="F34" s="75">
        <f t="shared" ca="1" si="28"/>
        <v>95.40437590322756</v>
      </c>
    </row>
    <row r="35" spans="2:6" s="29" customFormat="1" ht="3.95" customHeight="1" x14ac:dyDescent="0.2">
      <c r="B35" s="63"/>
      <c r="C35" s="17"/>
      <c r="D35" s="17"/>
      <c r="E35" s="17"/>
    </row>
    <row r="36" spans="2:6" s="29" customFormat="1" x14ac:dyDescent="0.2">
      <c r="B36" s="33" t="s">
        <v>78</v>
      </c>
      <c r="C36" s="17"/>
      <c r="D36" s="17"/>
      <c r="E36" s="17"/>
    </row>
    <row r="37" spans="2:6" s="29" customFormat="1" x14ac:dyDescent="0.2">
      <c r="B37" s="63" t="s">
        <v>77</v>
      </c>
      <c r="C37" s="30">
        <f>+C34</f>
        <v>191.31700000000001</v>
      </c>
      <c r="D37" s="30">
        <f t="shared" ref="D37:F37" si="29">+D34</f>
        <v>141.18199999999999</v>
      </c>
      <c r="E37" s="30">
        <f t="shared" si="29"/>
        <v>128.33099999999999</v>
      </c>
      <c r="F37" s="30">
        <f t="shared" ca="1" si="29"/>
        <v>95.40437590322756</v>
      </c>
    </row>
    <row r="38" spans="2:6" s="29" customFormat="1" x14ac:dyDescent="0.2">
      <c r="B38" s="69" t="s">
        <v>88</v>
      </c>
      <c r="C38" s="35">
        <f>+C23</f>
        <v>0</v>
      </c>
      <c r="D38" s="35">
        <f t="shared" ref="D38:F38" si="30">+D23</f>
        <v>12.608000000000001</v>
      </c>
      <c r="E38" s="35">
        <f t="shared" si="30"/>
        <v>14.67</v>
      </c>
      <c r="F38" s="35">
        <f t="shared" ca="1" si="30"/>
        <v>57.336474791838135</v>
      </c>
    </row>
    <row r="39" spans="2:6" s="29" customFormat="1" x14ac:dyDescent="0.2">
      <c r="B39" s="69" t="s">
        <v>89</v>
      </c>
      <c r="C39" s="35">
        <f>+C25</f>
        <v>8.6609999999999996</v>
      </c>
      <c r="D39" s="35">
        <f>+D25</f>
        <v>27.542000000000002</v>
      </c>
      <c r="E39" s="35">
        <f>+E25</f>
        <v>28.555</v>
      </c>
      <c r="F39" s="35">
        <f>+F25</f>
        <v>8.6609999999999996</v>
      </c>
    </row>
    <row r="40" spans="2:6" s="29" customFormat="1" x14ac:dyDescent="0.2">
      <c r="B40" s="69" t="s">
        <v>90</v>
      </c>
      <c r="C40" s="35">
        <f>-$C$63</f>
        <v>-8.6609999999999996</v>
      </c>
      <c r="D40" s="35">
        <f t="shared" ref="D40:F40" si="31">-$C$63</f>
        <v>-8.6609999999999996</v>
      </c>
      <c r="E40" s="35">
        <f t="shared" si="31"/>
        <v>-8.6609999999999996</v>
      </c>
      <c r="F40" s="35">
        <f t="shared" si="31"/>
        <v>-8.6609999999999996</v>
      </c>
    </row>
    <row r="41" spans="2:6" s="29" customFormat="1" x14ac:dyDescent="0.2">
      <c r="B41" s="69" t="s">
        <v>91</v>
      </c>
      <c r="C41" s="35">
        <f t="shared" ref="C41:F41" si="32">+C27</f>
        <v>0</v>
      </c>
      <c r="D41" s="35">
        <f t="shared" si="32"/>
        <v>0</v>
      </c>
      <c r="E41" s="35">
        <f t="shared" si="32"/>
        <v>0</v>
      </c>
      <c r="F41" s="35">
        <f t="shared" si="32"/>
        <v>0</v>
      </c>
    </row>
    <row r="42" spans="2:6" s="29" customFormat="1" x14ac:dyDescent="0.2">
      <c r="B42" s="51" t="s">
        <v>86</v>
      </c>
      <c r="C42" s="76">
        <f>SUM(C37:C41)</f>
        <v>191.31700000000001</v>
      </c>
      <c r="D42" s="76">
        <f t="shared" ref="D42:F42" si="33">SUM(D37:D41)</f>
        <v>172.67099999999999</v>
      </c>
      <c r="E42" s="76">
        <f t="shared" si="33"/>
        <v>162.89499999999998</v>
      </c>
      <c r="F42" s="77">
        <f t="shared" ca="1" si="33"/>
        <v>152.74085069506569</v>
      </c>
    </row>
    <row r="43" spans="2:6" s="29" customFormat="1" x14ac:dyDescent="0.2">
      <c r="B43" s="54" t="s">
        <v>57</v>
      </c>
      <c r="C43" s="78">
        <f>C42/C$9</f>
        <v>0.56503363910760385</v>
      </c>
      <c r="D43" s="78">
        <f t="shared" ref="D43:F43" si="34">D42/D$9</f>
        <v>0.48239803544139709</v>
      </c>
      <c r="E43" s="78">
        <f t="shared" si="34"/>
        <v>0.43316226134127528</v>
      </c>
      <c r="F43" s="79">
        <f t="shared" ca="1" si="34"/>
        <v>0.40616085383998746</v>
      </c>
    </row>
    <row r="44" spans="2:6" s="29" customFormat="1" ht="3.95" customHeight="1" x14ac:dyDescent="0.2">
      <c r="B44" s="89"/>
      <c r="C44" s="90"/>
      <c r="D44" s="90"/>
      <c r="E44" s="90"/>
      <c r="F44" s="90"/>
    </row>
    <row r="45" spans="2:6" s="29" customFormat="1" x14ac:dyDescent="0.2">
      <c r="B45" s="69" t="s">
        <v>80</v>
      </c>
      <c r="C45" s="70">
        <f>+C15</f>
        <v>0</v>
      </c>
      <c r="D45" s="70">
        <f t="shared" ref="D45:F45" si="35">+D15</f>
        <v>0</v>
      </c>
      <c r="E45" s="70">
        <f t="shared" si="35"/>
        <v>55</v>
      </c>
      <c r="F45" s="70">
        <f t="shared" si="35"/>
        <v>55</v>
      </c>
    </row>
    <row r="46" spans="2:6" s="29" customFormat="1" ht="3.95" customHeight="1" x14ac:dyDescent="0.2">
      <c r="B46" s="89"/>
      <c r="C46" s="90"/>
      <c r="D46" s="90"/>
      <c r="E46" s="90"/>
      <c r="F46" s="90"/>
    </row>
    <row r="47" spans="2:6" s="29" customFormat="1" x14ac:dyDescent="0.2">
      <c r="B47" s="51" t="s">
        <v>83</v>
      </c>
      <c r="C47" s="76">
        <f>+C42+C45</f>
        <v>191.31700000000001</v>
      </c>
      <c r="D47" s="76">
        <f t="shared" ref="D47:F47" si="36">+D42+D45</f>
        <v>172.67099999999999</v>
      </c>
      <c r="E47" s="76">
        <f t="shared" si="36"/>
        <v>217.89499999999998</v>
      </c>
      <c r="F47" s="77">
        <f t="shared" ca="1" si="36"/>
        <v>207.74085069506569</v>
      </c>
    </row>
    <row r="48" spans="2:6" s="29" customFormat="1" x14ac:dyDescent="0.2">
      <c r="B48" s="54" t="s">
        <v>57</v>
      </c>
      <c r="C48" s="78">
        <f>C47/C$9</f>
        <v>0.56503363910760385</v>
      </c>
      <c r="D48" s="78">
        <f t="shared" ref="D48" si="37">D47/D$9</f>
        <v>0.48239803544139709</v>
      </c>
      <c r="E48" s="78">
        <f t="shared" ref="E48" si="38">E47/E$9</f>
        <v>0.57941551880019138</v>
      </c>
      <c r="F48" s="79">
        <f t="shared" ref="F48" ca="1" si="39">F47/F$9</f>
        <v>0.55241411129890361</v>
      </c>
    </row>
    <row r="49" spans="2:8" s="29" customFormat="1" ht="3.95" customHeight="1" x14ac:dyDescent="0.2">
      <c r="B49" s="89"/>
      <c r="C49" s="90"/>
      <c r="D49" s="90"/>
      <c r="E49" s="90"/>
      <c r="F49" s="90"/>
    </row>
    <row r="50" spans="2:8" s="29" customFormat="1" x14ac:dyDescent="0.2">
      <c r="B50" s="33" t="s">
        <v>82</v>
      </c>
      <c r="C50" s="90"/>
      <c r="D50" s="90"/>
      <c r="E50" s="90"/>
      <c r="F50" s="90"/>
    </row>
    <row r="51" spans="2:8" s="29" customFormat="1" x14ac:dyDescent="0.2">
      <c r="B51" s="63" t="s">
        <v>83</v>
      </c>
      <c r="C51" s="30">
        <f>+C47</f>
        <v>191.31700000000001</v>
      </c>
      <c r="D51" s="30">
        <f t="shared" ref="D51:F51" si="40">+D47</f>
        <v>172.67099999999999</v>
      </c>
      <c r="E51" s="30">
        <f t="shared" si="40"/>
        <v>217.89499999999998</v>
      </c>
      <c r="F51" s="30">
        <f t="shared" ca="1" si="40"/>
        <v>207.74085069506569</v>
      </c>
    </row>
    <row r="52" spans="2:8" s="29" customFormat="1" x14ac:dyDescent="0.2">
      <c r="B52" s="69" t="s">
        <v>84</v>
      </c>
      <c r="C52" s="92">
        <f>+$C$68</f>
        <v>3</v>
      </c>
      <c r="D52" s="92">
        <f>+$C$68</f>
        <v>3</v>
      </c>
      <c r="E52" s="92">
        <f>+$C$68</f>
        <v>3</v>
      </c>
      <c r="F52" s="92">
        <f>+$C$68</f>
        <v>3</v>
      </c>
    </row>
    <row r="53" spans="2:8" s="29" customFormat="1" x14ac:dyDescent="0.2">
      <c r="B53" s="40" t="s">
        <v>85</v>
      </c>
      <c r="C53" s="74">
        <f>C51*C52</f>
        <v>573.95100000000002</v>
      </c>
      <c r="D53" s="74">
        <f t="shared" ref="D53:F53" si="41">D51*D52</f>
        <v>518.01299999999992</v>
      </c>
      <c r="E53" s="74">
        <f t="shared" si="41"/>
        <v>653.68499999999995</v>
      </c>
      <c r="F53" s="75">
        <f t="shared" ca="1" si="41"/>
        <v>623.22255208519709</v>
      </c>
    </row>
    <row r="54" spans="2:8" s="29" customFormat="1" x14ac:dyDescent="0.2"/>
    <row r="55" spans="2:8" x14ac:dyDescent="0.2">
      <c r="B55" s="24" t="s">
        <v>54</v>
      </c>
      <c r="C55" s="25"/>
      <c r="D55" s="25"/>
      <c r="E55" s="25"/>
      <c r="F55" s="25"/>
      <c r="G55" s="29"/>
      <c r="H55" s="29"/>
    </row>
    <row r="56" spans="2:8" ht="3.95" customHeight="1" x14ac:dyDescent="0.2"/>
    <row r="57" spans="2:8" x14ac:dyDescent="0.2">
      <c r="B57" s="63" t="s">
        <v>55</v>
      </c>
      <c r="C57" s="66">
        <v>0</v>
      </c>
      <c r="D57" s="29"/>
      <c r="E57" s="29"/>
      <c r="F57" s="29"/>
      <c r="G57" s="29"/>
      <c r="H57" s="29"/>
    </row>
    <row r="58" spans="2:8" x14ac:dyDescent="0.2">
      <c r="B58" s="63" t="s">
        <v>56</v>
      </c>
      <c r="C58" s="67">
        <f>SUM(C13:E13)/SUM(C9:E9)</f>
        <v>0.25563562083429286</v>
      </c>
      <c r="D58" s="29"/>
      <c r="E58" s="29"/>
      <c r="F58" s="29"/>
      <c r="G58" s="29"/>
      <c r="H58" s="29"/>
    </row>
    <row r="59" spans="2:8" x14ac:dyDescent="0.2">
      <c r="B59" s="63" t="s">
        <v>60</v>
      </c>
      <c r="C59" s="17">
        <v>0</v>
      </c>
      <c r="D59" s="29"/>
      <c r="E59" s="29"/>
      <c r="F59" s="29"/>
      <c r="G59" s="29"/>
      <c r="H59" s="29"/>
    </row>
    <row r="60" spans="2:8" x14ac:dyDescent="0.2">
      <c r="B60" s="63" t="s">
        <v>61</v>
      </c>
      <c r="C60" s="17">
        <v>55</v>
      </c>
      <c r="D60" s="29"/>
      <c r="E60" s="29"/>
      <c r="F60" s="29"/>
      <c r="G60" s="29"/>
      <c r="H60" s="29"/>
    </row>
    <row r="61" spans="2:8" x14ac:dyDescent="0.2">
      <c r="B61" s="63" t="s">
        <v>63</v>
      </c>
      <c r="C61" s="70">
        <f>AVERAGE(C17:E17)</f>
        <v>33.270666666666664</v>
      </c>
      <c r="D61" s="29"/>
      <c r="E61" s="29"/>
      <c r="F61" s="29"/>
      <c r="G61" s="29"/>
      <c r="H61" s="29"/>
    </row>
    <row r="62" spans="2:8" x14ac:dyDescent="0.2">
      <c r="B62" s="63" t="s">
        <v>65</v>
      </c>
      <c r="C62" s="72">
        <f>+'Tennant View'!G29/1000</f>
        <v>16.078817733990146</v>
      </c>
    </row>
    <row r="63" spans="2:8" x14ac:dyDescent="0.2">
      <c r="B63" s="63" t="s">
        <v>69</v>
      </c>
      <c r="C63" s="35">
        <f>+C25</f>
        <v>8.6609999999999996</v>
      </c>
    </row>
    <row r="64" spans="2:8" x14ac:dyDescent="0.2">
      <c r="B64" s="63" t="s">
        <v>73</v>
      </c>
      <c r="C64" s="35">
        <f>+E21</f>
        <v>4.3840000000000003</v>
      </c>
    </row>
    <row r="65" spans="2:3" x14ac:dyDescent="0.2">
      <c r="B65" s="63" t="s">
        <v>76</v>
      </c>
      <c r="C65" s="72">
        <v>0</v>
      </c>
    </row>
    <row r="66" spans="2:3" x14ac:dyDescent="0.2">
      <c r="B66" s="94" t="s">
        <v>98</v>
      </c>
      <c r="C66" s="66">
        <v>0</v>
      </c>
    </row>
    <row r="67" spans="2:3" x14ac:dyDescent="0.2">
      <c r="B67" s="63" t="s">
        <v>79</v>
      </c>
      <c r="C67" s="70">
        <f>AVERAGE(C29:E29)</f>
        <v>9.7903333333333222</v>
      </c>
    </row>
    <row r="68" spans="2:3" x14ac:dyDescent="0.2">
      <c r="B68" s="63" t="s">
        <v>81</v>
      </c>
      <c r="C68" s="91">
        <v>3</v>
      </c>
    </row>
    <row r="69" spans="2:3" x14ac:dyDescent="0.2">
      <c r="B69" s="94" t="s">
        <v>96</v>
      </c>
      <c r="C69" s="95">
        <v>0.2</v>
      </c>
    </row>
    <row r="70" spans="2:3" x14ac:dyDescent="0.2">
      <c r="B70" s="94" t="s">
        <v>97</v>
      </c>
      <c r="C70" s="14">
        <f ca="1">+F53*C69</f>
        <v>124.64451041703943</v>
      </c>
    </row>
    <row r="71" spans="2:3" x14ac:dyDescent="0.2">
      <c r="B71" s="94" t="s">
        <v>94</v>
      </c>
      <c r="C71" s="16">
        <f ca="1">+F53*(1-C69)</f>
        <v>498.57804166815771</v>
      </c>
    </row>
    <row r="72" spans="2:3" x14ac:dyDescent="0.2">
      <c r="B72" s="94" t="s">
        <v>95</v>
      </c>
      <c r="C72" s="97">
        <v>20</v>
      </c>
    </row>
    <row r="73" spans="2:3" x14ac:dyDescent="0.2">
      <c r="B73" s="94" t="s">
        <v>93</v>
      </c>
      <c r="C73" s="96">
        <v>6.5000000000000002E-2</v>
      </c>
    </row>
  </sheetData>
  <conditionalFormatting sqref="B1:G6 C7:G8 B9:G68 C69:G69 D70:G72 C71:C73 B72:B73 B73:G1048576">
    <cfRule type="expression" dxfId="0" priority="1">
      <formula>$I$3=1</formula>
    </cfRule>
  </conditionalFormatting>
  <pageMargins left="0.7" right="0.7" top="0.75" bottom="0.75" header="0.3" footer="0.3"/>
  <pageSetup scale="90" orientation="portrait" r:id="rId1"/>
  <colBreaks count="1" manualBreakCount="1">
    <brk id="6" min="1" max="59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Cover</vt:lpstr>
      <vt:lpstr>Valuation Overview</vt:lpstr>
      <vt:lpstr>CRE P&amp;L</vt:lpstr>
      <vt:lpstr>Tennant View</vt:lpstr>
      <vt:lpstr>Sensitivity Analysis</vt:lpstr>
      <vt:lpstr>Market Rent Analysis</vt:lpstr>
      <vt:lpstr>CRE Precident Transactions</vt:lpstr>
      <vt:lpstr>Laundromat Valuation</vt:lpstr>
      <vt:lpstr>Cover!Print_Area</vt:lpstr>
      <vt:lpstr>'CRE P&amp;L'!Print_Area</vt:lpstr>
      <vt:lpstr>'Laundromat Valuation'!Print_Area</vt:lpstr>
      <vt:lpstr>'Market Rent Analysis'!Print_Area</vt:lpstr>
      <vt:lpstr>'Sensitivity Analysis'!Print_Area</vt:lpstr>
      <vt:lpstr>'Tennant View'!Print_Area</vt:lpstr>
      <vt:lpstr>'Valuation Overview'!Print_Area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Frank Moneymaker</dc:creator>
  <cp:lastModifiedBy>Frank Moneymaker</cp:lastModifiedBy>
  <cp:lastPrinted>2026-08-12T14:11:49Z</cp:lastPrinted>
  <dcterms:created xsi:type="dcterms:W3CDTF">2015-06-05T18:17:20Z</dcterms:created>
  <dcterms:modified xsi:type="dcterms:W3CDTF">2026-08-12T14:23:55Z</dcterms:modified>
</cp:coreProperties>
</file>