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16E29CEE-05E1-46C9-8798-4EE5367F4A27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Cover" sheetId="1" r:id="rId1"/>
    <sheet name="Valuation Overview" sheetId="4" r:id="rId2"/>
    <sheet name="CRE Income Capitalization" sheetId="3" r:id="rId3"/>
    <sheet name="Laundromat Valuation" sheetId="5" r:id="rId4"/>
  </sheets>
  <definedNames>
    <definedName name="_xlnm.Print_Area" localSheetId="0">Cover!$B$2:$Q$39</definedName>
    <definedName name="_xlnm.Print_Area" localSheetId="2">'CRE Income Capitalization'!$B$2:$G$57</definedName>
    <definedName name="_xlnm.Print_Area" localSheetId="3">'Laundromat Valuation'!$B$2:$F$73</definedName>
    <definedName name="_xlnm.Print_Area" localSheetId="1">'Valuation Overview'!$B$2:$F$35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40" i="3"/>
  <c r="D44" i="3"/>
  <c r="D43" i="3"/>
  <c r="D51" i="3"/>
  <c r="D56" i="3"/>
  <c r="D55" i="3" s="1"/>
  <c r="D40" i="3" s="1"/>
  <c r="D54" i="3"/>
  <c r="D10" i="4"/>
  <c r="D27" i="4"/>
  <c r="D15" i="4"/>
  <c r="F27" i="4"/>
  <c r="E27" i="4"/>
  <c r="C27" i="4"/>
  <c r="E15" i="4"/>
  <c r="F15" i="4"/>
  <c r="C15" i="4"/>
  <c r="E10" i="4"/>
  <c r="F10" i="4" s="1"/>
  <c r="C33" i="4"/>
  <c r="C32" i="4"/>
  <c r="C31" i="4"/>
  <c r="C30" i="4"/>
  <c r="C29" i="4"/>
  <c r="C21" i="4"/>
  <c r="C20" i="4"/>
  <c r="C19" i="4"/>
  <c r="C18" i="4"/>
  <c r="C17" i="4"/>
  <c r="B18" i="4"/>
  <c r="B30" i="4" s="1"/>
  <c r="B19" i="4"/>
  <c r="B31" i="4" s="1"/>
  <c r="B20" i="4"/>
  <c r="B32" i="4" s="1"/>
  <c r="B21" i="4"/>
  <c r="B33" i="4" s="1"/>
  <c r="B17" i="4"/>
  <c r="B29" i="4" s="1"/>
  <c r="F27" i="5"/>
  <c r="D40" i="5"/>
  <c r="E40" i="5"/>
  <c r="F40" i="5"/>
  <c r="C40" i="5"/>
  <c r="D52" i="5"/>
  <c r="E52" i="5"/>
  <c r="F52" i="5"/>
  <c r="C52" i="5"/>
  <c r="D45" i="5"/>
  <c r="E45" i="5"/>
  <c r="C45" i="5"/>
  <c r="E28" i="5"/>
  <c r="D28" i="5"/>
  <c r="C28" i="5"/>
  <c r="E26" i="5"/>
  <c r="D26" i="5"/>
  <c r="C26" i="5"/>
  <c r="E24" i="5"/>
  <c r="D24" i="5"/>
  <c r="C24" i="5"/>
  <c r="C39" i="5"/>
  <c r="D39" i="5"/>
  <c r="E39" i="5"/>
  <c r="C41" i="5"/>
  <c r="D41" i="5"/>
  <c r="E41" i="5"/>
  <c r="F41" i="5"/>
  <c r="D38" i="5"/>
  <c r="E38" i="5"/>
  <c r="C38" i="5"/>
  <c r="C29" i="5"/>
  <c r="C30" i="5" s="1"/>
  <c r="D29" i="5"/>
  <c r="D30" i="5" s="1"/>
  <c r="E29" i="5"/>
  <c r="E30" i="5" s="1"/>
  <c r="D34" i="5"/>
  <c r="D37" i="5" s="1"/>
  <c r="E34" i="5"/>
  <c r="E37" i="5" s="1"/>
  <c r="C34" i="5"/>
  <c r="C37" i="5" s="1"/>
  <c r="E32" i="5"/>
  <c r="D32" i="5"/>
  <c r="C32" i="5"/>
  <c r="E22" i="5"/>
  <c r="D22" i="5"/>
  <c r="C22" i="5"/>
  <c r="C64" i="5"/>
  <c r="F21" i="5" s="1"/>
  <c r="C63" i="5"/>
  <c r="F25" i="5" s="1"/>
  <c r="F39" i="5" s="1"/>
  <c r="E20" i="5"/>
  <c r="D20" i="5"/>
  <c r="C20" i="5"/>
  <c r="F9" i="5"/>
  <c r="F10" i="5" s="1"/>
  <c r="E18" i="5"/>
  <c r="D18" i="5"/>
  <c r="C18" i="5"/>
  <c r="C61" i="5"/>
  <c r="F17" i="5" s="1"/>
  <c r="E16" i="5"/>
  <c r="D16" i="5"/>
  <c r="C16" i="5"/>
  <c r="F15" i="5"/>
  <c r="F45" i="5" s="1"/>
  <c r="D14" i="5"/>
  <c r="E14" i="5"/>
  <c r="C14" i="5"/>
  <c r="C58" i="5"/>
  <c r="E10" i="5"/>
  <c r="D10" i="5"/>
  <c r="B2" i="5"/>
  <c r="C82" i="4"/>
  <c r="C84" i="4" s="1"/>
  <c r="B2" i="4"/>
  <c r="C15" i="3"/>
  <c r="E56" i="3"/>
  <c r="F56" i="3" s="1"/>
  <c r="G56" i="3" s="1"/>
  <c r="C54" i="3"/>
  <c r="F54" i="3"/>
  <c r="G54" i="3"/>
  <c r="E54" i="3"/>
  <c r="C32" i="3"/>
  <c r="D32" i="3" s="1"/>
  <c r="D31" i="3"/>
  <c r="C31" i="3"/>
  <c r="C33" i="3" s="1"/>
  <c r="F40" i="3" s="1"/>
  <c r="B50" i="3"/>
  <c r="E44" i="3"/>
  <c r="F44" i="3" s="1"/>
  <c r="G44" i="3" s="1"/>
  <c r="E43" i="3"/>
  <c r="F43" i="3" s="1"/>
  <c r="G43" i="3" s="1"/>
  <c r="B20" i="3"/>
  <c r="B40" i="3"/>
  <c r="E51" i="3"/>
  <c r="F51" i="3" s="1"/>
  <c r="G51" i="3" s="1"/>
  <c r="D14" i="3"/>
  <c r="D13" i="3"/>
  <c r="D12" i="3"/>
  <c r="D10" i="3"/>
  <c r="D11" i="3"/>
  <c r="B2" i="3"/>
  <c r="D46" i="3" l="1"/>
  <c r="D50" i="3" s="1"/>
  <c r="D52" i="3" s="1"/>
  <c r="D22" i="4"/>
  <c r="D48" i="3"/>
  <c r="C22" i="4"/>
  <c r="H17" i="4" s="1"/>
  <c r="C34" i="4"/>
  <c r="H19" i="4"/>
  <c r="H18" i="4"/>
  <c r="D15" i="3"/>
  <c r="F22" i="5"/>
  <c r="F13" i="5"/>
  <c r="F28" i="5"/>
  <c r="F26" i="5"/>
  <c r="D42" i="5"/>
  <c r="E42" i="5"/>
  <c r="C42" i="5"/>
  <c r="C67" i="5"/>
  <c r="F29" i="5" s="1"/>
  <c r="F30" i="5" s="1"/>
  <c r="F18" i="5"/>
  <c r="F16" i="5"/>
  <c r="F14" i="5"/>
  <c r="D33" i="3"/>
  <c r="G40" i="3" s="1"/>
  <c r="F22" i="4" s="1"/>
  <c r="F34" i="4" s="1"/>
  <c r="F46" i="3"/>
  <c r="C20" i="3"/>
  <c r="C22" i="3" s="1"/>
  <c r="B26" i="1"/>
  <c r="D21" i="4" l="1"/>
  <c r="D18" i="4"/>
  <c r="D34" i="4"/>
  <c r="D35" i="4" s="1"/>
  <c r="D20" i="4"/>
  <c r="D19" i="4"/>
  <c r="D17" i="4"/>
  <c r="E22" i="4"/>
  <c r="E34" i="4" s="1"/>
  <c r="E35" i="4" s="1"/>
  <c r="F17" i="4"/>
  <c r="C40" i="3"/>
  <c r="D23" i="4"/>
  <c r="H20" i="4"/>
  <c r="F20" i="4" s="1"/>
  <c r="H21" i="4"/>
  <c r="F23" i="4"/>
  <c r="E17" i="4"/>
  <c r="F21" i="4"/>
  <c r="E21" i="4"/>
  <c r="F35" i="4"/>
  <c r="F18" i="4"/>
  <c r="E18" i="4"/>
  <c r="F19" i="4"/>
  <c r="H31" i="4"/>
  <c r="H30" i="4"/>
  <c r="H32" i="4"/>
  <c r="H33" i="4"/>
  <c r="H29" i="4"/>
  <c r="C46" i="3"/>
  <c r="C50" i="3" s="1"/>
  <c r="C52" i="3" s="1"/>
  <c r="C47" i="5"/>
  <c r="C43" i="5"/>
  <c r="E43" i="5"/>
  <c r="E47" i="5"/>
  <c r="D43" i="5"/>
  <c r="D47" i="5"/>
  <c r="E46" i="3"/>
  <c r="E55" i="3" s="1"/>
  <c r="E57" i="3" s="1"/>
  <c r="E8" i="4" s="1"/>
  <c r="F50" i="3"/>
  <c r="F52" i="3" s="1"/>
  <c r="F55" i="3"/>
  <c r="F57" i="3" s="1"/>
  <c r="F8" i="4" s="1"/>
  <c r="G46" i="3"/>
  <c r="G48" i="3"/>
  <c r="D34" i="3"/>
  <c r="C34" i="3"/>
  <c r="D32" i="4" l="1"/>
  <c r="D30" i="4"/>
  <c r="D29" i="4"/>
  <c r="D33" i="4"/>
  <c r="D31" i="4"/>
  <c r="E23" i="4"/>
  <c r="E19" i="4"/>
  <c r="C55" i="3"/>
  <c r="C57" i="3" s="1"/>
  <c r="C8" i="4" s="1"/>
  <c r="E20" i="4"/>
  <c r="C48" i="3"/>
  <c r="F48" i="3"/>
  <c r="E48" i="3"/>
  <c r="E33" i="4"/>
  <c r="F33" i="4"/>
  <c r="E30" i="4"/>
  <c r="F30" i="4"/>
  <c r="E29" i="4"/>
  <c r="F29" i="4"/>
  <c r="E32" i="4"/>
  <c r="F32" i="4"/>
  <c r="E31" i="4"/>
  <c r="F31" i="4"/>
  <c r="I11" i="3"/>
  <c r="J11" i="3" s="1"/>
  <c r="C62" i="5" s="1"/>
  <c r="F19" i="5" s="1"/>
  <c r="F20" i="5" s="1"/>
  <c r="I10" i="3"/>
  <c r="I12" i="3"/>
  <c r="J12" i="3" s="1"/>
  <c r="I13" i="3"/>
  <c r="J13" i="3" s="1"/>
  <c r="I14" i="3"/>
  <c r="J14" i="3" s="1"/>
  <c r="E50" i="3"/>
  <c r="E52" i="3" s="1"/>
  <c r="D48" i="5"/>
  <c r="D51" i="5"/>
  <c r="D53" i="5" s="1"/>
  <c r="E48" i="5"/>
  <c r="E51" i="5"/>
  <c r="E53" i="5" s="1"/>
  <c r="C48" i="5"/>
  <c r="C51" i="5"/>
  <c r="C53" i="5" s="1"/>
  <c r="G50" i="3"/>
  <c r="G52" i="3" s="1"/>
  <c r="G55" i="3"/>
  <c r="G57" i="3" s="1"/>
  <c r="I15" i="3" l="1"/>
  <c r="J15" i="3" s="1"/>
  <c r="J10" i="3"/>
  <c r="F23" i="5" l="1"/>
  <c r="F24" i="5"/>
  <c r="F31" i="5"/>
  <c r="F32" i="5"/>
  <c r="F34" i="5"/>
  <c r="F37" i="5"/>
  <c r="F38" i="5"/>
  <c r="F42" i="5"/>
  <c r="F43" i="5"/>
  <c r="F47" i="5"/>
  <c r="F48" i="5"/>
  <c r="F51" i="5"/>
  <c r="F53" i="5"/>
  <c r="C70" i="5"/>
  <c r="C71" i="5"/>
  <c r="C7" i="4"/>
  <c r="D7" i="4"/>
  <c r="E7" i="4"/>
  <c r="F7" i="4"/>
  <c r="C9" i="4"/>
  <c r="D9" i="4"/>
  <c r="E9" i="4"/>
  <c r="F9" i="4"/>
  <c r="C11" i="4"/>
  <c r="D11" i="4"/>
  <c r="E11" i="4"/>
  <c r="F11" i="4"/>
</calcChain>
</file>

<file path=xl/sharedStrings.xml><?xml version="1.0" encoding="utf-8"?>
<sst xmlns="http://schemas.openxmlformats.org/spreadsheetml/2006/main" count="150" uniqueCount="126">
  <si>
    <t>Diligence Workbook</t>
  </si>
  <si>
    <t>Sunshine Commercial Investments</t>
  </si>
  <si>
    <t>Monthly</t>
  </si>
  <si>
    <t>Annual</t>
  </si>
  <si>
    <t>Laundromat</t>
  </si>
  <si>
    <t>Community Theater</t>
  </si>
  <si>
    <t>Turnaround Testron*</t>
  </si>
  <si>
    <t>Consignment Shop</t>
  </si>
  <si>
    <t>Book Store</t>
  </si>
  <si>
    <t>Print</t>
  </si>
  <si>
    <t>*Cannot verify through Google Maps -- appears to be Carrie’s Beauty Salon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</si>
  <si>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</si>
  <si>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</si>
  <si>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</si>
  <si>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</si>
  <si>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</si>
  <si>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</si>
  <si>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</si>
  <si>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</si>
  <si>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Estimated NOI</t>
  </si>
  <si>
    <t>Total Current Rent</t>
  </si>
  <si>
    <t>FY25</t>
  </si>
  <si>
    <t>(-) Insurance</t>
  </si>
  <si>
    <t>(-) Taxes</t>
  </si>
  <si>
    <t>(-) Utilities</t>
  </si>
  <si>
    <t>(-) Maintenance</t>
  </si>
  <si>
    <t>Net Operating Income</t>
  </si>
  <si>
    <t>Pro Forma Rent ($)</t>
  </si>
  <si>
    <t>Total Leasable Square Footage</t>
  </si>
  <si>
    <t>Current Rent / Sq. Ft.</t>
  </si>
  <si>
    <t>Market Rent Analysis</t>
  </si>
  <si>
    <t>(/) Prior Transaction Value</t>
  </si>
  <si>
    <t>Implied Cap Rate</t>
  </si>
  <si>
    <t>Based on this calculator (currently assumes $1M sale)</t>
  </si>
  <si>
    <t>(-) Property Management</t>
  </si>
  <si>
    <t>Assumes NNN structure</t>
  </si>
  <si>
    <t>Implied Rent Increase for NNN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</si>
  <si>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</si>
  <si>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</si>
  <si>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</si>
  <si>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</si>
  <si>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</si>
  <si>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</si>
  <si>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</si>
  <si>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</si>
  <si>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</si>
  <si>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</si>
  <si>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</si>
  <si>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</si>
  <si>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</si>
  <si>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Current Rent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</si>
  <si>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</si>
  <si>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</si>
  <si>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</si>
  <si>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</si>
  <si>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</si>
  <si>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</si>
  <si>
    <t>Laundromat P&amp;L Summary</t>
  </si>
  <si>
    <t>FY22</t>
  </si>
  <si>
    <t>FY23</t>
  </si>
  <si>
    <t>FY24</t>
  </si>
  <si>
    <t>Revenue</t>
  </si>
  <si>
    <t>% Growth</t>
  </si>
  <si>
    <t>Utilities</t>
  </si>
  <si>
    <t>Labor</t>
  </si>
  <si>
    <t>Pro Forma</t>
  </si>
  <si>
    <t>Laundromat Pro Forma Assumptions</t>
  </si>
  <si>
    <t>18-Month Revenue Growth</t>
  </si>
  <si>
    <t>Utilities Margin</t>
  </si>
  <si>
    <t>% Margin</t>
  </si>
  <si>
    <t>% Sales</t>
  </si>
  <si>
    <t>Expenses</t>
  </si>
  <si>
    <t>Go-Forward Labor Cost</t>
  </si>
  <si>
    <t>Monica's Compensation</t>
  </si>
  <si>
    <t>Repairs &amp; Maintenance</t>
  </si>
  <si>
    <t>Go-Forward Repairs</t>
  </si>
  <si>
    <t>Lease</t>
  </si>
  <si>
    <t>Normalized Lease</t>
  </si>
  <si>
    <t>Taxes</t>
  </si>
  <si>
    <t>Laundromat P&amp;L Summary &amp; Valuation ($000s)</t>
  </si>
  <si>
    <t>Depreciation</t>
  </si>
  <si>
    <t>Go-Forward Depreciation</t>
  </si>
  <si>
    <t>Note: The increased depreciation is due to acquiring the CRE in Feb'23</t>
  </si>
  <si>
    <t>Note: The increased interest is due to including half of the total mortgage interest allocated to the laundromat</t>
  </si>
  <si>
    <t>Insurance</t>
  </si>
  <si>
    <t>Go-Forward Insurance</t>
  </si>
  <si>
    <t>Other Expenses</t>
  </si>
  <si>
    <t>Total Expenses</t>
  </si>
  <si>
    <t>Go-Forward Interest</t>
  </si>
  <si>
    <t>Net Income</t>
  </si>
  <si>
    <t>EBITDA Bridge</t>
  </si>
  <si>
    <t>Go-Forward Other Expenses</t>
  </si>
  <si>
    <t>(+) Owner Compensation</t>
  </si>
  <si>
    <t>Valuation Multiple</t>
  </si>
  <si>
    <t>Business Valuation</t>
  </si>
  <si>
    <t>SDE</t>
  </si>
  <si>
    <t>(x) Valuation Multiple</t>
  </si>
  <si>
    <t>Laundromat Valuation</t>
  </si>
  <si>
    <t>Adj. EBITDA</t>
  </si>
  <si>
    <t>Reported Net Income</t>
  </si>
  <si>
    <t>(+) Interest</t>
  </si>
  <si>
    <t>(+) Depreciation</t>
  </si>
  <si>
    <t>(-) Capital Reserve</t>
  </si>
  <si>
    <t>(+) Taxes</t>
  </si>
  <si>
    <t>Debt Servicing</t>
  </si>
  <si>
    <t>Interest Rate</t>
  </si>
  <si>
    <t>Principal</t>
  </si>
  <si>
    <t>Loan Term (Years)</t>
  </si>
  <si>
    <t>Down Payment (%)</t>
  </si>
  <si>
    <t>Down Payment ($)</t>
  </si>
  <si>
    <t>Taxes (% Sales)</t>
  </si>
  <si>
    <t>Valuation Overview ($000s)</t>
  </si>
  <si>
    <t>Clearing Price</t>
  </si>
  <si>
    <t>Current Valuation</t>
  </si>
  <si>
    <t>Base-Rate Valuation</t>
  </si>
  <si>
    <t>Commercial Real Estate</t>
  </si>
  <si>
    <t>Annual Rent Impact</t>
  </si>
  <si>
    <t>Total Valuation</t>
  </si>
  <si>
    <t>NNN Valuation</t>
  </si>
  <si>
    <t>Monthly Rent Impact</t>
  </si>
  <si>
    <t>Total Monthly Rent</t>
  </si>
  <si>
    <t>Total Annual Rent</t>
  </si>
  <si>
    <t>(-) Asking Price</t>
  </si>
  <si>
    <t>Delta</t>
  </si>
  <si>
    <t>Clearing</t>
  </si>
  <si>
    <t>Commercial Real Estate Valuation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</si>
</sst>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]#,##0;\([$$]#,##0\);&quot;–&quot;;@"/>
    <numFmt numFmtId="165" formatCode="#,##0;\(#,##0\);&quot;–&quot;;@"/>
    <numFmt numFmtId="166" formatCode="[$$]#,##0.00;\([$$]#,##0.00\);&quot;–&quot;;@"/>
    <numFmt numFmtId="167" formatCode="#,##0.0%;\(#,##0.0%\);&quot;–&quot;;@"/>
    <numFmt numFmtId="168" formatCode="0.0%"/>
    <numFmt numFmtId="169" formatCode="[$$]#,##0.0;\([$$]#,##0.0\);&quot;–&quot;;@"/>
    <numFmt numFmtId="170" formatCode="#,##0%;\(#,##0%\);&quot;–&quot;;@"/>
    <numFmt numFmtId="171" formatCode="0.0\x;\(0.0\x\);&quot;–&quot;"/>
  </numFmts>
  <fonts count="3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3">
    <xf numFmtId="0" fontId="0" fillId="0" borderId="0"/>
    <xf numFmtId="9" fontId="20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19">
    <xf numFmtId="0" fontId="0" fillId="0" borderId="0" xfId="0"/>
    <xf numFmtId="0" fontId="7" fillId="2" borderId="0" xfId="0" applyFont="1" applyFill="1"/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vertical="center"/>
    </xf>
    <xf numFmtId="0" fontId="7" fillId="0" borderId="2" xfId="0" applyFont="1" applyBorder="1"/>
    <xf numFmtId="0" fontId="5" fillId="0" borderId="0" xfId="0" applyFont="1"/>
    <xf numFmtId="0" fontId="6" fillId="0" borderId="0" xfId="0" applyFont="1"/>
    <xf numFmtId="0" fontId="11" fillId="0" borderId="0" xfId="0" applyFont="1"/>
    <xf numFmtId="0" fontId="12" fillId="0" borderId="3" xfId="0" applyFont="1" applyBorder="1"/>
    <xf numFmtId="0" fontId="5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64" fontId="5" fillId="0" borderId="0" xfId="0" applyNumberFormat="1" applyFont="1"/>
    <xf numFmtId="164" fontId="13" fillId="0" borderId="0" xfId="0" applyNumberFormat="1" applyFont="1"/>
    <xf numFmtId="165" fontId="5" fillId="0" borderId="0" xfId="0" applyNumberFormat="1" applyFont="1"/>
    <xf numFmtId="165" fontId="13" fillId="0" borderId="0" xfId="0" applyNumberFormat="1" applyFont="1"/>
    <xf numFmtId="0" fontId="6" fillId="0" borderId="2" xfId="0" applyFont="1" applyBorder="1"/>
    <xf numFmtId="0" fontId="5" fillId="0" borderId="2" xfId="0" applyFont="1" applyBorder="1"/>
    <xf numFmtId="164" fontId="6" fillId="0" borderId="2" xfId="0" applyNumberFormat="1" applyFont="1" applyBorder="1"/>
    <xf numFmtId="165" fontId="13" fillId="0" borderId="5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6" fillId="3" borderId="0" xfId="0" applyFont="1" applyFill="1"/>
    <xf numFmtId="0" fontId="5" fillId="3" borderId="0" xfId="0" applyFont="1" applyFill="1"/>
    <xf numFmtId="164" fontId="1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4" fillId="0" borderId="0" xfId="0" applyFont="1"/>
    <xf numFmtId="164" fontId="17" fillId="0" borderId="0" xfId="0" applyNumberFormat="1" applyFont="1"/>
    <xf numFmtId="164" fontId="18" fillId="0" borderId="0" xfId="0" applyNumberFormat="1" applyFont="1"/>
    <xf numFmtId="166" fontId="6" fillId="0" borderId="0" xfId="0" applyNumberFormat="1" applyFont="1"/>
    <xf numFmtId="0" fontId="19" fillId="0" borderId="0" xfId="0" applyFont="1"/>
    <xf numFmtId="0" fontId="3" fillId="0" borderId="0" xfId="0" applyFont="1"/>
    <xf numFmtId="165" fontId="17" fillId="0" borderId="0" xfId="0" applyNumberFormat="1" applyFont="1"/>
    <xf numFmtId="0" fontId="3" fillId="0" borderId="0" xfId="0" applyFont="1" applyAlignment="1">
      <alignment horizontal="left" indent="1"/>
    </xf>
    <xf numFmtId="0" fontId="22" fillId="0" borderId="0" xfId="2" applyFont="1"/>
    <xf numFmtId="0" fontId="23" fillId="0" borderId="0" xfId="2" applyFont="1"/>
    <xf numFmtId="164" fontId="6" fillId="0" borderId="0" xfId="0" applyNumberFormat="1" applyFont="1"/>
    <xf numFmtId="0" fontId="6" fillId="4" borderId="6" xfId="0" applyFont="1" applyFill="1" applyBorder="1"/>
    <xf numFmtId="9" fontId="6" fillId="4" borderId="7" xfId="1" applyFont="1" applyFill="1" applyBorder="1"/>
    <xf numFmtId="167" fontId="6" fillId="4" borderId="4" xfId="0" applyNumberFormat="1" applyFont="1" applyFill="1" applyBorder="1"/>
    <xf numFmtId="167" fontId="6" fillId="4" borderId="7" xfId="0" applyNumberFormat="1" applyFont="1" applyFill="1" applyBorder="1"/>
    <xf numFmtId="168" fontId="13" fillId="5" borderId="0" xfId="0" applyNumberFormat="1" applyFont="1" applyFill="1"/>
    <xf numFmtId="168" fontId="17" fillId="5" borderId="0" xfId="0" applyNumberFormat="1" applyFont="1" applyFill="1"/>
    <xf numFmtId="164" fontId="6" fillId="4" borderId="4" xfId="0" applyNumberFormat="1" applyFont="1" applyFill="1" applyBorder="1"/>
    <xf numFmtId="166" fontId="6" fillId="4" borderId="7" xfId="0" applyNumberFormat="1" applyFont="1" applyFill="1" applyBorder="1"/>
    <xf numFmtId="169" fontId="13" fillId="0" borderId="0" xfId="0" applyNumberFormat="1" applyFont="1"/>
    <xf numFmtId="166" fontId="6" fillId="0" borderId="4" xfId="0" applyNumberFormat="1" applyFont="1" applyBorder="1" applyAlignment="1">
      <alignment horizontal="center"/>
    </xf>
    <xf numFmtId="169" fontId="17" fillId="0" borderId="0" xfId="0" applyNumberFormat="1" applyFont="1"/>
    <xf numFmtId="164" fontId="6" fillId="4" borderId="7" xfId="0" applyNumberFormat="1" applyFont="1" applyFill="1" applyBorder="1"/>
    <xf numFmtId="0" fontId="6" fillId="4" borderId="8" xfId="0" applyFont="1" applyFill="1" applyBorder="1"/>
    <xf numFmtId="164" fontId="6" fillId="4" borderId="2" xfId="0" applyNumberFormat="1" applyFont="1" applyFill="1" applyBorder="1"/>
    <xf numFmtId="164" fontId="6" fillId="4" borderId="9" xfId="0" applyNumberFormat="1" applyFont="1" applyFill="1" applyBorder="1"/>
    <xf numFmtId="0" fontId="24" fillId="4" borderId="10" xfId="0" applyFont="1" applyFill="1" applyBorder="1"/>
    <xf numFmtId="170" fontId="6" fillId="4" borderId="3" xfId="0" applyNumberFormat="1" applyFont="1" applyFill="1" applyBorder="1"/>
    <xf numFmtId="170" fontId="6" fillId="4" borderId="11" xfId="0" applyNumberFormat="1" applyFont="1" applyFill="1" applyBorder="1"/>
    <xf numFmtId="166" fontId="6" fillId="0" borderId="0" xfId="0" applyNumberFormat="1" applyFont="1" applyAlignment="1">
      <alignment horizontal="center"/>
    </xf>
    <xf numFmtId="9" fontId="6" fillId="4" borderId="4" xfId="1" applyFont="1" applyFill="1" applyBorder="1"/>
    <xf numFmtId="170" fontId="6" fillId="0" borderId="0" xfId="0" applyNumberFormat="1" applyFont="1"/>
    <xf numFmtId="164" fontId="6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165" fontId="6" fillId="0" borderId="2" xfId="0" applyNumberFormat="1" applyFont="1" applyBorder="1"/>
    <xf numFmtId="171" fontId="5" fillId="0" borderId="0" xfId="0" applyNumberFormat="1" applyFont="1"/>
    <xf numFmtId="165" fontId="6" fillId="4" borderId="7" xfId="0" applyNumberFormat="1" applyFont="1" applyFill="1" applyBorder="1"/>
    <xf numFmtId="0" fontId="2" fillId="0" borderId="0" xfId="0" applyFont="1"/>
    <xf numFmtId="0" fontId="12" fillId="0" borderId="0" xfId="0" applyFont="1" applyAlignment="1">
      <alignment horizontal="left" indent="1"/>
    </xf>
    <xf numFmtId="164" fontId="29" fillId="0" borderId="0" xfId="0" applyNumberFormat="1" applyFont="1"/>
    <xf numFmtId="167" fontId="13" fillId="0" borderId="0" xfId="0" applyNumberFormat="1" applyFont="1"/>
    <xf numFmtId="170" fontId="25" fillId="0" borderId="0" xfId="0" applyNumberFormat="1" applyFont="1"/>
    <xf numFmtId="167" fontId="27" fillId="0" borderId="0" xfId="0" applyNumberFormat="1" applyFont="1"/>
    <xf numFmtId="0" fontId="2" fillId="0" borderId="0" xfId="0" applyFont="1" applyAlignment="1">
      <alignment horizontal="left" indent="1"/>
    </xf>
    <xf numFmtId="165" fontId="25" fillId="0" borderId="0" xfId="0" applyNumberFormat="1" applyFont="1"/>
    <xf numFmtId="164" fontId="25" fillId="0" borderId="0" xfId="0" applyNumberFormat="1" applyFont="1"/>
    <xf numFmtId="165" fontId="16" fillId="0" borderId="0" xfId="0" applyNumberFormat="1" applyFont="1"/>
    <xf numFmtId="164" fontId="29" fillId="0" borderId="2" xfId="0" applyNumberFormat="1" applyFont="1" applyBorder="1"/>
    <xf numFmtId="164" fontId="26" fillId="4" borderId="4" xfId="0" applyNumberFormat="1" applyFont="1" applyFill="1" applyBorder="1"/>
    <xf numFmtId="164" fontId="26" fillId="4" borderId="7" xfId="0" applyNumberFormat="1" applyFont="1" applyFill="1" applyBorder="1"/>
    <xf numFmtId="164" fontId="26" fillId="4" borderId="2" xfId="0" applyNumberFormat="1" applyFont="1" applyFill="1" applyBorder="1"/>
    <xf numFmtId="164" fontId="26" fillId="4" borderId="9" xfId="0" applyNumberFormat="1" applyFont="1" applyFill="1" applyBorder="1"/>
    <xf numFmtId="170" fontId="28" fillId="4" borderId="3" xfId="0" applyNumberFormat="1" applyFont="1" applyFill="1" applyBorder="1"/>
    <xf numFmtId="170" fontId="28" fillId="4" borderId="11" xfId="0" applyNumberFormat="1" applyFont="1" applyFill="1" applyBorder="1"/>
    <xf numFmtId="170" fontId="27" fillId="0" borderId="0" xfId="0" applyNumberFormat="1" applyFont="1"/>
    <xf numFmtId="170" fontId="12" fillId="0" borderId="0" xfId="0" applyNumberFormat="1" applyFont="1"/>
    <xf numFmtId="0" fontId="2" fillId="6" borderId="0" xfId="0" applyFont="1" applyFill="1"/>
    <xf numFmtId="165" fontId="13" fillId="6" borderId="0" xfId="0" applyNumberFormat="1" applyFont="1" applyFill="1"/>
    <xf numFmtId="165" fontId="4" fillId="6" borderId="0" xfId="0" applyNumberFormat="1" applyFont="1" applyFill="1"/>
    <xf numFmtId="164" fontId="13" fillId="6" borderId="0" xfId="0" applyNumberFormat="1" applyFont="1" applyFill="1"/>
    <xf numFmtId="164" fontId="4" fillId="6" borderId="0" xfId="0" applyNumberFormat="1" applyFont="1" applyFill="1"/>
    <xf numFmtId="165" fontId="13" fillId="6" borderId="13" xfId="0" applyNumberFormat="1" applyFont="1" applyFill="1" applyBorder="1"/>
    <xf numFmtId="165" fontId="4" fillId="6" borderId="14" xfId="0" applyNumberFormat="1" applyFont="1" applyFill="1" applyBorder="1"/>
    <xf numFmtId="165" fontId="4" fillId="6" borderId="12" xfId="0" applyNumberFormat="1" applyFont="1" applyFill="1" applyBorder="1"/>
    <xf numFmtId="0" fontId="24" fillId="0" borderId="0" xfId="0" applyFont="1"/>
    <xf numFmtId="170" fontId="28" fillId="0" borderId="0" xfId="0" applyNumberFormat="1" applyFont="1"/>
    <xf numFmtId="171" fontId="13" fillId="0" borderId="0" xfId="0" applyNumberFormat="1" applyFont="1"/>
    <xf numFmtId="171" fontId="17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6" borderId="0" xfId="0" applyFont="1" applyFill="1"/>
    <xf numFmtId="0" fontId="1" fillId="0" borderId="0" xfId="0" applyFont="1"/>
    <xf numFmtId="9" fontId="13" fillId="0" borderId="0" xfId="0" applyNumberFormat="1" applyFont="1"/>
    <xf numFmtId="10" fontId="13" fillId="0" borderId="0" xfId="0" applyNumberFormat="1" applyFont="1"/>
    <xf numFmtId="0" fontId="13" fillId="0" borderId="0" xfId="0" applyFont="1"/>
    <xf numFmtId="0" fontId="6" fillId="0" borderId="4" xfId="0" applyFont="1" applyBorder="1" applyAlignment="1">
      <alignment horizontal="center" wrapText="1"/>
    </xf>
    <xf numFmtId="0" fontId="5" fillId="0" borderId="0" xfId="0" applyFont="1" applyBorder="1"/>
    <xf numFmtId="164" fontId="16" fillId="0" borderId="0" xfId="0" applyNumberFormat="1" applyFont="1" applyFill="1" applyBorder="1" applyAlignment="1"/>
    <xf numFmtId="0" fontId="6" fillId="0" borderId="0" xfId="0" applyFont="1" applyBorder="1" applyAlignment="1">
      <alignment horizontal="center" wrapText="1"/>
    </xf>
    <xf numFmtId="164" fontId="26" fillId="0" borderId="2" xfId="0" applyNumberFormat="1" applyFont="1" applyFill="1" applyBorder="1" applyAlignment="1"/>
    <xf numFmtId="170" fontId="5" fillId="0" borderId="0" xfId="0" applyNumberFormat="1" applyFont="1"/>
    <xf numFmtId="0" fontId="6" fillId="0" borderId="0" xfId="0" applyFont="1" applyBorder="1"/>
    <xf numFmtId="164" fontId="6" fillId="0" borderId="0" xfId="0" applyNumberFormat="1" applyFont="1" applyBorder="1"/>
    <xf numFmtId="0" fontId="1" fillId="0" borderId="0" xfId="0" applyFont="1" applyBorder="1" applyAlignment="1">
      <alignment horizontal="left" indent="1"/>
    </xf>
    <xf numFmtId="165" fontId="13" fillId="0" borderId="0" xfId="0" applyNumberFormat="1" applyFont="1" applyBorder="1"/>
    <xf numFmtId="165" fontId="17" fillId="0" borderId="0" xfId="0" applyNumberFormat="1" applyFont="1" applyBorder="1"/>
    <xf numFmtId="164" fontId="29" fillId="4" borderId="4" xfId="0" applyNumberFormat="1" applyFont="1" applyFill="1" applyBorder="1"/>
    <xf numFmtId="164" fontId="26" fillId="0" borderId="0" xfId="0" applyNumberFormat="1" applyFont="1"/>
  </cellXfs>
  <cellStyles count="3">
    <cellStyle name="Hyperlink" xfId="2" builtinId="8"/>
    <cellStyle name="Normal" xfId="0" builtinId="0"/>
    <cellStyle name="Percent" xfId="1" builtinId="5"/>
  </cellStyles>
  <dxfs count="9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282467</xdr:colOff>
      <xdr:row>4</xdr:row>
      <xdr:rowOff>11061</xdr:rowOff>
    </xdr:from>
    <xdr:to>
      <xdr:col>18</xdr:col>
      <xdr:colOff>168609</xdr:colOff>
      <xdr:row>11</xdr:row>
      <xdr:rowOff>128975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EEC68-518E-878D-DB51-7AD0985A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1" y="661389"/>
          <a:ext cx="3236314" cy="939034"/>
        </a:xfrm>
        <a:prstGeom prst="rect">
          <a:avLst/>
        </a:prstGeom>
      </xdr:spPr>
    </xdr:pic>
    <xdr:clientData/>
  </xdr:twoCellAnchor>
  <xdr:twoCellAnchor editAs="oneCell">
    <xdr:from>
      <xdr:col>13</xdr:col>
      <xdr:colOff>407</xdr:colOff>
      <xdr:row>12</xdr:row>
      <xdr:rowOff>118243</xdr:rowOff>
    </xdr:from>
    <xdr:to>
      <xdr:col>25</xdr:col>
      <xdr:colOff>483093</xdr:colOff>
      <xdr:row>21</xdr:row>
      <xdr:rowOff>101051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5CD2A0-8339-6DEF-1A3A-6E97DE6A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9045" y="1740777"/>
          <a:ext cx="7813651" cy="1066688"/>
        </a:xfrm>
        <a:prstGeom prst="rect">
          <a:avLst/>
        </a:prstGeom>
      </xdr:spPr>
    </xdr:pic>
    <xdr:clientData/>
  </xdr:twoCellAnchor>
  <xdr:twoCellAnchor editAs="oneCell">
    <xdr:from>
      <xdr:col>12</xdr:col>
      <xdr:colOff>275897</xdr:colOff>
      <xdr:row>23</xdr:row>
      <xdr:rowOff>45983</xdr:rowOff>
    </xdr:from>
    <xdr:to>
      <xdr:col>19</xdr:col>
      <xdr:colOff>448095</xdr:colOff>
      <xdr:row>32</xdr:row>
      <xdr:rowOff>86108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6A59C-D4B5-3604-B8CC-2FCE51C6F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3311" y="2949466"/>
          <a:ext cx="4133284" cy="139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commercialcafe.com/commercial-real-estate/us/fl/milton/" TargetMode="External"/><Relationship Id="rId1" Type="http://schemas.openxmlformats.org/officeDocument/2006/relationships/hyperlink" Target="https://srcpa.gov/tax-estimator/?parcel=33-2N-28-0000-02901-0000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97" t="s">
        <v>1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99" t="s">
        <v>0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100" t="str">
        <f ca="1">"As of "&amp;TEXT(TODAY(),"mm/dd/yy")</f>
        <v>As of 08/06/26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497-BA6D-42FA-B491-9EFF945B5FAF}">
  <sheetPr>
    <tabColor theme="9" tint="0.79998168889431442"/>
    <pageSetUpPr fitToPage="1"/>
  </sheetPr>
  <dimension ref="A2:I90"/>
  <sheetViews>
    <sheetView showGridLines="0" view="pageBreakPreview" zoomScaleNormal="145" zoomScaleSheetLayoutView="100" workbookViewId="0"/>
  </sheetViews>
  <sheetFormatPr defaultRowHeight="12" x14ac:dyDescent="0.2"/>
  <cols>
    <col min="1" max="1" width="1.7109375" style="6" customWidth="1"/>
    <col min="2" max="2" width="21.140625" style="6" customWidth="1"/>
    <col min="3" max="6" width="10.42578125" style="6" customWidth="1"/>
    <col min="7" max="7" width="4.42578125" style="6" customWidth="1"/>
    <col min="8" max="16384" width="9.140625" style="6"/>
  </cols>
  <sheetData>
    <row r="2" spans="2:9" ht="15.75" x14ac:dyDescent="0.25">
      <c r="B2" s="8" t="str">
        <f>+Cover!B24</f>
        <v>Sunshine Commercial Investments</v>
      </c>
    </row>
    <row r="3" spans="2:9" x14ac:dyDescent="0.2">
      <c r="B3" s="9" t="s">
        <v>111</v>
      </c>
      <c r="C3" s="10"/>
      <c r="D3" s="10"/>
      <c r="E3" s="10"/>
      <c r="F3" s="10"/>
      <c r="H3" s="6" t="s">
        <v>9</v>
      </c>
      <c r="I3" s="21">
        <v>1</v>
      </c>
    </row>
    <row r="5" spans="2:9" ht="24" x14ac:dyDescent="0.2">
      <c r="C5" s="106" t="s">
        <v>113</v>
      </c>
      <c r="D5" s="106" t="s">
        <v>112</v>
      </c>
      <c r="E5" s="106" t="s">
        <v>118</v>
      </c>
      <c r="F5" s="106" t="s">
        <v>114</v>
      </c>
    </row>
    <row r="6" spans="2:9" ht="2.1" customHeight="1" x14ac:dyDescent="0.2">
      <c r="C6" s="109"/>
      <c r="D6" s="109"/>
      <c r="E6" s="109"/>
      <c r="F6" s="109"/>
    </row>
    <row r="7" spans="2:9" x14ac:dyDescent="0.2">
      <c r="B7" s="102" t="s">
        <v>4</v>
      </c>
      <c r="C7" s="26">
        <f ca="1">ROUND(+'Laundromat Valuation'!F53,-2)</f>
        <v>600</v>
      </c>
      <c r="D7" s="30">
        <f ca="1">C7</f>
        <v>600</v>
      </c>
      <c r="E7" s="30">
        <f ca="1">C7</f>
        <v>600</v>
      </c>
      <c r="F7" s="30">
        <f ca="1">E7</f>
        <v>600</v>
      </c>
    </row>
    <row r="8" spans="2:9" x14ac:dyDescent="0.2">
      <c r="B8" s="102" t="s">
        <v>115</v>
      </c>
      <c r="C8" s="16">
        <f>+'CRE Income Capitalization'!C57/1000</f>
        <v>395.27499999999998</v>
      </c>
      <c r="D8" s="16">
        <f>+'CRE Income Capitalization'!D57/1000</f>
        <v>1000</v>
      </c>
      <c r="E8" s="16">
        <f>+'CRE Income Capitalization'!E57/1000</f>
        <v>1036.425</v>
      </c>
      <c r="F8" s="16">
        <f>+'CRE Income Capitalization'!F57/1000</f>
        <v>1115.175</v>
      </c>
    </row>
    <row r="9" spans="2:9" x14ac:dyDescent="0.2">
      <c r="B9" s="40" t="s">
        <v>117</v>
      </c>
      <c r="C9" s="46">
        <f ca="1">+C8+C7</f>
        <v>995.27499999999998</v>
      </c>
      <c r="D9" s="46">
        <f t="shared" ref="D9:F9" ca="1" si="0">+D8+D7</f>
        <v>1600</v>
      </c>
      <c r="E9" s="46">
        <f t="shared" ca="1" si="0"/>
        <v>1636.425</v>
      </c>
      <c r="F9" s="51">
        <f t="shared" ca="1" si="0"/>
        <v>1715.175</v>
      </c>
    </row>
    <row r="10" spans="2:9" x14ac:dyDescent="0.2">
      <c r="B10" s="114" t="s">
        <v>122</v>
      </c>
      <c r="C10" s="115">
        <v>-1600</v>
      </c>
      <c r="D10" s="116">
        <f>C10</f>
        <v>-1600</v>
      </c>
      <c r="E10" s="116">
        <f>C10</f>
        <v>-1600</v>
      </c>
      <c r="F10" s="116">
        <f>E10</f>
        <v>-1600</v>
      </c>
    </row>
    <row r="11" spans="2:9" x14ac:dyDescent="0.2">
      <c r="B11" s="40" t="s">
        <v>123</v>
      </c>
      <c r="C11" s="46">
        <f ca="1">+C9+C10</f>
        <v>-604.72500000000002</v>
      </c>
      <c r="D11" s="46">
        <f t="shared" ref="D11:F11" ca="1" si="1">+D9+D10</f>
        <v>0</v>
      </c>
      <c r="E11" s="46">
        <f t="shared" ca="1" si="1"/>
        <v>36.424999999999955</v>
      </c>
      <c r="F11" s="51">
        <f t="shared" ca="1" si="1"/>
        <v>115.17499999999995</v>
      </c>
    </row>
    <row r="12" spans="2:9" x14ac:dyDescent="0.2">
      <c r="B12" s="112"/>
      <c r="C12" s="113"/>
      <c r="D12" s="113"/>
      <c r="E12" s="113"/>
      <c r="F12" s="113"/>
    </row>
    <row r="13" spans="2:9" x14ac:dyDescent="0.2">
      <c r="B13" s="24" t="s">
        <v>116</v>
      </c>
      <c r="C13" s="25"/>
      <c r="D13" s="25"/>
      <c r="E13" s="25"/>
      <c r="F13" s="25"/>
    </row>
    <row r="14" spans="2:9" ht="3.95" customHeight="1" x14ac:dyDescent="0.2"/>
    <row r="15" spans="2:9" ht="24" x14ac:dyDescent="0.2">
      <c r="B15" s="33"/>
      <c r="C15" s="106" t="str">
        <f>+C$5</f>
        <v>Current Valuation</v>
      </c>
      <c r="D15" s="106" t="str">
        <f t="shared" ref="D15:F15" si="2">+D$5</f>
        <v>Clearing Price</v>
      </c>
      <c r="E15" s="106" t="str">
        <f t="shared" si="2"/>
        <v>NNN Valuation</v>
      </c>
      <c r="F15" s="106" t="str">
        <f t="shared" si="2"/>
        <v>Base-Rate Valuation</v>
      </c>
    </row>
    <row r="16" spans="2:9" ht="2.1" customHeight="1" x14ac:dyDescent="0.2">
      <c r="B16" s="33"/>
      <c r="C16" s="109"/>
      <c r="D16" s="109"/>
      <c r="E16" s="109"/>
      <c r="F16" s="109"/>
    </row>
    <row r="17" spans="2:8" ht="12" customHeight="1" x14ac:dyDescent="0.2">
      <c r="B17" s="6" t="str">
        <f>+'CRE Income Capitalization'!B10</f>
        <v>Community Theater</v>
      </c>
      <c r="C17" s="108">
        <f>+'CRE Income Capitalization'!D10/1000</f>
        <v>21.6</v>
      </c>
      <c r="D17" s="14">
        <f>D$22*$H17</f>
        <v>31.007172413793104</v>
      </c>
      <c r="E17" s="14">
        <f>E$22*$H17</f>
        <v>32.040709359605913</v>
      </c>
      <c r="F17" s="14">
        <f>F$22*$H17</f>
        <v>40.233812807881776</v>
      </c>
      <c r="H17" s="111">
        <f>C17/$C$22</f>
        <v>0.35467980295566504</v>
      </c>
    </row>
    <row r="18" spans="2:8" ht="12" customHeight="1" x14ac:dyDescent="0.2">
      <c r="B18" s="6" t="str">
        <f>+'CRE Income Capitalization'!B11</f>
        <v>Laundromat</v>
      </c>
      <c r="C18" s="108">
        <f>+'CRE Income Capitalization'!D11/1000</f>
        <v>14.4</v>
      </c>
      <c r="D18" s="16">
        <f t="shared" ref="D18:F21" si="3">D$22*$H18</f>
        <v>20.671448275862073</v>
      </c>
      <c r="E18" s="16">
        <f t="shared" si="3"/>
        <v>21.360472906403942</v>
      </c>
      <c r="F18" s="16">
        <f t="shared" si="3"/>
        <v>26.822541871921185</v>
      </c>
      <c r="H18" s="111">
        <f t="shared" ref="H18:H21" si="4">C18/$C$22</f>
        <v>0.23645320197044337</v>
      </c>
    </row>
    <row r="19" spans="2:8" ht="12" customHeight="1" x14ac:dyDescent="0.2">
      <c r="B19" s="6" t="str">
        <f>+'CRE Income Capitalization'!B12</f>
        <v>Turnaround Testron*</v>
      </c>
      <c r="C19" s="108">
        <f>+'CRE Income Capitalization'!D12/1000</f>
        <v>9.3000000000000007</v>
      </c>
      <c r="D19" s="16">
        <f t="shared" si="3"/>
        <v>13.350310344827587</v>
      </c>
      <c r="E19" s="16">
        <f t="shared" si="3"/>
        <v>13.795305418719213</v>
      </c>
      <c r="F19" s="16">
        <f t="shared" si="3"/>
        <v>17.322891625615764</v>
      </c>
      <c r="H19" s="111">
        <f t="shared" si="4"/>
        <v>0.15270935960591134</v>
      </c>
    </row>
    <row r="20" spans="2:8" ht="12" customHeight="1" x14ac:dyDescent="0.2">
      <c r="B20" s="6" t="str">
        <f>+'CRE Income Capitalization'!B13</f>
        <v>Consignment Shop</v>
      </c>
      <c r="C20" s="108">
        <f>+'CRE Income Capitalization'!D13/1000</f>
        <v>8.4</v>
      </c>
      <c r="D20" s="16">
        <f t="shared" si="3"/>
        <v>12.058344827586208</v>
      </c>
      <c r="E20" s="16">
        <f t="shared" si="3"/>
        <v>12.460275862068967</v>
      </c>
      <c r="F20" s="16">
        <f t="shared" si="3"/>
        <v>15.646482758620689</v>
      </c>
      <c r="H20" s="111">
        <f t="shared" si="4"/>
        <v>0.13793103448275862</v>
      </c>
    </row>
    <row r="21" spans="2:8" ht="12" customHeight="1" x14ac:dyDescent="0.2">
      <c r="B21" s="6" t="str">
        <f>+'CRE Income Capitalization'!B14</f>
        <v>Book Store</v>
      </c>
      <c r="C21" s="108">
        <f>+'CRE Income Capitalization'!D14/1000</f>
        <v>7.2</v>
      </c>
      <c r="D21" s="16">
        <f t="shared" si="3"/>
        <v>10.335724137931036</v>
      </c>
      <c r="E21" s="16">
        <f t="shared" si="3"/>
        <v>10.680236453201971</v>
      </c>
      <c r="F21" s="16">
        <f t="shared" si="3"/>
        <v>13.411270935960593</v>
      </c>
      <c r="H21" s="111">
        <f t="shared" si="4"/>
        <v>0.11822660098522168</v>
      </c>
    </row>
    <row r="22" spans="2:8" x14ac:dyDescent="0.2">
      <c r="B22" s="18" t="s">
        <v>121</v>
      </c>
      <c r="C22" s="110">
        <f>SUM(C17:C21)</f>
        <v>60.9</v>
      </c>
      <c r="D22" s="110">
        <f>+'CRE Income Capitalization'!D40/1000</f>
        <v>87.423000000000002</v>
      </c>
      <c r="E22" s="110">
        <f>+'CRE Income Capitalization'!E40/1000</f>
        <v>90.337000000000003</v>
      </c>
      <c r="F22" s="110">
        <f>+'CRE Income Capitalization'!G40/1000</f>
        <v>113.437</v>
      </c>
    </row>
    <row r="23" spans="2:8" x14ac:dyDescent="0.2">
      <c r="B23" s="28" t="s">
        <v>49</v>
      </c>
      <c r="C23" s="28"/>
      <c r="D23" s="84">
        <f>D22/$C$22-1</f>
        <v>0.43551724137931047</v>
      </c>
      <c r="E23" s="84">
        <f>E22/$C$22-1</f>
        <v>0.48336617405582927</v>
      </c>
      <c r="F23" s="84">
        <f>F22/$C$22-1</f>
        <v>0.86267651888341534</v>
      </c>
    </row>
    <row r="25" spans="2:8" x14ac:dyDescent="0.2">
      <c r="B25" s="24" t="s">
        <v>119</v>
      </c>
      <c r="C25" s="25"/>
      <c r="D25" s="25"/>
      <c r="E25" s="25"/>
      <c r="F25" s="25"/>
    </row>
    <row r="26" spans="2:8" ht="3.95" customHeight="1" x14ac:dyDescent="0.2"/>
    <row r="27" spans="2:8" ht="24" x14ac:dyDescent="0.2">
      <c r="B27" s="33"/>
      <c r="C27" s="106" t="str">
        <f>+C$5</f>
        <v>Current Valuation</v>
      </c>
      <c r="D27" s="106" t="str">
        <f t="shared" ref="D27:F27" si="5">+D$5</f>
        <v>Clearing Price</v>
      </c>
      <c r="E27" s="106" t="str">
        <f t="shared" si="5"/>
        <v>NNN Valuation</v>
      </c>
      <c r="F27" s="106" t="str">
        <f t="shared" si="5"/>
        <v>Base-Rate Valuation</v>
      </c>
    </row>
    <row r="28" spans="2:8" x14ac:dyDescent="0.2">
      <c r="B28" s="33"/>
      <c r="C28" s="109"/>
      <c r="D28" s="109"/>
      <c r="E28" s="109"/>
      <c r="F28" s="109"/>
    </row>
    <row r="29" spans="2:8" x14ac:dyDescent="0.2">
      <c r="B29" s="6" t="str">
        <f>+B17</f>
        <v>Community Theater</v>
      </c>
      <c r="C29" s="108">
        <f>+'CRE Income Capitalization'!C10</f>
        <v>1800</v>
      </c>
      <c r="D29" s="14">
        <f>D$34*$H29</f>
        <v>2583.9310344827586</v>
      </c>
      <c r="E29" s="14">
        <f>E$34*$H29</f>
        <v>2670.0591133004928</v>
      </c>
      <c r="F29" s="14">
        <f>F$34*$H29</f>
        <v>3352.8177339901481</v>
      </c>
      <c r="H29" s="111">
        <f>C29/$C$34</f>
        <v>0.35467980295566504</v>
      </c>
    </row>
    <row r="30" spans="2:8" x14ac:dyDescent="0.2">
      <c r="B30" s="6" t="str">
        <f t="shared" ref="B30:B33" si="6">+B18</f>
        <v>Laundromat</v>
      </c>
      <c r="C30" s="108">
        <f>+'CRE Income Capitalization'!C11</f>
        <v>1200</v>
      </c>
      <c r="D30" s="16">
        <f t="shared" ref="D30:F33" si="7">D$34*$H30</f>
        <v>1722.6206896551723</v>
      </c>
      <c r="E30" s="16">
        <f t="shared" si="7"/>
        <v>1780.0394088669952</v>
      </c>
      <c r="F30" s="16">
        <f t="shared" si="7"/>
        <v>2235.2118226600987</v>
      </c>
      <c r="H30" s="111">
        <f t="shared" ref="H30:H33" si="8">C30/$C$34</f>
        <v>0.23645320197044334</v>
      </c>
    </row>
    <row r="31" spans="2:8" x14ac:dyDescent="0.2">
      <c r="B31" s="6" t="str">
        <f t="shared" si="6"/>
        <v>Turnaround Testron*</v>
      </c>
      <c r="C31" s="108">
        <f>+'CRE Income Capitalization'!C12</f>
        <v>775</v>
      </c>
      <c r="D31" s="16">
        <f t="shared" si="7"/>
        <v>1112.5258620689656</v>
      </c>
      <c r="E31" s="16">
        <f t="shared" si="7"/>
        <v>1149.6087848932677</v>
      </c>
      <c r="F31" s="16">
        <f t="shared" si="7"/>
        <v>1443.574302134647</v>
      </c>
      <c r="H31" s="111">
        <f t="shared" si="8"/>
        <v>0.15270935960591134</v>
      </c>
    </row>
    <row r="32" spans="2:8" x14ac:dyDescent="0.2">
      <c r="B32" s="6" t="str">
        <f t="shared" si="6"/>
        <v>Consignment Shop</v>
      </c>
      <c r="C32" s="108">
        <f>+'CRE Income Capitalization'!C13</f>
        <v>700</v>
      </c>
      <c r="D32" s="16">
        <f t="shared" si="7"/>
        <v>1004.8620689655172</v>
      </c>
      <c r="E32" s="16">
        <f t="shared" si="7"/>
        <v>1038.3563218390805</v>
      </c>
      <c r="F32" s="16">
        <f t="shared" si="7"/>
        <v>1303.8735632183909</v>
      </c>
      <c r="H32" s="111">
        <f t="shared" si="8"/>
        <v>0.13793103448275862</v>
      </c>
    </row>
    <row r="33" spans="1:8" x14ac:dyDescent="0.2">
      <c r="B33" s="6" t="str">
        <f t="shared" si="6"/>
        <v>Book Store</v>
      </c>
      <c r="C33" s="108">
        <f>+'CRE Income Capitalization'!C14</f>
        <v>600</v>
      </c>
      <c r="D33" s="16">
        <f t="shared" si="7"/>
        <v>861.31034482758616</v>
      </c>
      <c r="E33" s="16">
        <f t="shared" si="7"/>
        <v>890.01970443349762</v>
      </c>
      <c r="F33" s="16">
        <f t="shared" si="7"/>
        <v>1117.6059113300494</v>
      </c>
      <c r="H33" s="111">
        <f t="shared" si="8"/>
        <v>0.11822660098522167</v>
      </c>
    </row>
    <row r="34" spans="1:8" x14ac:dyDescent="0.2">
      <c r="B34" s="18" t="s">
        <v>120</v>
      </c>
      <c r="C34" s="110">
        <f>SUM(C29:C33)</f>
        <v>5075</v>
      </c>
      <c r="D34" s="110">
        <f>+D22/12*1000</f>
        <v>7285.25</v>
      </c>
      <c r="E34" s="110">
        <f>+E22/12*1000</f>
        <v>7528.0833333333339</v>
      </c>
      <c r="F34" s="110">
        <f>+F22/12*1000</f>
        <v>9453.0833333333339</v>
      </c>
    </row>
    <row r="35" spans="1:8" x14ac:dyDescent="0.2">
      <c r="A35" s="7"/>
      <c r="B35" s="28" t="s">
        <v>49</v>
      </c>
      <c r="C35" s="28"/>
      <c r="D35" s="84">
        <f>D34/$C$34-1</f>
        <v>0.43551724137931025</v>
      </c>
      <c r="E35" s="84">
        <f>E34/$C$34-1</f>
        <v>0.48336617405582927</v>
      </c>
      <c r="F35" s="84">
        <f>F34/$C$34-1</f>
        <v>0.86267651888341557</v>
      </c>
    </row>
    <row r="45" spans="1:8" s="23" customFormat="1" ht="9" x14ac:dyDescent="0.15"/>
    <row r="72" spans="2:5" x14ac:dyDescent="0.2">
      <c r="C72" s="11" t="s">
        <v>11</v>
      </c>
      <c r="D72" s="11" t="s">
        <v>12</v>
      </c>
      <c r="E72" s="11" t="s">
        <v>12</v>
      </c>
    </row>
    <row r="73" spans="2:5" x14ac:dyDescent="0.2">
      <c r="B73" s="6" t="s">
        <v>18</v>
      </c>
      <c r="C73" s="15">
        <v>580000</v>
      </c>
    </row>
    <row r="74" spans="2:5" x14ac:dyDescent="0.2">
      <c r="B74" s="6" t="s">
        <v>16</v>
      </c>
      <c r="C74" s="17">
        <v>435734</v>
      </c>
    </row>
    <row r="75" spans="2:5" x14ac:dyDescent="0.2">
      <c r="B75" s="6" t="s">
        <v>13</v>
      </c>
    </row>
    <row r="76" spans="2:5" x14ac:dyDescent="0.2">
      <c r="B76" s="18" t="s">
        <v>15</v>
      </c>
      <c r="C76" s="19"/>
      <c r="D76" s="19"/>
      <c r="E76" s="19"/>
    </row>
    <row r="78" spans="2:5" x14ac:dyDescent="0.2">
      <c r="B78" s="6" t="s">
        <v>14</v>
      </c>
    </row>
    <row r="80" spans="2:5" x14ac:dyDescent="0.2">
      <c r="B80" s="34" t="s">
        <v>51</v>
      </c>
      <c r="C80" s="15">
        <v>128331</v>
      </c>
    </row>
    <row r="81" spans="2:3" x14ac:dyDescent="0.2">
      <c r="B81" s="34" t="s">
        <v>52</v>
      </c>
      <c r="C81" s="17">
        <v>14670</v>
      </c>
    </row>
    <row r="82" spans="2:3" x14ac:dyDescent="0.2">
      <c r="B82" s="18" t="s">
        <v>54</v>
      </c>
      <c r="C82" s="63">
        <f>+C80+C81</f>
        <v>143001</v>
      </c>
    </row>
    <row r="83" spans="2:3" x14ac:dyDescent="0.2">
      <c r="C83" s="64">
        <v>3</v>
      </c>
    </row>
    <row r="84" spans="2:3" x14ac:dyDescent="0.2">
      <c r="B84" s="40" t="s">
        <v>55</v>
      </c>
      <c r="C84" s="65">
        <f>C82*C83</f>
        <v>429003</v>
      </c>
    </row>
    <row r="85" spans="2:3" x14ac:dyDescent="0.2">
      <c r="B85" s="34" t="s">
        <v>56</v>
      </c>
    </row>
    <row r="90" spans="2:3" x14ac:dyDescent="0.2">
      <c r="B90" s="34" t="s">
        <v>53</v>
      </c>
      <c r="C90" s="17">
        <v>28555</v>
      </c>
    </row>
  </sheetData>
  <conditionalFormatting sqref="C76 B77:C78 C79 B80:C81 B83:C84 B86:C86 B88:C1048576 B52:C75 B14:C14 B17:C24 C15:C16 D52:F1048576 D14:F24 B29:F35 B1:F12">
    <cfRule type="expression" dxfId="8" priority="6">
      <formula>$I$3=1</formula>
    </cfRule>
  </conditionalFormatting>
  <conditionalFormatting sqref="B13:F13">
    <cfRule type="expression" dxfId="7" priority="5">
      <formula>$K$3=1</formula>
    </cfRule>
  </conditionalFormatting>
  <conditionalFormatting sqref="C28:F28">
    <cfRule type="expression" dxfId="6" priority="4">
      <formula>$I$3=1</formula>
    </cfRule>
  </conditionalFormatting>
  <conditionalFormatting sqref="B25:F25">
    <cfRule type="expression" dxfId="5" priority="3">
      <formula>$K$3=1</formula>
    </cfRule>
  </conditionalFormatting>
  <conditionalFormatting sqref="B26:F26">
    <cfRule type="expression" dxfId="4" priority="2">
      <formula>$I$3=1</formula>
    </cfRule>
  </conditionalFormatting>
  <conditionalFormatting sqref="C27:F27">
    <cfRule type="expression" dxfId="3" priority="1">
      <formula>$I$3=1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</sheetPr>
  <dimension ref="B2:AA57"/>
  <sheetViews>
    <sheetView showGridLines="0" view="pageBreakPreview" zoomScaleNormal="145" zoomScaleSheetLayoutView="100" workbookViewId="0"/>
  </sheetViews>
  <sheetFormatPr defaultRowHeight="12" x14ac:dyDescent="0.2"/>
  <cols>
    <col min="1" max="1" width="1.7109375" style="6" customWidth="1"/>
    <col min="2" max="2" width="24.42578125" style="6" customWidth="1"/>
    <col min="3" max="7" width="9.5703125" style="6" customWidth="1"/>
    <col min="8" max="8" width="0.85546875" style="6" customWidth="1"/>
    <col min="9" max="12" width="9.5703125" style="6" customWidth="1"/>
    <col min="13" max="13" width="4.42578125" style="6" customWidth="1"/>
    <col min="14" max="16384" width="9.140625" style="6"/>
  </cols>
  <sheetData>
    <row r="2" spans="2:27" ht="15.75" x14ac:dyDescent="0.25">
      <c r="B2" s="8" t="str">
        <f>+Cover!B24</f>
        <v>Sunshine Commercial Investments</v>
      </c>
    </row>
    <row r="3" spans="2:27" x14ac:dyDescent="0.2">
      <c r="B3" s="9" t="s">
        <v>125</v>
      </c>
      <c r="C3" s="10"/>
      <c r="D3" s="10"/>
      <c r="E3" s="10"/>
      <c r="F3" s="10"/>
      <c r="G3" s="107"/>
      <c r="N3" s="6" t="s">
        <v>9</v>
      </c>
      <c r="O3" s="21">
        <v>1</v>
      </c>
    </row>
    <row r="5" spans="2:27" x14ac:dyDescent="0.2">
      <c r="B5" s="24" t="s">
        <v>17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2:27" ht="3.95" customHeight="1" x14ac:dyDescent="0.2"/>
    <row r="7" spans="2:27" x14ac:dyDescent="0.2">
      <c r="C7" s="61" t="s">
        <v>50</v>
      </c>
      <c r="D7" s="62"/>
      <c r="E7" s="14"/>
      <c r="F7" s="13"/>
      <c r="G7" s="13"/>
      <c r="I7" s="12" t="s">
        <v>27</v>
      </c>
      <c r="J7" s="13"/>
    </row>
    <row r="8" spans="2:27" x14ac:dyDescent="0.2">
      <c r="C8" s="11" t="s">
        <v>2</v>
      </c>
      <c r="D8" s="11" t="s">
        <v>3</v>
      </c>
      <c r="E8" s="27"/>
      <c r="F8" s="27"/>
      <c r="G8" s="27"/>
      <c r="I8" s="11" t="s">
        <v>2</v>
      </c>
      <c r="J8" s="11" t="s">
        <v>3</v>
      </c>
    </row>
    <row r="9" spans="2:27" ht="2.1" customHeight="1" x14ac:dyDescent="0.2">
      <c r="C9" s="27"/>
      <c r="D9" s="27"/>
      <c r="E9" s="27"/>
      <c r="F9" s="27"/>
      <c r="G9" s="27"/>
      <c r="I9" s="27"/>
      <c r="J9" s="27"/>
    </row>
    <row r="10" spans="2:27" x14ac:dyDescent="0.2">
      <c r="B10" s="6" t="s">
        <v>5</v>
      </c>
      <c r="C10" s="15">
        <v>1800</v>
      </c>
      <c r="D10" s="14">
        <f>C10*12</f>
        <v>21600</v>
      </c>
      <c r="E10" s="16"/>
      <c r="F10" s="16"/>
      <c r="G10" s="16"/>
      <c r="I10" s="74">
        <f>C10*(1+$G$48)</f>
        <v>3352.8177339901476</v>
      </c>
      <c r="J10" s="14">
        <f>I10*12</f>
        <v>40233.812807881768</v>
      </c>
    </row>
    <row r="11" spans="2:27" x14ac:dyDescent="0.2">
      <c r="B11" s="6" t="s">
        <v>4</v>
      </c>
      <c r="C11" s="17">
        <v>1200</v>
      </c>
      <c r="D11" s="16">
        <f>C11*12</f>
        <v>14400</v>
      </c>
      <c r="E11" s="14"/>
      <c r="F11" s="14"/>
      <c r="G11" s="14"/>
      <c r="I11" s="73">
        <f>C11*(1+$G$48)</f>
        <v>2235.2118226600983</v>
      </c>
      <c r="J11" s="16">
        <f>I11*12</f>
        <v>26822.541871921181</v>
      </c>
    </row>
    <row r="12" spans="2:27" x14ac:dyDescent="0.2">
      <c r="B12" s="6" t="s">
        <v>6</v>
      </c>
      <c r="C12" s="17">
        <v>775</v>
      </c>
      <c r="D12" s="16">
        <f t="shared" ref="D12:D14" si="0">C12*12</f>
        <v>9300</v>
      </c>
      <c r="E12" s="16"/>
      <c r="F12" s="16"/>
      <c r="G12" s="16"/>
      <c r="I12" s="73">
        <f>C12*(1+$G$48)</f>
        <v>1443.5743021346468</v>
      </c>
      <c r="J12" s="16">
        <f>I12*12</f>
        <v>17322.891625615761</v>
      </c>
    </row>
    <row r="13" spans="2:27" x14ac:dyDescent="0.2">
      <c r="B13" s="6" t="s">
        <v>7</v>
      </c>
      <c r="C13" s="17">
        <v>700</v>
      </c>
      <c r="D13" s="16">
        <f t="shared" si="0"/>
        <v>8400</v>
      </c>
      <c r="E13" s="16"/>
      <c r="F13" s="16"/>
      <c r="G13" s="16"/>
      <c r="I13" s="73">
        <f>C13*(1+$G$48)</f>
        <v>1303.8735632183907</v>
      </c>
      <c r="J13" s="16">
        <f>I13*12</f>
        <v>15646.482758620688</v>
      </c>
    </row>
    <row r="14" spans="2:27" x14ac:dyDescent="0.2">
      <c r="B14" s="6" t="s">
        <v>8</v>
      </c>
      <c r="C14" s="17">
        <v>600</v>
      </c>
      <c r="D14" s="16">
        <f t="shared" si="0"/>
        <v>7200</v>
      </c>
      <c r="E14" s="16"/>
      <c r="F14" s="16"/>
      <c r="G14" s="16"/>
      <c r="I14" s="73">
        <f>C14*(1+$G$48)</f>
        <v>1117.6059113300491</v>
      </c>
      <c r="J14" s="16">
        <f>I14*12</f>
        <v>13411.270935960591</v>
      </c>
      <c r="AA14" s="37" t="s">
        <v>42</v>
      </c>
    </row>
    <row r="15" spans="2:27" x14ac:dyDescent="0.2">
      <c r="B15" s="18" t="s">
        <v>20</v>
      </c>
      <c r="C15" s="20">
        <f>SUM(C10:C14)</f>
        <v>5075</v>
      </c>
      <c r="D15" s="20">
        <f>SUM(D10:D14)</f>
        <v>60900</v>
      </c>
      <c r="E15" s="39"/>
      <c r="F15" s="39"/>
      <c r="G15" s="39"/>
      <c r="I15" s="20">
        <f>SUM(I10:I14)</f>
        <v>9453.0833333333339</v>
      </c>
      <c r="J15" s="20">
        <f>I15*12</f>
        <v>113437</v>
      </c>
    </row>
    <row r="16" spans="2:27" ht="2.1" customHeight="1" x14ac:dyDescent="0.2"/>
    <row r="17" spans="2:7" s="23" customFormat="1" ht="9" x14ac:dyDescent="0.15">
      <c r="B17" s="22" t="s">
        <v>10</v>
      </c>
    </row>
    <row r="18" spans="2:7" s="29" customFormat="1" ht="3.95" customHeight="1" x14ac:dyDescent="0.2">
      <c r="B18" s="28"/>
    </row>
    <row r="19" spans="2:7" s="29" customFormat="1" x14ac:dyDescent="0.2">
      <c r="B19" s="33" t="s">
        <v>29</v>
      </c>
    </row>
    <row r="20" spans="2:7" s="29" customFormat="1" x14ac:dyDescent="0.2">
      <c r="B20" s="29" t="str">
        <f>+B15</f>
        <v>Total Current Rent</v>
      </c>
      <c r="C20" s="30">
        <f>+D15</f>
        <v>60900</v>
      </c>
    </row>
    <row r="21" spans="2:7" s="29" customFormat="1" x14ac:dyDescent="0.2">
      <c r="B21" s="29" t="s">
        <v>28</v>
      </c>
      <c r="C21" s="17">
        <v>8400</v>
      </c>
    </row>
    <row r="22" spans="2:7" s="29" customFormat="1" x14ac:dyDescent="0.2">
      <c r="B22" s="40" t="s">
        <v>29</v>
      </c>
      <c r="C22" s="47">
        <f>C20/C21</f>
        <v>7.25</v>
      </c>
    </row>
    <row r="23" spans="2:7" s="29" customFormat="1" ht="3.95" customHeight="1" x14ac:dyDescent="0.2">
      <c r="B23" s="28"/>
    </row>
    <row r="24" spans="2:7" s="29" customFormat="1" x14ac:dyDescent="0.2">
      <c r="B24" s="33" t="s">
        <v>30</v>
      </c>
    </row>
    <row r="25" spans="2:7" s="29" customFormat="1" x14ac:dyDescent="0.2">
      <c r="B25" s="34" t="s">
        <v>40</v>
      </c>
      <c r="C25" s="48">
        <v>8</v>
      </c>
    </row>
    <row r="26" spans="2:7" s="29" customFormat="1" x14ac:dyDescent="0.2">
      <c r="B26" s="34" t="s">
        <v>46</v>
      </c>
      <c r="C26" s="48">
        <v>10</v>
      </c>
    </row>
    <row r="27" spans="2:7" s="29" customFormat="1" x14ac:dyDescent="0.2">
      <c r="B27" s="34" t="s">
        <v>41</v>
      </c>
      <c r="C27" s="48">
        <v>14</v>
      </c>
    </row>
    <row r="28" spans="2:7" s="29" customFormat="1" x14ac:dyDescent="0.2">
      <c r="B28" s="7"/>
      <c r="C28" s="32"/>
    </row>
    <row r="29" spans="2:7" s="29" customFormat="1" x14ac:dyDescent="0.2">
      <c r="C29" s="49" t="s">
        <v>45</v>
      </c>
      <c r="D29" s="49" t="s">
        <v>46</v>
      </c>
      <c r="E29" s="58"/>
      <c r="F29" s="58"/>
      <c r="G29" s="58"/>
    </row>
    <row r="30" spans="2:7" s="29" customFormat="1" x14ac:dyDescent="0.2">
      <c r="B30" s="33" t="s">
        <v>44</v>
      </c>
      <c r="C30" s="32"/>
    </row>
    <row r="31" spans="2:7" s="29" customFormat="1" x14ac:dyDescent="0.2">
      <c r="B31" s="34" t="s">
        <v>47</v>
      </c>
      <c r="C31" s="50">
        <f>+C25</f>
        <v>8</v>
      </c>
      <c r="D31" s="50">
        <f>+C26</f>
        <v>10</v>
      </c>
      <c r="E31" s="50"/>
      <c r="F31" s="50"/>
      <c r="G31" s="50"/>
    </row>
    <row r="32" spans="2:7" s="29" customFormat="1" ht="12" customHeight="1" x14ac:dyDescent="0.2">
      <c r="B32" s="36" t="s">
        <v>48</v>
      </c>
      <c r="C32" s="35">
        <f>+C21</f>
        <v>8400</v>
      </c>
      <c r="D32" s="35">
        <f>C32</f>
        <v>8400</v>
      </c>
      <c r="E32" s="35"/>
      <c r="F32" s="35"/>
      <c r="G32" s="35"/>
    </row>
    <row r="33" spans="2:15" s="29" customFormat="1" x14ac:dyDescent="0.2">
      <c r="B33" s="52" t="s">
        <v>43</v>
      </c>
      <c r="C33" s="53">
        <f>C31*C32</f>
        <v>67200</v>
      </c>
      <c r="D33" s="54">
        <f>D31*D32</f>
        <v>84000</v>
      </c>
      <c r="E33" s="39"/>
      <c r="F33" s="39"/>
      <c r="G33" s="39"/>
    </row>
    <row r="34" spans="2:15" s="29" customFormat="1" x14ac:dyDescent="0.2">
      <c r="B34" s="55" t="s">
        <v>49</v>
      </c>
      <c r="C34" s="56">
        <f>C33/$C$20-1</f>
        <v>0.10344827586206895</v>
      </c>
      <c r="D34" s="57">
        <f>D33/$C$20-1</f>
        <v>0.3793103448275863</v>
      </c>
      <c r="E34" s="60"/>
      <c r="F34" s="60"/>
      <c r="G34" s="60"/>
    </row>
    <row r="35" spans="2:15" s="29" customFormat="1" x14ac:dyDescent="0.2"/>
    <row r="36" spans="2:15" x14ac:dyDescent="0.2">
      <c r="B36" s="24" t="s">
        <v>19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2:15" ht="6" customHeight="1" x14ac:dyDescent="0.2"/>
    <row r="38" spans="2:15" x14ac:dyDescent="0.2">
      <c r="C38" s="11" t="s">
        <v>21</v>
      </c>
      <c r="D38" s="11" t="s">
        <v>124</v>
      </c>
      <c r="E38" s="11" t="s">
        <v>38</v>
      </c>
      <c r="F38" s="11" t="s">
        <v>45</v>
      </c>
      <c r="G38" s="11" t="s">
        <v>46</v>
      </c>
    </row>
    <row r="39" spans="2:15" ht="2.1" customHeight="1" x14ac:dyDescent="0.2">
      <c r="C39" s="27"/>
      <c r="D39" s="27"/>
      <c r="E39" s="27"/>
      <c r="F39" s="27"/>
      <c r="G39" s="27"/>
    </row>
    <row r="40" spans="2:15" x14ac:dyDescent="0.2">
      <c r="B40" s="7" t="str">
        <f>+B15</f>
        <v>Total Current Rent</v>
      </c>
      <c r="C40" s="31">
        <f>+D15</f>
        <v>60900</v>
      </c>
      <c r="D40" s="118">
        <f>D55-D44-D43</f>
        <v>87423</v>
      </c>
      <c r="E40" s="31">
        <f>+D15-$C$41-$O$42-$C$45</f>
        <v>90337</v>
      </c>
      <c r="F40" s="31">
        <f>+C33-$C$41-$O$42-$C$45</f>
        <v>96637</v>
      </c>
      <c r="G40" s="31">
        <f>+D33-$C$41-$O$42-$C$45</f>
        <v>113437</v>
      </c>
    </row>
    <row r="41" spans="2:15" x14ac:dyDescent="0.2">
      <c r="B41" s="36" t="s">
        <v>22</v>
      </c>
      <c r="C41" s="17">
        <v>-10000</v>
      </c>
      <c r="D41" s="17">
        <v>0</v>
      </c>
      <c r="E41" s="17">
        <v>0</v>
      </c>
      <c r="F41" s="17">
        <v>0</v>
      </c>
      <c r="G41" s="17">
        <v>0</v>
      </c>
    </row>
    <row r="42" spans="2:15" x14ac:dyDescent="0.2">
      <c r="B42" s="36" t="s">
        <v>23</v>
      </c>
      <c r="C42" s="17">
        <v>-5855</v>
      </c>
      <c r="D42" s="17">
        <v>0</v>
      </c>
      <c r="E42" s="17">
        <v>0</v>
      </c>
      <c r="F42" s="17">
        <v>0</v>
      </c>
      <c r="G42" s="17">
        <v>0</v>
      </c>
      <c r="J42" s="38" t="s">
        <v>33</v>
      </c>
      <c r="O42" s="17">
        <v>-13437</v>
      </c>
    </row>
    <row r="43" spans="2:15" x14ac:dyDescent="0.2">
      <c r="B43" s="36" t="s">
        <v>34</v>
      </c>
      <c r="C43" s="17">
        <v>-3423</v>
      </c>
      <c r="D43" s="35">
        <f>C43</f>
        <v>-3423</v>
      </c>
      <c r="E43" s="35">
        <f>C43</f>
        <v>-3423</v>
      </c>
      <c r="F43" s="35">
        <f>E43</f>
        <v>-3423</v>
      </c>
      <c r="G43" s="35">
        <f>F43</f>
        <v>-3423</v>
      </c>
    </row>
    <row r="44" spans="2:15" x14ac:dyDescent="0.2">
      <c r="B44" s="36" t="s">
        <v>25</v>
      </c>
      <c r="C44" s="17">
        <v>-4000</v>
      </c>
      <c r="D44" s="35">
        <f>C44</f>
        <v>-4000</v>
      </c>
      <c r="E44" s="35">
        <f>C44</f>
        <v>-4000</v>
      </c>
      <c r="F44" s="35">
        <f>E44</f>
        <v>-4000</v>
      </c>
      <c r="G44" s="35">
        <f>F44</f>
        <v>-4000</v>
      </c>
    </row>
    <row r="45" spans="2:15" x14ac:dyDescent="0.2">
      <c r="B45" s="36" t="s">
        <v>24</v>
      </c>
      <c r="C45" s="17">
        <v>-6000</v>
      </c>
      <c r="D45" s="17">
        <v>0</v>
      </c>
      <c r="E45" s="17">
        <v>0</v>
      </c>
      <c r="F45" s="17">
        <v>0</v>
      </c>
      <c r="G45" s="17">
        <v>0</v>
      </c>
    </row>
    <row r="46" spans="2:15" x14ac:dyDescent="0.2">
      <c r="B46" s="18" t="s">
        <v>26</v>
      </c>
      <c r="C46" s="20">
        <f>SUM(C40:C45)</f>
        <v>31622</v>
      </c>
      <c r="D46" s="20">
        <f>SUM(D40:D45)</f>
        <v>80000</v>
      </c>
      <c r="E46" s="20">
        <f>SUM(E40:E45)</f>
        <v>82914</v>
      </c>
      <c r="F46" s="20">
        <f>SUM(F40:F45)</f>
        <v>89214</v>
      </c>
      <c r="G46" s="20">
        <f>SUM(G40:G45)</f>
        <v>106014</v>
      </c>
      <c r="J46" s="28" t="s">
        <v>35</v>
      </c>
    </row>
    <row r="47" spans="2:15" x14ac:dyDescent="0.2">
      <c r="B47" s="7"/>
      <c r="C47" s="39"/>
      <c r="D47" s="39"/>
      <c r="E47" s="39"/>
      <c r="F47" s="39"/>
      <c r="G47" s="39"/>
      <c r="J47" s="28"/>
    </row>
    <row r="48" spans="2:15" x14ac:dyDescent="0.2">
      <c r="B48" s="40" t="s">
        <v>36</v>
      </c>
      <c r="C48" s="59">
        <f>C40/$C$40-1</f>
        <v>0</v>
      </c>
      <c r="D48" s="59">
        <f>D40/$C$40-1</f>
        <v>0.43551724137931025</v>
      </c>
      <c r="E48" s="59">
        <f>E40/$C$40-1</f>
        <v>0.48336617405582927</v>
      </c>
      <c r="F48" s="59">
        <f>F40/$C$40-1</f>
        <v>0.58681444991789822</v>
      </c>
      <c r="G48" s="41">
        <f>G40/$C$40-1</f>
        <v>0.86267651888341534</v>
      </c>
      <c r="J48" s="28"/>
    </row>
    <row r="50" spans="2:9" x14ac:dyDescent="0.2">
      <c r="B50" s="34" t="str">
        <f>+B46</f>
        <v>Net Operating Income</v>
      </c>
      <c r="C50" s="35">
        <f>+C46</f>
        <v>31622</v>
      </c>
      <c r="D50" s="35">
        <f>+D46</f>
        <v>80000</v>
      </c>
      <c r="E50" s="35">
        <f>+E46</f>
        <v>82914</v>
      </c>
      <c r="F50" s="35">
        <f t="shared" ref="F50:G50" si="1">+F46</f>
        <v>89214</v>
      </c>
      <c r="G50" s="35">
        <f t="shared" si="1"/>
        <v>106014</v>
      </c>
    </row>
    <row r="51" spans="2:9" x14ac:dyDescent="0.2">
      <c r="B51" s="36" t="s">
        <v>31</v>
      </c>
      <c r="C51" s="15">
        <v>580000</v>
      </c>
      <c r="D51" s="30">
        <f>C51</f>
        <v>580000</v>
      </c>
      <c r="E51" s="30">
        <f>C51</f>
        <v>580000</v>
      </c>
      <c r="F51" s="30">
        <f t="shared" ref="F51:G51" si="2">E51</f>
        <v>580000</v>
      </c>
      <c r="G51" s="30">
        <f t="shared" si="2"/>
        <v>580000</v>
      </c>
      <c r="I51" s="26"/>
    </row>
    <row r="52" spans="2:9" x14ac:dyDescent="0.2">
      <c r="B52" s="40" t="s">
        <v>32</v>
      </c>
      <c r="C52" s="42">
        <f>C50/C51</f>
        <v>5.4520689655172414E-2</v>
      </c>
      <c r="D52" s="42">
        <f>D50/D51</f>
        <v>0.13793103448275862</v>
      </c>
      <c r="E52" s="42">
        <f>E50/E51</f>
        <v>0.1429551724137931</v>
      </c>
      <c r="F52" s="42">
        <f t="shared" ref="F52:G52" si="3">F50/F51</f>
        <v>0.15381724137931035</v>
      </c>
      <c r="G52" s="43">
        <f t="shared" si="3"/>
        <v>0.18278275862068966</v>
      </c>
    </row>
    <row r="54" spans="2:9" x14ac:dyDescent="0.2">
      <c r="C54" s="11" t="str">
        <f>+C38</f>
        <v>FY25</v>
      </c>
      <c r="D54" s="11" t="str">
        <f>+D38</f>
        <v>Clearing</v>
      </c>
      <c r="E54" s="11" t="str">
        <f>+E38</f>
        <v>NNN</v>
      </c>
      <c r="F54" s="11" t="str">
        <f t="shared" ref="F54:G54" si="4">+F38</f>
        <v>Low-End</v>
      </c>
      <c r="G54" s="11" t="str">
        <f t="shared" si="4"/>
        <v>Base-Rate</v>
      </c>
    </row>
    <row r="55" spans="2:9" x14ac:dyDescent="0.2">
      <c r="B55" s="34" t="s">
        <v>37</v>
      </c>
      <c r="C55" s="30">
        <f>+C46</f>
        <v>31622</v>
      </c>
      <c r="D55" s="74">
        <f>D57*D56</f>
        <v>80000</v>
      </c>
      <c r="E55" s="30">
        <f>+E46</f>
        <v>82914</v>
      </c>
      <c r="F55" s="30">
        <f t="shared" ref="F55:G55" si="5">+F46</f>
        <v>89214</v>
      </c>
      <c r="G55" s="30">
        <f t="shared" si="5"/>
        <v>106014</v>
      </c>
    </row>
    <row r="56" spans="2:9" x14ac:dyDescent="0.2">
      <c r="B56" s="36" t="s">
        <v>39</v>
      </c>
      <c r="C56" s="44">
        <v>0.08</v>
      </c>
      <c r="D56" s="45">
        <f>C56</f>
        <v>0.08</v>
      </c>
      <c r="E56" s="45">
        <f>C56</f>
        <v>0.08</v>
      </c>
      <c r="F56" s="45">
        <f>E56</f>
        <v>0.08</v>
      </c>
      <c r="G56" s="45">
        <f>F56</f>
        <v>0.08</v>
      </c>
    </row>
    <row r="57" spans="2:9" x14ac:dyDescent="0.2">
      <c r="B57" s="40" t="s">
        <v>55</v>
      </c>
      <c r="C57" s="46">
        <f>C55/C56</f>
        <v>395275</v>
      </c>
      <c r="D57" s="117">
        <v>1000000</v>
      </c>
      <c r="E57" s="46">
        <f>E55/E56</f>
        <v>1036425</v>
      </c>
      <c r="F57" s="46">
        <f t="shared" ref="F57:G57" si="6">F55/F56</f>
        <v>1115175</v>
      </c>
      <c r="G57" s="51">
        <f t="shared" si="6"/>
        <v>1325175</v>
      </c>
    </row>
  </sheetData>
  <conditionalFormatting sqref="B1:J37 B58:J1048576 B38:C57 E38:J57">
    <cfRule type="expression" dxfId="2" priority="2">
      <formula>$O$3=1</formula>
    </cfRule>
  </conditionalFormatting>
  <conditionalFormatting sqref="D38:D57">
    <cfRule type="expression" dxfId="0" priority="1">
      <formula>$O$3=1</formula>
    </cfRule>
  </conditionalFormatting>
  <hyperlinks>
    <hyperlink ref="J42" r:id="rId1" display="Based on this calculator" xr:uid="{AF80B80E-96EF-47C3-B2A6-B6895650680F}"/>
    <hyperlink ref="AA14" r:id="rId2" xr:uid="{4B710544-674F-4FA8-B4DA-FA56D45B41A8}"/>
  </hyperlinks>
  <pageMargins left="0.7" right="0.7" top="0.75" bottom="0.75" header="0.3" footer="0.3"/>
  <pageSetup scale="98" orientation="portrait" r:id="rId3"/>
  <colBreaks count="1" manualBreakCount="1">
    <brk id="7" min="1" max="59" man="1"/>
  </col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64C7-029F-40D1-9CB9-A4AEDA22B154}">
  <sheetPr>
    <tabColor theme="4" tint="0.79998168889431442"/>
    <pageSetUpPr fitToPage="1"/>
  </sheetPr>
  <dimension ref="B2:U73"/>
  <sheetViews>
    <sheetView showGridLines="0" tabSelected="1" view="pageBreakPreview" zoomScaleNormal="145" zoomScaleSheetLayoutView="100" workbookViewId="0"/>
  </sheetViews>
  <sheetFormatPr defaultRowHeight="12" x14ac:dyDescent="0.2"/>
  <cols>
    <col min="1" max="1" width="1.7109375" style="6" customWidth="1"/>
    <col min="2" max="2" width="24.42578125" style="6" customWidth="1"/>
    <col min="3" max="6" width="9.140625" style="6" customWidth="1"/>
    <col min="7" max="7" width="3.7109375" style="6" customWidth="1"/>
    <col min="8" max="16384" width="9.140625" style="6"/>
  </cols>
  <sheetData>
    <row r="2" spans="2:21" ht="15.75" x14ac:dyDescent="0.25">
      <c r="B2" s="8" t="str">
        <f>+Cover!B24</f>
        <v>Sunshine Commercial Investments</v>
      </c>
    </row>
    <row r="3" spans="2:21" x14ac:dyDescent="0.2">
      <c r="B3" s="9" t="s">
        <v>79</v>
      </c>
      <c r="C3" s="10"/>
      <c r="D3" s="10"/>
      <c r="E3" s="10"/>
      <c r="F3" s="10"/>
      <c r="H3" s="6" t="s">
        <v>9</v>
      </c>
      <c r="I3" s="21">
        <v>1</v>
      </c>
    </row>
    <row r="5" spans="2:21" x14ac:dyDescent="0.2">
      <c r="B5" s="24" t="s">
        <v>57</v>
      </c>
      <c r="C5" s="25"/>
      <c r="D5" s="25"/>
      <c r="E5" s="25"/>
      <c r="F5" s="25"/>
      <c r="G5" s="29"/>
    </row>
    <row r="6" spans="2:21" ht="3.95" customHeight="1" x14ac:dyDescent="0.2"/>
    <row r="7" spans="2:21" x14ac:dyDescent="0.2">
      <c r="C7" s="11" t="s">
        <v>58</v>
      </c>
      <c r="D7" s="11" t="s">
        <v>59</v>
      </c>
      <c r="E7" s="11" t="s">
        <v>60</v>
      </c>
      <c r="F7" s="11" t="s">
        <v>65</v>
      </c>
      <c r="G7" s="29"/>
      <c r="H7" s="29"/>
    </row>
    <row r="8" spans="2:21" ht="2.1" customHeight="1" x14ac:dyDescent="0.2">
      <c r="C8" s="27"/>
      <c r="D8" s="27"/>
      <c r="E8" s="27"/>
      <c r="F8" s="27"/>
      <c r="G8" s="29"/>
      <c r="H8" s="29"/>
    </row>
    <row r="9" spans="2:21" x14ac:dyDescent="0.2">
      <c r="B9" s="7" t="s">
        <v>61</v>
      </c>
      <c r="C9" s="68">
        <v>338.59399999999999</v>
      </c>
      <c r="D9" s="68">
        <v>357.94299999999998</v>
      </c>
      <c r="E9" s="68">
        <v>376.06</v>
      </c>
      <c r="F9" s="39">
        <f>E9*(1+C57)</f>
        <v>376.06</v>
      </c>
      <c r="G9" s="29"/>
      <c r="H9" s="29"/>
    </row>
    <row r="10" spans="2:21" s="29" customFormat="1" x14ac:dyDescent="0.2">
      <c r="B10" s="28" t="s">
        <v>62</v>
      </c>
      <c r="C10" s="28"/>
      <c r="D10" s="84">
        <f>D9/C9-1</f>
        <v>5.714513547198119E-2</v>
      </c>
      <c r="E10" s="84">
        <f>E9/D9-1</f>
        <v>5.0614203937498381E-2</v>
      </c>
      <c r="F10" s="84">
        <f>F9/E9-1</f>
        <v>0</v>
      </c>
    </row>
    <row r="11" spans="2:21" ht="3.95" customHeight="1" x14ac:dyDescent="0.2">
      <c r="B11" s="29"/>
      <c r="C11" s="29"/>
      <c r="D11" s="29"/>
      <c r="E11" s="29"/>
      <c r="F11" s="29"/>
      <c r="G11" s="29"/>
      <c r="H11" s="29"/>
    </row>
    <row r="12" spans="2:21" x14ac:dyDescent="0.2">
      <c r="B12" s="33" t="s">
        <v>71</v>
      </c>
      <c r="C12" s="29"/>
      <c r="D12" s="29"/>
      <c r="E12" s="29"/>
      <c r="F12" s="29"/>
      <c r="G12" s="29"/>
      <c r="H12" s="29"/>
    </row>
    <row r="13" spans="2:21" x14ac:dyDescent="0.2">
      <c r="B13" s="85" t="s">
        <v>63</v>
      </c>
      <c r="C13" s="88">
        <v>90.936000000000007</v>
      </c>
      <c r="D13" s="88">
        <v>91.989000000000004</v>
      </c>
      <c r="E13" s="88">
        <v>91.269000000000005</v>
      </c>
      <c r="F13" s="89">
        <f>F9*C58</f>
        <v>96.13433157094417</v>
      </c>
      <c r="G13" s="29"/>
      <c r="H13" s="29"/>
    </row>
    <row r="14" spans="2:21" x14ac:dyDescent="0.2">
      <c r="B14" s="67" t="s">
        <v>70</v>
      </c>
      <c r="C14" s="83">
        <f>C13/C$9</f>
        <v>0.26856943714300907</v>
      </c>
      <c r="D14" s="83">
        <f t="shared" ref="D14:F14" si="0">D13/D$9</f>
        <v>0.25699343191513735</v>
      </c>
      <c r="E14" s="83">
        <f t="shared" si="0"/>
        <v>0.24269797372759666</v>
      </c>
      <c r="F14" s="83">
        <f t="shared" si="0"/>
        <v>0.25563562083429286</v>
      </c>
      <c r="G14" s="29"/>
      <c r="H14" s="29"/>
    </row>
    <row r="15" spans="2:21" x14ac:dyDescent="0.2">
      <c r="B15" s="85" t="s">
        <v>64</v>
      </c>
      <c r="C15" s="86">
        <v>0</v>
      </c>
      <c r="D15" s="86">
        <v>0</v>
      </c>
      <c r="E15" s="90">
        <v>55</v>
      </c>
      <c r="F15" s="91">
        <f>+C60</f>
        <v>55</v>
      </c>
      <c r="G15" s="29"/>
      <c r="H15" s="29"/>
    </row>
    <row r="16" spans="2:21" x14ac:dyDescent="0.2">
      <c r="B16" s="67" t="s">
        <v>70</v>
      </c>
      <c r="C16" s="83">
        <f>C15/C$9</f>
        <v>0</v>
      </c>
      <c r="D16" s="83">
        <f t="shared" ref="D16" si="1">D15/D$9</f>
        <v>0</v>
      </c>
      <c r="E16" s="83">
        <f t="shared" ref="E16" si="2">E15/E$9</f>
        <v>0.14625325745891612</v>
      </c>
      <c r="F16" s="83">
        <f t="shared" ref="F16" si="3">F15/F$9</f>
        <v>0.14625325745891612</v>
      </c>
      <c r="G16" s="29"/>
      <c r="H16" s="29"/>
      <c r="U16" s="37"/>
    </row>
    <row r="17" spans="2:8" x14ac:dyDescent="0.2">
      <c r="B17" s="85" t="s">
        <v>74</v>
      </c>
      <c r="C17" s="86">
        <v>22.728000000000002</v>
      </c>
      <c r="D17" s="86">
        <v>46.543999999999997</v>
      </c>
      <c r="E17" s="86">
        <v>30.54</v>
      </c>
      <c r="F17" s="87">
        <f>+C61</f>
        <v>33.270666666666664</v>
      </c>
      <c r="G17" s="29"/>
      <c r="H17" s="29"/>
    </row>
    <row r="18" spans="2:8" s="23" customFormat="1" x14ac:dyDescent="0.2">
      <c r="B18" s="67" t="s">
        <v>70</v>
      </c>
      <c r="C18" s="83">
        <f>C17/C$9</f>
        <v>6.7124638948120763E-2</v>
      </c>
      <c r="D18" s="83">
        <f t="shared" ref="D18" si="4">D17/D$9</f>
        <v>0.13003187658370188</v>
      </c>
      <c r="E18" s="83">
        <f t="shared" ref="E18" si="5">E17/E$9</f>
        <v>8.1210445141732701E-2</v>
      </c>
      <c r="F18" s="83">
        <f t="shared" ref="F18" si="6">F17/F$9</f>
        <v>8.8471697778723241E-2</v>
      </c>
      <c r="G18" s="29"/>
      <c r="H18" s="29"/>
    </row>
    <row r="19" spans="2:8" s="29" customFormat="1" x14ac:dyDescent="0.2">
      <c r="B19" s="85" t="s">
        <v>76</v>
      </c>
      <c r="C19" s="86">
        <v>14.4</v>
      </c>
      <c r="D19" s="86">
        <v>13.2</v>
      </c>
      <c r="E19" s="86">
        <v>14.412000000000001</v>
      </c>
      <c r="F19" s="92">
        <f>+C62</f>
        <v>26.822541871921182</v>
      </c>
    </row>
    <row r="20" spans="2:8" s="23" customFormat="1" x14ac:dyDescent="0.2">
      <c r="B20" s="67" t="s">
        <v>70</v>
      </c>
      <c r="C20" s="83">
        <f>C19/C$9</f>
        <v>4.2528810315599214E-2</v>
      </c>
      <c r="D20" s="83">
        <f t="shared" ref="D20" si="7">D19/D$9</f>
        <v>3.6877379918031639E-2</v>
      </c>
      <c r="E20" s="83">
        <f t="shared" ref="E20" si="8">E19/E$9</f>
        <v>3.8323671754507259E-2</v>
      </c>
      <c r="F20" s="83">
        <f t="shared" ref="F20" si="9">F19/F$9</f>
        <v>7.1325165856302664E-2</v>
      </c>
      <c r="G20" s="29"/>
      <c r="H20" s="29"/>
    </row>
    <row r="21" spans="2:8" s="29" customFormat="1" x14ac:dyDescent="0.2">
      <c r="B21" s="85" t="s">
        <v>84</v>
      </c>
      <c r="C21" s="86">
        <v>0</v>
      </c>
      <c r="D21" s="86">
        <v>14.958</v>
      </c>
      <c r="E21" s="86">
        <v>4.3840000000000003</v>
      </c>
      <c r="F21" s="87">
        <f>+C64</f>
        <v>4.3840000000000003</v>
      </c>
    </row>
    <row r="22" spans="2:8" s="23" customFormat="1" x14ac:dyDescent="0.2">
      <c r="B22" s="67" t="s">
        <v>70</v>
      </c>
      <c r="C22" s="71">
        <f>C21/C$9</f>
        <v>0</v>
      </c>
      <c r="D22" s="83">
        <f t="shared" ref="D22" si="10">D21/D$9</f>
        <v>4.178877642529677E-2</v>
      </c>
      <c r="E22" s="83">
        <f t="shared" ref="E22" si="11">E21/E$9</f>
        <v>1.1657714194543424E-2</v>
      </c>
      <c r="F22" s="83">
        <f t="shared" ref="F22" si="12">F21/F$9</f>
        <v>1.1657714194543424E-2</v>
      </c>
      <c r="G22" s="29"/>
      <c r="H22" s="29"/>
    </row>
    <row r="23" spans="2:8" s="29" customFormat="1" x14ac:dyDescent="0.2">
      <c r="B23" s="101" t="s">
        <v>104</v>
      </c>
      <c r="C23" s="86">
        <v>0</v>
      </c>
      <c r="D23" s="86">
        <v>12.608000000000001</v>
      </c>
      <c r="E23" s="86">
        <v>14.67</v>
      </c>
      <c r="F23" s="87">
        <f ca="1">(C71/C72)+(C71*C73)</f>
        <v>54.371206929769173</v>
      </c>
      <c r="H23" s="28" t="s">
        <v>83</v>
      </c>
    </row>
    <row r="24" spans="2:8" s="23" customFormat="1" x14ac:dyDescent="0.2">
      <c r="B24" s="67" t="s">
        <v>70</v>
      </c>
      <c r="C24" s="71">
        <f>C23/C$9</f>
        <v>0</v>
      </c>
      <c r="D24" s="83">
        <f t="shared" ref="D24" si="13">D23/D$9</f>
        <v>3.5223485303525981E-2</v>
      </c>
      <c r="E24" s="83">
        <f t="shared" ref="E24" si="14">E23/E$9</f>
        <v>3.9009732489496358E-2</v>
      </c>
      <c r="F24" s="83">
        <f t="shared" ref="F24" ca="1" si="15">F23/F$9</f>
        <v>0.14458120228093702</v>
      </c>
      <c r="G24" s="29"/>
      <c r="H24" s="29"/>
    </row>
    <row r="25" spans="2:8" s="29" customFormat="1" x14ac:dyDescent="0.2">
      <c r="B25" s="85" t="s">
        <v>80</v>
      </c>
      <c r="C25" s="86">
        <v>8.6609999999999996</v>
      </c>
      <c r="D25" s="86">
        <v>27.542000000000002</v>
      </c>
      <c r="E25" s="86">
        <v>28.555</v>
      </c>
      <c r="F25" s="87">
        <f>+C63</f>
        <v>8.6609999999999996</v>
      </c>
      <c r="H25" s="28" t="s">
        <v>82</v>
      </c>
    </row>
    <row r="26" spans="2:8" s="23" customFormat="1" x14ac:dyDescent="0.2">
      <c r="B26" s="67" t="s">
        <v>70</v>
      </c>
      <c r="C26" s="83">
        <f>C25/C$9</f>
        <v>2.5579307371069775E-2</v>
      </c>
      <c r="D26" s="83">
        <f t="shared" ref="D26" si="16">D25/D$9</f>
        <v>7.6945211947153605E-2</v>
      </c>
      <c r="E26" s="83">
        <f t="shared" ref="E26" si="17">E25/E$9</f>
        <v>7.5932032122533633E-2</v>
      </c>
      <c r="F26" s="83">
        <f t="shared" ref="F26" si="18">F25/F$9</f>
        <v>2.3030899324575863E-2</v>
      </c>
      <c r="G26" s="29"/>
      <c r="H26" s="29"/>
    </row>
    <row r="27" spans="2:8" s="29" customFormat="1" x14ac:dyDescent="0.2">
      <c r="B27" s="85" t="s">
        <v>78</v>
      </c>
      <c r="C27" s="86">
        <v>0</v>
      </c>
      <c r="D27" s="86">
        <v>0</v>
      </c>
      <c r="E27" s="86">
        <v>0</v>
      </c>
      <c r="F27" s="87">
        <f>+F9*C66</f>
        <v>0</v>
      </c>
    </row>
    <row r="28" spans="2:8" s="23" customFormat="1" x14ac:dyDescent="0.2">
      <c r="B28" s="67" t="s">
        <v>70</v>
      </c>
      <c r="C28" s="71">
        <f>C27/C$9</f>
        <v>0</v>
      </c>
      <c r="D28" s="83">
        <f t="shared" ref="D28" si="19">D27/D$9</f>
        <v>0</v>
      </c>
      <c r="E28" s="83">
        <f t="shared" ref="E28" si="20">E27/E$9</f>
        <v>0</v>
      </c>
      <c r="F28" s="83">
        <f t="shared" ref="F28" si="21">F27/F$9</f>
        <v>0</v>
      </c>
      <c r="G28" s="29"/>
      <c r="H28" s="29"/>
    </row>
    <row r="29" spans="2:8" s="29" customFormat="1" x14ac:dyDescent="0.2">
      <c r="B29" s="85" t="s">
        <v>86</v>
      </c>
      <c r="C29" s="86">
        <f>+C31-C25-C23-C21-C19-C17-C15-C13-C27</f>
        <v>10.551999999999964</v>
      </c>
      <c r="D29" s="86">
        <f>+D31-D25-D23-D21-D19-D17-D15-D13-D27</f>
        <v>9.9200000000000017</v>
      </c>
      <c r="E29" s="86">
        <f>+E31-E25-E23-E21-E19-E17-E15-E13-E27</f>
        <v>8.8990000000000009</v>
      </c>
      <c r="F29" s="87">
        <f>+C67</f>
        <v>9.7903333333333222</v>
      </c>
    </row>
    <row r="30" spans="2:8" s="23" customFormat="1" x14ac:dyDescent="0.2">
      <c r="B30" s="67" t="s">
        <v>70</v>
      </c>
      <c r="C30" s="83">
        <f>C29/C$9</f>
        <v>3.1164167114597317E-2</v>
      </c>
      <c r="D30" s="83">
        <f t="shared" ref="D30" si="22">D29/D$9</f>
        <v>2.7713909756581362E-2</v>
      </c>
      <c r="E30" s="83">
        <f t="shared" ref="E30" si="23">E29/E$9</f>
        <v>2.3663777056852631E-2</v>
      </c>
      <c r="F30" s="83">
        <f t="shared" ref="F30" si="24">F29/F$9</f>
        <v>2.603396621106558E-2</v>
      </c>
      <c r="G30" s="29"/>
      <c r="H30" s="29"/>
    </row>
    <row r="31" spans="2:8" s="29" customFormat="1" x14ac:dyDescent="0.2">
      <c r="B31" s="18" t="s">
        <v>87</v>
      </c>
      <c r="C31" s="76">
        <v>147.27699999999999</v>
      </c>
      <c r="D31" s="76">
        <v>216.761</v>
      </c>
      <c r="E31" s="76">
        <v>247.72900000000001</v>
      </c>
      <c r="F31" s="20">
        <f ca="1">+F29+F25+F23+F21+F19+F17+F15+F13</f>
        <v>288.43408037263453</v>
      </c>
    </row>
    <row r="32" spans="2:8" s="23" customFormat="1" x14ac:dyDescent="0.2">
      <c r="B32" s="67" t="s">
        <v>70</v>
      </c>
      <c r="C32" s="83">
        <f>C31/C$9</f>
        <v>0.43496636089239615</v>
      </c>
      <c r="D32" s="83">
        <f t="shared" ref="D32" si="25">D31/D$9</f>
        <v>0.60557407184942857</v>
      </c>
      <c r="E32" s="83">
        <f t="shared" ref="E32" si="26">E31/E$9</f>
        <v>0.65874860394617885</v>
      </c>
      <c r="F32" s="83">
        <f t="shared" ref="F32" ca="1" si="27">F31/F$9</f>
        <v>0.76698952393935682</v>
      </c>
      <c r="G32" s="29"/>
      <c r="H32" s="29"/>
    </row>
    <row r="33" spans="2:6" s="29" customFormat="1" ht="3.95" customHeight="1" x14ac:dyDescent="0.2">
      <c r="B33" s="66"/>
      <c r="C33" s="17"/>
      <c r="D33" s="17"/>
      <c r="E33" s="17"/>
    </row>
    <row r="34" spans="2:6" s="29" customFormat="1" x14ac:dyDescent="0.2">
      <c r="B34" s="40" t="s">
        <v>99</v>
      </c>
      <c r="C34" s="77">
        <f>+C9-C31</f>
        <v>191.31700000000001</v>
      </c>
      <c r="D34" s="77">
        <f t="shared" ref="D34:F34" si="28">+D9-D31</f>
        <v>141.18199999999999</v>
      </c>
      <c r="E34" s="77">
        <f t="shared" si="28"/>
        <v>128.33099999999999</v>
      </c>
      <c r="F34" s="78">
        <f t="shared" ca="1" si="28"/>
        <v>87.625919627365477</v>
      </c>
    </row>
    <row r="35" spans="2:6" s="29" customFormat="1" ht="3.95" customHeight="1" x14ac:dyDescent="0.2">
      <c r="B35" s="66"/>
      <c r="C35" s="17"/>
      <c r="D35" s="17"/>
      <c r="E35" s="17"/>
    </row>
    <row r="36" spans="2:6" s="29" customFormat="1" x14ac:dyDescent="0.2">
      <c r="B36" s="33" t="s">
        <v>90</v>
      </c>
      <c r="C36" s="17"/>
      <c r="D36" s="17"/>
      <c r="E36" s="17"/>
    </row>
    <row r="37" spans="2:6" s="29" customFormat="1" x14ac:dyDescent="0.2">
      <c r="B37" s="66" t="s">
        <v>89</v>
      </c>
      <c r="C37" s="30">
        <f>+C34</f>
        <v>191.31700000000001</v>
      </c>
      <c r="D37" s="30">
        <f t="shared" ref="D37:F37" si="29">+D34</f>
        <v>141.18199999999999</v>
      </c>
      <c r="E37" s="30">
        <f t="shared" si="29"/>
        <v>128.33099999999999</v>
      </c>
      <c r="F37" s="30">
        <f t="shared" ca="1" si="29"/>
        <v>87.625919627365477</v>
      </c>
    </row>
    <row r="38" spans="2:6" s="29" customFormat="1" x14ac:dyDescent="0.2">
      <c r="B38" s="72" t="s">
        <v>100</v>
      </c>
      <c r="C38" s="35">
        <f>+C23</f>
        <v>0</v>
      </c>
      <c r="D38" s="35">
        <f t="shared" ref="D38:F38" si="30">+D23</f>
        <v>12.608000000000001</v>
      </c>
      <c r="E38" s="35">
        <f t="shared" si="30"/>
        <v>14.67</v>
      </c>
      <c r="F38" s="35">
        <f t="shared" ca="1" si="30"/>
        <v>54.371206929769173</v>
      </c>
    </row>
    <row r="39" spans="2:6" s="29" customFormat="1" x14ac:dyDescent="0.2">
      <c r="B39" s="72" t="s">
        <v>101</v>
      </c>
      <c r="C39" s="35">
        <f>+C25</f>
        <v>8.6609999999999996</v>
      </c>
      <c r="D39" s="35">
        <f>+D25</f>
        <v>27.542000000000002</v>
      </c>
      <c r="E39" s="35">
        <f>+E25</f>
        <v>28.555</v>
      </c>
      <c r="F39" s="35">
        <f>+F25</f>
        <v>8.6609999999999996</v>
      </c>
    </row>
    <row r="40" spans="2:6" s="29" customFormat="1" x14ac:dyDescent="0.2">
      <c r="B40" s="72" t="s">
        <v>102</v>
      </c>
      <c r="C40" s="35">
        <f>-$C$63</f>
        <v>-8.6609999999999996</v>
      </c>
      <c r="D40" s="35">
        <f t="shared" ref="D40:F40" si="31">-$C$63</f>
        <v>-8.6609999999999996</v>
      </c>
      <c r="E40" s="35">
        <f t="shared" si="31"/>
        <v>-8.6609999999999996</v>
      </c>
      <c r="F40" s="35">
        <f t="shared" si="31"/>
        <v>-8.6609999999999996</v>
      </c>
    </row>
    <row r="41" spans="2:6" s="29" customFormat="1" x14ac:dyDescent="0.2">
      <c r="B41" s="72" t="s">
        <v>103</v>
      </c>
      <c r="C41" s="35">
        <f t="shared" ref="C41:F41" si="32">+C27</f>
        <v>0</v>
      </c>
      <c r="D41" s="35">
        <f t="shared" si="32"/>
        <v>0</v>
      </c>
      <c r="E41" s="35">
        <f t="shared" si="32"/>
        <v>0</v>
      </c>
      <c r="F41" s="35">
        <f t="shared" si="32"/>
        <v>0</v>
      </c>
    </row>
    <row r="42" spans="2:6" s="29" customFormat="1" x14ac:dyDescent="0.2">
      <c r="B42" s="52" t="s">
        <v>98</v>
      </c>
      <c r="C42" s="79">
        <f>SUM(C37:C41)</f>
        <v>191.31700000000001</v>
      </c>
      <c r="D42" s="79">
        <f t="shared" ref="D42:F42" si="33">SUM(D37:D41)</f>
        <v>172.67099999999999</v>
      </c>
      <c r="E42" s="79">
        <f t="shared" si="33"/>
        <v>162.89499999999998</v>
      </c>
      <c r="F42" s="80">
        <f t="shared" ca="1" si="33"/>
        <v>141.99712655713466</v>
      </c>
    </row>
    <row r="43" spans="2:6" s="29" customFormat="1" x14ac:dyDescent="0.2">
      <c r="B43" s="55" t="s">
        <v>69</v>
      </c>
      <c r="C43" s="81">
        <f>C42/C$9</f>
        <v>0.56503363910760385</v>
      </c>
      <c r="D43" s="81">
        <f t="shared" ref="D43:F43" si="34">D42/D$9</f>
        <v>0.48239803544139709</v>
      </c>
      <c r="E43" s="81">
        <f t="shared" si="34"/>
        <v>0.43316226134127528</v>
      </c>
      <c r="F43" s="82">
        <f t="shared" ca="1" si="34"/>
        <v>0.37759167834158025</v>
      </c>
    </row>
    <row r="44" spans="2:6" s="29" customFormat="1" ht="3.95" customHeight="1" x14ac:dyDescent="0.2">
      <c r="B44" s="93"/>
      <c r="C44" s="94"/>
      <c r="D44" s="94"/>
      <c r="E44" s="94"/>
      <c r="F44" s="94"/>
    </row>
    <row r="45" spans="2:6" s="29" customFormat="1" x14ac:dyDescent="0.2">
      <c r="B45" s="72" t="s">
        <v>92</v>
      </c>
      <c r="C45" s="73">
        <f>+C15</f>
        <v>0</v>
      </c>
      <c r="D45" s="73">
        <f t="shared" ref="D45:F45" si="35">+D15</f>
        <v>0</v>
      </c>
      <c r="E45" s="73">
        <f t="shared" si="35"/>
        <v>55</v>
      </c>
      <c r="F45" s="73">
        <f t="shared" si="35"/>
        <v>55</v>
      </c>
    </row>
    <row r="46" spans="2:6" s="29" customFormat="1" ht="3.95" customHeight="1" x14ac:dyDescent="0.2">
      <c r="B46" s="93"/>
      <c r="C46" s="94"/>
      <c r="D46" s="94"/>
      <c r="E46" s="94"/>
      <c r="F46" s="94"/>
    </row>
    <row r="47" spans="2:6" s="29" customFormat="1" x14ac:dyDescent="0.2">
      <c r="B47" s="52" t="s">
        <v>95</v>
      </c>
      <c r="C47" s="79">
        <f>+C42+C45</f>
        <v>191.31700000000001</v>
      </c>
      <c r="D47" s="79">
        <f t="shared" ref="D47:F47" si="36">+D42+D45</f>
        <v>172.67099999999999</v>
      </c>
      <c r="E47" s="79">
        <f t="shared" si="36"/>
        <v>217.89499999999998</v>
      </c>
      <c r="F47" s="80">
        <f t="shared" ca="1" si="36"/>
        <v>196.99712655713466</v>
      </c>
    </row>
    <row r="48" spans="2:6" s="29" customFormat="1" x14ac:dyDescent="0.2">
      <c r="B48" s="55" t="s">
        <v>69</v>
      </c>
      <c r="C48" s="81">
        <f>C47/C$9</f>
        <v>0.56503363910760385</v>
      </c>
      <c r="D48" s="81">
        <f t="shared" ref="D48" si="37">D47/D$9</f>
        <v>0.48239803544139709</v>
      </c>
      <c r="E48" s="81">
        <f t="shared" ref="E48" si="38">E47/E$9</f>
        <v>0.57941551880019138</v>
      </c>
      <c r="F48" s="82">
        <f t="shared" ref="F48" ca="1" si="39">F47/F$9</f>
        <v>0.5238449358004964</v>
      </c>
    </row>
    <row r="49" spans="2:8" s="29" customFormat="1" ht="3.95" customHeight="1" x14ac:dyDescent="0.2">
      <c r="B49" s="93"/>
      <c r="C49" s="94"/>
      <c r="D49" s="94"/>
      <c r="E49" s="94"/>
      <c r="F49" s="94"/>
    </row>
    <row r="50" spans="2:8" s="29" customFormat="1" x14ac:dyDescent="0.2">
      <c r="B50" s="33" t="s">
        <v>94</v>
      </c>
      <c r="C50" s="94"/>
      <c r="D50" s="94"/>
      <c r="E50" s="94"/>
      <c r="F50" s="94"/>
    </row>
    <row r="51" spans="2:8" s="29" customFormat="1" x14ac:dyDescent="0.2">
      <c r="B51" s="66" t="s">
        <v>95</v>
      </c>
      <c r="C51" s="30">
        <f>+C47</f>
        <v>191.31700000000001</v>
      </c>
      <c r="D51" s="30">
        <f t="shared" ref="D51:F51" si="40">+D47</f>
        <v>172.67099999999999</v>
      </c>
      <c r="E51" s="30">
        <f t="shared" si="40"/>
        <v>217.89499999999998</v>
      </c>
      <c r="F51" s="30">
        <f t="shared" ca="1" si="40"/>
        <v>196.99712655713466</v>
      </c>
    </row>
    <row r="52" spans="2:8" s="29" customFormat="1" x14ac:dyDescent="0.2">
      <c r="B52" s="72" t="s">
        <v>96</v>
      </c>
      <c r="C52" s="96">
        <f>+$C$68</f>
        <v>3</v>
      </c>
      <c r="D52" s="96">
        <f>+$C$68</f>
        <v>3</v>
      </c>
      <c r="E52" s="96">
        <f>+$C$68</f>
        <v>3</v>
      </c>
      <c r="F52" s="96">
        <f>+$C$68</f>
        <v>3</v>
      </c>
    </row>
    <row r="53" spans="2:8" s="29" customFormat="1" x14ac:dyDescent="0.2">
      <c r="B53" s="40" t="s">
        <v>97</v>
      </c>
      <c r="C53" s="77">
        <f>C51*C52</f>
        <v>573.95100000000002</v>
      </c>
      <c r="D53" s="77">
        <f t="shared" ref="D53:F53" si="41">D51*D52</f>
        <v>518.01299999999992</v>
      </c>
      <c r="E53" s="77">
        <f t="shared" si="41"/>
        <v>653.68499999999995</v>
      </c>
      <c r="F53" s="78">
        <f t="shared" ca="1" si="41"/>
        <v>590.99137967140405</v>
      </c>
    </row>
    <row r="54" spans="2:8" s="29" customFormat="1" x14ac:dyDescent="0.2"/>
    <row r="55" spans="2:8" x14ac:dyDescent="0.2">
      <c r="B55" s="24" t="s">
        <v>66</v>
      </c>
      <c r="C55" s="25"/>
      <c r="D55" s="25"/>
      <c r="E55" s="25"/>
      <c r="F55" s="25"/>
      <c r="G55" s="29"/>
      <c r="H55" s="29"/>
    </row>
    <row r="56" spans="2:8" ht="3.95" customHeight="1" x14ac:dyDescent="0.2"/>
    <row r="57" spans="2:8" x14ac:dyDescent="0.2">
      <c r="B57" s="66" t="s">
        <v>67</v>
      </c>
      <c r="C57" s="69">
        <v>0</v>
      </c>
      <c r="D57" s="29"/>
      <c r="E57" s="29"/>
      <c r="F57" s="29"/>
      <c r="G57" s="29"/>
      <c r="H57" s="29"/>
    </row>
    <row r="58" spans="2:8" x14ac:dyDescent="0.2">
      <c r="B58" s="66" t="s">
        <v>68</v>
      </c>
      <c r="C58" s="70">
        <f>SUM(C13:E13)/SUM(C9:E9)</f>
        <v>0.25563562083429286</v>
      </c>
      <c r="D58" s="29"/>
      <c r="E58" s="29"/>
      <c r="F58" s="29"/>
      <c r="G58" s="29"/>
      <c r="H58" s="29"/>
    </row>
    <row r="59" spans="2:8" x14ac:dyDescent="0.2">
      <c r="B59" s="66" t="s">
        <v>72</v>
      </c>
      <c r="C59" s="17">
        <v>0</v>
      </c>
      <c r="D59" s="29"/>
      <c r="E59" s="29"/>
      <c r="F59" s="29"/>
      <c r="G59" s="29"/>
      <c r="H59" s="29"/>
    </row>
    <row r="60" spans="2:8" x14ac:dyDescent="0.2">
      <c r="B60" s="66" t="s">
        <v>73</v>
      </c>
      <c r="C60" s="17">
        <v>55</v>
      </c>
      <c r="D60" s="29"/>
      <c r="E60" s="29"/>
      <c r="F60" s="29"/>
      <c r="G60" s="29"/>
      <c r="H60" s="29"/>
    </row>
    <row r="61" spans="2:8" x14ac:dyDescent="0.2">
      <c r="B61" s="66" t="s">
        <v>75</v>
      </c>
      <c r="C61" s="73">
        <f>AVERAGE(C17:E17)</f>
        <v>33.270666666666664</v>
      </c>
      <c r="D61" s="29"/>
      <c r="E61" s="29"/>
      <c r="F61" s="29"/>
      <c r="G61" s="29"/>
      <c r="H61" s="29"/>
    </row>
    <row r="62" spans="2:8" x14ac:dyDescent="0.2">
      <c r="B62" s="66" t="s">
        <v>77</v>
      </c>
      <c r="C62" s="75">
        <f>+'CRE Income Capitalization'!J11/1000</f>
        <v>26.822541871921182</v>
      </c>
    </row>
    <row r="63" spans="2:8" x14ac:dyDescent="0.2">
      <c r="B63" s="66" t="s">
        <v>81</v>
      </c>
      <c r="C63" s="35">
        <f>+C25</f>
        <v>8.6609999999999996</v>
      </c>
    </row>
    <row r="64" spans="2:8" x14ac:dyDescent="0.2">
      <c r="B64" s="66" t="s">
        <v>85</v>
      </c>
      <c r="C64" s="35">
        <f>+E21</f>
        <v>4.3840000000000003</v>
      </c>
    </row>
    <row r="65" spans="2:3" x14ac:dyDescent="0.2">
      <c r="B65" s="66" t="s">
        <v>88</v>
      </c>
      <c r="C65" s="75">
        <v>0</v>
      </c>
    </row>
    <row r="66" spans="2:3" x14ac:dyDescent="0.2">
      <c r="B66" s="102" t="s">
        <v>110</v>
      </c>
      <c r="C66" s="69">
        <v>0</v>
      </c>
    </row>
    <row r="67" spans="2:3" x14ac:dyDescent="0.2">
      <c r="B67" s="66" t="s">
        <v>91</v>
      </c>
      <c r="C67" s="73">
        <f>AVERAGE(C29:E29)</f>
        <v>9.7903333333333222</v>
      </c>
    </row>
    <row r="68" spans="2:3" x14ac:dyDescent="0.2">
      <c r="B68" s="66" t="s">
        <v>93</v>
      </c>
      <c r="C68" s="95">
        <v>3</v>
      </c>
    </row>
    <row r="69" spans="2:3" x14ac:dyDescent="0.2">
      <c r="B69" s="102" t="s">
        <v>108</v>
      </c>
      <c r="C69" s="103">
        <v>0.2</v>
      </c>
    </row>
    <row r="70" spans="2:3" x14ac:dyDescent="0.2">
      <c r="B70" s="102" t="s">
        <v>109</v>
      </c>
      <c r="C70" s="14">
        <f ca="1">+F53*C69</f>
        <v>118.19827593428082</v>
      </c>
    </row>
    <row r="71" spans="2:3" x14ac:dyDescent="0.2">
      <c r="B71" s="102" t="s">
        <v>106</v>
      </c>
      <c r="C71" s="16">
        <f ca="1">+F53*(1-C69)</f>
        <v>472.79310373712326</v>
      </c>
    </row>
    <row r="72" spans="2:3" x14ac:dyDescent="0.2">
      <c r="B72" s="102" t="s">
        <v>107</v>
      </c>
      <c r="C72" s="105">
        <v>20</v>
      </c>
    </row>
    <row r="73" spans="2:3" x14ac:dyDescent="0.2">
      <c r="B73" s="102" t="s">
        <v>105</v>
      </c>
      <c r="C73" s="104">
        <v>6.5000000000000002E-2</v>
      </c>
    </row>
  </sheetData>
  <conditionalFormatting sqref="B1:G6 C7:G8 B9:G68 B73:G1048576 B72:B73 C69:G69 D70:G72 C71:C73">
    <cfRule type="expression" dxfId="1" priority="1">
      <formula>$I$3=1</formula>
    </cfRule>
  </conditionalFormatting>
  <pageMargins left="0.7" right="0.7" top="0.75" bottom="0.75" header="0.3" footer="0.3"/>
  <pageSetup scale="90" orientation="portrait" r:id="rId1"/>
  <colBreaks count="1" manualBreakCount="1">
    <brk id="6" min="1" max="5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Valuation Overview</vt:lpstr>
      <vt:lpstr>CRE Income Capitalization</vt:lpstr>
      <vt:lpstr>Laundromat Valuation</vt:lpstr>
      <vt:lpstr>Cover!Print_Area</vt:lpstr>
      <vt:lpstr>'CRE Income Capitalization'!Print_Area</vt:lpstr>
      <vt:lpstr>'Laundromat Valuation'!Print_Area</vt:lpstr>
      <vt:lpstr>'Valuation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2026-08-06T21:55:21Z</cp:lastPrinted>
  <dcterms:created xsi:type="dcterms:W3CDTF">2015-06-05T18:17:20Z</dcterms:created>
  <dcterms:modified xsi:type="dcterms:W3CDTF">2026-08-06T22:45:13Z</dcterms:modified>
</cp:coreProperties>
</file>