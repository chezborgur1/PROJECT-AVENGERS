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Monica Kennedy - Sunshine Commercial Investments\02 Monica Kennedy - Investor Dataroom\01 Diligence Workbook\"/>
    </mc:Choice>
  </mc:AlternateContent>
  <xr:revisionPtr revIDLastSave="0" documentId="13_ncr:1_{46BDD443-37D8-401A-9847-29B612B7E0CE}" xr6:coauthVersionLast="47" xr6:coauthVersionMax="47" xr10:uidLastSave="{00000000-0000-0000-0000-000000000000}"/>
  <bookViews>
    <workbookView xWindow="-120" yWindow="-120" windowWidth="51840" windowHeight="21840" activeTab="3" xr2:uid="{00000000-000D-0000-FFFF-FFFF00000000}"/>
  </bookViews>
  <sheets>
    <sheet name="Cover" sheetId="1" r:id="rId1"/>
    <sheet name="Laundromat Valuation" sheetId="5" r:id="rId2"/>
    <sheet name="CRE Valuation" sheetId="12" r:id="rId3"/>
    <sheet name="Sensitivity Analysis" sheetId="9" r:id="rId4"/>
    <sheet name="CRE P&amp;L" sheetId="3" r:id="rId5"/>
    <sheet name="Market Rent Analysis" sheetId="6" r:id="rId6"/>
    <sheet name="Tennant View" sheetId="11" r:id="rId7"/>
    <sheet name="Valuation Overview" sheetId="4" r:id="rId8"/>
  </sheets>
  <definedNames>
    <definedName name="_xlnm._FilterDatabase" localSheetId="5" hidden="1">'Market Rent Analysis'!$B$10:$I$24</definedName>
    <definedName name="_xlnm.Print_Area" localSheetId="0">Cover!$B$2:$Q$39</definedName>
    <definedName name="_xlnm.Print_Area" localSheetId="4">'CRE P&amp;L'!$B$2:$H$65</definedName>
    <definedName name="_xlnm.Print_Area" localSheetId="2">'CRE Valuation'!$B$2:$J$24</definedName>
    <definedName name="_xlnm.Print_Area" localSheetId="1">'Laundromat Valuation'!$B$2:$F$55</definedName>
    <definedName name="_xlnm.Print_Area" localSheetId="5">'Market Rent Analysis'!$B$2:$I$34</definedName>
    <definedName name="_xlnm.Print_Area" localSheetId="3">'Sensitivity Analysis'!$B$2:$J$107</definedName>
    <definedName name="_xlnm.Print_Area" localSheetId="6">'Tennant View'!$B$2:$H$48</definedName>
    <definedName name="_xlnm.Print_Area" localSheetId="7">'Valuation Overview'!$B$2:$F$35</definedName>
    <definedName name="_xlnm.Print_Titles" localSheetId="2">'CRE Valuation'!$2:$3</definedName>
    <definedName name="_xlnm.Print_Titles" localSheetId="3">'Sensitivity Analysis'!$2:$3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2" l="1"/>
  <c r="F21" i="12"/>
  <c r="C10" i="12"/>
  <c r="C11" i="12"/>
  <c r="C12" i="12" s="1"/>
  <c r="C13" i="12" s="1"/>
  <c r="C14" i="12" s="1"/>
  <c r="C15" i="12" s="1"/>
  <c r="C16" i="12" s="1"/>
  <c r="D16" i="12" s="1"/>
  <c r="D9" i="12"/>
  <c r="N8" i="12"/>
  <c r="E8" i="12"/>
  <c r="F8" i="12" s="1"/>
  <c r="N7" i="12"/>
  <c r="B2" i="12"/>
  <c r="D55" i="5"/>
  <c r="E55" i="5"/>
  <c r="C55" i="5"/>
  <c r="E54" i="5"/>
  <c r="F54" i="5"/>
  <c r="D54" i="5"/>
  <c r="C54" i="5"/>
  <c r="C76" i="5"/>
  <c r="F19" i="5" s="1"/>
  <c r="C102" i="9"/>
  <c r="C103" i="9" s="1"/>
  <c r="C104" i="9" s="1"/>
  <c r="C105" i="9" s="1"/>
  <c r="C106" i="9" s="1"/>
  <c r="C107" i="9" s="1"/>
  <c r="M101" i="9"/>
  <c r="C101" i="9"/>
  <c r="C100" i="9"/>
  <c r="E98" i="9"/>
  <c r="F98" i="9" s="1"/>
  <c r="G98" i="9" s="1"/>
  <c r="H98" i="9" s="1"/>
  <c r="I98" i="9" s="1"/>
  <c r="J98" i="9" s="1"/>
  <c r="C86" i="9"/>
  <c r="C87" i="9" s="1"/>
  <c r="E84" i="9"/>
  <c r="F84" i="9" s="1"/>
  <c r="G84" i="9" s="1"/>
  <c r="H84" i="9" s="1"/>
  <c r="I84" i="9" s="1"/>
  <c r="J84" i="9" s="1"/>
  <c r="D55" i="9"/>
  <c r="M73" i="9"/>
  <c r="M87" i="9" s="1"/>
  <c r="M72" i="9"/>
  <c r="M86" i="9" s="1"/>
  <c r="M100" i="9" s="1"/>
  <c r="M71" i="9"/>
  <c r="M85" i="9" s="1"/>
  <c r="M99" i="9" s="1"/>
  <c r="C72" i="9"/>
  <c r="E70" i="9"/>
  <c r="F70" i="9" s="1"/>
  <c r="G70" i="9" s="1"/>
  <c r="H70" i="9" s="1"/>
  <c r="I70" i="9" s="1"/>
  <c r="J70" i="9" s="1"/>
  <c r="E54" i="9"/>
  <c r="F54" i="9" s="1"/>
  <c r="G54" i="9" s="1"/>
  <c r="H54" i="9" s="1"/>
  <c r="I54" i="9" s="1"/>
  <c r="J54" i="9" s="1"/>
  <c r="J55" i="9" s="1"/>
  <c r="J85" i="9" s="1"/>
  <c r="C56" i="9"/>
  <c r="D56" i="9" s="1"/>
  <c r="D86" i="9" s="1"/>
  <c r="F8" i="3"/>
  <c r="E11" i="3"/>
  <c r="F11" i="3"/>
  <c r="D11" i="3"/>
  <c r="C20" i="3"/>
  <c r="G39" i="6"/>
  <c r="G38" i="6"/>
  <c r="H25" i="6"/>
  <c r="G25" i="6"/>
  <c r="D33" i="6" s="1"/>
  <c r="I22" i="6"/>
  <c r="I19" i="6"/>
  <c r="I15" i="6"/>
  <c r="D26" i="6"/>
  <c r="I23" i="6"/>
  <c r="I20" i="6"/>
  <c r="I13" i="6"/>
  <c r="D15" i="12" l="1"/>
  <c r="E15" i="12"/>
  <c r="F16" i="12"/>
  <c r="E16" i="12"/>
  <c r="F15" i="12"/>
  <c r="D10" i="12"/>
  <c r="E12" i="12"/>
  <c r="D12" i="12"/>
  <c r="F12" i="12"/>
  <c r="F9" i="12"/>
  <c r="G8" i="12"/>
  <c r="F10" i="12"/>
  <c r="E10" i="12"/>
  <c r="D11" i="12"/>
  <c r="E9" i="12"/>
  <c r="E11" i="12"/>
  <c r="F11" i="12"/>
  <c r="D85" i="9"/>
  <c r="E56" i="9"/>
  <c r="E86" i="9" s="1"/>
  <c r="E55" i="9"/>
  <c r="E85" i="9" s="1"/>
  <c r="J56" i="9"/>
  <c r="J86" i="9" s="1"/>
  <c r="C88" i="9"/>
  <c r="G56" i="9"/>
  <c r="G86" i="9" s="1"/>
  <c r="H56" i="9"/>
  <c r="H86" i="9" s="1"/>
  <c r="H55" i="9"/>
  <c r="H85" i="9" s="1"/>
  <c r="I56" i="9"/>
  <c r="I86" i="9" s="1"/>
  <c r="F56" i="9"/>
  <c r="F86" i="9" s="1"/>
  <c r="I55" i="9"/>
  <c r="I85" i="9" s="1"/>
  <c r="G55" i="9"/>
  <c r="G85" i="9" s="1"/>
  <c r="F55" i="9"/>
  <c r="F85" i="9" s="1"/>
  <c r="G72" i="9"/>
  <c r="G100" i="9" s="1"/>
  <c r="I72" i="9"/>
  <c r="I100" i="9" s="1"/>
  <c r="F72" i="9"/>
  <c r="F100" i="9" s="1"/>
  <c r="H72" i="9"/>
  <c r="H100" i="9" s="1"/>
  <c r="J72" i="9"/>
  <c r="J100" i="9" s="1"/>
  <c r="I71" i="9"/>
  <c r="I99" i="9" s="1"/>
  <c r="J71" i="9"/>
  <c r="J99" i="9" s="1"/>
  <c r="D72" i="9"/>
  <c r="D100" i="9" s="1"/>
  <c r="E72" i="9"/>
  <c r="E100" i="9" s="1"/>
  <c r="E71" i="9"/>
  <c r="E99" i="9" s="1"/>
  <c r="F71" i="9"/>
  <c r="F99" i="9" s="1"/>
  <c r="G71" i="9"/>
  <c r="G99" i="9" s="1"/>
  <c r="H71" i="9"/>
  <c r="H99" i="9" s="1"/>
  <c r="D71" i="9"/>
  <c r="D99" i="9" s="1"/>
  <c r="C73" i="9"/>
  <c r="G73" i="9" s="1"/>
  <c r="G101" i="9" s="1"/>
  <c r="C57" i="9"/>
  <c r="G40" i="6"/>
  <c r="I25" i="6"/>
  <c r="E33" i="6" s="1"/>
  <c r="C40" i="9"/>
  <c r="J38" i="9"/>
  <c r="J37" i="9" s="1"/>
  <c r="C25" i="9"/>
  <c r="C26" i="9" s="1"/>
  <c r="C27" i="9" s="1"/>
  <c r="J23" i="9"/>
  <c r="C19" i="3" s="1"/>
  <c r="E8" i="3" s="1"/>
  <c r="C38" i="3"/>
  <c r="C11" i="3" s="1"/>
  <c r="D11" i="11"/>
  <c r="C23" i="11"/>
  <c r="D23" i="11"/>
  <c r="E23" i="11"/>
  <c r="F23" i="11"/>
  <c r="C28" i="11"/>
  <c r="C17" i="4" s="1"/>
  <c r="C29" i="11"/>
  <c r="C18" i="4" s="1"/>
  <c r="C30" i="11"/>
  <c r="C19" i="4" s="1"/>
  <c r="C31" i="11"/>
  <c r="C20" i="4" s="1"/>
  <c r="C32" i="11"/>
  <c r="C21" i="4" s="1"/>
  <c r="D33" i="11"/>
  <c r="E33" i="11"/>
  <c r="F33" i="11"/>
  <c r="B2" i="11"/>
  <c r="C52" i="3"/>
  <c r="G52" i="3" s="1"/>
  <c r="C49" i="3"/>
  <c r="G49" i="3" s="1"/>
  <c r="C46" i="3"/>
  <c r="G46" i="3" s="1"/>
  <c r="E53" i="3"/>
  <c r="C50" i="3"/>
  <c r="G50" i="3" s="1"/>
  <c r="C51" i="3"/>
  <c r="G51" i="3" s="1"/>
  <c r="C25" i="3"/>
  <c r="C28" i="3"/>
  <c r="G37" i="3"/>
  <c r="G36" i="3"/>
  <c r="G35" i="3"/>
  <c r="G34" i="3"/>
  <c r="E38" i="3"/>
  <c r="C65" i="3"/>
  <c r="D35" i="3" s="1"/>
  <c r="E18" i="3" s="1"/>
  <c r="E19" i="3" s="1"/>
  <c r="N7" i="9"/>
  <c r="D9" i="9"/>
  <c r="C10" i="9"/>
  <c r="D10" i="9" s="1"/>
  <c r="E8" i="9"/>
  <c r="F8" i="9" s="1"/>
  <c r="G8" i="9" s="1"/>
  <c r="H8" i="9" s="1"/>
  <c r="I8" i="9" s="1"/>
  <c r="J8" i="9" s="1"/>
  <c r="J9" i="9" s="1"/>
  <c r="C47" i="6"/>
  <c r="D47" i="6" s="1"/>
  <c r="D46" i="6"/>
  <c r="C46" i="6"/>
  <c r="B6" i="6"/>
  <c r="B2" i="6"/>
  <c r="D8" i="4"/>
  <c r="D80" i="3"/>
  <c r="D88" i="3"/>
  <c r="D93" i="3"/>
  <c r="D92" i="3" s="1"/>
  <c r="D91" i="3"/>
  <c r="D10" i="4"/>
  <c r="D27" i="4"/>
  <c r="D15" i="4"/>
  <c r="F27" i="4"/>
  <c r="E27" i="4"/>
  <c r="C27" i="4"/>
  <c r="E15" i="4"/>
  <c r="F15" i="4"/>
  <c r="C15" i="4"/>
  <c r="E10" i="4"/>
  <c r="F10" i="4" s="1"/>
  <c r="C33" i="4"/>
  <c r="C32" i="4"/>
  <c r="C31" i="4"/>
  <c r="C30" i="4"/>
  <c r="C29" i="4"/>
  <c r="B18" i="4"/>
  <c r="B30" i="4" s="1"/>
  <c r="B19" i="4"/>
  <c r="B31" i="4" s="1"/>
  <c r="B20" i="4"/>
  <c r="B32" i="4" s="1"/>
  <c r="B21" i="4"/>
  <c r="B33" i="4" s="1"/>
  <c r="B17" i="4"/>
  <c r="B29" i="4" s="1"/>
  <c r="D52" i="5"/>
  <c r="E52" i="5"/>
  <c r="F52" i="5"/>
  <c r="C52" i="5"/>
  <c r="D45" i="5"/>
  <c r="E45" i="5"/>
  <c r="C45" i="5"/>
  <c r="E28" i="5"/>
  <c r="D28" i="5"/>
  <c r="C28" i="5"/>
  <c r="E26" i="5"/>
  <c r="D26" i="5"/>
  <c r="C26" i="5"/>
  <c r="E24" i="5"/>
  <c r="D24" i="5"/>
  <c r="C24" i="5"/>
  <c r="C39" i="5"/>
  <c r="D39" i="5"/>
  <c r="E39" i="5"/>
  <c r="C41" i="5"/>
  <c r="D41" i="5"/>
  <c r="E41" i="5"/>
  <c r="D38" i="5"/>
  <c r="E38" i="5"/>
  <c r="C38" i="5"/>
  <c r="C29" i="5"/>
  <c r="C30" i="5" s="1"/>
  <c r="D29" i="5"/>
  <c r="D30" i="5" s="1"/>
  <c r="E29" i="5"/>
  <c r="E30" i="5" s="1"/>
  <c r="D34" i="5"/>
  <c r="D37" i="5" s="1"/>
  <c r="E34" i="5"/>
  <c r="E37" i="5" s="1"/>
  <c r="C34" i="5"/>
  <c r="C37" i="5" s="1"/>
  <c r="E32" i="5"/>
  <c r="D32" i="5"/>
  <c r="C32" i="5"/>
  <c r="E22" i="5"/>
  <c r="D22" i="5"/>
  <c r="C22" i="5"/>
  <c r="C66" i="5"/>
  <c r="F21" i="5" s="1"/>
  <c r="C65" i="5"/>
  <c r="F25" i="5" s="1"/>
  <c r="F39" i="5" s="1"/>
  <c r="E20" i="5"/>
  <c r="D20" i="5"/>
  <c r="C20" i="5"/>
  <c r="F9" i="5"/>
  <c r="F10" i="5" s="1"/>
  <c r="E18" i="5"/>
  <c r="D18" i="5"/>
  <c r="C18" i="5"/>
  <c r="C63" i="5"/>
  <c r="F17" i="5" s="1"/>
  <c r="E16" i="5"/>
  <c r="D16" i="5"/>
  <c r="C16" i="5"/>
  <c r="F15" i="5"/>
  <c r="F45" i="5" s="1"/>
  <c r="D14" i="5"/>
  <c r="E14" i="5"/>
  <c r="C14" i="5"/>
  <c r="C60" i="5"/>
  <c r="E10" i="5"/>
  <c r="D10" i="5"/>
  <c r="B2" i="5"/>
  <c r="C82" i="4"/>
  <c r="C84" i="4" s="1"/>
  <c r="B2" i="4"/>
  <c r="E93" i="3"/>
  <c r="F93" i="3" s="1"/>
  <c r="G93" i="3" s="1"/>
  <c r="C91" i="3"/>
  <c r="F91" i="3"/>
  <c r="G91" i="3"/>
  <c r="E91" i="3"/>
  <c r="B87" i="3"/>
  <c r="E80" i="3"/>
  <c r="F80" i="3" s="1"/>
  <c r="G80" i="3" s="1"/>
  <c r="B77" i="3"/>
  <c r="E88" i="3"/>
  <c r="F88" i="3" s="1"/>
  <c r="G88" i="3" s="1"/>
  <c r="B2" i="3"/>
  <c r="B2" i="9" s="1"/>
  <c r="G15" i="12" l="1"/>
  <c r="G16" i="12"/>
  <c r="G11" i="12"/>
  <c r="G9" i="12"/>
  <c r="H8" i="12"/>
  <c r="G10" i="12"/>
  <c r="G12" i="12"/>
  <c r="G13" i="12"/>
  <c r="D13" i="12"/>
  <c r="F13" i="12"/>
  <c r="E13" i="12"/>
  <c r="C40" i="5"/>
  <c r="C42" i="5" s="1"/>
  <c r="E40" i="5"/>
  <c r="D40" i="5"/>
  <c r="F40" i="5"/>
  <c r="F27" i="5"/>
  <c r="F41" i="5" s="1"/>
  <c r="D25" i="9"/>
  <c r="C27" i="3"/>
  <c r="I73" i="9"/>
  <c r="I101" i="9" s="1"/>
  <c r="H73" i="9"/>
  <c r="H101" i="9" s="1"/>
  <c r="D73" i="9"/>
  <c r="D101" i="9" s="1"/>
  <c r="J73" i="9"/>
  <c r="J101" i="9" s="1"/>
  <c r="F73" i="9"/>
  <c r="F101" i="9" s="1"/>
  <c r="E73" i="9"/>
  <c r="E101" i="9" s="1"/>
  <c r="C89" i="9"/>
  <c r="J57" i="9"/>
  <c r="J87" i="9" s="1"/>
  <c r="G57" i="9"/>
  <c r="G87" i="9" s="1"/>
  <c r="I57" i="9"/>
  <c r="I87" i="9" s="1"/>
  <c r="H57" i="9"/>
  <c r="H87" i="9" s="1"/>
  <c r="E57" i="9"/>
  <c r="E87" i="9" s="1"/>
  <c r="D57" i="9"/>
  <c r="D87" i="9" s="1"/>
  <c r="F57" i="9"/>
  <c r="F87" i="9" s="1"/>
  <c r="C74" i="9"/>
  <c r="C58" i="9"/>
  <c r="D48" i="6"/>
  <c r="C48" i="6"/>
  <c r="F77" i="3" s="1"/>
  <c r="J47" i="9"/>
  <c r="D47" i="9"/>
  <c r="J39" i="9"/>
  <c r="J22" i="9"/>
  <c r="D24" i="9"/>
  <c r="J24" i="9"/>
  <c r="D39" i="9"/>
  <c r="E38" i="9"/>
  <c r="E37" i="9" s="1"/>
  <c r="D40" i="9"/>
  <c r="E40" i="9"/>
  <c r="J40" i="9"/>
  <c r="C41" i="9"/>
  <c r="C28" i="9"/>
  <c r="D28" i="9" s="1"/>
  <c r="D27" i="9"/>
  <c r="J32" i="9"/>
  <c r="D26" i="9"/>
  <c r="J26" i="9"/>
  <c r="J25" i="9"/>
  <c r="J27" i="9"/>
  <c r="D32" i="9"/>
  <c r="E23" i="9"/>
  <c r="D9" i="3"/>
  <c r="E20" i="3"/>
  <c r="C33" i="11"/>
  <c r="C47" i="3"/>
  <c r="D47" i="3" s="1"/>
  <c r="C48" i="3"/>
  <c r="G48" i="3" s="1"/>
  <c r="H48" i="3" s="1"/>
  <c r="D46" i="3"/>
  <c r="H51" i="3"/>
  <c r="F49" i="3"/>
  <c r="F47" i="3"/>
  <c r="F52" i="3"/>
  <c r="F50" i="3"/>
  <c r="F48" i="3"/>
  <c r="F46" i="3"/>
  <c r="H52" i="3"/>
  <c r="F51" i="3"/>
  <c r="F45" i="3"/>
  <c r="D52" i="3"/>
  <c r="D51" i="3"/>
  <c r="H50" i="3"/>
  <c r="D50" i="3"/>
  <c r="D49" i="3"/>
  <c r="H49" i="3"/>
  <c r="H46" i="3"/>
  <c r="G38" i="3"/>
  <c r="H37" i="3"/>
  <c r="F36" i="3"/>
  <c r="F25" i="3" s="1"/>
  <c r="F26" i="3" s="1"/>
  <c r="F27" i="3" s="1"/>
  <c r="F28" i="3" s="1"/>
  <c r="H34" i="3"/>
  <c r="F37" i="3"/>
  <c r="G25" i="3" s="1"/>
  <c r="G26" i="3" s="1"/>
  <c r="G27" i="3" s="1"/>
  <c r="G28" i="3" s="1"/>
  <c r="F34" i="3"/>
  <c r="D25" i="3" s="1"/>
  <c r="H35" i="3"/>
  <c r="F35" i="3"/>
  <c r="E25" i="3" s="1"/>
  <c r="E26" i="3" s="1"/>
  <c r="E27" i="3" s="1"/>
  <c r="E28" i="3" s="1"/>
  <c r="H36" i="3"/>
  <c r="D34" i="3"/>
  <c r="D18" i="3" s="1"/>
  <c r="D19" i="3" s="1"/>
  <c r="D37" i="3"/>
  <c r="D36" i="3"/>
  <c r="E9" i="9"/>
  <c r="G9" i="9"/>
  <c r="J10" i="9"/>
  <c r="F9" i="9"/>
  <c r="I9" i="9"/>
  <c r="H9" i="9"/>
  <c r="H10" i="9"/>
  <c r="F10" i="9"/>
  <c r="I10" i="9"/>
  <c r="C11" i="9"/>
  <c r="E10" i="9"/>
  <c r="G10" i="9"/>
  <c r="C22" i="4"/>
  <c r="H17" i="4" s="1"/>
  <c r="C34" i="4"/>
  <c r="F22" i="5"/>
  <c r="F13" i="5"/>
  <c r="F14" i="5" s="1"/>
  <c r="F26" i="5"/>
  <c r="D42" i="5"/>
  <c r="E42" i="5"/>
  <c r="C69" i="5"/>
  <c r="F29" i="5" s="1"/>
  <c r="F30" i="5" s="1"/>
  <c r="F18" i="5"/>
  <c r="F16" i="5"/>
  <c r="H15" i="12" l="1"/>
  <c r="H16" i="12"/>
  <c r="G14" i="12"/>
  <c r="F14" i="12"/>
  <c r="E14" i="12"/>
  <c r="D14" i="12"/>
  <c r="H14" i="12"/>
  <c r="H9" i="12"/>
  <c r="I8" i="12"/>
  <c r="H10" i="12"/>
  <c r="H11" i="12"/>
  <c r="H12" i="12"/>
  <c r="H13" i="12"/>
  <c r="F28" i="5"/>
  <c r="F38" i="9"/>
  <c r="C90" i="9"/>
  <c r="C91" i="9" s="1"/>
  <c r="D58" i="9"/>
  <c r="D88" i="9" s="1"/>
  <c r="G58" i="9"/>
  <c r="G88" i="9" s="1"/>
  <c r="F58" i="9"/>
  <c r="F88" i="9" s="1"/>
  <c r="H58" i="9"/>
  <c r="H88" i="9" s="1"/>
  <c r="J58" i="9"/>
  <c r="J88" i="9" s="1"/>
  <c r="I58" i="9"/>
  <c r="I88" i="9" s="1"/>
  <c r="E58" i="9"/>
  <c r="E88" i="9" s="1"/>
  <c r="F74" i="9"/>
  <c r="F102" i="9" s="1"/>
  <c r="I74" i="9"/>
  <c r="I102" i="9" s="1"/>
  <c r="H74" i="9"/>
  <c r="H102" i="9" s="1"/>
  <c r="G74" i="9"/>
  <c r="G102" i="9" s="1"/>
  <c r="J74" i="9"/>
  <c r="J102" i="9" s="1"/>
  <c r="D74" i="9"/>
  <c r="D102" i="9" s="1"/>
  <c r="E74" i="9"/>
  <c r="E102" i="9" s="1"/>
  <c r="C75" i="9"/>
  <c r="C59" i="9"/>
  <c r="C56" i="3"/>
  <c r="C45" i="3" s="1"/>
  <c r="G45" i="3" s="1"/>
  <c r="H45" i="3" s="1"/>
  <c r="C8" i="3"/>
  <c r="G77" i="3"/>
  <c r="G83" i="3" s="1"/>
  <c r="E39" i="9"/>
  <c r="E47" i="9"/>
  <c r="E22" i="9"/>
  <c r="J41" i="9"/>
  <c r="C42" i="9"/>
  <c r="E41" i="9"/>
  <c r="D41" i="9"/>
  <c r="F37" i="9"/>
  <c r="G38" i="9"/>
  <c r="E25" i="9"/>
  <c r="E32" i="9"/>
  <c r="E28" i="9"/>
  <c r="E26" i="9"/>
  <c r="E24" i="9"/>
  <c r="E27" i="9"/>
  <c r="C29" i="9"/>
  <c r="J28" i="9"/>
  <c r="F23" i="9"/>
  <c r="F39" i="9" s="1"/>
  <c r="E9" i="3"/>
  <c r="E10" i="3" s="1"/>
  <c r="F9" i="3"/>
  <c r="F10" i="3" s="1"/>
  <c r="F18" i="3"/>
  <c r="F19" i="3" s="1"/>
  <c r="G18" i="3"/>
  <c r="D45" i="3"/>
  <c r="F83" i="3"/>
  <c r="F87" i="3" s="1"/>
  <c r="F89" i="3" s="1"/>
  <c r="D48" i="3"/>
  <c r="F53" i="3"/>
  <c r="G47" i="3"/>
  <c r="C53" i="3"/>
  <c r="D77" i="3"/>
  <c r="D22" i="4" s="1"/>
  <c r="D23" i="4" s="1"/>
  <c r="H38" i="3"/>
  <c r="D26" i="3"/>
  <c r="H25" i="3"/>
  <c r="F38" i="3"/>
  <c r="D38" i="3"/>
  <c r="E10" i="11" s="1"/>
  <c r="F10" i="11" s="1"/>
  <c r="C12" i="9"/>
  <c r="D11" i="9"/>
  <c r="E11" i="9"/>
  <c r="G11" i="9"/>
  <c r="F11" i="9"/>
  <c r="J11" i="9"/>
  <c r="I11" i="9"/>
  <c r="H11" i="9"/>
  <c r="H18" i="4"/>
  <c r="H19" i="4"/>
  <c r="C6" i="6"/>
  <c r="C32" i="6" s="1"/>
  <c r="E77" i="3"/>
  <c r="C77" i="3"/>
  <c r="C13" i="11" s="1"/>
  <c r="H20" i="4"/>
  <c r="H21" i="4"/>
  <c r="H31" i="4"/>
  <c r="H30" i="4"/>
  <c r="H32" i="4"/>
  <c r="H33" i="4"/>
  <c r="H29" i="4"/>
  <c r="C47" i="5"/>
  <c r="C43" i="5"/>
  <c r="E43" i="5"/>
  <c r="E47" i="5"/>
  <c r="D43" i="5"/>
  <c r="D47" i="5"/>
  <c r="I14" i="12" l="1"/>
  <c r="I16" i="12"/>
  <c r="I15" i="12"/>
  <c r="I9" i="12"/>
  <c r="J8" i="12"/>
  <c r="I10" i="12"/>
  <c r="I11" i="12"/>
  <c r="I12" i="12"/>
  <c r="I13" i="12"/>
  <c r="H59" i="9"/>
  <c r="H89" i="9" s="1"/>
  <c r="G59" i="9"/>
  <c r="G89" i="9" s="1"/>
  <c r="F59" i="9"/>
  <c r="F89" i="9" s="1"/>
  <c r="J59" i="9"/>
  <c r="J89" i="9" s="1"/>
  <c r="I59" i="9"/>
  <c r="I89" i="9" s="1"/>
  <c r="E59" i="9"/>
  <c r="E89" i="9" s="1"/>
  <c r="D59" i="9"/>
  <c r="D89" i="9" s="1"/>
  <c r="I75" i="9"/>
  <c r="I103" i="9" s="1"/>
  <c r="F75" i="9"/>
  <c r="F103" i="9" s="1"/>
  <c r="J75" i="9"/>
  <c r="J103" i="9" s="1"/>
  <c r="D75" i="9"/>
  <c r="D103" i="9" s="1"/>
  <c r="G75" i="9"/>
  <c r="G103" i="9" s="1"/>
  <c r="E75" i="9"/>
  <c r="E103" i="9" s="1"/>
  <c r="H75" i="9"/>
  <c r="H103" i="9" s="1"/>
  <c r="F41" i="9"/>
  <c r="C92" i="9"/>
  <c r="C76" i="9"/>
  <c r="C60" i="9"/>
  <c r="D8" i="3"/>
  <c r="D10" i="3" s="1"/>
  <c r="C10" i="3"/>
  <c r="E32" i="6"/>
  <c r="D32" i="6"/>
  <c r="F22" i="4"/>
  <c r="F34" i="4" s="1"/>
  <c r="F35" i="4" s="1"/>
  <c r="N8" i="9"/>
  <c r="C12" i="3"/>
  <c r="C13" i="3" s="1"/>
  <c r="F22" i="9"/>
  <c r="F47" i="9"/>
  <c r="F40" i="9"/>
  <c r="H38" i="9"/>
  <c r="G37" i="9"/>
  <c r="C43" i="9"/>
  <c r="F42" i="9"/>
  <c r="E42" i="9"/>
  <c r="D42" i="9"/>
  <c r="J42" i="9"/>
  <c r="F27" i="9"/>
  <c r="F29" i="9"/>
  <c r="F25" i="9"/>
  <c r="F26" i="9"/>
  <c r="F32" i="9"/>
  <c r="F24" i="9"/>
  <c r="F28" i="9"/>
  <c r="C30" i="9"/>
  <c r="D29" i="9"/>
  <c r="J29" i="9"/>
  <c r="E29" i="9"/>
  <c r="G23" i="9"/>
  <c r="G24" i="9" s="1"/>
  <c r="D12" i="3"/>
  <c r="G19" i="3"/>
  <c r="G20" i="3" s="1"/>
  <c r="G13" i="11"/>
  <c r="G20" i="11" s="1"/>
  <c r="G30" i="11" s="1"/>
  <c r="F20" i="3"/>
  <c r="D53" i="3"/>
  <c r="F92" i="3"/>
  <c r="F94" i="3" s="1"/>
  <c r="F8" i="4" s="1"/>
  <c r="D83" i="3"/>
  <c r="D87" i="3" s="1"/>
  <c r="D89" i="3" s="1"/>
  <c r="D13" i="11"/>
  <c r="F13" i="11"/>
  <c r="E22" i="4"/>
  <c r="E34" i="4" s="1"/>
  <c r="E35" i="4" s="1"/>
  <c r="E13" i="11"/>
  <c r="G10" i="11"/>
  <c r="G11" i="11" s="1"/>
  <c r="F11" i="11"/>
  <c r="D17" i="4"/>
  <c r="D34" i="4"/>
  <c r="D35" i="4" s="1"/>
  <c r="G53" i="3"/>
  <c r="H47" i="3"/>
  <c r="H53" i="3" s="1"/>
  <c r="D18" i="4"/>
  <c r="D21" i="4"/>
  <c r="D27" i="3"/>
  <c r="C13" i="9"/>
  <c r="E12" i="9"/>
  <c r="I12" i="9"/>
  <c r="J12" i="9"/>
  <c r="F12" i="9"/>
  <c r="D12" i="9"/>
  <c r="G12" i="9"/>
  <c r="H12" i="9"/>
  <c r="D19" i="4"/>
  <c r="E83" i="3"/>
  <c r="E92" i="3" s="1"/>
  <c r="E94" i="3" s="1"/>
  <c r="E8" i="4" s="1"/>
  <c r="C8" i="6"/>
  <c r="D49" i="6"/>
  <c r="C49" i="6"/>
  <c r="C83" i="3"/>
  <c r="C87" i="3" s="1"/>
  <c r="C89" i="3" s="1"/>
  <c r="D20" i="4"/>
  <c r="D48" i="5"/>
  <c r="D51" i="5"/>
  <c r="D53" i="5" s="1"/>
  <c r="E48" i="5"/>
  <c r="E51" i="5"/>
  <c r="E53" i="5" s="1"/>
  <c r="C48" i="5"/>
  <c r="C51" i="5"/>
  <c r="C53" i="5" s="1"/>
  <c r="G87" i="3"/>
  <c r="G89" i="3" s="1"/>
  <c r="G92" i="3"/>
  <c r="G94" i="3" s="1"/>
  <c r="J15" i="12" l="1"/>
  <c r="J16" i="12"/>
  <c r="J9" i="12"/>
  <c r="J10" i="12"/>
  <c r="J12" i="12"/>
  <c r="J11" i="12"/>
  <c r="J13" i="12"/>
  <c r="J14" i="12"/>
  <c r="H76" i="9"/>
  <c r="H104" i="9" s="1"/>
  <c r="G76" i="9"/>
  <c r="G104" i="9" s="1"/>
  <c r="D76" i="9"/>
  <c r="D104" i="9" s="1"/>
  <c r="J76" i="9"/>
  <c r="J104" i="9" s="1"/>
  <c r="E76" i="9"/>
  <c r="E104" i="9" s="1"/>
  <c r="I76" i="9"/>
  <c r="I104" i="9" s="1"/>
  <c r="F76" i="9"/>
  <c r="F104" i="9" s="1"/>
  <c r="F60" i="9"/>
  <c r="F90" i="9" s="1"/>
  <c r="E60" i="9"/>
  <c r="E90" i="9" s="1"/>
  <c r="D60" i="9"/>
  <c r="D90" i="9" s="1"/>
  <c r="J60" i="9"/>
  <c r="J90" i="9" s="1"/>
  <c r="H60" i="9"/>
  <c r="H90" i="9" s="1"/>
  <c r="G60" i="9"/>
  <c r="G90" i="9" s="1"/>
  <c r="I60" i="9"/>
  <c r="I90" i="9" s="1"/>
  <c r="C93" i="9"/>
  <c r="C77" i="9"/>
  <c r="C61" i="9"/>
  <c r="F23" i="4"/>
  <c r="F17" i="4"/>
  <c r="F31" i="4"/>
  <c r="F19" i="4"/>
  <c r="F32" i="4"/>
  <c r="F18" i="4"/>
  <c r="F29" i="4"/>
  <c r="F33" i="4"/>
  <c r="F30" i="4"/>
  <c r="F21" i="4"/>
  <c r="F20" i="4"/>
  <c r="E12" i="3"/>
  <c r="D13" i="3"/>
  <c r="G47" i="9"/>
  <c r="G22" i="9"/>
  <c r="G39" i="9"/>
  <c r="G40" i="9"/>
  <c r="G41" i="9"/>
  <c r="G42" i="9"/>
  <c r="G43" i="9"/>
  <c r="F43" i="9"/>
  <c r="C44" i="9"/>
  <c r="E43" i="9"/>
  <c r="D43" i="9"/>
  <c r="J43" i="9"/>
  <c r="H37" i="9"/>
  <c r="I38" i="9"/>
  <c r="I37" i="9" s="1"/>
  <c r="G27" i="9"/>
  <c r="G25" i="9"/>
  <c r="G32" i="9"/>
  <c r="G30" i="9"/>
  <c r="G29" i="9"/>
  <c r="G28" i="9"/>
  <c r="G26" i="9"/>
  <c r="C31" i="9"/>
  <c r="G31" i="9" s="1"/>
  <c r="J30" i="9"/>
  <c r="D30" i="9"/>
  <c r="E30" i="9"/>
  <c r="F30" i="9"/>
  <c r="H23" i="9"/>
  <c r="G21" i="11"/>
  <c r="G31" i="11" s="1"/>
  <c r="G19" i="11"/>
  <c r="G29" i="11" s="1"/>
  <c r="C64" i="5" s="1"/>
  <c r="F20" i="5" s="1"/>
  <c r="G22" i="11"/>
  <c r="G32" i="11" s="1"/>
  <c r="G18" i="11"/>
  <c r="G28" i="11" s="1"/>
  <c r="D31" i="4"/>
  <c r="E23" i="4"/>
  <c r="D33" i="4"/>
  <c r="D29" i="4"/>
  <c r="D30" i="4"/>
  <c r="D32" i="4"/>
  <c r="E18" i="4"/>
  <c r="C18" i="3"/>
  <c r="C26" i="3" s="1"/>
  <c r="H26" i="3" s="1"/>
  <c r="E21" i="4"/>
  <c r="E20" i="4"/>
  <c r="E17" i="4"/>
  <c r="E19" i="4"/>
  <c r="E33" i="4"/>
  <c r="E30" i="4"/>
  <c r="C17" i="3"/>
  <c r="D28" i="3"/>
  <c r="H28" i="3" s="1"/>
  <c r="H27" i="3"/>
  <c r="E87" i="3"/>
  <c r="E89" i="3" s="1"/>
  <c r="C14" i="9"/>
  <c r="D13" i="9"/>
  <c r="E13" i="9"/>
  <c r="H13" i="9"/>
  <c r="J13" i="9"/>
  <c r="F13" i="9"/>
  <c r="I13" i="9"/>
  <c r="G13" i="9"/>
  <c r="E31" i="4"/>
  <c r="E32" i="4"/>
  <c r="E29" i="4"/>
  <c r="C92" i="3"/>
  <c r="C94" i="3" s="1"/>
  <c r="C8" i="4" s="1"/>
  <c r="H77" i="9" l="1"/>
  <c r="H105" i="9" s="1"/>
  <c r="F77" i="9"/>
  <c r="F105" i="9" s="1"/>
  <c r="G77" i="9"/>
  <c r="G105" i="9" s="1"/>
  <c r="D77" i="9"/>
  <c r="D105" i="9" s="1"/>
  <c r="E77" i="9"/>
  <c r="E105" i="9" s="1"/>
  <c r="I77" i="9"/>
  <c r="I105" i="9" s="1"/>
  <c r="J77" i="9"/>
  <c r="J105" i="9" s="1"/>
  <c r="G61" i="9"/>
  <c r="G91" i="9" s="1"/>
  <c r="J61" i="9"/>
  <c r="J91" i="9" s="1"/>
  <c r="I61" i="9"/>
  <c r="I91" i="9" s="1"/>
  <c r="H61" i="9"/>
  <c r="H91" i="9" s="1"/>
  <c r="F61" i="9"/>
  <c r="F91" i="9" s="1"/>
  <c r="D61" i="9"/>
  <c r="D91" i="9" s="1"/>
  <c r="E61" i="9"/>
  <c r="E91" i="9" s="1"/>
  <c r="C78" i="9"/>
  <c r="C62" i="9"/>
  <c r="G23" i="11"/>
  <c r="G33" i="11" s="1"/>
  <c r="F12" i="3"/>
  <c r="F13" i="3" s="1"/>
  <c r="E13" i="3"/>
  <c r="H47" i="9"/>
  <c r="H39" i="9"/>
  <c r="H22" i="9"/>
  <c r="H40" i="9"/>
  <c r="H41" i="9"/>
  <c r="H42" i="9"/>
  <c r="H43" i="9"/>
  <c r="C45" i="9"/>
  <c r="E44" i="9"/>
  <c r="G44" i="9"/>
  <c r="D44" i="9"/>
  <c r="J44" i="9"/>
  <c r="F44" i="9"/>
  <c r="H44" i="9"/>
  <c r="H29" i="9"/>
  <c r="H28" i="9"/>
  <c r="H26" i="9"/>
  <c r="H27" i="9"/>
  <c r="H24" i="9"/>
  <c r="H25" i="9"/>
  <c r="H31" i="9"/>
  <c r="H32" i="9"/>
  <c r="H30" i="9"/>
  <c r="D31" i="9"/>
  <c r="J31" i="9"/>
  <c r="E31" i="9"/>
  <c r="F31" i="9"/>
  <c r="I23" i="9"/>
  <c r="I44" i="9" s="1"/>
  <c r="H18" i="3"/>
  <c r="C9" i="11"/>
  <c r="C11" i="11" s="1"/>
  <c r="E9" i="11"/>
  <c r="E11" i="11" s="1"/>
  <c r="C24" i="3"/>
  <c r="H24" i="3" s="1"/>
  <c r="H17" i="3"/>
  <c r="H19" i="3"/>
  <c r="D20" i="3"/>
  <c r="H20" i="3" s="1"/>
  <c r="C15" i="9"/>
  <c r="G14" i="9"/>
  <c r="H14" i="9"/>
  <c r="D14" i="9"/>
  <c r="I14" i="9"/>
  <c r="F14" i="9"/>
  <c r="J14" i="9"/>
  <c r="E14" i="9"/>
  <c r="D78" i="9" l="1"/>
  <c r="D106" i="9" s="1"/>
  <c r="F78" i="9"/>
  <c r="F106" i="9" s="1"/>
  <c r="E78" i="9"/>
  <c r="E106" i="9" s="1"/>
  <c r="G78" i="9"/>
  <c r="G106" i="9" s="1"/>
  <c r="I78" i="9"/>
  <c r="I106" i="9" s="1"/>
  <c r="H78" i="9"/>
  <c r="H106" i="9" s="1"/>
  <c r="J78" i="9"/>
  <c r="J106" i="9" s="1"/>
  <c r="H62" i="9"/>
  <c r="H92" i="9" s="1"/>
  <c r="G62" i="9"/>
  <c r="G92" i="9" s="1"/>
  <c r="F62" i="9"/>
  <c r="F92" i="9" s="1"/>
  <c r="E62" i="9"/>
  <c r="E92" i="9" s="1"/>
  <c r="D62" i="9"/>
  <c r="D92" i="9" s="1"/>
  <c r="J62" i="9"/>
  <c r="J92" i="9" s="1"/>
  <c r="I62" i="9"/>
  <c r="I92" i="9" s="1"/>
  <c r="C79" i="9"/>
  <c r="C63" i="9"/>
  <c r="I47" i="9"/>
  <c r="I22" i="9"/>
  <c r="I39" i="9"/>
  <c r="I40" i="9"/>
  <c r="I41" i="9"/>
  <c r="I42" i="9"/>
  <c r="I43" i="9"/>
  <c r="I45" i="9"/>
  <c r="H45" i="9"/>
  <c r="G45" i="9"/>
  <c r="F45" i="9"/>
  <c r="E45" i="9"/>
  <c r="D45" i="9"/>
  <c r="J45" i="9"/>
  <c r="C46" i="9"/>
  <c r="I29" i="9"/>
  <c r="I27" i="9"/>
  <c r="I28" i="9"/>
  <c r="I25" i="9"/>
  <c r="I26" i="9"/>
  <c r="I32" i="9"/>
  <c r="I30" i="9"/>
  <c r="I31" i="9"/>
  <c r="I24" i="9"/>
  <c r="G15" i="9"/>
  <c r="H15" i="9"/>
  <c r="I15" i="9"/>
  <c r="D15" i="9"/>
  <c r="J15" i="9"/>
  <c r="E15" i="9"/>
  <c r="F15" i="9"/>
  <c r="C16" i="9"/>
  <c r="J63" i="9" l="1"/>
  <c r="J93" i="9" s="1"/>
  <c r="D63" i="9"/>
  <c r="D93" i="9" s="1"/>
  <c r="H63" i="9"/>
  <c r="H93" i="9" s="1"/>
  <c r="F63" i="9"/>
  <c r="F93" i="9" s="1"/>
  <c r="I63" i="9"/>
  <c r="I93" i="9" s="1"/>
  <c r="G63" i="9"/>
  <c r="G93" i="9" s="1"/>
  <c r="E63" i="9"/>
  <c r="E93" i="9" s="1"/>
  <c r="H79" i="9"/>
  <c r="H107" i="9" s="1"/>
  <c r="G79" i="9"/>
  <c r="G107" i="9" s="1"/>
  <c r="E79" i="9"/>
  <c r="E107" i="9" s="1"/>
  <c r="D79" i="9"/>
  <c r="D107" i="9" s="1"/>
  <c r="J79" i="9"/>
  <c r="J107" i="9" s="1"/>
  <c r="I79" i="9"/>
  <c r="I107" i="9" s="1"/>
  <c r="F79" i="9"/>
  <c r="F107" i="9" s="1"/>
  <c r="E46" i="9"/>
  <c r="D46" i="9"/>
  <c r="G46" i="9"/>
  <c r="F46" i="9"/>
  <c r="J46" i="9"/>
  <c r="I46" i="9"/>
  <c r="H46" i="9"/>
  <c r="C17" i="9"/>
  <c r="D16" i="9"/>
  <c r="E16" i="9"/>
  <c r="F16" i="9"/>
  <c r="I16" i="9"/>
  <c r="J16" i="9"/>
  <c r="G16" i="9"/>
  <c r="H16" i="9"/>
  <c r="J17" i="9" l="1"/>
  <c r="G17" i="9"/>
  <c r="I17" i="9"/>
  <c r="E17" i="9"/>
  <c r="H17" i="9"/>
  <c r="D17" i="9"/>
  <c r="F17" i="9"/>
  <c r="B26" i="1"/>
  <c r="F23" i="12" l="1"/>
  <c r="F24" i="12"/>
  <c r="F23" i="5"/>
  <c r="F24" i="5"/>
  <c r="F31" i="5"/>
  <c r="F32" i="5"/>
  <c r="F34" i="5"/>
  <c r="F37" i="5"/>
  <c r="F38" i="5"/>
  <c r="F42" i="5"/>
  <c r="F43" i="5"/>
  <c r="F47" i="5"/>
  <c r="F48" i="5"/>
  <c r="F51" i="5"/>
  <c r="F53" i="5"/>
  <c r="F55" i="5"/>
  <c r="C72" i="5"/>
  <c r="C73" i="5"/>
  <c r="C7" i="4"/>
  <c r="D7" i="4"/>
  <c r="E7" i="4"/>
  <c r="F7" i="4"/>
  <c r="C9" i="4"/>
  <c r="D9" i="4"/>
  <c r="E9" i="4"/>
  <c r="F9" i="4"/>
  <c r="C11" i="4"/>
  <c r="D11" i="4"/>
  <c r="E11" i="4"/>
  <c r="F11" i="4"/>
</calcChain>
</file>

<file path=xl/sharedStrings.xml><?xml version="1.0" encoding="utf-8"?>
<sst xmlns="http://schemas.openxmlformats.org/spreadsheetml/2006/main" count="435" uniqueCount="246">
  <si>
    <t>Diligence Workbook</t>
  </si>
  <si>
    <t>Sunshine Commercial Investments</t>
  </si>
  <si>
    <t>Laundromat</t>
  </si>
  <si>
    <t>Community Theater</t>
  </si>
  <si>
    <t>Turnaround Testron*</t>
  </si>
  <si>
    <t>Consignment Shop</t>
  </si>
  <si>
    <t>Book Store</t>
  </si>
  <si>
    <t>Print</t>
  </si>
  <si>
    <t>Valuation</t>
  </si>
  <si>
    <t>% Delta</t>
  </si>
  <si>
    <t>Precedent Transactions</t>
  </si>
  <si>
    <t>Income Capitalization Approach</t>
  </si>
  <si>
    <t>Average Valuation</t>
  </si>
  <si>
    <t>County Cost-Approach</t>
  </si>
  <si>
    <t>CRE Rent Overview</t>
  </si>
  <si>
    <t>Prior Transaction Consideration</t>
  </si>
  <si>
    <t>Total Current Rent</t>
  </si>
  <si>
    <t>FY25</t>
  </si>
  <si>
    <t>Net Operating Income</t>
  </si>
  <si>
    <t>Total Leasable Square Footage</t>
  </si>
  <si>
    <t>Current Rent / Sq. Ft.</t>
  </si>
  <si>
    <t>Market Rent Analysis</t>
  </si>
  <si>
    <t>(/) Prior Transaction Value</t>
  </si>
  <si>
    <t>Implied Cap Rate</t>
  </si>
  <si>
    <t>(-) Property Management</t>
  </si>
  <si>
    <t>Pro Forma NOI</t>
  </si>
  <si>
    <t>NNN</t>
  </si>
  <si>
    <t>(/) Estimated Cap Rate</t>
  </si>
  <si>
    <t>Low-End Rate</t>
  </si>
  <si>
    <t>High-End Rate</t>
  </si>
  <si>
    <t>Source</t>
  </si>
  <si>
    <t>Implied Annual Rent</t>
  </si>
  <si>
    <t>Implied Annual Rent Calculation</t>
  </si>
  <si>
    <t>Low-End</t>
  </si>
  <si>
    <t>Base-Rate</t>
  </si>
  <si>
    <t>Estimated Rent / Sq. Ft</t>
  </si>
  <si>
    <t>(x) Leasable Sq. Ft.</t>
  </si>
  <si>
    <t>% Increase</t>
  </si>
  <si>
    <t>2024 Net Income</t>
  </si>
  <si>
    <t>Mortgage Interest</t>
  </si>
  <si>
    <t xml:space="preserve">Depreciation </t>
  </si>
  <si>
    <t>Total Earnings</t>
  </si>
  <si>
    <t>Implied Valuation</t>
  </si>
  <si>
    <t>Less Accumulated Depreciation</t>
  </si>
  <si>
    <t>Laundromat P&amp;L Summary</t>
  </si>
  <si>
    <t>FY22</t>
  </si>
  <si>
    <t>FY23</t>
  </si>
  <si>
    <t>FY24</t>
  </si>
  <si>
    <t>Revenue</t>
  </si>
  <si>
    <t>% Growth</t>
  </si>
  <si>
    <t>Utilities</t>
  </si>
  <si>
    <t>Labor</t>
  </si>
  <si>
    <t>Pro Forma</t>
  </si>
  <si>
    <t>Laundromat Pro Forma Assumptions</t>
  </si>
  <si>
    <t>18-Month Revenue Growth</t>
  </si>
  <si>
    <t>Utilities Margin</t>
  </si>
  <si>
    <t>% Margin</t>
  </si>
  <si>
    <t>% Sales</t>
  </si>
  <si>
    <t>Expenses</t>
  </si>
  <si>
    <t>Go-Forward Labor Cost</t>
  </si>
  <si>
    <t>Monica's Compensation</t>
  </si>
  <si>
    <t>Repairs &amp; Maintenance</t>
  </si>
  <si>
    <t>Go-Forward Repairs</t>
  </si>
  <si>
    <t>Lease</t>
  </si>
  <si>
    <t>Normalized Lease</t>
  </si>
  <si>
    <t>Taxes</t>
  </si>
  <si>
    <t>Laundromat P&amp;L Summary &amp; Valuation ($000s)</t>
  </si>
  <si>
    <t>Depreciation</t>
  </si>
  <si>
    <t>Go-Forward Depreciation</t>
  </si>
  <si>
    <t>Note: The increased depreciation is due to acquiring the CRE in Feb'23</t>
  </si>
  <si>
    <t>Note: The increased interest is due to including half of the total mortgage interest allocated to the laundromat</t>
  </si>
  <si>
    <t>Insurance</t>
  </si>
  <si>
    <t>Go-Forward Insurance</t>
  </si>
  <si>
    <t>Other Expenses</t>
  </si>
  <si>
    <t>Total Expenses</t>
  </si>
  <si>
    <t>Go-Forward Interest</t>
  </si>
  <si>
    <t>Net Income</t>
  </si>
  <si>
    <t>EBITDA Bridge</t>
  </si>
  <si>
    <t>Go-Forward Other Expenses</t>
  </si>
  <si>
    <t>(+) Owner Compensation</t>
  </si>
  <si>
    <t>Valuation Multiple</t>
  </si>
  <si>
    <t>Business Valuation</t>
  </si>
  <si>
    <t>SDE</t>
  </si>
  <si>
    <t>(x) Valuation Multiple</t>
  </si>
  <si>
    <t>Laundromat Valuation</t>
  </si>
  <si>
    <t>Adj. EBITDA</t>
  </si>
  <si>
    <t>Reported Net Income</t>
  </si>
  <si>
    <t>(+) Interest</t>
  </si>
  <si>
    <t>(+) Depreciation</t>
  </si>
  <si>
    <t>(-) Capital Reserve</t>
  </si>
  <si>
    <t>(+) Taxes</t>
  </si>
  <si>
    <t>Debt Servicing</t>
  </si>
  <si>
    <t>Interest Rate</t>
  </si>
  <si>
    <t>Principal</t>
  </si>
  <si>
    <t>Loan Term (Years)</t>
  </si>
  <si>
    <t>Down Payment (%)</t>
  </si>
  <si>
    <t>Down Payment ($)</t>
  </si>
  <si>
    <t>Taxes (% Sales)</t>
  </si>
  <si>
    <t>Valuation Overview ($000s)</t>
  </si>
  <si>
    <t>Clearing Price</t>
  </si>
  <si>
    <t>Current Valuation</t>
  </si>
  <si>
    <t>Base-Rate Valuation</t>
  </si>
  <si>
    <t>Commercial Real Estate</t>
  </si>
  <si>
    <t>Annual Rent Impact</t>
  </si>
  <si>
    <t>Total Valuation</t>
  </si>
  <si>
    <t>NNN Valuation</t>
  </si>
  <si>
    <t>Monthly Rent Impact</t>
  </si>
  <si>
    <t>Total Monthly Rent</t>
  </si>
  <si>
    <t>Total Annual Rent</t>
  </si>
  <si>
    <t>(-) Asking Price</t>
  </si>
  <si>
    <t>Delta</t>
  </si>
  <si>
    <t>Clearing</t>
  </si>
  <si>
    <t>Commercial Real Estate Valuation ($)</t>
  </si>
  <si>
    <t>CRE Market Rent Analysis ($)</t>
  </si>
  <si>
    <t>Total Monthly Rent (Base + NNN)</t>
  </si>
  <si>
    <t>Total Annual Rent (Base + NNN)</t>
  </si>
  <si>
    <t>Total Rent Increase</t>
  </si>
  <si>
    <t>Base Rent</t>
  </si>
  <si>
    <t>CAM</t>
  </si>
  <si>
    <t>Total Rent</t>
  </si>
  <si>
    <t>Current (FY25) Rent</t>
  </si>
  <si>
    <t>Clearing Price Rent</t>
  </si>
  <si>
    <t>NNN Rent</t>
  </si>
  <si>
    <t>NNN + Low-End Rent</t>
  </si>
  <si>
    <t>NNN + Base-Rate Rent</t>
  </si>
  <si>
    <t>Valuation Sensitivity Table</t>
  </si>
  <si>
    <t>NOI</t>
  </si>
  <si>
    <t>CRE Sensitivity Analysis</t>
  </si>
  <si>
    <t>Valuation Cap Rate Range</t>
  </si>
  <si>
    <t>Net Operating Income Range ($000s)</t>
  </si>
  <si>
    <t>Total Usable Sq. Ft.</t>
  </si>
  <si>
    <t>Vacancy Allowance</t>
  </si>
  <si>
    <t>Capital Reserves</t>
  </si>
  <si>
    <t>Pro Forma Rent Build</t>
  </si>
  <si>
    <t>Estimate</t>
  </si>
  <si>
    <t>Per Sq. Ft.</t>
  </si>
  <si>
    <t>Total NNN Charges</t>
  </si>
  <si>
    <t>1) Cannot verify through Google Maps -- appears to be Carrie’s Beauty Salon</t>
  </si>
  <si>
    <r>
      <t>Taxes</t>
    </r>
    <r>
      <rPr>
        <vertAlign val="superscript"/>
        <sz val="9"/>
        <color theme="1"/>
        <rFont val="Arial"/>
        <family val="2"/>
      </rPr>
      <t>2</t>
    </r>
  </si>
  <si>
    <t>Make sure this is allocated to laundromat in accordance with usage</t>
  </si>
  <si>
    <t>Actuals</t>
  </si>
  <si>
    <t>Estimated Pro Forma Rent Build</t>
  </si>
  <si>
    <t>Actual Pro Forma Rent Build</t>
  </si>
  <si>
    <t>NNN Allocation Overview</t>
  </si>
  <si>
    <t>Property Management Fee</t>
  </si>
  <si>
    <t>TI Reserves</t>
  </si>
  <si>
    <t>Non-NNN Owner Insurance</t>
  </si>
  <si>
    <t>Entity-Level Tax</t>
  </si>
  <si>
    <t>Entity-Level Accounting</t>
  </si>
  <si>
    <t>Maintenance Shortfall</t>
  </si>
  <si>
    <t>CRE Corporate Expense Overview</t>
  </si>
  <si>
    <t>Total Corporate Costs</t>
  </si>
  <si>
    <t>Input</t>
  </si>
  <si>
    <t>Notes</t>
  </si>
  <si>
    <t>Taken from current property manager</t>
  </si>
  <si>
    <t>% of gross rent</t>
  </si>
  <si>
    <t>% of leasable sq. ft.</t>
  </si>
  <si>
    <t>Exclude laundromat?</t>
  </si>
  <si>
    <t>Base Rent / Sq. Ft.</t>
  </si>
  <si>
    <t>NNN Rent / Sq. Ft.</t>
  </si>
  <si>
    <t>Total Rent / Sq. Ft.</t>
  </si>
  <si>
    <t>Rent / Sq. Ft. For Each Scenario</t>
  </si>
  <si>
    <t>Assumes $750 for annual corporate taxes</t>
  </si>
  <si>
    <t>Maintenance / CAM</t>
  </si>
  <si>
    <t>% per year</t>
  </si>
  <si>
    <t>Current Gross Rent</t>
  </si>
  <si>
    <t>As of 2025</t>
  </si>
  <si>
    <t>Breakdown base rent vs. the triple net cost allocation to each tennant</t>
  </si>
  <si>
    <t>NNN Build</t>
  </si>
  <si>
    <t>Corporate Expense Build</t>
  </si>
  <si>
    <t>(-) Corporate Expenses</t>
  </si>
  <si>
    <t>(+) NNN Rent</t>
  </si>
  <si>
    <t>(-) Corporate NNN</t>
  </si>
  <si>
    <t>Total Rent  Sq. Ft. Range</t>
  </si>
  <si>
    <t>Estimated Corporate Expenses</t>
  </si>
  <si>
    <t>NNN + Corporate Cost Range ($000s)</t>
  </si>
  <si>
    <t>% Inc.</t>
  </si>
  <si>
    <t>8% Cap Rate - Clearance NOI Based on Extimated Expenses</t>
  </si>
  <si>
    <t>9% Cap Rate - Clearance NOI Based on Extimated Expenses</t>
  </si>
  <si>
    <t>Note: Cells highligted in green clear the $1M CRE valuation threshhold</t>
  </si>
  <si>
    <t>Property</t>
  </si>
  <si>
    <t>City</t>
  </si>
  <si>
    <t>State</t>
  </si>
  <si>
    <t>Size (SF)</t>
  </si>
  <si>
    <t>Built</t>
  </si>
  <si>
    <t>Type</t>
  </si>
  <si>
    <t>NNN Rate</t>
  </si>
  <si>
    <t>6317–6327 Dogwood Dr</t>
  </si>
  <si>
    <t>Milton</t>
  </si>
  <si>
    <t>Florida</t>
  </si>
  <si>
    <t>Retail/flex</t>
  </si>
  <si>
    <t>5118 Canal St</t>
  </si>
  <si>
    <t>Retail</t>
  </si>
  <si>
    <t>-</t>
  </si>
  <si>
    <t>4848 Ward Basin Rd</t>
  </si>
  <si>
    <t>Office/Retail</t>
  </si>
  <si>
    <t>Quietwater Bldg 1 Suite 360</t>
  </si>
  <si>
    <t>Gulf Breeze</t>
  </si>
  <si>
    <t>Office</t>
  </si>
  <si>
    <t>8165 Progress Dr</t>
  </si>
  <si>
    <t>4628 Summerdale Blvd</t>
  </si>
  <si>
    <t>Pace</t>
  </si>
  <si>
    <t xml:space="preserve">5941 Berryhill Road
</t>
  </si>
  <si>
    <t>4455-4497 Mobile Hwy</t>
  </si>
  <si>
    <t>Pensacola</t>
  </si>
  <si>
    <t>50 S Blue Angel Pky</t>
  </si>
  <si>
    <t>Storefront</t>
  </si>
  <si>
    <t>275 W Airport Blvd</t>
  </si>
  <si>
    <t>5700 N Davis Hwy</t>
  </si>
  <si>
    <t>3620-3642 Barrancas Ave</t>
  </si>
  <si>
    <t>3960 W Navy Blvd</t>
  </si>
  <si>
    <t>5022 W Fairfield Dr</t>
  </si>
  <si>
    <t>2115 W 9 Mile Rd</t>
  </si>
  <si>
    <t>8602-8612 Pensacola Blvd</t>
  </si>
  <si>
    <t>7000 Pine Forest Rd</t>
  </si>
  <si>
    <t>1421 E Nine Mile Rd</t>
  </si>
  <si>
    <t>Medical</t>
  </si>
  <si>
    <t>Average</t>
  </si>
  <si>
    <t>Target Property</t>
  </si>
  <si>
    <t>Current</t>
  </si>
  <si>
    <t>Implied Upside ($000s)</t>
  </si>
  <si>
    <t xml:space="preserve">Annual Rental Income </t>
  </si>
  <si>
    <t>High-End</t>
  </si>
  <si>
    <t>Based on this calculator</t>
  </si>
  <si>
    <t>2) Depends on go-forward tax basis</t>
  </si>
  <si>
    <t>Could assume $100 per month for financials</t>
  </si>
  <si>
    <t>Valuation ($000s)</t>
  </si>
  <si>
    <t>Assumes a 20-year amortization schedule with 6.50% interest rate</t>
  </si>
  <si>
    <t>Term</t>
  </si>
  <si>
    <t>Rate</t>
  </si>
  <si>
    <t>Post-Debt Service Cash Flow ($350K - $650K Valuation)</t>
  </si>
  <si>
    <t>Post-Debt Service Cash Flow ($700K - $1M Valuation)</t>
  </si>
  <si>
    <t>LTV</t>
  </si>
  <si>
    <t>Cash-On-Cash Return ($350K - $650K Valuation)</t>
  </si>
  <si>
    <t>Go-Forward Lease</t>
  </si>
  <si>
    <t>(-) Rennovation Cost</t>
  </si>
  <si>
    <t>Rennovation Cost</t>
  </si>
  <si>
    <t>CRE Valuation Overview ($000s)</t>
  </si>
  <si>
    <t>NOI Range</t>
  </si>
  <si>
    <t>CRE Valuation Sensitivity Table</t>
  </si>
  <si>
    <t>Consolidated Valuation</t>
  </si>
  <si>
    <t>(+) Signed Leases</t>
  </si>
  <si>
    <t>Estimated CRE Valuation</t>
  </si>
  <si>
    <t>(+) Laundromat Valuation</t>
  </si>
  <si>
    <t>33% increase in valuation</t>
  </si>
  <si>
    <t>Cash-On-Cash Return ($700K - $1M Valuation)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</si>
</sst>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164" formatCode="[$$]#,##0;\([$$]#,##0\);&quot;–&quot;;@"/>
    <numFmt numFmtId="165" formatCode="#,##0;\(#,##0\);&quot;–&quot;;@"/>
    <numFmt numFmtId="166" formatCode="[$$]#,##0.00;\([$$]#,##0.00\);&quot;–&quot;;@"/>
    <numFmt numFmtId="167" formatCode="#,##0.0%;\(#,##0.0%\);&quot;–&quot;;@"/>
    <numFmt numFmtId="168" formatCode="0.0%"/>
    <numFmt numFmtId="169" formatCode="[$$]#,##0.0;\([$$]#,##0.0\);&quot;–&quot;;@"/>
    <numFmt numFmtId="170" formatCode="#,##0%;\(#,##0%\);&quot;–&quot;;@"/>
    <numFmt numFmtId="171" formatCode="0.0\x;\(0.0\x\);&quot;–&quot;"/>
    <numFmt numFmtId="172" formatCode="#,##0.00;\(#,##0.00\);&quot;–&quot;;@"/>
    <numFmt numFmtId="173" formatCode="[$$-380A]\ #,##0.00;\-[$$-380A]\ #,##0.00"/>
  </numFmts>
  <fonts count="3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9"/>
      <color rgb="FF800080"/>
      <name val="arial"/>
      <family val="2"/>
    </font>
    <font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i/>
      <u/>
      <sz val="9"/>
      <color theme="10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color rgb="FF0000FF"/>
      <name val="arial"/>
      <family val="2"/>
    </font>
    <font>
      <sz val="9"/>
      <color rgb="FFFF0000"/>
      <name val="arial"/>
      <family val="2"/>
    </font>
    <font>
      <b/>
      <sz val="13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8"/>
      <color theme="1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u/>
      <sz val="9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3">
    <xf numFmtId="0" fontId="0" fillId="0" borderId="0"/>
    <xf numFmtId="9" fontId="22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67">
    <xf numFmtId="0" fontId="0" fillId="0" borderId="0" xfId="0"/>
    <xf numFmtId="0" fontId="9" fillId="2" borderId="0" xfId="0" applyFont="1" applyFill="1"/>
    <xf numFmtId="0" fontId="9" fillId="0" borderId="0" xfId="0" applyFont="1"/>
    <xf numFmtId="0" fontId="9" fillId="0" borderId="1" xfId="0" applyFont="1" applyBorder="1"/>
    <xf numFmtId="0" fontId="9" fillId="0" borderId="0" xfId="0" applyFont="1" applyAlignment="1">
      <alignment vertical="center"/>
    </xf>
    <xf numFmtId="0" fontId="9" fillId="0" borderId="2" xfId="0" applyFont="1" applyBorder="1"/>
    <xf numFmtId="0" fontId="7" fillId="0" borderId="0" xfId="0" applyFont="1"/>
    <xf numFmtId="0" fontId="8" fillId="0" borderId="0" xfId="0" applyFont="1"/>
    <xf numFmtId="0" fontId="13" fillId="0" borderId="0" xfId="0" applyFont="1"/>
    <xf numFmtId="0" fontId="14" fillId="0" borderId="3" xfId="0" applyFont="1" applyBorder="1"/>
    <xf numFmtId="0" fontId="7" fillId="0" borderId="3" xfId="0" applyFont="1" applyBorder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164" fontId="15" fillId="0" borderId="0" xfId="0" applyNumberFormat="1" applyFont="1"/>
    <xf numFmtId="165" fontId="7" fillId="0" borderId="0" xfId="0" applyNumberFormat="1" applyFont="1"/>
    <xf numFmtId="165" fontId="15" fillId="0" borderId="0" xfId="0" applyNumberFormat="1" applyFont="1"/>
    <xf numFmtId="0" fontId="8" fillId="0" borderId="2" xfId="0" applyFont="1" applyBorder="1"/>
    <xf numFmtId="0" fontId="7" fillId="0" borderId="2" xfId="0" applyFont="1" applyBorder="1"/>
    <xf numFmtId="164" fontId="8" fillId="0" borderId="2" xfId="0" applyNumberFormat="1" applyFont="1" applyBorder="1"/>
    <xf numFmtId="165" fontId="15" fillId="0" borderId="5" xfId="0" applyNumberFormat="1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8" fillId="3" borderId="0" xfId="0" applyFont="1" applyFill="1"/>
    <xf numFmtId="0" fontId="7" fillId="3" borderId="0" xfId="0" applyFont="1" applyFill="1"/>
    <xf numFmtId="164" fontId="18" fillId="0" borderId="0" xfId="0" applyNumberFormat="1" applyFont="1"/>
    <xf numFmtId="0" fontId="8" fillId="0" borderId="0" xfId="0" applyFont="1" applyAlignment="1">
      <alignment horizontal="center"/>
    </xf>
    <xf numFmtId="0" fontId="14" fillId="0" borderId="0" xfId="0" applyFont="1"/>
    <xf numFmtId="0" fontId="6" fillId="0" borderId="0" xfId="0" applyFont="1"/>
    <xf numFmtId="164" fontId="19" fillId="0" borderId="0" xfId="0" applyNumberFormat="1" applyFont="1"/>
    <xf numFmtId="164" fontId="20" fillId="0" borderId="0" xfId="0" applyNumberFormat="1" applyFont="1"/>
    <xf numFmtId="166" fontId="8" fillId="0" borderId="0" xfId="0" applyNumberFormat="1" applyFont="1"/>
    <xf numFmtId="0" fontId="21" fillId="0" borderId="0" xfId="0" applyFont="1"/>
    <xf numFmtId="0" fontId="5" fillId="0" borderId="0" xfId="0" applyFont="1"/>
    <xf numFmtId="165" fontId="19" fillId="0" borderId="0" xfId="0" applyNumberFormat="1" applyFont="1"/>
    <xf numFmtId="0" fontId="5" fillId="0" borderId="0" xfId="0" applyFont="1" applyAlignment="1">
      <alignment horizontal="left" indent="1"/>
    </xf>
    <xf numFmtId="0" fontId="24" fillId="0" borderId="0" xfId="2" applyFont="1"/>
    <xf numFmtId="0" fontId="25" fillId="0" borderId="0" xfId="2" applyFont="1"/>
    <xf numFmtId="164" fontId="8" fillId="0" borderId="0" xfId="0" applyNumberFormat="1" applyFont="1"/>
    <xf numFmtId="0" fontId="8" fillId="4" borderId="6" xfId="0" applyFont="1" applyFill="1" applyBorder="1"/>
    <xf numFmtId="167" fontId="8" fillId="4" borderId="4" xfId="0" applyNumberFormat="1" applyFont="1" applyFill="1" applyBorder="1"/>
    <xf numFmtId="167" fontId="8" fillId="4" borderId="7" xfId="0" applyNumberFormat="1" applyFont="1" applyFill="1" applyBorder="1"/>
    <xf numFmtId="168" fontId="15" fillId="5" borderId="0" xfId="0" applyNumberFormat="1" applyFont="1" applyFill="1"/>
    <xf numFmtId="168" fontId="19" fillId="5" borderId="0" xfId="0" applyNumberFormat="1" applyFont="1" applyFill="1"/>
    <xf numFmtId="164" fontId="8" fillId="4" borderId="4" xfId="0" applyNumberFormat="1" applyFont="1" applyFill="1" applyBorder="1"/>
    <xf numFmtId="166" fontId="8" fillId="4" borderId="7" xfId="0" applyNumberFormat="1" applyFont="1" applyFill="1" applyBorder="1"/>
    <xf numFmtId="169" fontId="15" fillId="0" borderId="0" xfId="0" applyNumberFormat="1" applyFont="1"/>
    <xf numFmtId="166" fontId="8" fillId="0" borderId="4" xfId="0" applyNumberFormat="1" applyFont="1" applyBorder="1" applyAlignment="1">
      <alignment horizontal="center"/>
    </xf>
    <xf numFmtId="169" fontId="19" fillId="0" borderId="0" xfId="0" applyNumberFormat="1" applyFont="1"/>
    <xf numFmtId="164" fontId="8" fillId="4" borderId="7" xfId="0" applyNumberFormat="1" applyFont="1" applyFill="1" applyBorder="1"/>
    <xf numFmtId="0" fontId="8" fillId="4" borderId="8" xfId="0" applyFont="1" applyFill="1" applyBorder="1"/>
    <xf numFmtId="164" fontId="8" fillId="4" borderId="2" xfId="0" applyNumberFormat="1" applyFont="1" applyFill="1" applyBorder="1"/>
    <xf numFmtId="164" fontId="8" fillId="4" borderId="9" xfId="0" applyNumberFormat="1" applyFont="1" applyFill="1" applyBorder="1"/>
    <xf numFmtId="0" fontId="26" fillId="4" borderId="10" xfId="0" applyFont="1" applyFill="1" applyBorder="1"/>
    <xf numFmtId="170" fontId="8" fillId="4" borderId="3" xfId="0" applyNumberFormat="1" applyFont="1" applyFill="1" applyBorder="1"/>
    <xf numFmtId="170" fontId="8" fillId="4" borderId="11" xfId="0" applyNumberFormat="1" applyFont="1" applyFill="1" applyBorder="1"/>
    <xf numFmtId="170" fontId="8" fillId="0" borderId="0" xfId="0" applyNumberFormat="1" applyFont="1"/>
    <xf numFmtId="164" fontId="8" fillId="0" borderId="0" xfId="0" applyNumberFormat="1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5" fontId="8" fillId="0" borderId="2" xfId="0" applyNumberFormat="1" applyFont="1" applyBorder="1"/>
    <xf numFmtId="171" fontId="7" fillId="0" borderId="0" xfId="0" applyNumberFormat="1" applyFont="1"/>
    <xf numFmtId="165" fontId="8" fillId="4" borderId="7" xfId="0" applyNumberFormat="1" applyFont="1" applyFill="1" applyBorder="1"/>
    <xf numFmtId="0" fontId="4" fillId="0" borderId="0" xfId="0" applyFont="1"/>
    <xf numFmtId="0" fontId="14" fillId="0" borderId="0" xfId="0" applyFont="1" applyAlignment="1">
      <alignment horizontal="left" indent="1"/>
    </xf>
    <xf numFmtId="164" fontId="31" fillId="0" borderId="0" xfId="0" applyNumberFormat="1" applyFont="1"/>
    <xf numFmtId="167" fontId="15" fillId="0" borderId="0" xfId="0" applyNumberFormat="1" applyFont="1"/>
    <xf numFmtId="170" fontId="27" fillId="0" borderId="0" xfId="0" applyNumberFormat="1" applyFont="1"/>
    <xf numFmtId="167" fontId="29" fillId="0" borderId="0" xfId="0" applyNumberFormat="1" applyFont="1"/>
    <xf numFmtId="0" fontId="4" fillId="0" borderId="0" xfId="0" applyFont="1" applyAlignment="1">
      <alignment horizontal="left" indent="1"/>
    </xf>
    <xf numFmtId="165" fontId="27" fillId="0" borderId="0" xfId="0" applyNumberFormat="1" applyFont="1"/>
    <xf numFmtId="164" fontId="27" fillId="0" borderId="0" xfId="0" applyNumberFormat="1" applyFont="1"/>
    <xf numFmtId="165" fontId="18" fillId="0" borderId="0" xfId="0" applyNumberFormat="1" applyFont="1"/>
    <xf numFmtId="164" fontId="31" fillId="0" borderId="2" xfId="0" applyNumberFormat="1" applyFont="1" applyBorder="1"/>
    <xf numFmtId="164" fontId="28" fillId="4" borderId="4" xfId="0" applyNumberFormat="1" applyFont="1" applyFill="1" applyBorder="1"/>
    <xf numFmtId="164" fontId="28" fillId="4" borderId="7" xfId="0" applyNumberFormat="1" applyFont="1" applyFill="1" applyBorder="1"/>
    <xf numFmtId="164" fontId="28" fillId="4" borderId="2" xfId="0" applyNumberFormat="1" applyFont="1" applyFill="1" applyBorder="1"/>
    <xf numFmtId="164" fontId="28" fillId="4" borderId="9" xfId="0" applyNumberFormat="1" applyFont="1" applyFill="1" applyBorder="1"/>
    <xf numFmtId="170" fontId="30" fillId="4" borderId="3" xfId="0" applyNumberFormat="1" applyFont="1" applyFill="1" applyBorder="1"/>
    <xf numFmtId="170" fontId="30" fillId="4" borderId="11" xfId="0" applyNumberFormat="1" applyFont="1" applyFill="1" applyBorder="1"/>
    <xf numFmtId="170" fontId="29" fillId="0" borderId="0" xfId="0" applyNumberFormat="1" applyFont="1"/>
    <xf numFmtId="170" fontId="14" fillId="0" borderId="0" xfId="0" applyNumberFormat="1" applyFont="1"/>
    <xf numFmtId="0" fontId="4" fillId="6" borderId="0" xfId="0" applyFont="1" applyFill="1"/>
    <xf numFmtId="165" fontId="15" fillId="6" borderId="0" xfId="0" applyNumberFormat="1" applyFont="1" applyFill="1"/>
    <xf numFmtId="165" fontId="6" fillId="6" borderId="0" xfId="0" applyNumberFormat="1" applyFont="1" applyFill="1"/>
    <xf numFmtId="164" fontId="15" fillId="6" borderId="0" xfId="0" applyNumberFormat="1" applyFont="1" applyFill="1"/>
    <xf numFmtId="164" fontId="6" fillId="6" borderId="0" xfId="0" applyNumberFormat="1" applyFont="1" applyFill="1"/>
    <xf numFmtId="0" fontId="26" fillId="0" borderId="0" xfId="0" applyFont="1"/>
    <xf numFmtId="170" fontId="30" fillId="0" borderId="0" xfId="0" applyNumberFormat="1" applyFont="1"/>
    <xf numFmtId="171" fontId="15" fillId="0" borderId="0" xfId="0" applyNumberFormat="1" applyFont="1"/>
    <xf numFmtId="171" fontId="19" fillId="0" borderId="0" xfId="0" applyNumberFormat="1" applyFont="1"/>
    <xf numFmtId="0" fontId="3" fillId="6" borderId="0" xfId="0" applyFont="1" applyFill="1"/>
    <xf numFmtId="0" fontId="3" fillId="0" borderId="0" xfId="0" applyFont="1"/>
    <xf numFmtId="9" fontId="15" fillId="0" borderId="0" xfId="0" applyNumberFormat="1" applyFont="1"/>
    <xf numFmtId="10" fontId="15" fillId="0" borderId="0" xfId="0" applyNumberFormat="1" applyFont="1"/>
    <xf numFmtId="0" fontId="15" fillId="0" borderId="0" xfId="0" applyFont="1"/>
    <xf numFmtId="0" fontId="8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164" fontId="28" fillId="0" borderId="2" xfId="0" applyNumberFormat="1" applyFont="1" applyBorder="1"/>
    <xf numFmtId="170" fontId="7" fillId="0" borderId="0" xfId="0" applyNumberFormat="1" applyFont="1"/>
    <xf numFmtId="0" fontId="3" fillId="0" borderId="0" xfId="0" applyFont="1" applyAlignment="1">
      <alignment horizontal="left" indent="1"/>
    </xf>
    <xf numFmtId="164" fontId="31" fillId="4" borderId="4" xfId="0" applyNumberFormat="1" applyFont="1" applyFill="1" applyBorder="1"/>
    <xf numFmtId="164" fontId="28" fillId="0" borderId="0" xfId="0" applyNumberFormat="1" applyFont="1"/>
    <xf numFmtId="0" fontId="2" fillId="0" borderId="0" xfId="0" applyFont="1"/>
    <xf numFmtId="0" fontId="33" fillId="0" borderId="0" xfId="0" applyFont="1"/>
    <xf numFmtId="0" fontId="2" fillId="0" borderId="3" xfId="0" applyFont="1" applyBorder="1"/>
    <xf numFmtId="170" fontId="8" fillId="4" borderId="4" xfId="1" applyNumberFormat="1" applyFont="1" applyFill="1" applyBorder="1"/>
    <xf numFmtId="170" fontId="8" fillId="4" borderId="7" xfId="1" applyNumberFormat="1" applyFont="1" applyFill="1" applyBorder="1"/>
    <xf numFmtId="0" fontId="2" fillId="0" borderId="0" xfId="0" applyFont="1" applyAlignment="1">
      <alignment horizontal="center"/>
    </xf>
    <xf numFmtId="170" fontId="8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Continuous"/>
    </xf>
    <xf numFmtId="170" fontId="8" fillId="0" borderId="0" xfId="0" applyNumberFormat="1" applyFont="1" applyAlignment="1">
      <alignment horizontal="centerContinuous"/>
    </xf>
    <xf numFmtId="167" fontId="8" fillId="4" borderId="0" xfId="0" applyNumberFormat="1" applyFont="1" applyFill="1"/>
    <xf numFmtId="164" fontId="8" fillId="4" borderId="0" xfId="0" applyNumberFormat="1" applyFont="1" applyFill="1"/>
    <xf numFmtId="170" fontId="8" fillId="0" borderId="0" xfId="1" applyNumberFormat="1" applyFont="1" applyFill="1" applyBorder="1"/>
    <xf numFmtId="166" fontId="18" fillId="0" borderId="0" xfId="0" applyNumberFormat="1" applyFont="1"/>
    <xf numFmtId="0" fontId="2" fillId="0" borderId="0" xfId="0" applyFont="1" applyAlignment="1">
      <alignment horizontal="centerContinuous"/>
    </xf>
    <xf numFmtId="0" fontId="8" fillId="0" borderId="0" xfId="0" applyFont="1" applyAlignment="1">
      <alignment vertical="center" textRotation="90"/>
    </xf>
    <xf numFmtId="0" fontId="8" fillId="7" borderId="8" xfId="0" applyFont="1" applyFill="1" applyBorder="1" applyAlignment="1">
      <alignment horizontal="centerContinuous"/>
    </xf>
    <xf numFmtId="0" fontId="7" fillId="7" borderId="2" xfId="0" applyFont="1" applyFill="1" applyBorder="1" applyAlignment="1">
      <alignment horizontal="centerContinuous"/>
    </xf>
    <xf numFmtId="0" fontId="2" fillId="7" borderId="9" xfId="0" applyFont="1" applyFill="1" applyBorder="1" applyAlignment="1">
      <alignment horizontal="centerContinuous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7" fontId="31" fillId="7" borderId="10" xfId="0" applyNumberFormat="1" applyFont="1" applyFill="1" applyBorder="1" applyAlignment="1">
      <alignment horizontal="center"/>
    </xf>
    <xf numFmtId="167" fontId="28" fillId="7" borderId="3" xfId="0" applyNumberFormat="1" applyFont="1" applyFill="1" applyBorder="1" applyAlignment="1">
      <alignment horizontal="center"/>
    </xf>
    <xf numFmtId="167" fontId="28" fillId="7" borderId="11" xfId="0" applyNumberFormat="1" applyFont="1" applyFill="1" applyBorder="1" applyAlignment="1">
      <alignment horizontal="center"/>
    </xf>
    <xf numFmtId="164" fontId="8" fillId="7" borderId="9" xfId="0" applyNumberFormat="1" applyFont="1" applyFill="1" applyBorder="1"/>
    <xf numFmtId="165" fontId="8" fillId="7" borderId="13" xfId="0" applyNumberFormat="1" applyFont="1" applyFill="1" applyBorder="1"/>
    <xf numFmtId="165" fontId="8" fillId="7" borderId="11" xfId="0" applyNumberFormat="1" applyFont="1" applyFill="1" applyBorder="1"/>
    <xf numFmtId="165" fontId="7" fillId="0" borderId="12" xfId="0" applyNumberFormat="1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4" xfId="0" applyFont="1" applyBorder="1"/>
    <xf numFmtId="166" fontId="27" fillId="0" borderId="0" xfId="0" applyNumberFormat="1" applyFont="1"/>
    <xf numFmtId="172" fontId="27" fillId="0" borderId="0" xfId="0" applyNumberFormat="1" applyFont="1"/>
    <xf numFmtId="166" fontId="8" fillId="0" borderId="2" xfId="0" applyNumberFormat="1" applyFont="1" applyBorder="1"/>
    <xf numFmtId="165" fontId="37" fillId="0" borderId="0" xfId="0" applyNumberFormat="1" applyFont="1"/>
    <xf numFmtId="0" fontId="8" fillId="0" borderId="15" xfId="0" applyFont="1" applyBorder="1" applyAlignment="1">
      <alignment horizontal="center"/>
    </xf>
    <xf numFmtId="166" fontId="27" fillId="0" borderId="16" xfId="0" applyNumberFormat="1" applyFont="1" applyBorder="1"/>
    <xf numFmtId="172" fontId="27" fillId="0" borderId="16" xfId="0" applyNumberFormat="1" applyFont="1" applyBorder="1"/>
    <xf numFmtId="166" fontId="19" fillId="0" borderId="0" xfId="0" applyNumberFormat="1" applyFont="1"/>
    <xf numFmtId="172" fontId="19" fillId="0" borderId="0" xfId="0" applyNumberFormat="1" applyFont="1"/>
    <xf numFmtId="172" fontId="19" fillId="5" borderId="0" xfId="0" applyNumberFormat="1" applyFont="1" applyFill="1"/>
    <xf numFmtId="0" fontId="2" fillId="0" borderId="0" xfId="0" applyFont="1" applyAlignment="1">
      <alignment horizontal="left"/>
    </xf>
    <xf numFmtId="166" fontId="8" fillId="4" borderId="15" xfId="0" applyNumberFormat="1" applyFont="1" applyFill="1" applyBorder="1"/>
    <xf numFmtId="0" fontId="14" fillId="0" borderId="0" xfId="0" applyFont="1" applyAlignment="1">
      <alignment horizontal="centerContinuous"/>
    </xf>
    <xf numFmtId="167" fontId="32" fillId="0" borderId="13" xfId="0" applyNumberFormat="1" applyFont="1" applyBorder="1"/>
    <xf numFmtId="0" fontId="8" fillId="0" borderId="2" xfId="0" applyFont="1" applyBorder="1" applyAlignment="1">
      <alignment horizontal="center"/>
    </xf>
    <xf numFmtId="166" fontId="19" fillId="0" borderId="17" xfId="0" applyNumberFormat="1" applyFont="1" applyBorder="1"/>
    <xf numFmtId="172" fontId="18" fillId="0" borderId="0" xfId="0" applyNumberFormat="1" applyFont="1"/>
    <xf numFmtId="172" fontId="19" fillId="0" borderId="18" xfId="0" applyNumberFormat="1" applyFont="1" applyBorder="1"/>
    <xf numFmtId="165" fontId="18" fillId="0" borderId="13" xfId="0" applyNumberFormat="1" applyFont="1" applyBorder="1"/>
    <xf numFmtId="164" fontId="15" fillId="0" borderId="13" xfId="0" applyNumberFormat="1" applyFont="1" applyBorder="1"/>
    <xf numFmtId="164" fontId="32" fillId="0" borderId="13" xfId="0" applyNumberFormat="1" applyFont="1" applyBorder="1"/>
    <xf numFmtId="164" fontId="32" fillId="0" borderId="0" xfId="0" applyNumberFormat="1" applyFont="1"/>
    <xf numFmtId="165" fontId="32" fillId="0" borderId="0" xfId="0" applyNumberFormat="1" applyFont="1"/>
    <xf numFmtId="6" fontId="15" fillId="0" borderId="13" xfId="0" applyNumberFormat="1" applyFont="1" applyBorder="1"/>
    <xf numFmtId="164" fontId="19" fillId="0" borderId="13" xfId="0" applyNumberFormat="1" applyFont="1" applyBorder="1"/>
    <xf numFmtId="0" fontId="8" fillId="0" borderId="11" xfId="0" applyFont="1" applyBorder="1" applyAlignment="1">
      <alignment horizontal="center"/>
    </xf>
    <xf numFmtId="0" fontId="8" fillId="0" borderId="3" xfId="0" applyFont="1" applyBorder="1" applyAlignment="1">
      <alignment horizontal="centerContinuous"/>
    </xf>
    <xf numFmtId="166" fontId="31" fillId="7" borderId="10" xfId="0" applyNumberFormat="1" applyFont="1" applyFill="1" applyBorder="1" applyAlignment="1">
      <alignment horizontal="center"/>
    </xf>
    <xf numFmtId="166" fontId="31" fillId="7" borderId="11" xfId="0" applyNumberFormat="1" applyFont="1" applyFill="1" applyBorder="1" applyAlignment="1">
      <alignment horizontal="center"/>
    </xf>
    <xf numFmtId="173" fontId="8" fillId="0" borderId="0" xfId="0" applyNumberFormat="1" applyFont="1"/>
    <xf numFmtId="164" fontId="2" fillId="0" borderId="0" xfId="0" applyNumberFormat="1" applyFont="1"/>
    <xf numFmtId="0" fontId="8" fillId="0" borderId="0" xfId="0" applyFont="1" applyAlignment="1">
      <alignment horizontal="center" vertical="center" textRotation="90" wrapText="1"/>
    </xf>
    <xf numFmtId="165" fontId="8" fillId="0" borderId="0" xfId="0" applyNumberFormat="1" applyFont="1"/>
    <xf numFmtId="172" fontId="7" fillId="0" borderId="0" xfId="0" applyNumberFormat="1" applyFont="1" applyAlignment="1">
      <alignment horizontal="center"/>
    </xf>
    <xf numFmtId="166" fontId="28" fillId="7" borderId="3" xfId="0" applyNumberFormat="1" applyFont="1" applyFill="1" applyBorder="1" applyAlignment="1">
      <alignment horizontal="center"/>
    </xf>
    <xf numFmtId="164" fontId="36" fillId="0" borderId="0" xfId="0" applyNumberFormat="1" applyFont="1"/>
    <xf numFmtId="172" fontId="2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/>
    </xf>
    <xf numFmtId="164" fontId="7" fillId="8" borderId="0" xfId="0" applyNumberFormat="1" applyFont="1" applyFill="1" applyAlignment="1">
      <alignment horizontal="center"/>
    </xf>
    <xf numFmtId="165" fontId="7" fillId="8" borderId="0" xfId="0" applyNumberFormat="1" applyFont="1" applyFill="1" applyAlignment="1">
      <alignment horizontal="center"/>
    </xf>
    <xf numFmtId="170" fontId="26" fillId="7" borderId="0" xfId="0" applyNumberFormat="1" applyFont="1" applyFill="1" applyAlignment="1">
      <alignment horizontal="center"/>
    </xf>
    <xf numFmtId="170" fontId="26" fillId="7" borderId="13" xfId="0" applyNumberFormat="1" applyFont="1" applyFill="1" applyBorder="1" applyAlignment="1">
      <alignment horizontal="center"/>
    </xf>
    <xf numFmtId="0" fontId="26" fillId="7" borderId="14" xfId="0" applyFont="1" applyFill="1" applyBorder="1" applyAlignment="1">
      <alignment horizontal="center"/>
    </xf>
    <xf numFmtId="0" fontId="2" fillId="8" borderId="0" xfId="0" applyFont="1" applyFill="1"/>
    <xf numFmtId="165" fontId="35" fillId="8" borderId="0" xfId="0" applyNumberFormat="1" applyFont="1" applyFill="1" applyAlignment="1">
      <alignment horizontal="left"/>
    </xf>
    <xf numFmtId="0" fontId="8" fillId="0" borderId="19" xfId="0" applyFont="1" applyBorder="1" applyAlignment="1">
      <alignment horizontal="center"/>
    </xf>
    <xf numFmtId="0" fontId="38" fillId="0" borderId="0" xfId="2" applyFont="1" applyAlignment="1">
      <alignment horizontal="center"/>
    </xf>
    <xf numFmtId="3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72" fontId="15" fillId="0" borderId="0" xfId="0" applyNumberFormat="1" applyFont="1" applyAlignment="1">
      <alignment horizontal="center"/>
    </xf>
    <xf numFmtId="166" fontId="2" fillId="0" borderId="0" xfId="0" applyNumberFormat="1" applyFont="1"/>
    <xf numFmtId="0" fontId="8" fillId="0" borderId="0" xfId="0" applyFont="1" applyAlignment="1">
      <alignment horizontal="left"/>
    </xf>
    <xf numFmtId="165" fontId="8" fillId="0" borderId="0" xfId="0" applyNumberFormat="1" applyFont="1" applyAlignment="1">
      <alignment horizontal="center"/>
    </xf>
    <xf numFmtId="0" fontId="8" fillId="4" borderId="8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3" fontId="8" fillId="4" borderId="2" xfId="0" applyNumberFormat="1" applyFont="1" applyFill="1" applyBorder="1" applyAlignment="1">
      <alignment horizontal="center"/>
    </xf>
    <xf numFmtId="166" fontId="8" fillId="4" borderId="2" xfId="0" applyNumberFormat="1" applyFont="1" applyFill="1" applyBorder="1" applyAlignment="1">
      <alignment horizontal="center"/>
    </xf>
    <xf numFmtId="166" fontId="8" fillId="4" borderId="9" xfId="0" applyNumberFormat="1" applyFont="1" applyFill="1" applyBorder="1" applyAlignment="1">
      <alignment horizontal="center"/>
    </xf>
    <xf numFmtId="166" fontId="8" fillId="4" borderId="3" xfId="0" applyNumberFormat="1" applyFont="1" applyFill="1" applyBorder="1" applyAlignment="1">
      <alignment horizontal="center"/>
    </xf>
    <xf numFmtId="166" fontId="8" fillId="4" borderId="11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left"/>
    </xf>
    <xf numFmtId="0" fontId="8" fillId="4" borderId="0" xfId="0" applyFont="1" applyFill="1" applyAlignment="1">
      <alignment horizontal="center"/>
    </xf>
    <xf numFmtId="165" fontId="8" fillId="4" borderId="0" xfId="0" applyNumberFormat="1" applyFont="1" applyFill="1" applyAlignment="1">
      <alignment horizontal="center"/>
    </xf>
    <xf numFmtId="170" fontId="8" fillId="4" borderId="0" xfId="0" applyNumberFormat="1" applyFont="1" applyFill="1" applyAlignment="1">
      <alignment horizontal="center"/>
    </xf>
    <xf numFmtId="166" fontId="8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Continuous"/>
    </xf>
    <xf numFmtId="165" fontId="8" fillId="0" borderId="2" xfId="0" applyNumberFormat="1" applyFont="1" applyBorder="1" applyAlignment="1">
      <alignment horizontal="center"/>
    </xf>
    <xf numFmtId="0" fontId="2" fillId="4" borderId="8" xfId="0" applyFont="1" applyFill="1" applyBorder="1"/>
    <xf numFmtId="164" fontId="2" fillId="4" borderId="2" xfId="0" applyNumberFormat="1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/>
    </xf>
    <xf numFmtId="0" fontId="14" fillId="4" borderId="10" xfId="0" applyFont="1" applyFill="1" applyBorder="1" applyAlignment="1">
      <alignment horizontal="left"/>
    </xf>
    <xf numFmtId="170" fontId="2" fillId="4" borderId="3" xfId="0" applyNumberFormat="1" applyFont="1" applyFill="1" applyBorder="1" applyAlignment="1">
      <alignment horizontal="center"/>
    </xf>
    <xf numFmtId="170" fontId="2" fillId="4" borderId="11" xfId="0" applyNumberFormat="1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6" fontId="2" fillId="4" borderId="3" xfId="0" applyNumberFormat="1" applyFont="1" applyFill="1" applyBorder="1" applyAlignment="1">
      <alignment horizontal="center"/>
    </xf>
    <xf numFmtId="172" fontId="15" fillId="0" borderId="0" xfId="0" quotePrefix="1" applyNumberFormat="1" applyFont="1" applyAlignment="1">
      <alignment horizontal="center"/>
    </xf>
    <xf numFmtId="173" fontId="2" fillId="0" borderId="0" xfId="0" applyNumberFormat="1" applyFont="1"/>
    <xf numFmtId="0" fontId="1" fillId="0" borderId="0" xfId="0" applyFont="1"/>
    <xf numFmtId="164" fontId="31" fillId="7" borderId="10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8" fillId="7" borderId="11" xfId="0" applyNumberFormat="1" applyFont="1" applyFill="1" applyBorder="1" applyAlignment="1">
      <alignment horizontal="center"/>
    </xf>
    <xf numFmtId="167" fontId="19" fillId="0" borderId="0" xfId="0" applyNumberFormat="1" applyFont="1"/>
    <xf numFmtId="0" fontId="19" fillId="0" borderId="0" xfId="0" applyFont="1"/>
    <xf numFmtId="10" fontId="19" fillId="0" borderId="0" xfId="0" applyNumberFormat="1" applyFont="1"/>
    <xf numFmtId="9" fontId="2" fillId="0" borderId="0" xfId="1" applyFont="1"/>
    <xf numFmtId="168" fontId="2" fillId="0" borderId="0" xfId="1" applyNumberFormat="1" applyFont="1"/>
    <xf numFmtId="165" fontId="7" fillId="0" borderId="20" xfId="0" applyNumberFormat="1" applyFont="1" applyBorder="1" applyAlignment="1">
      <alignment horizontal="center"/>
    </xf>
    <xf numFmtId="165" fontId="7" fillId="0" borderId="21" xfId="0" applyNumberFormat="1" applyFont="1" applyBorder="1" applyAlignment="1">
      <alignment horizontal="center"/>
    </xf>
    <xf numFmtId="165" fontId="7" fillId="0" borderId="22" xfId="0" applyNumberFormat="1" applyFont="1" applyBorder="1" applyAlignment="1">
      <alignment horizontal="center"/>
    </xf>
    <xf numFmtId="165" fontId="7" fillId="0" borderId="23" xfId="0" applyNumberFormat="1" applyFont="1" applyBorder="1" applyAlignment="1">
      <alignment horizontal="center"/>
    </xf>
    <xf numFmtId="165" fontId="7" fillId="0" borderId="24" xfId="0" applyNumberFormat="1" applyFont="1" applyBorder="1" applyAlignment="1">
      <alignment horizontal="center"/>
    </xf>
    <xf numFmtId="165" fontId="7" fillId="0" borderId="25" xfId="0" applyNumberFormat="1" applyFont="1" applyBorder="1" applyAlignment="1">
      <alignment horizontal="center"/>
    </xf>
    <xf numFmtId="165" fontId="7" fillId="0" borderId="26" xfId="0" applyNumberFormat="1" applyFont="1" applyBorder="1" applyAlignment="1">
      <alignment horizontal="center"/>
    </xf>
    <xf numFmtId="165" fontId="7" fillId="0" borderId="27" xfId="0" applyNumberFormat="1" applyFont="1" applyBorder="1" applyAlignment="1">
      <alignment horizontal="center"/>
    </xf>
    <xf numFmtId="164" fontId="7" fillId="0" borderId="23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7" fillId="0" borderId="20" xfId="0" applyNumberFormat="1" applyFont="1" applyBorder="1" applyAlignment="1">
      <alignment horizontal="center"/>
    </xf>
    <xf numFmtId="170" fontId="7" fillId="0" borderId="21" xfId="0" applyNumberFormat="1" applyFont="1" applyBorder="1" applyAlignment="1">
      <alignment horizontal="center"/>
    </xf>
    <xf numFmtId="170" fontId="7" fillId="0" borderId="22" xfId="0" applyNumberFormat="1" applyFont="1" applyBorder="1" applyAlignment="1">
      <alignment horizontal="center"/>
    </xf>
    <xf numFmtId="0" fontId="8" fillId="4" borderId="0" xfId="0" applyFont="1" applyFill="1"/>
    <xf numFmtId="0" fontId="1" fillId="0" borderId="2" xfId="0" applyFont="1" applyBorder="1"/>
    <xf numFmtId="164" fontId="27" fillId="0" borderId="2" xfId="0" applyNumberFormat="1" applyFont="1" applyBorder="1"/>
    <xf numFmtId="0" fontId="1" fillId="0" borderId="0" xfId="0" applyFont="1" applyAlignment="1">
      <alignment horizontal="left" indent="1"/>
    </xf>
    <xf numFmtId="165" fontId="32" fillId="6" borderId="0" xfId="0" applyNumberFormat="1" applyFont="1" applyFill="1"/>
    <xf numFmtId="165" fontId="28" fillId="7" borderId="13" xfId="0" applyNumberFormat="1" applyFont="1" applyFill="1" applyBorder="1"/>
    <xf numFmtId="165" fontId="7" fillId="4" borderId="8" xfId="0" applyNumberFormat="1" applyFont="1" applyFill="1" applyBorder="1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165" fontId="7" fillId="4" borderId="9" xfId="0" applyNumberFormat="1" applyFont="1" applyFill="1" applyBorder="1" applyAlignment="1">
      <alignment horizontal="center"/>
    </xf>
    <xf numFmtId="165" fontId="7" fillId="4" borderId="14" xfId="0" applyNumberFormat="1" applyFont="1" applyFill="1" applyBorder="1" applyAlignment="1">
      <alignment horizontal="center"/>
    </xf>
    <xf numFmtId="165" fontId="7" fillId="4" borderId="0" xfId="0" applyNumberFormat="1" applyFont="1" applyFill="1" applyAlignment="1">
      <alignment horizontal="center"/>
    </xf>
    <xf numFmtId="165" fontId="7" fillId="4" borderId="13" xfId="0" applyNumberFormat="1" applyFont="1" applyFill="1" applyBorder="1" applyAlignment="1">
      <alignment horizontal="center"/>
    </xf>
    <xf numFmtId="165" fontId="7" fillId="4" borderId="10" xfId="0" applyNumberFormat="1" applyFont="1" applyFill="1" applyBorder="1" applyAlignment="1">
      <alignment horizontal="center"/>
    </xf>
    <xf numFmtId="165" fontId="7" fillId="4" borderId="3" xfId="0" applyNumberFormat="1" applyFont="1" applyFill="1" applyBorder="1" applyAlignment="1">
      <alignment horizontal="center"/>
    </xf>
    <xf numFmtId="165" fontId="7" fillId="4" borderId="11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8" fillId="4" borderId="2" xfId="0" applyFont="1" applyFill="1" applyBorder="1"/>
    <xf numFmtId="0" fontId="8" fillId="4" borderId="14" xfId="0" applyFont="1" applyFill="1" applyBorder="1" applyAlignment="1">
      <alignment horizontal="left" indent="1"/>
    </xf>
    <xf numFmtId="165" fontId="8" fillId="4" borderId="13" xfId="0" applyNumberFormat="1" applyFont="1" applyFill="1" applyBorder="1"/>
    <xf numFmtId="0" fontId="8" fillId="4" borderId="4" xfId="0" applyFont="1" applyFill="1" applyBorder="1"/>
    <xf numFmtId="0" fontId="10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7" borderId="8" xfId="0" applyFont="1" applyFill="1" applyBorder="1" applyAlignment="1">
      <alignment horizontal="center" vertical="center" textRotation="90" wrapText="1"/>
    </xf>
    <xf numFmtId="0" fontId="8" fillId="7" borderId="14" xfId="0" applyFont="1" applyFill="1" applyBorder="1" applyAlignment="1">
      <alignment horizontal="center" vertical="center" textRotation="90" wrapText="1"/>
    </xf>
    <xf numFmtId="0" fontId="8" fillId="7" borderId="10" xfId="0" applyFont="1" applyFill="1" applyBorder="1" applyAlignment="1">
      <alignment horizontal="center" vertical="center" textRotation="90" wrapText="1"/>
    </xf>
  </cellXfs>
  <cellStyles count="3">
    <cellStyle name="Hyperlink" xfId="2" builtinId="8"/>
    <cellStyle name="Normal" xfId="0" builtinId="0"/>
    <cellStyle name="Percent" xfId="1" builtinId="5"/>
  </cellStyles>
  <dxfs count="22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13</xdr:col>
      <xdr:colOff>297635</xdr:colOff>
      <xdr:row>21</xdr:row>
      <xdr:rowOff>177311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4941F5-B196-1B2E-806A-2DB601A0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646" y="2022231"/>
          <a:ext cx="5457143" cy="186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437749</xdr:colOff>
      <xdr:row>36</xdr:row>
      <xdr:rowOff>7327</xdr:rowOff>
    </xdr:from>
    <xdr:to>
      <xdr:col>25</xdr:col>
      <xdr:colOff>356640</xdr:colOff>
      <xdr:row>42</xdr:row>
      <xdr:rowOff>145327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F7511-0FF0-49D0-9ECC-834228468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6768" y="4835769"/>
          <a:ext cx="7824641" cy="106119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125220</xdr:rowOff>
    </xdr:from>
    <xdr:to>
      <xdr:col>19</xdr:col>
      <xdr:colOff>489973</xdr:colOff>
      <xdr:row>53</xdr:row>
      <xdr:rowOff>120183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92B107-BAA1-4CF1-9D8D-47671F1CF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2500517"/>
          <a:ext cx="4133285" cy="139990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18</xdr:col>
      <xdr:colOff>200221</xdr:colOff>
      <xdr:row>62</xdr:row>
      <xdr:rowOff>10346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78421D-ACD6-446D-ABC2-F6558CE7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4232672"/>
          <a:ext cx="3236315" cy="939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6306c-dc14-4161-9b0b-84c907788799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srcpa.gov/tax-estimator/?parcel=33-2N-28-0000-02901-000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ercialcafe.com/commercial-property/us/fl/milton/5941-berryhill-road/" TargetMode="External"/><Relationship Id="rId13" Type="http://schemas.openxmlformats.org/officeDocument/2006/relationships/hyperlink" Target="https://www.cityfeet.com/cont/listing/3620-3642-barrancas-ave-pensacola-fl-32507/cs27522007?sk=185fd027efce440283b13b848915a18a" TargetMode="External"/><Relationship Id="rId18" Type="http://schemas.openxmlformats.org/officeDocument/2006/relationships/hyperlink" Target="https://www.cityfeet.com/cont/listing/7000-pine-forest-rd-pensacola-fl-32526/cs39432918?sk=61aecbefa81547bfbc1e933bb9b10fb7" TargetMode="External"/><Relationship Id="rId3" Type="http://schemas.openxmlformats.org/officeDocument/2006/relationships/hyperlink" Target="https://images1.showcase.com/d2/pXEIMbMHsymva01Ik1UijAX2-FJx8fSLA-bjw5RFP1Y/document.pdf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s://www.showcase.com/4628-summerdale-blvd-pace-fl-32571/38694774/" TargetMode="External"/><Relationship Id="rId12" Type="http://schemas.openxmlformats.org/officeDocument/2006/relationships/hyperlink" Target="https://www.cityfeet.com/cont/listing/5700-n-davis-hwy-pensacola-fl-32503/cs40677665?sk=185fd027efce440283b13b848915a18a" TargetMode="External"/><Relationship Id="rId17" Type="http://schemas.openxmlformats.org/officeDocument/2006/relationships/hyperlink" Target="https://www.cityfeet.com/cont/listing/8602-8612-pensacola-blvd-pensacola-fl-32534/cs40869959?sk=61aecbefa81547bfbc1e933bb9b10fb7" TargetMode="External"/><Relationship Id="rId2" Type="http://schemas.openxmlformats.org/officeDocument/2006/relationships/hyperlink" Target="https://images1.showcase.com/d2/U58AwmkgF_g4BHqXRoaY2zWjcW587hcIc0SDZnhqjG8/document.pdf" TargetMode="External"/><Relationship Id="rId16" Type="http://schemas.openxmlformats.org/officeDocument/2006/relationships/hyperlink" Target="https://www.cityfeet.com/cont/listing/2115-w-9-mile-rd-pensacola-fl-32534/cs26548218?sk=61aecbefa81547bfbc1e933bb9b10fb7" TargetMode="External"/><Relationship Id="rId20" Type="http://schemas.openxmlformats.org/officeDocument/2006/relationships/printerSettings" Target="../printerSettings/printerSettings6.bin"/><Relationship Id="rId1" Type="http://schemas.openxmlformats.org/officeDocument/2006/relationships/hyperlink" Target="https://www.commercialcafe.com/commercial-real-estate/us/fl/milton/" TargetMode="External"/><Relationship Id="rId6" Type="http://schemas.openxmlformats.org/officeDocument/2006/relationships/hyperlink" Target="https://www.loopnet.com/Listing/8165-Progress-Dr-Milton-FL/30005179/" TargetMode="External"/><Relationship Id="rId11" Type="http://schemas.openxmlformats.org/officeDocument/2006/relationships/hyperlink" Target="https://www.cityfeet.com/cont/listing/275-w-airport-blvd-pensacola-fl-32505/cs40987829?sk=185fd027efce440283b13b848915a18a" TargetMode="External"/><Relationship Id="rId5" Type="http://schemas.openxmlformats.org/officeDocument/2006/relationships/hyperlink" Target="https://www.commercialsearch.com/commercial-property/us/fl/gulf-breeze/quietwater-bldg-1-suite-360-1/" TargetMode="External"/><Relationship Id="rId15" Type="http://schemas.openxmlformats.org/officeDocument/2006/relationships/hyperlink" Target="https://www.cityfeet.com/cont/listing/5022-w-fairfield-dr-pensacola-fl-32506/cs26762393?sk=61aecbefa81547bfbc1e933bb9b10fb7" TargetMode="External"/><Relationship Id="rId10" Type="http://schemas.openxmlformats.org/officeDocument/2006/relationships/hyperlink" Target="https://www.cityfeet.com/cont/listing/50-s-blue-angel-pky-pensacola-fl-32506/cs25756394?sk=b311911553034653a9bdd77920e80854" TargetMode="External"/><Relationship Id="rId19" Type="http://schemas.openxmlformats.org/officeDocument/2006/relationships/hyperlink" Target="https://www.cityfeet.com/cont/listing/1421-e-nine-mile-rd-pensacola-fl-32514/cs39301999?sk=4c70f067e93f47c6a62fba83a9a2e2b3" TargetMode="External"/><Relationship Id="rId4" Type="http://schemas.openxmlformats.org/officeDocument/2006/relationships/hyperlink" Target="https://realmo.com/listing/4848-ward-basin-rd-milton-fl-32583/11844022" TargetMode="External"/><Relationship Id="rId9" Type="http://schemas.openxmlformats.org/officeDocument/2006/relationships/hyperlink" Target="https://www.cityfeet.com/cont/listing/4455-4497-mobile-hwy-pensacola-fl-32506/cs38731909?sk=b311911553034653a9bdd77920e80854" TargetMode="External"/><Relationship Id="rId14" Type="http://schemas.openxmlformats.org/officeDocument/2006/relationships/hyperlink" Target="https://www.cityfeet.com/cont/listing/3960-w-navy-blvd-pensacola-fl-32507/cs28730232?sk=185fd027efce440283b13b848915a18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8.7109375" customWidth="1"/>
  </cols>
  <sheetData>
    <row r="2" spans="1:26" ht="13.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/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" customHeight="1" x14ac:dyDescent="0.5">
      <c r="A24" s="2"/>
      <c r="B24" s="260" t="s">
        <v>1</v>
      </c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  <c r="R24" s="2"/>
      <c r="S24" s="2"/>
      <c r="T24" s="2"/>
      <c r="U24" s="2"/>
      <c r="V24" s="2"/>
      <c r="W24" s="2"/>
      <c r="X24" s="2"/>
      <c r="Y24" s="2"/>
      <c r="Z24" s="2"/>
    </row>
    <row r="25" spans="1:26" ht="25.5" x14ac:dyDescent="0.25">
      <c r="A25" s="2"/>
      <c r="B25" s="262" t="s">
        <v>0</v>
      </c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35">
      <c r="A26" s="4"/>
      <c r="B26" s="263" t="str">
        <f ca="1">"As of "&amp;TEXT(TODAY(),"mm/dd/yy")</f>
        <v>As of 08/12/26</v>
      </c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</row>
  </sheetData>
  <mergeCells count="3">
    <mergeCell ref="B24:Q24"/>
    <mergeCell ref="B25:Q25"/>
    <mergeCell ref="B26:Q26"/>
  </mergeCells>
  <pageMargins left="0.7" right="0.7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64C7-029F-40D1-9CB9-A4AEDA22B154}">
  <sheetPr>
    <tabColor theme="9"/>
    <pageSetUpPr fitToPage="1"/>
  </sheetPr>
  <dimension ref="B2:U77"/>
  <sheetViews>
    <sheetView showGridLines="0" view="pageBreakPreview" zoomScale="130" zoomScaleNormal="145" zoomScaleSheetLayoutView="130" workbookViewId="0"/>
  </sheetViews>
  <sheetFormatPr defaultRowHeight="12" x14ac:dyDescent="0.2"/>
  <cols>
    <col min="1" max="1" width="1.7109375" style="6" customWidth="1"/>
    <col min="2" max="2" width="24.42578125" style="6" customWidth="1"/>
    <col min="3" max="6" width="9.140625" style="6" customWidth="1"/>
    <col min="7" max="7" width="3.7109375" style="6" customWidth="1"/>
    <col min="8" max="16384" width="9.140625" style="6"/>
  </cols>
  <sheetData>
    <row r="2" spans="2:21" ht="15.75" x14ac:dyDescent="0.25">
      <c r="B2" s="8" t="str">
        <f>+Cover!B24</f>
        <v>Sunshine Commercial Investments</v>
      </c>
    </row>
    <row r="3" spans="2:21" x14ac:dyDescent="0.2">
      <c r="B3" s="9" t="s">
        <v>66</v>
      </c>
      <c r="C3" s="10"/>
      <c r="D3" s="10"/>
      <c r="E3" s="10"/>
      <c r="F3" s="10"/>
      <c r="H3" s="6" t="s">
        <v>7</v>
      </c>
      <c r="I3" s="21">
        <v>1</v>
      </c>
    </row>
    <row r="5" spans="2:21" x14ac:dyDescent="0.2">
      <c r="B5" s="24" t="s">
        <v>44</v>
      </c>
      <c r="C5" s="25"/>
      <c r="D5" s="25"/>
      <c r="E5" s="25"/>
      <c r="F5" s="25"/>
      <c r="G5" s="29"/>
    </row>
    <row r="6" spans="2:21" ht="3.95" customHeight="1" x14ac:dyDescent="0.2"/>
    <row r="7" spans="2:21" x14ac:dyDescent="0.2">
      <c r="C7" s="11" t="s">
        <v>45</v>
      </c>
      <c r="D7" s="11" t="s">
        <v>46</v>
      </c>
      <c r="E7" s="11" t="s">
        <v>47</v>
      </c>
      <c r="F7" s="11" t="s">
        <v>52</v>
      </c>
      <c r="G7" s="29"/>
      <c r="H7" s="29"/>
    </row>
    <row r="8" spans="2:21" ht="2.1" customHeight="1" x14ac:dyDescent="0.2">
      <c r="C8" s="27"/>
      <c r="D8" s="27"/>
      <c r="E8" s="27"/>
      <c r="F8" s="27"/>
      <c r="G8" s="29"/>
      <c r="H8" s="29"/>
    </row>
    <row r="9" spans="2:21" x14ac:dyDescent="0.2">
      <c r="B9" s="7" t="s">
        <v>48</v>
      </c>
      <c r="C9" s="65">
        <v>338.59399999999999</v>
      </c>
      <c r="D9" s="65">
        <v>357.94299999999998</v>
      </c>
      <c r="E9" s="65">
        <v>376.06</v>
      </c>
      <c r="F9" s="39">
        <f>E9*(1+C59)</f>
        <v>338.45400000000001</v>
      </c>
      <c r="G9" s="29"/>
      <c r="H9" s="29"/>
    </row>
    <row r="10" spans="2:21" s="29" customFormat="1" x14ac:dyDescent="0.2">
      <c r="B10" s="64" t="s">
        <v>49</v>
      </c>
      <c r="C10" s="28"/>
      <c r="D10" s="81">
        <f>D9/C9-1</f>
        <v>5.714513547198119E-2</v>
      </c>
      <c r="E10" s="81">
        <f>E9/D9-1</f>
        <v>5.0614203937498381E-2</v>
      </c>
      <c r="F10" s="81">
        <f>F9/E9-1</f>
        <v>-9.9999999999999978E-2</v>
      </c>
    </row>
    <row r="11" spans="2:21" ht="3.95" customHeight="1" x14ac:dyDescent="0.2">
      <c r="B11" s="29"/>
      <c r="C11" s="29"/>
      <c r="D11" s="29"/>
      <c r="E11" s="29"/>
      <c r="F11" s="29"/>
      <c r="G11" s="29"/>
      <c r="H11" s="29"/>
    </row>
    <row r="12" spans="2:21" x14ac:dyDescent="0.2">
      <c r="B12" s="33" t="s">
        <v>58</v>
      </c>
      <c r="C12" s="29"/>
      <c r="D12" s="29"/>
      <c r="E12" s="29"/>
      <c r="F12" s="29"/>
      <c r="G12" s="29"/>
      <c r="H12" s="29"/>
    </row>
    <row r="13" spans="2:21" x14ac:dyDescent="0.2">
      <c r="B13" s="82" t="s">
        <v>50</v>
      </c>
      <c r="C13" s="85">
        <v>90.936000000000007</v>
      </c>
      <c r="D13" s="85">
        <v>91.989000000000004</v>
      </c>
      <c r="E13" s="85">
        <v>91.269000000000005</v>
      </c>
      <c r="F13" s="86">
        <f>F9*C60</f>
        <v>86.520898413849764</v>
      </c>
      <c r="G13" s="29"/>
      <c r="H13" s="29"/>
    </row>
    <row r="14" spans="2:21" x14ac:dyDescent="0.2">
      <c r="B14" s="64" t="s">
        <v>57</v>
      </c>
      <c r="C14" s="80">
        <f>C13/C$9</f>
        <v>0.26856943714300907</v>
      </c>
      <c r="D14" s="80">
        <f t="shared" ref="D14:F14" si="0">D13/D$9</f>
        <v>0.25699343191513735</v>
      </c>
      <c r="E14" s="80">
        <f t="shared" si="0"/>
        <v>0.24269797372759666</v>
      </c>
      <c r="F14" s="80">
        <f t="shared" si="0"/>
        <v>0.25563562083429286</v>
      </c>
      <c r="G14" s="29"/>
      <c r="H14" s="29"/>
    </row>
    <row r="15" spans="2:21" x14ac:dyDescent="0.2">
      <c r="B15" s="82" t="s">
        <v>51</v>
      </c>
      <c r="C15" s="83">
        <v>0</v>
      </c>
      <c r="D15" s="83">
        <v>0</v>
      </c>
      <c r="E15" s="83">
        <v>55</v>
      </c>
      <c r="F15" s="84">
        <f>+C62</f>
        <v>55</v>
      </c>
      <c r="G15" s="29"/>
      <c r="H15" s="29"/>
    </row>
    <row r="16" spans="2:21" x14ac:dyDescent="0.2">
      <c r="B16" s="64" t="s">
        <v>57</v>
      </c>
      <c r="C16" s="80">
        <f>C15/C$9</f>
        <v>0</v>
      </c>
      <c r="D16" s="80">
        <f t="shared" ref="D16" si="1">D15/D$9</f>
        <v>0</v>
      </c>
      <c r="E16" s="80">
        <f t="shared" ref="E16" si="2">E15/E$9</f>
        <v>0.14625325745891612</v>
      </c>
      <c r="F16" s="80">
        <f t="shared" ref="F16" si="3">F15/F$9</f>
        <v>0.16250361939879571</v>
      </c>
      <c r="G16" s="29"/>
      <c r="H16" s="29"/>
      <c r="U16" s="37"/>
    </row>
    <row r="17" spans="2:8" x14ac:dyDescent="0.2">
      <c r="B17" s="82" t="s">
        <v>61</v>
      </c>
      <c r="C17" s="83">
        <v>22.728000000000002</v>
      </c>
      <c r="D17" s="83">
        <v>46.543999999999997</v>
      </c>
      <c r="E17" s="83">
        <v>30.54</v>
      </c>
      <c r="F17" s="84">
        <f>+C63</f>
        <v>33.270666666666664</v>
      </c>
      <c r="G17" s="29"/>
      <c r="H17" s="29"/>
    </row>
    <row r="18" spans="2:8" s="23" customFormat="1" x14ac:dyDescent="0.2">
      <c r="B18" s="64" t="s">
        <v>57</v>
      </c>
      <c r="C18" s="80">
        <f>C17/C$9</f>
        <v>6.7124638948120763E-2</v>
      </c>
      <c r="D18" s="80">
        <f t="shared" ref="D18" si="4">D17/D$9</f>
        <v>0.13003187658370188</v>
      </c>
      <c r="E18" s="80">
        <f t="shared" ref="E18" si="5">E17/E$9</f>
        <v>8.1210445141732701E-2</v>
      </c>
      <c r="F18" s="80">
        <f t="shared" ref="F18" si="6">F17/F$9</f>
        <v>9.8301886420803605E-2</v>
      </c>
      <c r="G18" s="29"/>
      <c r="H18" s="29"/>
    </row>
    <row r="19" spans="2:8" s="29" customFormat="1" x14ac:dyDescent="0.2">
      <c r="B19" s="82" t="s">
        <v>63</v>
      </c>
      <c r="C19" s="83">
        <v>14.4</v>
      </c>
      <c r="D19" s="83">
        <v>13.2</v>
      </c>
      <c r="E19" s="83">
        <v>14.412000000000001</v>
      </c>
      <c r="F19" s="244">
        <f>+C76</f>
        <v>28.824000000000002</v>
      </c>
    </row>
    <row r="20" spans="2:8" s="23" customFormat="1" x14ac:dyDescent="0.2">
      <c r="B20" s="64" t="s">
        <v>57</v>
      </c>
      <c r="C20" s="80">
        <f>C19/C$9</f>
        <v>4.2528810315599214E-2</v>
      </c>
      <c r="D20" s="80">
        <f t="shared" ref="D20" si="7">D19/D$9</f>
        <v>3.6877379918031639E-2</v>
      </c>
      <c r="E20" s="80">
        <f t="shared" ref="E20" si="8">E19/E$9</f>
        <v>3.8323671754507259E-2</v>
      </c>
      <c r="F20" s="80">
        <f t="shared" ref="F20" si="9">F19/F$9</f>
        <v>8.5163715010016142E-2</v>
      </c>
      <c r="G20" s="29"/>
      <c r="H20" s="29"/>
    </row>
    <row r="21" spans="2:8" s="29" customFormat="1" x14ac:dyDescent="0.2">
      <c r="B21" s="82" t="s">
        <v>71</v>
      </c>
      <c r="C21" s="83">
        <v>0</v>
      </c>
      <c r="D21" s="83">
        <v>14.958</v>
      </c>
      <c r="E21" s="83">
        <v>4.3840000000000003</v>
      </c>
      <c r="F21" s="84">
        <f>+C66</f>
        <v>4.3840000000000003</v>
      </c>
    </row>
    <row r="22" spans="2:8" s="23" customFormat="1" x14ac:dyDescent="0.2">
      <c r="B22" s="64" t="s">
        <v>57</v>
      </c>
      <c r="C22" s="68">
        <f>C21/C$9</f>
        <v>0</v>
      </c>
      <c r="D22" s="80">
        <f t="shared" ref="D22" si="10">D21/D$9</f>
        <v>4.178877642529677E-2</v>
      </c>
      <c r="E22" s="80">
        <f t="shared" ref="E22" si="11">E21/E$9</f>
        <v>1.1657714194543424E-2</v>
      </c>
      <c r="F22" s="80">
        <f t="shared" ref="F22" si="12">F21/F$9</f>
        <v>1.2953015771714916E-2</v>
      </c>
      <c r="G22" s="29"/>
      <c r="H22" s="29"/>
    </row>
    <row r="23" spans="2:8" s="29" customFormat="1" x14ac:dyDescent="0.2">
      <c r="B23" s="91" t="s">
        <v>91</v>
      </c>
      <c r="C23" s="83">
        <v>0</v>
      </c>
      <c r="D23" s="83">
        <v>12.608000000000001</v>
      </c>
      <c r="E23" s="83">
        <v>14.67</v>
      </c>
      <c r="F23" s="84">
        <f ca="1">(C73/C74)+(C73*C75)</f>
        <v>48.973659540138556</v>
      </c>
      <c r="H23" s="28" t="s">
        <v>70</v>
      </c>
    </row>
    <row r="24" spans="2:8" s="23" customFormat="1" x14ac:dyDescent="0.2">
      <c r="B24" s="64" t="s">
        <v>57</v>
      </c>
      <c r="C24" s="68">
        <f>C23/C$9</f>
        <v>0</v>
      </c>
      <c r="D24" s="80">
        <f t="shared" ref="D24" si="13">D23/D$9</f>
        <v>3.5223485303525981E-2</v>
      </c>
      <c r="E24" s="80">
        <f t="shared" ref="E24" si="14">E23/E$9</f>
        <v>3.9009732489496358E-2</v>
      </c>
      <c r="F24" s="80">
        <f t="shared" ref="F24" ca="1" si="15">F23/F$9</f>
        <v>0.14469812600867046</v>
      </c>
      <c r="G24" s="29"/>
      <c r="H24" s="29"/>
    </row>
    <row r="25" spans="2:8" s="29" customFormat="1" x14ac:dyDescent="0.2">
      <c r="B25" s="82" t="s">
        <v>67</v>
      </c>
      <c r="C25" s="83">
        <v>8.6609999999999996</v>
      </c>
      <c r="D25" s="83">
        <v>27.542000000000002</v>
      </c>
      <c r="E25" s="83">
        <v>28.555</v>
      </c>
      <c r="F25" s="84">
        <f>+C65</f>
        <v>8.6609999999999996</v>
      </c>
      <c r="H25" s="28" t="s">
        <v>69</v>
      </c>
    </row>
    <row r="26" spans="2:8" s="23" customFormat="1" x14ac:dyDescent="0.2">
      <c r="B26" s="64" t="s">
        <v>57</v>
      </c>
      <c r="C26" s="80">
        <f>C25/C$9</f>
        <v>2.5579307371069775E-2</v>
      </c>
      <c r="D26" s="80">
        <f t="shared" ref="D26" si="16">D25/D$9</f>
        <v>7.6945211947153605E-2</v>
      </c>
      <c r="E26" s="80">
        <f t="shared" ref="E26" si="17">E25/E$9</f>
        <v>7.5932032122533633E-2</v>
      </c>
      <c r="F26" s="80">
        <f t="shared" ref="F26" si="18">F25/F$9</f>
        <v>2.5589888138417626E-2</v>
      </c>
      <c r="G26" s="29"/>
      <c r="H26" s="29"/>
    </row>
    <row r="27" spans="2:8" s="29" customFormat="1" x14ac:dyDescent="0.2">
      <c r="B27" s="82" t="s">
        <v>65</v>
      </c>
      <c r="C27" s="83">
        <v>0</v>
      </c>
      <c r="D27" s="83">
        <v>0</v>
      </c>
      <c r="E27" s="83">
        <v>0</v>
      </c>
      <c r="F27" s="84">
        <f>+F9*C68</f>
        <v>0</v>
      </c>
    </row>
    <row r="28" spans="2:8" s="23" customFormat="1" x14ac:dyDescent="0.2">
      <c r="B28" s="64" t="s">
        <v>57</v>
      </c>
      <c r="C28" s="68">
        <f>C27/C$9</f>
        <v>0</v>
      </c>
      <c r="D28" s="80">
        <f t="shared" ref="D28" si="19">D27/D$9</f>
        <v>0</v>
      </c>
      <c r="E28" s="80">
        <f t="shared" ref="E28" si="20">E27/E$9</f>
        <v>0</v>
      </c>
      <c r="F28" s="80">
        <f t="shared" ref="F28" si="21">F27/F$9</f>
        <v>0</v>
      </c>
      <c r="G28" s="29"/>
      <c r="H28" s="29"/>
    </row>
    <row r="29" spans="2:8" s="29" customFormat="1" x14ac:dyDescent="0.2">
      <c r="B29" s="82" t="s">
        <v>73</v>
      </c>
      <c r="C29" s="83">
        <f>+C31-C25-C23-C21-C19-C17-C15-C13-C27</f>
        <v>10.551999999999964</v>
      </c>
      <c r="D29" s="83">
        <f>+D31-D25-D23-D21-D19-D17-D15-D13-D27</f>
        <v>9.9200000000000017</v>
      </c>
      <c r="E29" s="83">
        <f>+E31-E25-E23-E21-E19-E17-E15-E13-E27</f>
        <v>8.8990000000000009</v>
      </c>
      <c r="F29" s="84">
        <f>+C69</f>
        <v>9.7903333333333222</v>
      </c>
    </row>
    <row r="30" spans="2:8" s="23" customFormat="1" x14ac:dyDescent="0.2">
      <c r="B30" s="64" t="s">
        <v>57</v>
      </c>
      <c r="C30" s="80">
        <f>C29/C$9</f>
        <v>3.1164167114597317E-2</v>
      </c>
      <c r="D30" s="80">
        <f t="shared" ref="D30" si="22">D29/D$9</f>
        <v>2.7713909756581362E-2</v>
      </c>
      <c r="E30" s="80">
        <f t="shared" ref="E30" si="23">E29/E$9</f>
        <v>2.3663777056852631E-2</v>
      </c>
      <c r="F30" s="80">
        <f t="shared" ref="F30" si="24">F29/F$9</f>
        <v>2.8926629123406201E-2</v>
      </c>
      <c r="G30" s="29"/>
      <c r="H30" s="29"/>
    </row>
    <row r="31" spans="2:8" s="29" customFormat="1" x14ac:dyDescent="0.2">
      <c r="B31" s="18" t="s">
        <v>74</v>
      </c>
      <c r="C31" s="73">
        <v>147.27699999999999</v>
      </c>
      <c r="D31" s="73">
        <v>216.761</v>
      </c>
      <c r="E31" s="73">
        <v>247.72900000000001</v>
      </c>
      <c r="F31" s="20">
        <f ca="1">+F29+F25+F23+F21+F19+F17+F15+F13</f>
        <v>275.42455795398831</v>
      </c>
    </row>
    <row r="32" spans="2:8" s="23" customFormat="1" x14ac:dyDescent="0.2">
      <c r="B32" s="64" t="s">
        <v>57</v>
      </c>
      <c r="C32" s="80">
        <f>C31/C$9</f>
        <v>0.43496636089239615</v>
      </c>
      <c r="D32" s="80">
        <f t="shared" ref="D32" si="25">D31/D$9</f>
        <v>0.60557407184942857</v>
      </c>
      <c r="E32" s="80">
        <f t="shared" ref="E32" si="26">E31/E$9</f>
        <v>0.65874860394617885</v>
      </c>
      <c r="F32" s="80">
        <f t="shared" ref="F32" ca="1" si="27">F31/F$9</f>
        <v>0.81377250070611751</v>
      </c>
      <c r="G32" s="29"/>
      <c r="H32" s="29"/>
    </row>
    <row r="33" spans="2:6" s="29" customFormat="1" ht="3.95" customHeight="1" x14ac:dyDescent="0.2">
      <c r="B33" s="63"/>
      <c r="C33" s="17"/>
      <c r="D33" s="17"/>
      <c r="E33" s="17"/>
    </row>
    <row r="34" spans="2:6" s="29" customFormat="1" x14ac:dyDescent="0.2">
      <c r="B34" s="40" t="s">
        <v>86</v>
      </c>
      <c r="C34" s="74">
        <f>+C9-C31</f>
        <v>191.31700000000001</v>
      </c>
      <c r="D34" s="74">
        <f t="shared" ref="D34:F34" si="28">+D9-D31</f>
        <v>141.18199999999999</v>
      </c>
      <c r="E34" s="74">
        <f t="shared" si="28"/>
        <v>128.33099999999999</v>
      </c>
      <c r="F34" s="75">
        <f t="shared" ca="1" si="28"/>
        <v>63.029442046011695</v>
      </c>
    </row>
    <row r="35" spans="2:6" s="29" customFormat="1" ht="3.95" customHeight="1" x14ac:dyDescent="0.2">
      <c r="B35" s="63"/>
      <c r="C35" s="17"/>
      <c r="D35" s="17"/>
      <c r="E35" s="17"/>
    </row>
    <row r="36" spans="2:6" s="29" customFormat="1" x14ac:dyDescent="0.2">
      <c r="B36" s="33" t="s">
        <v>77</v>
      </c>
      <c r="C36" s="17"/>
      <c r="D36" s="17"/>
      <c r="E36" s="17"/>
    </row>
    <row r="37" spans="2:6" s="29" customFormat="1" x14ac:dyDescent="0.2">
      <c r="B37" s="63" t="s">
        <v>76</v>
      </c>
      <c r="C37" s="30">
        <f>+C34</f>
        <v>191.31700000000001</v>
      </c>
      <c r="D37" s="30">
        <f t="shared" ref="D37:F37" si="29">+D34</f>
        <v>141.18199999999999</v>
      </c>
      <c r="E37" s="30">
        <f t="shared" si="29"/>
        <v>128.33099999999999</v>
      </c>
      <c r="F37" s="30">
        <f t="shared" ca="1" si="29"/>
        <v>63.029442046011695</v>
      </c>
    </row>
    <row r="38" spans="2:6" s="29" customFormat="1" x14ac:dyDescent="0.2">
      <c r="B38" s="69" t="s">
        <v>87</v>
      </c>
      <c r="C38" s="35">
        <f>+C23</f>
        <v>0</v>
      </c>
      <c r="D38" s="35">
        <f t="shared" ref="D38:F38" si="30">+D23</f>
        <v>12.608000000000001</v>
      </c>
      <c r="E38" s="35">
        <f t="shared" si="30"/>
        <v>14.67</v>
      </c>
      <c r="F38" s="35">
        <f t="shared" ca="1" si="30"/>
        <v>48.973659540138556</v>
      </c>
    </row>
    <row r="39" spans="2:6" s="29" customFormat="1" x14ac:dyDescent="0.2">
      <c r="B39" s="69" t="s">
        <v>88</v>
      </c>
      <c r="C39" s="35">
        <f>+C25</f>
        <v>8.6609999999999996</v>
      </c>
      <c r="D39" s="35">
        <f>+D25</f>
        <v>27.542000000000002</v>
      </c>
      <c r="E39" s="35">
        <f>+E25</f>
        <v>28.555</v>
      </c>
      <c r="F39" s="35">
        <f>+F25</f>
        <v>8.6609999999999996</v>
      </c>
    </row>
    <row r="40" spans="2:6" s="29" customFormat="1" x14ac:dyDescent="0.2">
      <c r="B40" s="69" t="s">
        <v>89</v>
      </c>
      <c r="C40" s="35">
        <f>-$C$65</f>
        <v>-8.6609999999999996</v>
      </c>
      <c r="D40" s="35">
        <f t="shared" ref="D40:F40" si="31">-$C$65</f>
        <v>-8.6609999999999996</v>
      </c>
      <c r="E40" s="35">
        <f t="shared" si="31"/>
        <v>-8.6609999999999996</v>
      </c>
      <c r="F40" s="35">
        <f t="shared" si="31"/>
        <v>-8.6609999999999996</v>
      </c>
    </row>
    <row r="41" spans="2:6" s="29" customFormat="1" x14ac:dyDescent="0.2">
      <c r="B41" s="69" t="s">
        <v>90</v>
      </c>
      <c r="C41" s="35">
        <f t="shared" ref="C41:F41" si="32">+C27</f>
        <v>0</v>
      </c>
      <c r="D41" s="35">
        <f t="shared" si="32"/>
        <v>0</v>
      </c>
      <c r="E41" s="35">
        <f t="shared" si="32"/>
        <v>0</v>
      </c>
      <c r="F41" s="35">
        <f t="shared" si="32"/>
        <v>0</v>
      </c>
    </row>
    <row r="42" spans="2:6" s="29" customFormat="1" x14ac:dyDescent="0.2">
      <c r="B42" s="51" t="s">
        <v>85</v>
      </c>
      <c r="C42" s="76">
        <f>SUM(C37:C41)</f>
        <v>191.31700000000001</v>
      </c>
      <c r="D42" s="76">
        <f t="shared" ref="D42:F42" si="33">SUM(D37:D41)</f>
        <v>172.67099999999999</v>
      </c>
      <c r="E42" s="76">
        <f t="shared" si="33"/>
        <v>162.89499999999998</v>
      </c>
      <c r="F42" s="77">
        <f t="shared" ca="1" si="33"/>
        <v>112.00310158615025</v>
      </c>
    </row>
    <row r="43" spans="2:6" s="29" customFormat="1" x14ac:dyDescent="0.2">
      <c r="B43" s="54" t="s">
        <v>56</v>
      </c>
      <c r="C43" s="78">
        <f>C42/C$9</f>
        <v>0.56503363910760385</v>
      </c>
      <c r="D43" s="78">
        <f t="shared" ref="D43:F43" si="34">D42/D$9</f>
        <v>0.48239803544139709</v>
      </c>
      <c r="E43" s="78">
        <f t="shared" si="34"/>
        <v>0.43316226134127528</v>
      </c>
      <c r="F43" s="79">
        <f t="shared" ca="1" si="34"/>
        <v>0.33092562530255293</v>
      </c>
    </row>
    <row r="44" spans="2:6" s="29" customFormat="1" ht="3.95" customHeight="1" x14ac:dyDescent="0.2">
      <c r="B44" s="87"/>
      <c r="C44" s="88"/>
      <c r="D44" s="88"/>
      <c r="E44" s="88"/>
      <c r="F44" s="88"/>
    </row>
    <row r="45" spans="2:6" s="29" customFormat="1" x14ac:dyDescent="0.2">
      <c r="B45" s="69" t="s">
        <v>79</v>
      </c>
      <c r="C45" s="70">
        <f>+C15</f>
        <v>0</v>
      </c>
      <c r="D45" s="70">
        <f t="shared" ref="D45:F45" si="35">+D15</f>
        <v>0</v>
      </c>
      <c r="E45" s="70">
        <f t="shared" si="35"/>
        <v>55</v>
      </c>
      <c r="F45" s="70">
        <f t="shared" si="35"/>
        <v>55</v>
      </c>
    </row>
    <row r="46" spans="2:6" s="29" customFormat="1" ht="3.95" customHeight="1" x14ac:dyDescent="0.2">
      <c r="B46" s="87"/>
      <c r="C46" s="88"/>
      <c r="D46" s="88"/>
      <c r="E46" s="88"/>
      <c r="F46" s="88"/>
    </row>
    <row r="47" spans="2:6" s="29" customFormat="1" x14ac:dyDescent="0.2">
      <c r="B47" s="51" t="s">
        <v>82</v>
      </c>
      <c r="C47" s="76">
        <f>+C42+C45</f>
        <v>191.31700000000001</v>
      </c>
      <c r="D47" s="76">
        <f t="shared" ref="D47:F47" si="36">+D42+D45</f>
        <v>172.67099999999999</v>
      </c>
      <c r="E47" s="76">
        <f t="shared" si="36"/>
        <v>217.89499999999998</v>
      </c>
      <c r="F47" s="77">
        <f t="shared" ca="1" si="36"/>
        <v>167.00310158615025</v>
      </c>
    </row>
    <row r="48" spans="2:6" s="29" customFormat="1" x14ac:dyDescent="0.2">
      <c r="B48" s="54" t="s">
        <v>56</v>
      </c>
      <c r="C48" s="78">
        <f>C47/C$9</f>
        <v>0.56503363910760385</v>
      </c>
      <c r="D48" s="78">
        <f t="shared" ref="D48" si="37">D47/D$9</f>
        <v>0.48239803544139709</v>
      </c>
      <c r="E48" s="78">
        <f t="shared" ref="E48" si="38">E47/E$9</f>
        <v>0.57941551880019138</v>
      </c>
      <c r="F48" s="79">
        <f t="shared" ref="F48" ca="1" si="39">F47/F$9</f>
        <v>0.49342924470134863</v>
      </c>
    </row>
    <row r="49" spans="2:8" s="29" customFormat="1" ht="3.95" customHeight="1" x14ac:dyDescent="0.2">
      <c r="B49" s="87"/>
      <c r="C49" s="88"/>
      <c r="D49" s="88"/>
      <c r="E49" s="88"/>
      <c r="F49" s="88"/>
    </row>
    <row r="50" spans="2:8" s="29" customFormat="1" x14ac:dyDescent="0.2">
      <c r="B50" s="33" t="s">
        <v>81</v>
      </c>
      <c r="C50" s="88"/>
      <c r="D50" s="88"/>
      <c r="E50" s="88"/>
      <c r="F50" s="88"/>
    </row>
    <row r="51" spans="2:8" s="29" customFormat="1" x14ac:dyDescent="0.2">
      <c r="B51" s="63" t="s">
        <v>82</v>
      </c>
      <c r="C51" s="30">
        <f>+C47</f>
        <v>191.31700000000001</v>
      </c>
      <c r="D51" s="30">
        <f t="shared" ref="D51:F51" si="40">+D47</f>
        <v>172.67099999999999</v>
      </c>
      <c r="E51" s="30">
        <f t="shared" si="40"/>
        <v>217.89499999999998</v>
      </c>
      <c r="F51" s="30">
        <f t="shared" ca="1" si="40"/>
        <v>167.00310158615025</v>
      </c>
    </row>
    <row r="52" spans="2:8" s="29" customFormat="1" x14ac:dyDescent="0.2">
      <c r="B52" s="69" t="s">
        <v>83</v>
      </c>
      <c r="C52" s="90">
        <f>+$C$70</f>
        <v>3</v>
      </c>
      <c r="D52" s="90">
        <f>+$C$70</f>
        <v>3</v>
      </c>
      <c r="E52" s="90">
        <f>+$C$70</f>
        <v>3</v>
      </c>
      <c r="F52" s="90">
        <f>+$C$70</f>
        <v>3</v>
      </c>
    </row>
    <row r="53" spans="2:8" s="29" customFormat="1" x14ac:dyDescent="0.2">
      <c r="B53" s="241" t="s">
        <v>84</v>
      </c>
      <c r="C53" s="242">
        <f>C51*C52</f>
        <v>573.95100000000002</v>
      </c>
      <c r="D53" s="242">
        <f t="shared" ref="D53:F53" si="41">D51*D52</f>
        <v>518.01299999999992</v>
      </c>
      <c r="E53" s="242">
        <f t="shared" si="41"/>
        <v>653.68499999999995</v>
      </c>
      <c r="F53" s="242">
        <f t="shared" ca="1" si="41"/>
        <v>501.00930475845075</v>
      </c>
    </row>
    <row r="54" spans="2:8" s="29" customFormat="1" x14ac:dyDescent="0.2">
      <c r="B54" s="243" t="s">
        <v>235</v>
      </c>
      <c r="C54" s="35">
        <f>-C77</f>
        <v>-350</v>
      </c>
      <c r="D54" s="35">
        <f>C54</f>
        <v>-350</v>
      </c>
      <c r="E54" s="35">
        <f t="shared" ref="E54:F54" si="42">D54</f>
        <v>-350</v>
      </c>
      <c r="F54" s="35">
        <f t="shared" si="42"/>
        <v>-350</v>
      </c>
    </row>
    <row r="55" spans="2:8" s="29" customFormat="1" x14ac:dyDescent="0.2">
      <c r="B55" s="40" t="s">
        <v>84</v>
      </c>
      <c r="C55" s="74">
        <f>C53+C54</f>
        <v>223.95100000000002</v>
      </c>
      <c r="D55" s="74">
        <f t="shared" ref="D55:E55" si="43">D53+D54</f>
        <v>168.01299999999992</v>
      </c>
      <c r="E55" s="74">
        <f t="shared" si="43"/>
        <v>303.68499999999995</v>
      </c>
      <c r="F55" s="75">
        <f ca="1">ROUND(F53+F54,-1)</f>
        <v>150</v>
      </c>
    </row>
    <row r="56" spans="2:8" s="29" customFormat="1" x14ac:dyDescent="0.2"/>
    <row r="57" spans="2:8" x14ac:dyDescent="0.2">
      <c r="B57" s="24" t="s">
        <v>53</v>
      </c>
      <c r="C57" s="25"/>
      <c r="D57" s="25"/>
      <c r="E57" s="25"/>
      <c r="F57" s="25"/>
      <c r="G57" s="29"/>
      <c r="H57" s="29"/>
    </row>
    <row r="58" spans="2:8" ht="3.95" customHeight="1" x14ac:dyDescent="0.2"/>
    <row r="59" spans="2:8" x14ac:dyDescent="0.2">
      <c r="B59" s="63" t="s">
        <v>54</v>
      </c>
      <c r="C59" s="66">
        <v>-0.1</v>
      </c>
      <c r="D59" s="29"/>
      <c r="E59" s="29"/>
      <c r="F59" s="29"/>
      <c r="G59" s="29"/>
      <c r="H59" s="29"/>
    </row>
    <row r="60" spans="2:8" x14ac:dyDescent="0.2">
      <c r="B60" s="63" t="s">
        <v>55</v>
      </c>
      <c r="C60" s="67">
        <f>SUM(C13:E13)/SUM(C9:E9)</f>
        <v>0.25563562083429286</v>
      </c>
      <c r="D60" s="29"/>
      <c r="E60" s="29"/>
      <c r="F60" s="29"/>
      <c r="G60" s="29"/>
      <c r="H60" s="29"/>
    </row>
    <row r="61" spans="2:8" x14ac:dyDescent="0.2">
      <c r="B61" s="63" t="s">
        <v>59</v>
      </c>
      <c r="C61" s="17">
        <v>0</v>
      </c>
      <c r="D61" s="29"/>
      <c r="E61" s="29"/>
      <c r="F61" s="29"/>
      <c r="G61" s="29"/>
      <c r="H61" s="29"/>
    </row>
    <row r="62" spans="2:8" x14ac:dyDescent="0.2">
      <c r="B62" s="63" t="s">
        <v>60</v>
      </c>
      <c r="C62" s="17">
        <v>55</v>
      </c>
      <c r="D62" s="29"/>
      <c r="E62" s="29"/>
      <c r="F62" s="29"/>
      <c r="G62" s="29"/>
      <c r="H62" s="29"/>
    </row>
    <row r="63" spans="2:8" x14ac:dyDescent="0.2">
      <c r="B63" s="63" t="s">
        <v>62</v>
      </c>
      <c r="C63" s="70">
        <f>AVERAGE(C17:E17)</f>
        <v>33.270666666666664</v>
      </c>
      <c r="D63" s="29"/>
      <c r="E63" s="29"/>
      <c r="F63" s="29"/>
      <c r="G63" s="29"/>
      <c r="H63" s="29"/>
    </row>
    <row r="64" spans="2:8" x14ac:dyDescent="0.2">
      <c r="B64" s="63" t="s">
        <v>64</v>
      </c>
      <c r="C64" s="72">
        <f>+'Tennant View'!G29/1000</f>
        <v>17.261083743842367</v>
      </c>
    </row>
    <row r="65" spans="2:3" x14ac:dyDescent="0.2">
      <c r="B65" s="63" t="s">
        <v>68</v>
      </c>
      <c r="C65" s="35">
        <f>+C25</f>
        <v>8.6609999999999996</v>
      </c>
    </row>
    <row r="66" spans="2:3" x14ac:dyDescent="0.2">
      <c r="B66" s="63" t="s">
        <v>72</v>
      </c>
      <c r="C66" s="35">
        <f>+E21</f>
        <v>4.3840000000000003</v>
      </c>
    </row>
    <row r="67" spans="2:3" x14ac:dyDescent="0.2">
      <c r="B67" s="63" t="s">
        <v>75</v>
      </c>
      <c r="C67" s="72">
        <v>0</v>
      </c>
    </row>
    <row r="68" spans="2:3" x14ac:dyDescent="0.2">
      <c r="B68" s="92" t="s">
        <v>97</v>
      </c>
      <c r="C68" s="66">
        <v>0</v>
      </c>
    </row>
    <row r="69" spans="2:3" x14ac:dyDescent="0.2">
      <c r="B69" s="63" t="s">
        <v>78</v>
      </c>
      <c r="C69" s="70">
        <f>AVERAGE(C29:E29)</f>
        <v>9.7903333333333222</v>
      </c>
    </row>
    <row r="70" spans="2:3" x14ac:dyDescent="0.2">
      <c r="B70" s="63" t="s">
        <v>80</v>
      </c>
      <c r="C70" s="89">
        <v>3</v>
      </c>
    </row>
    <row r="71" spans="2:3" x14ac:dyDescent="0.2">
      <c r="B71" s="92" t="s">
        <v>95</v>
      </c>
      <c r="C71" s="93">
        <v>0.15</v>
      </c>
    </row>
    <row r="72" spans="2:3" x14ac:dyDescent="0.2">
      <c r="B72" s="92" t="s">
        <v>96</v>
      </c>
      <c r="C72" s="14">
        <f ca="1">+F53*C71</f>
        <v>75.151395713767613</v>
      </c>
    </row>
    <row r="73" spans="2:3" x14ac:dyDescent="0.2">
      <c r="B73" s="92" t="s">
        <v>93</v>
      </c>
      <c r="C73" s="16">
        <f ca="1">+F53*(1-C71)</f>
        <v>425.85790904468314</v>
      </c>
    </row>
    <row r="74" spans="2:3" x14ac:dyDescent="0.2">
      <c r="B74" s="92" t="s">
        <v>94</v>
      </c>
      <c r="C74" s="95">
        <v>20</v>
      </c>
    </row>
    <row r="75" spans="2:3" x14ac:dyDescent="0.2">
      <c r="B75" s="92" t="s">
        <v>92</v>
      </c>
      <c r="C75" s="94">
        <v>6.5000000000000002E-2</v>
      </c>
    </row>
    <row r="76" spans="2:3" x14ac:dyDescent="0.2">
      <c r="B76" s="217" t="s">
        <v>234</v>
      </c>
      <c r="C76" s="15">
        <f>E19*2</f>
        <v>28.824000000000002</v>
      </c>
    </row>
    <row r="77" spans="2:3" x14ac:dyDescent="0.2">
      <c r="B77" s="217" t="s">
        <v>236</v>
      </c>
      <c r="C77" s="15">
        <v>350</v>
      </c>
    </row>
  </sheetData>
  <conditionalFormatting sqref="B1:G6 C7:G8 B9:G70 C71:G71 D72:G74 C73:C75 B74:B75 B75:G1048576">
    <cfRule type="expression" dxfId="21" priority="1">
      <formula>$I$3=1</formula>
    </cfRule>
  </conditionalFormatting>
  <pageMargins left="0.7" right="0.7" top="0.75" bottom="0.75" header="0.3" footer="0.3"/>
  <pageSetup orientation="portrait" r:id="rId1"/>
  <colBreaks count="1" manualBreakCount="1">
    <brk id="6" min="1" max="5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CE0F-645D-48F6-BEBA-2D30C4745D52}">
  <sheetPr>
    <tabColor theme="9"/>
    <pageSetUpPr fitToPage="1"/>
  </sheetPr>
  <dimension ref="B2:O24"/>
  <sheetViews>
    <sheetView showGridLines="0" view="pageBreakPreview" zoomScale="130" zoomScaleNormal="130" zoomScaleSheetLayoutView="130" workbookViewId="0"/>
  </sheetViews>
  <sheetFormatPr defaultRowHeight="12" x14ac:dyDescent="0.2"/>
  <cols>
    <col min="1" max="1" width="1" style="103" customWidth="1"/>
    <col min="2" max="2" width="3.7109375" style="103" customWidth="1"/>
    <col min="3" max="3" width="4" style="103" customWidth="1"/>
    <col min="4" max="10" width="8" style="103" customWidth="1"/>
    <col min="11" max="11" width="7.42578125" style="103" customWidth="1"/>
    <col min="12" max="12" width="9.140625" style="103"/>
    <col min="13" max="13" width="10.140625" style="103" bestFit="1" customWidth="1"/>
    <col min="14" max="14" width="10.5703125" style="103" bestFit="1" customWidth="1"/>
    <col min="15" max="16384" width="9.140625" style="103"/>
  </cols>
  <sheetData>
    <row r="2" spans="2:15" ht="16.5" x14ac:dyDescent="0.25">
      <c r="B2" s="104" t="str">
        <f>+'CRE P&amp;L'!B2</f>
        <v>Sunshine Commercial Investments</v>
      </c>
      <c r="C2" s="104"/>
    </row>
    <row r="3" spans="2:15" x14ac:dyDescent="0.2">
      <c r="B3" s="9" t="s">
        <v>237</v>
      </c>
      <c r="C3" s="9"/>
      <c r="D3" s="105"/>
      <c r="E3" s="105"/>
      <c r="F3" s="105"/>
      <c r="G3" s="105"/>
      <c r="H3" s="105"/>
      <c r="I3" s="105"/>
      <c r="J3" s="105"/>
      <c r="L3" s="103" t="s">
        <v>7</v>
      </c>
      <c r="M3" s="21">
        <v>1</v>
      </c>
    </row>
    <row r="5" spans="2:15" x14ac:dyDescent="0.2">
      <c r="B5" s="24" t="s">
        <v>239</v>
      </c>
      <c r="C5" s="24"/>
      <c r="D5" s="25"/>
      <c r="E5" s="25"/>
      <c r="F5" s="25"/>
      <c r="G5" s="25"/>
      <c r="H5" s="25"/>
      <c r="I5" s="25"/>
      <c r="J5" s="25"/>
    </row>
    <row r="6" spans="2:15" ht="3.95" customHeight="1" x14ac:dyDescent="0.2">
      <c r="B6" s="6"/>
      <c r="C6" s="6"/>
      <c r="D6" s="6"/>
      <c r="E6" s="6"/>
      <c r="F6" s="6"/>
      <c r="G6" s="6"/>
      <c r="H6" s="6"/>
      <c r="I6" s="6"/>
    </row>
    <row r="7" spans="2:15" x14ac:dyDescent="0.2">
      <c r="B7" s="6"/>
      <c r="C7" s="6"/>
      <c r="D7" s="118" t="s">
        <v>128</v>
      </c>
      <c r="E7" s="119"/>
      <c r="F7" s="119"/>
      <c r="G7" s="119"/>
      <c r="H7" s="119"/>
      <c r="I7" s="119"/>
      <c r="J7" s="120"/>
      <c r="L7" s="103" t="s">
        <v>130</v>
      </c>
      <c r="N7" s="72">
        <f>+'Market Rent Analysis'!$C$7</f>
        <v>8400</v>
      </c>
    </row>
    <row r="8" spans="2:15" ht="12" customHeight="1" x14ac:dyDescent="0.2">
      <c r="B8" s="117"/>
      <c r="D8" s="123">
        <v>0.08</v>
      </c>
      <c r="E8" s="124">
        <f t="shared" ref="E8:J8" si="0">D8+0.5%</f>
        <v>8.5000000000000006E-2</v>
      </c>
      <c r="F8" s="124">
        <f t="shared" si="0"/>
        <v>9.0000000000000011E-2</v>
      </c>
      <c r="G8" s="124">
        <f t="shared" si="0"/>
        <v>9.5000000000000015E-2</v>
      </c>
      <c r="H8" s="124">
        <f t="shared" si="0"/>
        <v>0.10000000000000002</v>
      </c>
      <c r="I8" s="124">
        <f t="shared" si="0"/>
        <v>0.10500000000000002</v>
      </c>
      <c r="J8" s="125">
        <f t="shared" si="0"/>
        <v>0.11000000000000003</v>
      </c>
      <c r="L8" s="28" t="s">
        <v>174</v>
      </c>
      <c r="M8" s="28"/>
      <c r="N8" s="167">
        <f>+'CRE P&amp;L'!C53/1000</f>
        <v>9.2349999999999994</v>
      </c>
      <c r="O8" s="28"/>
    </row>
    <row r="9" spans="2:15" ht="12" customHeight="1" x14ac:dyDescent="0.2">
      <c r="B9" s="264" t="s">
        <v>238</v>
      </c>
      <c r="C9" s="126">
        <v>5</v>
      </c>
      <c r="D9" s="121">
        <f>$C9/D$8</f>
        <v>62.5</v>
      </c>
      <c r="E9" s="121">
        <f t="shared" ref="E9:J16" si="1">$C9/E$8</f>
        <v>58.823529411764703</v>
      </c>
      <c r="F9" s="121">
        <f t="shared" si="1"/>
        <v>55.55555555555555</v>
      </c>
      <c r="G9" s="121">
        <f t="shared" si="1"/>
        <v>52.631578947368411</v>
      </c>
      <c r="H9" s="121">
        <f t="shared" si="1"/>
        <v>49.999999999999993</v>
      </c>
      <c r="I9" s="121">
        <f t="shared" si="1"/>
        <v>47.619047619047606</v>
      </c>
      <c r="J9" s="121">
        <f t="shared" si="1"/>
        <v>45.454545454545446</v>
      </c>
    </row>
    <row r="10" spans="2:15" x14ac:dyDescent="0.2">
      <c r="B10" s="265"/>
      <c r="C10" s="245">
        <f>C9+5</f>
        <v>10</v>
      </c>
      <c r="D10" s="122">
        <f t="shared" ref="D10:D16" si="2">$C10/D$8</f>
        <v>125</v>
      </c>
      <c r="E10" s="122">
        <f t="shared" si="1"/>
        <v>117.64705882352941</v>
      </c>
      <c r="F10" s="122">
        <f t="shared" si="1"/>
        <v>111.1111111111111</v>
      </c>
      <c r="G10" s="122">
        <f t="shared" si="1"/>
        <v>105.26315789473682</v>
      </c>
      <c r="H10" s="122">
        <f t="shared" si="1"/>
        <v>99.999999999999986</v>
      </c>
      <c r="I10" s="122">
        <f t="shared" si="1"/>
        <v>95.238095238095212</v>
      </c>
      <c r="J10" s="122">
        <f t="shared" si="1"/>
        <v>90.909090909090892</v>
      </c>
      <c r="L10" s="7"/>
    </row>
    <row r="11" spans="2:15" x14ac:dyDescent="0.2">
      <c r="B11" s="265"/>
      <c r="C11" s="127">
        <f>C10+5</f>
        <v>15</v>
      </c>
      <c r="D11" s="122">
        <f t="shared" si="2"/>
        <v>187.5</v>
      </c>
      <c r="E11" s="122">
        <f t="shared" si="1"/>
        <v>176.47058823529412</v>
      </c>
      <c r="F11" s="122">
        <f t="shared" si="1"/>
        <v>166.66666666666666</v>
      </c>
      <c r="G11" s="122">
        <f t="shared" si="1"/>
        <v>157.89473684210523</v>
      </c>
      <c r="H11" s="122">
        <f t="shared" si="1"/>
        <v>149.99999999999997</v>
      </c>
      <c r="I11" s="122">
        <f t="shared" si="1"/>
        <v>142.85714285714283</v>
      </c>
      <c r="J11" s="122">
        <f t="shared" si="1"/>
        <v>136.36363636363632</v>
      </c>
    </row>
    <row r="12" spans="2:15" x14ac:dyDescent="0.2">
      <c r="B12" s="265"/>
      <c r="C12" s="127">
        <f t="shared" ref="C12:C16" si="3">C11+5</f>
        <v>20</v>
      </c>
      <c r="D12" s="122">
        <f t="shared" si="2"/>
        <v>250</v>
      </c>
      <c r="E12" s="122">
        <f t="shared" si="1"/>
        <v>235.29411764705881</v>
      </c>
      <c r="F12" s="246">
        <f t="shared" si="1"/>
        <v>222.2222222222222</v>
      </c>
      <c r="G12" s="247">
        <f t="shared" si="1"/>
        <v>210.52631578947364</v>
      </c>
      <c r="H12" s="248">
        <f t="shared" si="1"/>
        <v>199.99999999999997</v>
      </c>
      <c r="I12" s="122">
        <f t="shared" si="1"/>
        <v>190.47619047619042</v>
      </c>
      <c r="J12" s="122">
        <f t="shared" si="1"/>
        <v>181.81818181818178</v>
      </c>
      <c r="L12" s="217"/>
    </row>
    <row r="13" spans="2:15" x14ac:dyDescent="0.2">
      <c r="B13" s="265"/>
      <c r="C13" s="127">
        <f t="shared" si="3"/>
        <v>25</v>
      </c>
      <c r="D13" s="122">
        <f t="shared" si="2"/>
        <v>312.5</v>
      </c>
      <c r="E13" s="122">
        <f t="shared" si="1"/>
        <v>294.11764705882354</v>
      </c>
      <c r="F13" s="249">
        <f t="shared" si="1"/>
        <v>277.77777777777777</v>
      </c>
      <c r="G13" s="250">
        <f t="shared" si="1"/>
        <v>263.15789473684208</v>
      </c>
      <c r="H13" s="251">
        <f t="shared" si="1"/>
        <v>249.99999999999994</v>
      </c>
      <c r="I13" s="122">
        <f t="shared" si="1"/>
        <v>238.09523809523805</v>
      </c>
      <c r="J13" s="122">
        <f t="shared" si="1"/>
        <v>227.27272727272722</v>
      </c>
      <c r="L13" s="217"/>
    </row>
    <row r="14" spans="2:15" x14ac:dyDescent="0.2">
      <c r="B14" s="265"/>
      <c r="C14" s="127">
        <f t="shared" si="3"/>
        <v>30</v>
      </c>
      <c r="D14" s="122">
        <f t="shared" si="2"/>
        <v>375</v>
      </c>
      <c r="E14" s="122">
        <f t="shared" si="1"/>
        <v>352.94117647058823</v>
      </c>
      <c r="F14" s="249">
        <f t="shared" si="1"/>
        <v>333.33333333333331</v>
      </c>
      <c r="G14" s="250">
        <f t="shared" si="1"/>
        <v>315.78947368421046</v>
      </c>
      <c r="H14" s="251">
        <f t="shared" si="1"/>
        <v>299.99999999999994</v>
      </c>
      <c r="I14" s="122">
        <f t="shared" si="1"/>
        <v>285.71428571428567</v>
      </c>
      <c r="J14" s="122">
        <f t="shared" si="1"/>
        <v>272.72727272727263</v>
      </c>
    </row>
    <row r="15" spans="2:15" x14ac:dyDescent="0.2">
      <c r="B15" s="265"/>
      <c r="C15" s="127">
        <f t="shared" si="3"/>
        <v>35</v>
      </c>
      <c r="D15" s="122">
        <f t="shared" si="2"/>
        <v>437.5</v>
      </c>
      <c r="E15" s="122">
        <f t="shared" si="1"/>
        <v>411.76470588235293</v>
      </c>
      <c r="F15" s="249">
        <f t="shared" si="1"/>
        <v>388.88888888888886</v>
      </c>
      <c r="G15" s="250">
        <f t="shared" si="1"/>
        <v>368.4210526315789</v>
      </c>
      <c r="H15" s="251">
        <f t="shared" si="1"/>
        <v>349.99999999999994</v>
      </c>
      <c r="I15" s="122">
        <f t="shared" si="1"/>
        <v>333.33333333333326</v>
      </c>
      <c r="J15" s="122">
        <f t="shared" si="1"/>
        <v>318.18181818181807</v>
      </c>
    </row>
    <row r="16" spans="2:15" x14ac:dyDescent="0.2">
      <c r="B16" s="266"/>
      <c r="C16" s="128">
        <f t="shared" si="3"/>
        <v>40</v>
      </c>
      <c r="D16" s="122">
        <f t="shared" si="2"/>
        <v>500</v>
      </c>
      <c r="E16" s="122">
        <f t="shared" si="1"/>
        <v>470.58823529411762</v>
      </c>
      <c r="F16" s="252">
        <f t="shared" si="1"/>
        <v>444.4444444444444</v>
      </c>
      <c r="G16" s="253">
        <f t="shared" si="1"/>
        <v>421.05263157894728</v>
      </c>
      <c r="H16" s="254">
        <f t="shared" si="1"/>
        <v>399.99999999999994</v>
      </c>
      <c r="I16" s="122">
        <f t="shared" si="1"/>
        <v>380.95238095238085</v>
      </c>
      <c r="J16" s="122">
        <f t="shared" si="1"/>
        <v>363.63636363636357</v>
      </c>
    </row>
    <row r="17" spans="2:12" ht="3.95" customHeight="1" x14ac:dyDescent="0.2">
      <c r="L17" s="7"/>
    </row>
    <row r="18" spans="2:12" x14ac:dyDescent="0.2">
      <c r="B18" s="24" t="s">
        <v>240</v>
      </c>
      <c r="C18" s="24"/>
      <c r="D18" s="25"/>
      <c r="E18" s="25"/>
      <c r="F18" s="25"/>
      <c r="G18" s="25"/>
      <c r="H18" s="25"/>
      <c r="I18" s="25"/>
      <c r="J18" s="25"/>
    </row>
    <row r="19" spans="2:12" ht="3.95" customHeight="1" x14ac:dyDescent="0.2"/>
    <row r="20" spans="2:12" x14ac:dyDescent="0.2">
      <c r="B20" s="217" t="s">
        <v>102</v>
      </c>
      <c r="F20" s="15">
        <v>450</v>
      </c>
    </row>
    <row r="21" spans="2:12" x14ac:dyDescent="0.2">
      <c r="B21" s="243" t="s">
        <v>241</v>
      </c>
      <c r="F21" s="255">
        <f>F22-F20</f>
        <v>150</v>
      </c>
      <c r="G21" s="64" t="s">
        <v>244</v>
      </c>
      <c r="L21" s="224">
        <f>F21/F20</f>
        <v>0.33333333333333331</v>
      </c>
    </row>
    <row r="22" spans="2:12" x14ac:dyDescent="0.2">
      <c r="B22" s="51" t="s">
        <v>242</v>
      </c>
      <c r="C22" s="256"/>
      <c r="D22" s="256"/>
      <c r="E22" s="256"/>
      <c r="F22" s="53">
        <v>600</v>
      </c>
    </row>
    <row r="23" spans="2:12" x14ac:dyDescent="0.2">
      <c r="B23" s="257" t="s">
        <v>243</v>
      </c>
      <c r="C23" s="240"/>
      <c r="D23" s="240"/>
      <c r="E23" s="240"/>
      <c r="F23" s="258">
        <f ca="1">+'Laundromat Valuation'!F55</f>
        <v>150</v>
      </c>
    </row>
    <row r="24" spans="2:12" x14ac:dyDescent="0.2">
      <c r="B24" s="40" t="s">
        <v>104</v>
      </c>
      <c r="C24" s="259"/>
      <c r="D24" s="259"/>
      <c r="E24" s="259"/>
      <c r="F24" s="50">
        <f ca="1">+F22+F23</f>
        <v>750</v>
      </c>
    </row>
  </sheetData>
  <mergeCells count="1">
    <mergeCell ref="B9:B16"/>
  </mergeCells>
  <conditionalFormatting sqref="B1:J9 L8:O8 C10:J16 B17:J1048576">
    <cfRule type="expression" dxfId="20" priority="1">
      <formula>$M$3=1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BC34-6AFA-4149-83C8-E8A7B9792369}">
  <sheetPr>
    <tabColor theme="8" tint="0.79998168889431442"/>
  </sheetPr>
  <dimension ref="B2:O108"/>
  <sheetViews>
    <sheetView showGridLines="0" tabSelected="1" view="pageBreakPreview" zoomScaleNormal="130" zoomScaleSheetLayoutView="100" workbookViewId="0"/>
  </sheetViews>
  <sheetFormatPr defaultRowHeight="12" x14ac:dyDescent="0.2"/>
  <cols>
    <col min="1" max="1" width="1" style="103" customWidth="1"/>
    <col min="2" max="2" width="6.7109375" style="103" customWidth="1"/>
    <col min="3" max="3" width="5.140625" style="103" customWidth="1"/>
    <col min="4" max="10" width="8" style="103" customWidth="1"/>
    <col min="11" max="11" width="11.85546875" style="103" customWidth="1"/>
    <col min="12" max="12" width="9.140625" style="103"/>
    <col min="13" max="13" width="10.140625" style="103" bestFit="1" customWidth="1"/>
    <col min="14" max="14" width="10.5703125" style="103" bestFit="1" customWidth="1"/>
    <col min="15" max="16384" width="9.140625" style="103"/>
  </cols>
  <sheetData>
    <row r="2" spans="2:15" ht="16.5" x14ac:dyDescent="0.25">
      <c r="B2" s="104" t="str">
        <f>+'CRE P&amp;L'!B2</f>
        <v>Sunshine Commercial Investments</v>
      </c>
      <c r="C2" s="104"/>
    </row>
    <row r="3" spans="2:15" x14ac:dyDescent="0.2">
      <c r="B3" s="9" t="s">
        <v>127</v>
      </c>
      <c r="C3" s="9"/>
      <c r="D3" s="105"/>
      <c r="E3" s="105"/>
      <c r="F3" s="105"/>
      <c r="G3" s="105"/>
      <c r="H3" s="105"/>
      <c r="I3" s="105"/>
      <c r="J3" s="105"/>
      <c r="L3" s="103" t="s">
        <v>7</v>
      </c>
      <c r="M3" s="21">
        <v>1</v>
      </c>
    </row>
    <row r="5" spans="2:15" x14ac:dyDescent="0.2">
      <c r="B5" s="24" t="s">
        <v>125</v>
      </c>
      <c r="C5" s="24"/>
      <c r="D5" s="25"/>
      <c r="E5" s="25"/>
      <c r="F5" s="25"/>
      <c r="G5" s="25"/>
      <c r="H5" s="25"/>
      <c r="I5" s="25"/>
      <c r="J5" s="25"/>
    </row>
    <row r="6" spans="2:15" ht="3.95" customHeight="1" x14ac:dyDescent="0.2">
      <c r="B6" s="6"/>
      <c r="C6" s="6"/>
      <c r="D6" s="6"/>
      <c r="E6" s="6"/>
      <c r="F6" s="6"/>
      <c r="G6" s="6"/>
      <c r="H6" s="6"/>
      <c r="I6" s="6"/>
    </row>
    <row r="7" spans="2:15" x14ac:dyDescent="0.2">
      <c r="B7" s="6"/>
      <c r="C7" s="6"/>
      <c r="D7" s="118" t="s">
        <v>128</v>
      </c>
      <c r="E7" s="119"/>
      <c r="F7" s="119"/>
      <c r="G7" s="119"/>
      <c r="H7" s="119"/>
      <c r="I7" s="119"/>
      <c r="J7" s="120"/>
      <c r="L7" s="103" t="s">
        <v>130</v>
      </c>
      <c r="N7" s="72">
        <f>+'Market Rent Analysis'!$C$7</f>
        <v>8400</v>
      </c>
    </row>
    <row r="8" spans="2:15" ht="12" customHeight="1" x14ac:dyDescent="0.2">
      <c r="B8" s="117"/>
      <c r="D8" s="123">
        <v>7.0000000000000007E-2</v>
      </c>
      <c r="E8" s="124">
        <f t="shared" ref="E8:J8" si="0">D8+0.5%</f>
        <v>7.5000000000000011E-2</v>
      </c>
      <c r="F8" s="124">
        <f t="shared" si="0"/>
        <v>8.0000000000000016E-2</v>
      </c>
      <c r="G8" s="124">
        <f t="shared" si="0"/>
        <v>8.500000000000002E-2</v>
      </c>
      <c r="H8" s="124">
        <f t="shared" si="0"/>
        <v>9.0000000000000024E-2</v>
      </c>
      <c r="I8" s="124">
        <f t="shared" si="0"/>
        <v>9.5000000000000029E-2</v>
      </c>
      <c r="J8" s="125">
        <f t="shared" si="0"/>
        <v>0.10000000000000003</v>
      </c>
      <c r="L8" s="28" t="s">
        <v>174</v>
      </c>
      <c r="M8" s="28"/>
      <c r="N8" s="167">
        <f>+'CRE P&amp;L'!C53/1000</f>
        <v>9.2349999999999994</v>
      </c>
      <c r="O8" s="28"/>
    </row>
    <row r="9" spans="2:15" ht="12" customHeight="1" x14ac:dyDescent="0.2">
      <c r="B9" s="264" t="s">
        <v>129</v>
      </c>
      <c r="C9" s="126">
        <v>20</v>
      </c>
      <c r="D9" s="121">
        <f>$C9/D$8</f>
        <v>285.71428571428567</v>
      </c>
      <c r="E9" s="121">
        <f t="shared" ref="E9:J17" si="1">$C9/E$8</f>
        <v>266.66666666666663</v>
      </c>
      <c r="F9" s="234">
        <f t="shared" si="1"/>
        <v>249.99999999999994</v>
      </c>
      <c r="G9" s="121">
        <f t="shared" si="1"/>
        <v>235.29411764705875</v>
      </c>
      <c r="H9" s="121">
        <f t="shared" si="1"/>
        <v>222.22222222222217</v>
      </c>
      <c r="I9" s="121">
        <f t="shared" si="1"/>
        <v>210.52631578947361</v>
      </c>
      <c r="J9" s="235">
        <f t="shared" si="1"/>
        <v>199.99999999999994</v>
      </c>
    </row>
    <row r="10" spans="2:15" x14ac:dyDescent="0.2">
      <c r="B10" s="265"/>
      <c r="C10" s="127">
        <f>C9+10</f>
        <v>30</v>
      </c>
      <c r="D10" s="122">
        <f t="shared" ref="D10:D17" si="2">$C10/D$8</f>
        <v>428.57142857142856</v>
      </c>
      <c r="E10" s="122">
        <f t="shared" si="1"/>
        <v>399.99999999999994</v>
      </c>
      <c r="F10" s="229">
        <f t="shared" si="1"/>
        <v>374.99999999999994</v>
      </c>
      <c r="G10" s="122">
        <f t="shared" si="1"/>
        <v>352.94117647058818</v>
      </c>
      <c r="H10" s="122">
        <f t="shared" si="1"/>
        <v>333.33333333333326</v>
      </c>
      <c r="I10" s="122">
        <f t="shared" si="1"/>
        <v>315.78947368421041</v>
      </c>
      <c r="J10" s="230">
        <f t="shared" si="1"/>
        <v>299.99999999999989</v>
      </c>
      <c r="L10" s="7"/>
    </row>
    <row r="11" spans="2:15" x14ac:dyDescent="0.2">
      <c r="B11" s="265"/>
      <c r="C11" s="127">
        <f t="shared" ref="C11:C17" si="3">C10+10</f>
        <v>40</v>
      </c>
      <c r="D11" s="122">
        <f t="shared" si="2"/>
        <v>571.42857142857133</v>
      </c>
      <c r="E11" s="122">
        <f t="shared" si="1"/>
        <v>533.33333333333326</v>
      </c>
      <c r="F11" s="231">
        <f t="shared" si="1"/>
        <v>499.99999999999989</v>
      </c>
      <c r="G11" s="232">
        <f t="shared" si="1"/>
        <v>470.58823529411751</v>
      </c>
      <c r="H11" s="232">
        <f t="shared" si="1"/>
        <v>444.44444444444434</v>
      </c>
      <c r="I11" s="232">
        <f t="shared" si="1"/>
        <v>421.05263157894723</v>
      </c>
      <c r="J11" s="233">
        <f t="shared" si="1"/>
        <v>399.99999999999989</v>
      </c>
    </row>
    <row r="12" spans="2:15" x14ac:dyDescent="0.2">
      <c r="B12" s="265"/>
      <c r="C12" s="127">
        <f t="shared" si="3"/>
        <v>50</v>
      </c>
      <c r="D12" s="122">
        <f t="shared" si="2"/>
        <v>714.28571428571422</v>
      </c>
      <c r="E12" s="122">
        <f t="shared" si="1"/>
        <v>666.66666666666652</v>
      </c>
      <c r="F12" s="122">
        <f t="shared" si="1"/>
        <v>624.99999999999989</v>
      </c>
      <c r="G12" s="122">
        <f t="shared" si="1"/>
        <v>588.23529411764696</v>
      </c>
      <c r="H12" s="122">
        <f t="shared" si="1"/>
        <v>555.55555555555543</v>
      </c>
      <c r="I12" s="122">
        <f t="shared" si="1"/>
        <v>526.31578947368405</v>
      </c>
      <c r="J12" s="122">
        <f t="shared" si="1"/>
        <v>499.99999999999983</v>
      </c>
      <c r="L12" s="217"/>
    </row>
    <row r="13" spans="2:15" x14ac:dyDescent="0.2">
      <c r="B13" s="265"/>
      <c r="C13" s="127">
        <f t="shared" si="3"/>
        <v>60</v>
      </c>
      <c r="D13" s="122">
        <f t="shared" si="2"/>
        <v>857.14285714285711</v>
      </c>
      <c r="E13" s="122">
        <f t="shared" si="1"/>
        <v>799.99999999999989</v>
      </c>
      <c r="F13" s="122">
        <f t="shared" si="1"/>
        <v>749.99999999999989</v>
      </c>
      <c r="G13" s="122">
        <f t="shared" si="1"/>
        <v>705.88235294117635</v>
      </c>
      <c r="H13" s="122">
        <f t="shared" si="1"/>
        <v>666.66666666666652</v>
      </c>
      <c r="I13" s="122">
        <f t="shared" si="1"/>
        <v>631.57894736842081</v>
      </c>
      <c r="J13" s="122">
        <f t="shared" si="1"/>
        <v>599.99999999999977</v>
      </c>
      <c r="L13" s="217"/>
    </row>
    <row r="14" spans="2:15" x14ac:dyDescent="0.2">
      <c r="B14" s="265"/>
      <c r="C14" s="127">
        <f t="shared" si="3"/>
        <v>70</v>
      </c>
      <c r="D14" s="122">
        <f t="shared" si="2"/>
        <v>999.99999999999989</v>
      </c>
      <c r="E14" s="122">
        <f t="shared" si="1"/>
        <v>933.33333333333314</v>
      </c>
      <c r="F14" s="122">
        <f t="shared" si="1"/>
        <v>874.99999999999989</v>
      </c>
      <c r="G14" s="122">
        <f t="shared" si="1"/>
        <v>823.52941176470574</v>
      </c>
      <c r="H14" s="122">
        <f t="shared" si="1"/>
        <v>777.7777777777776</v>
      </c>
      <c r="I14" s="122">
        <f t="shared" si="1"/>
        <v>736.84210526315769</v>
      </c>
      <c r="J14" s="122">
        <f t="shared" si="1"/>
        <v>699.99999999999977</v>
      </c>
    </row>
    <row r="15" spans="2:15" x14ac:dyDescent="0.2">
      <c r="B15" s="265"/>
      <c r="C15" s="127">
        <f t="shared" si="3"/>
        <v>80</v>
      </c>
      <c r="D15" s="122">
        <f t="shared" si="2"/>
        <v>1142.8571428571427</v>
      </c>
      <c r="E15" s="122">
        <f t="shared" si="1"/>
        <v>1066.6666666666665</v>
      </c>
      <c r="F15" s="129">
        <f t="shared" si="1"/>
        <v>999.99999999999977</v>
      </c>
      <c r="G15" s="122">
        <f t="shared" si="1"/>
        <v>941.17647058823502</v>
      </c>
      <c r="H15" s="122">
        <f t="shared" si="1"/>
        <v>888.88888888888869</v>
      </c>
      <c r="I15" s="122">
        <f t="shared" si="1"/>
        <v>842.10526315789446</v>
      </c>
      <c r="J15" s="122">
        <f t="shared" si="1"/>
        <v>799.99999999999977</v>
      </c>
      <c r="L15" s="217"/>
    </row>
    <row r="16" spans="2:15" x14ac:dyDescent="0.2">
      <c r="B16" s="265"/>
      <c r="C16" s="127">
        <f t="shared" si="3"/>
        <v>90</v>
      </c>
      <c r="D16" s="122">
        <f t="shared" si="2"/>
        <v>1285.7142857142856</v>
      </c>
      <c r="E16" s="122">
        <f t="shared" si="1"/>
        <v>1199.9999999999998</v>
      </c>
      <c r="F16" s="122">
        <f t="shared" si="1"/>
        <v>1124.9999999999998</v>
      </c>
      <c r="G16" s="122">
        <f t="shared" si="1"/>
        <v>1058.8235294117644</v>
      </c>
      <c r="H16" s="129">
        <f t="shared" si="1"/>
        <v>999.99999999999977</v>
      </c>
      <c r="I16" s="122">
        <f t="shared" si="1"/>
        <v>947.36842105263133</v>
      </c>
      <c r="J16" s="122">
        <f t="shared" si="1"/>
        <v>899.99999999999966</v>
      </c>
      <c r="L16" s="217"/>
    </row>
    <row r="17" spans="2:13" x14ac:dyDescent="0.2">
      <c r="B17" s="266"/>
      <c r="C17" s="128">
        <f t="shared" si="3"/>
        <v>100</v>
      </c>
      <c r="D17" s="122">
        <f t="shared" si="2"/>
        <v>1428.5714285714284</v>
      </c>
      <c r="E17" s="122">
        <f t="shared" si="1"/>
        <v>1333.333333333333</v>
      </c>
      <c r="F17" s="122">
        <f t="shared" si="1"/>
        <v>1249.9999999999998</v>
      </c>
      <c r="G17" s="122">
        <f t="shared" si="1"/>
        <v>1176.4705882352939</v>
      </c>
      <c r="H17" s="122">
        <f t="shared" si="1"/>
        <v>1111.1111111111109</v>
      </c>
      <c r="I17" s="122">
        <f t="shared" si="1"/>
        <v>1052.6315789473681</v>
      </c>
      <c r="J17" s="129">
        <f t="shared" si="1"/>
        <v>999.99999999999966</v>
      </c>
    </row>
    <row r="18" spans="2:13" x14ac:dyDescent="0.2">
      <c r="L18" s="7"/>
    </row>
    <row r="19" spans="2:13" x14ac:dyDescent="0.2">
      <c r="B19" s="24" t="s">
        <v>177</v>
      </c>
      <c r="C19" s="24"/>
      <c r="D19" s="25"/>
      <c r="E19" s="25"/>
      <c r="F19" s="25"/>
      <c r="G19" s="25"/>
      <c r="H19" s="25"/>
      <c r="I19" s="25"/>
      <c r="J19" s="25"/>
    </row>
    <row r="20" spans="2:13" ht="3.95" customHeight="1" x14ac:dyDescent="0.2">
      <c r="L20" s="7"/>
    </row>
    <row r="21" spans="2:13" x14ac:dyDescent="0.2">
      <c r="B21" s="6"/>
      <c r="C21" s="6"/>
      <c r="D21" s="118" t="s">
        <v>173</v>
      </c>
      <c r="E21" s="119"/>
      <c r="F21" s="119"/>
      <c r="G21" s="119"/>
      <c r="H21" s="119"/>
      <c r="I21" s="119"/>
      <c r="J21" s="120"/>
      <c r="L21" s="217"/>
    </row>
    <row r="22" spans="2:13" x14ac:dyDescent="0.2">
      <c r="B22" s="6"/>
      <c r="C22" s="6"/>
      <c r="D22" s="174" t="s">
        <v>176</v>
      </c>
      <c r="E22" s="172">
        <f>E23/$D23-1</f>
        <v>0.16666666666666674</v>
      </c>
      <c r="F22" s="172">
        <f t="shared" ref="F22:J22" si="4">F23/$D23-1</f>
        <v>0.33333333333333348</v>
      </c>
      <c r="G22" s="172">
        <f t="shared" si="4"/>
        <v>0.50000000000000022</v>
      </c>
      <c r="H22" s="172">
        <f t="shared" si="4"/>
        <v>0.66666666666666696</v>
      </c>
      <c r="I22" s="172">
        <f t="shared" si="4"/>
        <v>0.8333333333333337</v>
      </c>
      <c r="J22" s="173">
        <f t="shared" si="4"/>
        <v>1</v>
      </c>
      <c r="L22" s="217"/>
    </row>
    <row r="23" spans="2:13" x14ac:dyDescent="0.2">
      <c r="B23" s="117"/>
      <c r="D23" s="159">
        <v>7.25</v>
      </c>
      <c r="E23" s="166">
        <f>($J$23-$D$23)/6+D23</f>
        <v>8.4583333333333339</v>
      </c>
      <c r="F23" s="166">
        <f t="shared" ref="F23:I23" si="5">($J$23-$D$23)/6+E23</f>
        <v>9.6666666666666679</v>
      </c>
      <c r="G23" s="166">
        <f t="shared" si="5"/>
        <v>10.875000000000002</v>
      </c>
      <c r="H23" s="166">
        <f t="shared" si="5"/>
        <v>12.083333333333336</v>
      </c>
      <c r="I23" s="166">
        <f t="shared" si="5"/>
        <v>13.29166666666667</v>
      </c>
      <c r="J23" s="160">
        <f>D23*2</f>
        <v>14.5</v>
      </c>
      <c r="L23" s="161"/>
    </row>
    <row r="24" spans="2:13" x14ac:dyDescent="0.2">
      <c r="B24" s="264" t="s">
        <v>175</v>
      </c>
      <c r="C24" s="126">
        <v>20</v>
      </c>
      <c r="D24" s="121">
        <f t="shared" ref="D24:J32" si="6">D$23*$N$7/1000-$C24</f>
        <v>40.9</v>
      </c>
      <c r="E24" s="121">
        <f t="shared" si="6"/>
        <v>51.05</v>
      </c>
      <c r="F24" s="121">
        <f t="shared" si="6"/>
        <v>61.200000000000017</v>
      </c>
      <c r="G24" s="121">
        <f t="shared" si="6"/>
        <v>71.350000000000009</v>
      </c>
      <c r="H24" s="170">
        <f t="shared" si="6"/>
        <v>81.500000000000014</v>
      </c>
      <c r="I24" s="170">
        <f t="shared" si="6"/>
        <v>91.650000000000034</v>
      </c>
      <c r="J24" s="170">
        <f t="shared" si="6"/>
        <v>101.8</v>
      </c>
      <c r="L24" s="217"/>
    </row>
    <row r="25" spans="2:13" x14ac:dyDescent="0.2">
      <c r="B25" s="265"/>
      <c r="C25" s="127">
        <f>($C$32-$C$24)/8+C24</f>
        <v>27.5</v>
      </c>
      <c r="D25" s="122">
        <f t="shared" si="6"/>
        <v>33.4</v>
      </c>
      <c r="E25" s="122">
        <f t="shared" si="6"/>
        <v>43.55</v>
      </c>
      <c r="F25" s="122">
        <f t="shared" si="6"/>
        <v>53.700000000000017</v>
      </c>
      <c r="G25" s="122">
        <f t="shared" si="6"/>
        <v>63.850000000000009</v>
      </c>
      <c r="H25" s="122">
        <f t="shared" si="6"/>
        <v>74.000000000000014</v>
      </c>
      <c r="I25" s="171">
        <f t="shared" si="6"/>
        <v>84.150000000000034</v>
      </c>
      <c r="J25" s="171">
        <f t="shared" si="6"/>
        <v>94.3</v>
      </c>
      <c r="L25" s="217"/>
    </row>
    <row r="26" spans="2:13" x14ac:dyDescent="0.2">
      <c r="B26" s="265"/>
      <c r="C26" s="127">
        <f t="shared" ref="C26:C31" si="7">($C$32-$C$24)/8+C25</f>
        <v>35</v>
      </c>
      <c r="D26" s="122">
        <f t="shared" si="6"/>
        <v>25.9</v>
      </c>
      <c r="E26" s="122">
        <f t="shared" si="6"/>
        <v>36.049999999999997</v>
      </c>
      <c r="F26" s="122">
        <f t="shared" si="6"/>
        <v>46.200000000000017</v>
      </c>
      <c r="G26" s="122">
        <f t="shared" si="6"/>
        <v>56.350000000000009</v>
      </c>
      <c r="H26" s="122">
        <f t="shared" si="6"/>
        <v>66.500000000000014</v>
      </c>
      <c r="I26" s="122">
        <f t="shared" si="6"/>
        <v>76.650000000000034</v>
      </c>
      <c r="J26" s="171">
        <f t="shared" si="6"/>
        <v>86.8</v>
      </c>
      <c r="L26" s="217"/>
      <c r="M26" s="168"/>
    </row>
    <row r="27" spans="2:13" x14ac:dyDescent="0.2">
      <c r="B27" s="265"/>
      <c r="C27" s="127">
        <f t="shared" si="7"/>
        <v>42.5</v>
      </c>
      <c r="D27" s="122">
        <f t="shared" si="6"/>
        <v>18.399999999999999</v>
      </c>
      <c r="E27" s="122">
        <f t="shared" si="6"/>
        <v>28.549999999999997</v>
      </c>
      <c r="F27" s="122">
        <f t="shared" si="6"/>
        <v>38.700000000000017</v>
      </c>
      <c r="G27" s="122">
        <f t="shared" si="6"/>
        <v>48.850000000000009</v>
      </c>
      <c r="H27" s="122">
        <f t="shared" si="6"/>
        <v>59.000000000000014</v>
      </c>
      <c r="I27" s="122">
        <f t="shared" si="6"/>
        <v>69.150000000000034</v>
      </c>
      <c r="J27" s="171">
        <f t="shared" si="6"/>
        <v>79.3</v>
      </c>
      <c r="M27" s="169"/>
    </row>
    <row r="28" spans="2:13" x14ac:dyDescent="0.2">
      <c r="B28" s="265"/>
      <c r="C28" s="127">
        <f t="shared" si="7"/>
        <v>50</v>
      </c>
      <c r="D28" s="122">
        <f t="shared" si="6"/>
        <v>10.899999999999999</v>
      </c>
      <c r="E28" s="122">
        <f t="shared" si="6"/>
        <v>21.049999999999997</v>
      </c>
      <c r="F28" s="122">
        <f t="shared" si="6"/>
        <v>31.200000000000017</v>
      </c>
      <c r="G28" s="122">
        <f t="shared" si="6"/>
        <v>41.350000000000009</v>
      </c>
      <c r="H28" s="122">
        <f t="shared" si="6"/>
        <v>51.500000000000014</v>
      </c>
      <c r="I28" s="122">
        <f t="shared" si="6"/>
        <v>61.650000000000034</v>
      </c>
      <c r="J28" s="122">
        <f t="shared" si="6"/>
        <v>71.8</v>
      </c>
      <c r="L28" s="7"/>
      <c r="M28" s="169"/>
    </row>
    <row r="29" spans="2:13" x14ac:dyDescent="0.2">
      <c r="B29" s="265"/>
      <c r="C29" s="127">
        <f t="shared" si="7"/>
        <v>57.5</v>
      </c>
      <c r="D29" s="122">
        <f t="shared" si="6"/>
        <v>3.3999999999999986</v>
      </c>
      <c r="E29" s="122">
        <f t="shared" si="6"/>
        <v>13.549999999999997</v>
      </c>
      <c r="F29" s="122">
        <f t="shared" si="6"/>
        <v>23.700000000000017</v>
      </c>
      <c r="G29" s="122">
        <f t="shared" si="6"/>
        <v>33.850000000000009</v>
      </c>
      <c r="H29" s="122">
        <f t="shared" si="6"/>
        <v>44.000000000000014</v>
      </c>
      <c r="I29" s="122">
        <f t="shared" si="6"/>
        <v>54.150000000000034</v>
      </c>
      <c r="J29" s="122">
        <f t="shared" si="6"/>
        <v>64.3</v>
      </c>
      <c r="L29" s="28"/>
    </row>
    <row r="30" spans="2:13" x14ac:dyDescent="0.2">
      <c r="B30" s="265"/>
      <c r="C30" s="127">
        <f t="shared" si="7"/>
        <v>65</v>
      </c>
      <c r="D30" s="122">
        <f t="shared" si="6"/>
        <v>-4.1000000000000014</v>
      </c>
      <c r="E30" s="122">
        <f t="shared" si="6"/>
        <v>6.0499999999999972</v>
      </c>
      <c r="F30" s="122">
        <f t="shared" si="6"/>
        <v>16.200000000000017</v>
      </c>
      <c r="G30" s="122">
        <f t="shared" si="6"/>
        <v>26.350000000000009</v>
      </c>
      <c r="H30" s="122">
        <f t="shared" si="6"/>
        <v>36.500000000000014</v>
      </c>
      <c r="I30" s="122">
        <f t="shared" si="6"/>
        <v>46.650000000000034</v>
      </c>
      <c r="J30" s="122">
        <f t="shared" si="6"/>
        <v>56.8</v>
      </c>
      <c r="L30" s="28"/>
      <c r="M30" s="168"/>
    </row>
    <row r="31" spans="2:13" x14ac:dyDescent="0.2">
      <c r="B31" s="265"/>
      <c r="C31" s="127">
        <f t="shared" si="7"/>
        <v>72.5</v>
      </c>
      <c r="D31" s="122">
        <f t="shared" si="6"/>
        <v>-11.600000000000001</v>
      </c>
      <c r="E31" s="122">
        <f t="shared" si="6"/>
        <v>-1.4500000000000028</v>
      </c>
      <c r="F31" s="122">
        <f t="shared" si="6"/>
        <v>8.7000000000000171</v>
      </c>
      <c r="G31" s="122">
        <f t="shared" si="6"/>
        <v>18.850000000000009</v>
      </c>
      <c r="H31" s="122">
        <f t="shared" si="6"/>
        <v>29.000000000000014</v>
      </c>
      <c r="I31" s="122">
        <f t="shared" si="6"/>
        <v>39.150000000000034</v>
      </c>
      <c r="J31" s="122">
        <f t="shared" si="6"/>
        <v>49.3</v>
      </c>
    </row>
    <row r="32" spans="2:13" x14ac:dyDescent="0.2">
      <c r="B32" s="266"/>
      <c r="C32" s="128">
        <v>80</v>
      </c>
      <c r="D32" s="122">
        <f t="shared" si="6"/>
        <v>-19.100000000000001</v>
      </c>
      <c r="E32" s="122">
        <f t="shared" si="6"/>
        <v>-8.9500000000000028</v>
      </c>
      <c r="F32" s="122">
        <f t="shared" si="6"/>
        <v>1.2000000000000171</v>
      </c>
      <c r="G32" s="122">
        <f t="shared" si="6"/>
        <v>11.350000000000009</v>
      </c>
      <c r="H32" s="122">
        <f t="shared" si="6"/>
        <v>21.500000000000014</v>
      </c>
      <c r="I32" s="122">
        <f t="shared" si="6"/>
        <v>31.650000000000034</v>
      </c>
      <c r="J32" s="122">
        <f t="shared" si="6"/>
        <v>41.8</v>
      </c>
    </row>
    <row r="33" spans="2:13" x14ac:dyDescent="0.2">
      <c r="B33" s="163"/>
      <c r="C33" s="164"/>
      <c r="D33" s="165"/>
      <c r="E33" s="165"/>
      <c r="F33" s="165"/>
      <c r="G33" s="165"/>
      <c r="H33" s="165"/>
      <c r="I33" s="165"/>
      <c r="J33" s="165"/>
    </row>
    <row r="34" spans="2:13" x14ac:dyDescent="0.2">
      <c r="B34" s="24" t="s">
        <v>178</v>
      </c>
      <c r="C34" s="24"/>
      <c r="D34" s="25"/>
      <c r="E34" s="25"/>
      <c r="F34" s="25"/>
      <c r="G34" s="25"/>
      <c r="H34" s="25"/>
      <c r="I34" s="25"/>
      <c r="J34" s="25"/>
    </row>
    <row r="35" spans="2:13" ht="3.95" customHeight="1" x14ac:dyDescent="0.2"/>
    <row r="36" spans="2:13" x14ac:dyDescent="0.2">
      <c r="B36" s="6"/>
      <c r="C36" s="6"/>
      <c r="D36" s="118" t="s">
        <v>173</v>
      </c>
      <c r="E36" s="119"/>
      <c r="F36" s="119"/>
      <c r="G36" s="119"/>
      <c r="H36" s="119"/>
      <c r="I36" s="119"/>
      <c r="J36" s="120"/>
      <c r="L36" s="217"/>
    </row>
    <row r="37" spans="2:13" x14ac:dyDescent="0.2">
      <c r="B37" s="6"/>
      <c r="C37" s="6"/>
      <c r="D37" s="174" t="s">
        <v>176</v>
      </c>
      <c r="E37" s="172">
        <f>E38/$D38-1</f>
        <v>0.16666666666666674</v>
      </c>
      <c r="F37" s="172">
        <f t="shared" ref="F37" si="8">F38/$D38-1</f>
        <v>0.33333333333333348</v>
      </c>
      <c r="G37" s="172">
        <f t="shared" ref="G37" si="9">G38/$D38-1</f>
        <v>0.50000000000000022</v>
      </c>
      <c r="H37" s="172">
        <f t="shared" ref="H37" si="10">H38/$D38-1</f>
        <v>0.66666666666666696</v>
      </c>
      <c r="I37" s="172">
        <f t="shared" ref="I37" si="11">I38/$D38-1</f>
        <v>0.8333333333333337</v>
      </c>
      <c r="J37" s="173">
        <f t="shared" ref="J37" si="12">J38/$D38-1</f>
        <v>1</v>
      </c>
      <c r="L37" s="217"/>
    </row>
    <row r="38" spans="2:13" x14ac:dyDescent="0.2">
      <c r="B38" s="117"/>
      <c r="D38" s="159">
        <v>7.25</v>
      </c>
      <c r="E38" s="166">
        <f>($J$23-$D$23)/6+D38</f>
        <v>8.4583333333333339</v>
      </c>
      <c r="F38" s="166">
        <f t="shared" ref="F38:I38" si="13">($J$23-$D$23)/6+E38</f>
        <v>9.6666666666666679</v>
      </c>
      <c r="G38" s="166">
        <f t="shared" si="13"/>
        <v>10.875000000000002</v>
      </c>
      <c r="H38" s="166">
        <f t="shared" si="13"/>
        <v>12.083333333333336</v>
      </c>
      <c r="I38" s="166">
        <f t="shared" si="13"/>
        <v>13.29166666666667</v>
      </c>
      <c r="J38" s="160">
        <f>D38*2</f>
        <v>14.5</v>
      </c>
      <c r="L38" s="217"/>
    </row>
    <row r="39" spans="2:13" x14ac:dyDescent="0.2">
      <c r="B39" s="264" t="s">
        <v>175</v>
      </c>
      <c r="C39" s="126">
        <v>20</v>
      </c>
      <c r="D39" s="121">
        <f t="shared" ref="D39:J47" si="14">D$23*$N$7/1000-$C39</f>
        <v>40.9</v>
      </c>
      <c r="E39" s="121">
        <f t="shared" si="14"/>
        <v>51.05</v>
      </c>
      <c r="F39" s="121">
        <f t="shared" si="14"/>
        <v>61.200000000000017</v>
      </c>
      <c r="G39" s="121">
        <f t="shared" si="14"/>
        <v>71.350000000000009</v>
      </c>
      <c r="H39" s="121">
        <f t="shared" si="14"/>
        <v>81.500000000000014</v>
      </c>
      <c r="I39" s="170">
        <f t="shared" si="14"/>
        <v>91.650000000000034</v>
      </c>
      <c r="J39" s="170">
        <f t="shared" si="14"/>
        <v>101.8</v>
      </c>
      <c r="L39" s="217"/>
    </row>
    <row r="40" spans="2:13" x14ac:dyDescent="0.2">
      <c r="B40" s="265"/>
      <c r="C40" s="127">
        <f>($C$32-$C$24)/8+C39</f>
        <v>27.5</v>
      </c>
      <c r="D40" s="122">
        <f t="shared" si="14"/>
        <v>33.4</v>
      </c>
      <c r="E40" s="122">
        <f t="shared" si="14"/>
        <v>43.55</v>
      </c>
      <c r="F40" s="122">
        <f t="shared" si="14"/>
        <v>53.700000000000017</v>
      </c>
      <c r="G40" s="122">
        <f t="shared" si="14"/>
        <v>63.850000000000009</v>
      </c>
      <c r="H40" s="122">
        <f t="shared" si="14"/>
        <v>74.000000000000014</v>
      </c>
      <c r="I40" s="122">
        <f t="shared" si="14"/>
        <v>84.150000000000034</v>
      </c>
      <c r="J40" s="171">
        <f t="shared" si="14"/>
        <v>94.3</v>
      </c>
      <c r="L40" s="217"/>
    </row>
    <row r="41" spans="2:13" x14ac:dyDescent="0.2">
      <c r="B41" s="265"/>
      <c r="C41" s="127">
        <f t="shared" ref="C41:C46" si="15">($C$32-$C$24)/8+C40</f>
        <v>35</v>
      </c>
      <c r="D41" s="122">
        <f t="shared" si="14"/>
        <v>25.9</v>
      </c>
      <c r="E41" s="122">
        <f t="shared" si="14"/>
        <v>36.049999999999997</v>
      </c>
      <c r="F41" s="122">
        <f t="shared" si="14"/>
        <v>46.200000000000017</v>
      </c>
      <c r="G41" s="122">
        <f t="shared" si="14"/>
        <v>56.350000000000009</v>
      </c>
      <c r="H41" s="122">
        <f t="shared" si="14"/>
        <v>66.500000000000014</v>
      </c>
      <c r="I41" s="122">
        <f t="shared" si="14"/>
        <v>76.650000000000034</v>
      </c>
      <c r="J41" s="122">
        <f t="shared" si="14"/>
        <v>86.8</v>
      </c>
      <c r="L41" s="217"/>
      <c r="M41" s="168"/>
    </row>
    <row r="42" spans="2:13" x14ac:dyDescent="0.2">
      <c r="B42" s="265"/>
      <c r="C42" s="127">
        <f t="shared" si="15"/>
        <v>42.5</v>
      </c>
      <c r="D42" s="122">
        <f t="shared" si="14"/>
        <v>18.399999999999999</v>
      </c>
      <c r="E42" s="122">
        <f t="shared" si="14"/>
        <v>28.549999999999997</v>
      </c>
      <c r="F42" s="122">
        <f t="shared" si="14"/>
        <v>38.700000000000017</v>
      </c>
      <c r="G42" s="122">
        <f t="shared" si="14"/>
        <v>48.850000000000009</v>
      </c>
      <c r="H42" s="122">
        <f t="shared" si="14"/>
        <v>59.000000000000014</v>
      </c>
      <c r="I42" s="122">
        <f t="shared" si="14"/>
        <v>69.150000000000034</v>
      </c>
      <c r="J42" s="122">
        <f t="shared" si="14"/>
        <v>79.3</v>
      </c>
      <c r="L42" s="7"/>
      <c r="M42" s="169"/>
    </row>
    <row r="43" spans="2:13" x14ac:dyDescent="0.2">
      <c r="B43" s="265"/>
      <c r="C43" s="127">
        <f t="shared" si="15"/>
        <v>50</v>
      </c>
      <c r="D43" s="122">
        <f t="shared" si="14"/>
        <v>10.899999999999999</v>
      </c>
      <c r="E43" s="122">
        <f t="shared" si="14"/>
        <v>21.049999999999997</v>
      </c>
      <c r="F43" s="122">
        <f t="shared" si="14"/>
        <v>31.200000000000017</v>
      </c>
      <c r="G43" s="122">
        <f t="shared" si="14"/>
        <v>41.350000000000009</v>
      </c>
      <c r="H43" s="122">
        <f t="shared" si="14"/>
        <v>51.500000000000014</v>
      </c>
      <c r="I43" s="122">
        <f t="shared" si="14"/>
        <v>61.650000000000034</v>
      </c>
      <c r="J43" s="122">
        <f t="shared" si="14"/>
        <v>71.8</v>
      </c>
      <c r="L43" s="7"/>
      <c r="M43" s="169"/>
    </row>
    <row r="44" spans="2:13" x14ac:dyDescent="0.2">
      <c r="B44" s="265"/>
      <c r="C44" s="127">
        <f t="shared" si="15"/>
        <v>57.5</v>
      </c>
      <c r="D44" s="122">
        <f t="shared" si="14"/>
        <v>3.3999999999999986</v>
      </c>
      <c r="E44" s="122">
        <f t="shared" si="14"/>
        <v>13.549999999999997</v>
      </c>
      <c r="F44" s="122">
        <f t="shared" si="14"/>
        <v>23.700000000000017</v>
      </c>
      <c r="G44" s="122">
        <f t="shared" si="14"/>
        <v>33.850000000000009</v>
      </c>
      <c r="H44" s="122">
        <f t="shared" si="14"/>
        <v>44.000000000000014</v>
      </c>
      <c r="I44" s="122">
        <f t="shared" si="14"/>
        <v>54.150000000000034</v>
      </c>
      <c r="J44" s="122">
        <f t="shared" si="14"/>
        <v>64.3</v>
      </c>
      <c r="L44" s="7"/>
    </row>
    <row r="45" spans="2:13" x14ac:dyDescent="0.2">
      <c r="B45" s="265"/>
      <c r="C45" s="127">
        <f t="shared" si="15"/>
        <v>65</v>
      </c>
      <c r="D45" s="122">
        <f t="shared" si="14"/>
        <v>-4.1000000000000014</v>
      </c>
      <c r="E45" s="122">
        <f t="shared" si="14"/>
        <v>6.0499999999999972</v>
      </c>
      <c r="F45" s="122">
        <f t="shared" si="14"/>
        <v>16.200000000000017</v>
      </c>
      <c r="G45" s="122">
        <f t="shared" si="14"/>
        <v>26.350000000000009</v>
      </c>
      <c r="H45" s="122">
        <f t="shared" si="14"/>
        <v>36.500000000000014</v>
      </c>
      <c r="I45" s="122">
        <f t="shared" si="14"/>
        <v>46.650000000000034</v>
      </c>
      <c r="J45" s="122">
        <f t="shared" si="14"/>
        <v>56.8</v>
      </c>
      <c r="L45" s="7"/>
      <c r="M45" s="168"/>
    </row>
    <row r="46" spans="2:13" x14ac:dyDescent="0.2">
      <c r="B46" s="265"/>
      <c r="C46" s="127">
        <f t="shared" si="15"/>
        <v>72.5</v>
      </c>
      <c r="D46" s="122">
        <f t="shared" si="14"/>
        <v>-11.600000000000001</v>
      </c>
      <c r="E46" s="122">
        <f t="shared" si="14"/>
        <v>-1.4500000000000028</v>
      </c>
      <c r="F46" s="122">
        <f t="shared" si="14"/>
        <v>8.7000000000000171</v>
      </c>
      <c r="G46" s="122">
        <f t="shared" si="14"/>
        <v>18.850000000000009</v>
      </c>
      <c r="H46" s="122">
        <f t="shared" si="14"/>
        <v>29.000000000000014</v>
      </c>
      <c r="I46" s="122">
        <f t="shared" si="14"/>
        <v>39.150000000000034</v>
      </c>
      <c r="J46" s="122">
        <f t="shared" si="14"/>
        <v>49.3</v>
      </c>
    </row>
    <row r="47" spans="2:13" x14ac:dyDescent="0.2">
      <c r="B47" s="266"/>
      <c r="C47" s="128">
        <v>80</v>
      </c>
      <c r="D47" s="122">
        <f t="shared" si="14"/>
        <v>-19.100000000000001</v>
      </c>
      <c r="E47" s="122">
        <f t="shared" si="14"/>
        <v>-8.9500000000000028</v>
      </c>
      <c r="F47" s="122">
        <f t="shared" si="14"/>
        <v>1.2000000000000171</v>
      </c>
      <c r="G47" s="122">
        <f t="shared" si="14"/>
        <v>11.350000000000009</v>
      </c>
      <c r="H47" s="122">
        <f t="shared" si="14"/>
        <v>21.500000000000014</v>
      </c>
      <c r="I47" s="122">
        <f t="shared" si="14"/>
        <v>31.650000000000034</v>
      </c>
      <c r="J47" s="122">
        <f t="shared" si="14"/>
        <v>41.8</v>
      </c>
    </row>
    <row r="48" spans="2:13" ht="3.95" customHeight="1" x14ac:dyDescent="0.2"/>
    <row r="49" spans="2:15" x14ac:dyDescent="0.2">
      <c r="B49" s="176" t="s">
        <v>179</v>
      </c>
      <c r="C49" s="171"/>
      <c r="D49" s="171"/>
      <c r="E49" s="171"/>
      <c r="F49" s="175"/>
      <c r="G49" s="175"/>
      <c r="H49" s="175"/>
    </row>
    <row r="51" spans="2:15" x14ac:dyDescent="0.2">
      <c r="B51" s="24" t="s">
        <v>230</v>
      </c>
      <c r="C51" s="24"/>
      <c r="D51" s="25"/>
      <c r="E51" s="25"/>
      <c r="F51" s="25"/>
      <c r="G51" s="25"/>
      <c r="H51" s="25"/>
      <c r="I51" s="25"/>
      <c r="J51" s="25"/>
    </row>
    <row r="52" spans="2:15" ht="3.95" customHeight="1" x14ac:dyDescent="0.2">
      <c r="B52" s="6"/>
      <c r="C52" s="6"/>
      <c r="D52" s="6"/>
      <c r="E52" s="6"/>
      <c r="F52" s="6"/>
      <c r="G52" s="6"/>
      <c r="H52" s="6"/>
      <c r="I52" s="6"/>
    </row>
    <row r="53" spans="2:15" x14ac:dyDescent="0.2">
      <c r="B53" s="6"/>
      <c r="C53" s="6"/>
      <c r="D53" s="118" t="s">
        <v>226</v>
      </c>
      <c r="E53" s="119"/>
      <c r="F53" s="119"/>
      <c r="G53" s="119"/>
      <c r="H53" s="119"/>
      <c r="I53" s="119"/>
      <c r="J53" s="120"/>
      <c r="N53" s="72"/>
    </row>
    <row r="54" spans="2:15" ht="12" customHeight="1" x14ac:dyDescent="0.2">
      <c r="B54" s="117"/>
      <c r="D54" s="218">
        <v>350</v>
      </c>
      <c r="E54" s="219">
        <f>D54+50</f>
        <v>400</v>
      </c>
      <c r="F54" s="219">
        <f t="shared" ref="F54:J54" si="16">E54+50</f>
        <v>450</v>
      </c>
      <c r="G54" s="219">
        <f t="shared" si="16"/>
        <v>500</v>
      </c>
      <c r="H54" s="219">
        <f t="shared" si="16"/>
        <v>550</v>
      </c>
      <c r="I54" s="219">
        <f t="shared" si="16"/>
        <v>600</v>
      </c>
      <c r="J54" s="220">
        <f t="shared" si="16"/>
        <v>650</v>
      </c>
      <c r="L54" s="28"/>
      <c r="M54" s="28"/>
      <c r="N54" s="167"/>
      <c r="O54" s="28"/>
    </row>
    <row r="55" spans="2:15" ht="12" customHeight="1" x14ac:dyDescent="0.2">
      <c r="B55" s="264" t="s">
        <v>129</v>
      </c>
      <c r="C55" s="126">
        <v>20</v>
      </c>
      <c r="D55" s="121">
        <f>$C55-((D$54*$M$55/$M$56)+(D$54*$M$55*$M$57))</f>
        <v>-14.212500000000006</v>
      </c>
      <c r="E55" s="121">
        <f t="shared" ref="E55:J63" si="17">$C55-((E$54*$M$55/$M$56)+(E$54*$M$55*$M$57))</f>
        <v>-19.100000000000001</v>
      </c>
      <c r="F55" s="121">
        <f t="shared" si="17"/>
        <v>-23.987499999999997</v>
      </c>
      <c r="G55" s="121">
        <f t="shared" si="17"/>
        <v>-28.875</v>
      </c>
      <c r="H55" s="121">
        <f t="shared" si="17"/>
        <v>-33.762500000000003</v>
      </c>
      <c r="I55" s="121">
        <f t="shared" si="17"/>
        <v>-38.65</v>
      </c>
      <c r="J55" s="121">
        <f t="shared" si="17"/>
        <v>-43.537500000000001</v>
      </c>
      <c r="L55" s="217" t="s">
        <v>232</v>
      </c>
      <c r="M55" s="66">
        <v>0.85</v>
      </c>
    </row>
    <row r="56" spans="2:15" x14ac:dyDescent="0.2">
      <c r="B56" s="265"/>
      <c r="C56" s="127">
        <f>C55+10</f>
        <v>30</v>
      </c>
      <c r="D56" s="122">
        <f t="shared" ref="D56:D63" si="18">$C56-((D$54*$M$55/$M$56)+(D$54*$M$55*$M$57))</f>
        <v>-4.2125000000000057</v>
      </c>
      <c r="E56" s="122">
        <f t="shared" si="17"/>
        <v>-9.1000000000000014</v>
      </c>
      <c r="F56" s="122">
        <f t="shared" si="17"/>
        <v>-13.987499999999997</v>
      </c>
      <c r="G56" s="122">
        <f t="shared" si="17"/>
        <v>-18.875</v>
      </c>
      <c r="H56" s="122">
        <f t="shared" si="17"/>
        <v>-23.762500000000003</v>
      </c>
      <c r="I56" s="122">
        <f t="shared" si="17"/>
        <v>-28.65</v>
      </c>
      <c r="J56" s="122">
        <f t="shared" si="17"/>
        <v>-33.537500000000001</v>
      </c>
      <c r="L56" s="217" t="s">
        <v>228</v>
      </c>
      <c r="M56" s="95">
        <v>20</v>
      </c>
    </row>
    <row r="57" spans="2:15" x14ac:dyDescent="0.2">
      <c r="B57" s="265"/>
      <c r="C57" s="127">
        <f t="shared" ref="C57:C63" si="19">C56+10</f>
        <v>40</v>
      </c>
      <c r="D57" s="122">
        <f t="shared" si="18"/>
        <v>5.7874999999999943</v>
      </c>
      <c r="E57" s="122">
        <f t="shared" si="17"/>
        <v>0.89999999999999858</v>
      </c>
      <c r="F57" s="122">
        <f t="shared" si="17"/>
        <v>-3.9874999999999972</v>
      </c>
      <c r="G57" s="122">
        <f t="shared" si="17"/>
        <v>-8.875</v>
      </c>
      <c r="H57" s="122">
        <f t="shared" si="17"/>
        <v>-13.762500000000003</v>
      </c>
      <c r="I57" s="122">
        <f t="shared" si="17"/>
        <v>-18.649999999999999</v>
      </c>
      <c r="J57" s="122">
        <f t="shared" si="17"/>
        <v>-23.537500000000001</v>
      </c>
      <c r="L57" s="217" t="s">
        <v>229</v>
      </c>
      <c r="M57" s="94">
        <v>6.5000000000000002E-2</v>
      </c>
    </row>
    <row r="58" spans="2:15" x14ac:dyDescent="0.2">
      <c r="B58" s="265"/>
      <c r="C58" s="127">
        <f t="shared" si="19"/>
        <v>50</v>
      </c>
      <c r="D58" s="122">
        <f t="shared" si="18"/>
        <v>15.787499999999994</v>
      </c>
      <c r="E58" s="122">
        <f t="shared" si="17"/>
        <v>10.899999999999999</v>
      </c>
      <c r="F58" s="122">
        <f t="shared" si="17"/>
        <v>6.0125000000000028</v>
      </c>
      <c r="G58" s="122">
        <f t="shared" si="17"/>
        <v>1.125</v>
      </c>
      <c r="H58" s="122">
        <f t="shared" si="17"/>
        <v>-3.7625000000000028</v>
      </c>
      <c r="I58" s="122">
        <f t="shared" si="17"/>
        <v>-8.6499999999999986</v>
      </c>
      <c r="J58" s="122">
        <f t="shared" si="17"/>
        <v>-13.537500000000001</v>
      </c>
      <c r="L58" s="217"/>
      <c r="M58" s="15"/>
    </row>
    <row r="59" spans="2:15" x14ac:dyDescent="0.2">
      <c r="B59" s="265"/>
      <c r="C59" s="127">
        <f t="shared" si="19"/>
        <v>60</v>
      </c>
      <c r="D59" s="122">
        <f t="shared" si="18"/>
        <v>25.787499999999994</v>
      </c>
      <c r="E59" s="122">
        <f t="shared" si="17"/>
        <v>20.9</v>
      </c>
      <c r="F59" s="122">
        <f t="shared" si="17"/>
        <v>16.012500000000003</v>
      </c>
      <c r="G59" s="122">
        <f t="shared" si="17"/>
        <v>11.125</v>
      </c>
      <c r="H59" s="122">
        <f t="shared" si="17"/>
        <v>6.2374999999999972</v>
      </c>
      <c r="I59" s="122">
        <f t="shared" si="17"/>
        <v>1.3500000000000014</v>
      </c>
      <c r="J59" s="122">
        <f t="shared" si="17"/>
        <v>-3.5375000000000014</v>
      </c>
      <c r="K59" s="216"/>
    </row>
    <row r="60" spans="2:15" x14ac:dyDescent="0.2">
      <c r="B60" s="265"/>
      <c r="C60" s="127">
        <f t="shared" si="19"/>
        <v>70</v>
      </c>
      <c r="D60" s="122">
        <f t="shared" si="18"/>
        <v>35.787499999999994</v>
      </c>
      <c r="E60" s="122">
        <f t="shared" si="17"/>
        <v>30.9</v>
      </c>
      <c r="F60" s="122">
        <f t="shared" si="17"/>
        <v>26.012500000000003</v>
      </c>
      <c r="G60" s="122">
        <f t="shared" si="17"/>
        <v>21.125</v>
      </c>
      <c r="H60" s="122">
        <f t="shared" si="17"/>
        <v>16.237499999999997</v>
      </c>
      <c r="I60" s="226">
        <f t="shared" si="17"/>
        <v>11.350000000000001</v>
      </c>
      <c r="J60" s="122">
        <f t="shared" si="17"/>
        <v>6.4624999999999986</v>
      </c>
      <c r="K60" s="216"/>
      <c r="M60" s="225"/>
    </row>
    <row r="61" spans="2:15" x14ac:dyDescent="0.2">
      <c r="B61" s="265"/>
      <c r="C61" s="127">
        <f t="shared" si="19"/>
        <v>80</v>
      </c>
      <c r="D61" s="122">
        <f t="shared" si="18"/>
        <v>45.787499999999994</v>
      </c>
      <c r="E61" s="122">
        <f t="shared" si="17"/>
        <v>40.9</v>
      </c>
      <c r="F61" s="122">
        <f t="shared" si="17"/>
        <v>36.012500000000003</v>
      </c>
      <c r="G61" s="122">
        <f t="shared" si="17"/>
        <v>31.125</v>
      </c>
      <c r="H61" s="122">
        <f t="shared" si="17"/>
        <v>26.237499999999997</v>
      </c>
      <c r="I61" s="227">
        <f t="shared" si="17"/>
        <v>21.35</v>
      </c>
      <c r="J61" s="226">
        <f t="shared" si="17"/>
        <v>16.462499999999999</v>
      </c>
      <c r="K61" s="216"/>
    </row>
    <row r="62" spans="2:15" x14ac:dyDescent="0.2">
      <c r="B62" s="265"/>
      <c r="C62" s="127">
        <f t="shared" si="19"/>
        <v>90</v>
      </c>
      <c r="D62" s="122">
        <f t="shared" si="18"/>
        <v>55.787499999999994</v>
      </c>
      <c r="E62" s="122">
        <f t="shared" si="17"/>
        <v>50.9</v>
      </c>
      <c r="F62" s="122">
        <f t="shared" si="17"/>
        <v>46.012500000000003</v>
      </c>
      <c r="G62" s="122">
        <f t="shared" si="17"/>
        <v>41.125</v>
      </c>
      <c r="H62" s="122">
        <f t="shared" si="17"/>
        <v>36.237499999999997</v>
      </c>
      <c r="I62" s="227">
        <f t="shared" si="17"/>
        <v>31.35</v>
      </c>
      <c r="J62" s="227">
        <f t="shared" si="17"/>
        <v>26.462499999999999</v>
      </c>
    </row>
    <row r="63" spans="2:15" x14ac:dyDescent="0.2">
      <c r="B63" s="266"/>
      <c r="C63" s="128">
        <f t="shared" si="19"/>
        <v>100</v>
      </c>
      <c r="D63" s="122">
        <f t="shared" si="18"/>
        <v>65.787499999999994</v>
      </c>
      <c r="E63" s="122">
        <f t="shared" si="17"/>
        <v>60.9</v>
      </c>
      <c r="F63" s="122">
        <f t="shared" si="17"/>
        <v>56.012500000000003</v>
      </c>
      <c r="G63" s="122">
        <f t="shared" si="17"/>
        <v>51.125</v>
      </c>
      <c r="H63" s="122">
        <f t="shared" si="17"/>
        <v>46.237499999999997</v>
      </c>
      <c r="I63" s="228">
        <f t="shared" si="17"/>
        <v>41.35</v>
      </c>
      <c r="J63" s="228">
        <f t="shared" si="17"/>
        <v>36.462499999999999</v>
      </c>
    </row>
    <row r="64" spans="2:15" ht="3.95" customHeight="1" x14ac:dyDescent="0.2"/>
    <row r="65" spans="2:15" x14ac:dyDescent="0.2">
      <c r="B65" s="28" t="s">
        <v>227</v>
      </c>
    </row>
    <row r="66" spans="2:15" ht="3.95" customHeight="1" x14ac:dyDescent="0.2"/>
    <row r="67" spans="2:15" x14ac:dyDescent="0.2">
      <c r="B67" s="24" t="s">
        <v>231</v>
      </c>
      <c r="C67" s="24"/>
      <c r="D67" s="25"/>
      <c r="E67" s="25"/>
      <c r="F67" s="25"/>
      <c r="G67" s="25"/>
      <c r="H67" s="25"/>
      <c r="I67" s="25"/>
      <c r="J67" s="25"/>
    </row>
    <row r="68" spans="2:15" ht="3.95" customHeight="1" x14ac:dyDescent="0.2">
      <c r="B68" s="6"/>
      <c r="C68" s="6"/>
      <c r="D68" s="6"/>
      <c r="E68" s="6"/>
      <c r="F68" s="6"/>
      <c r="G68" s="6"/>
      <c r="H68" s="6"/>
      <c r="I68" s="6"/>
    </row>
    <row r="69" spans="2:15" x14ac:dyDescent="0.2">
      <c r="B69" s="6"/>
      <c r="C69" s="6"/>
      <c r="D69" s="118" t="s">
        <v>226</v>
      </c>
      <c r="E69" s="119"/>
      <c r="F69" s="119"/>
      <c r="G69" s="119"/>
      <c r="H69" s="119"/>
      <c r="I69" s="119"/>
      <c r="J69" s="120"/>
      <c r="N69" s="72"/>
    </row>
    <row r="70" spans="2:15" ht="12" customHeight="1" x14ac:dyDescent="0.2">
      <c r="B70" s="117"/>
      <c r="D70" s="218">
        <v>700</v>
      </c>
      <c r="E70" s="219">
        <f>D70+50</f>
        <v>750</v>
      </c>
      <c r="F70" s="219">
        <f t="shared" ref="F70:J70" si="20">E70+50</f>
        <v>800</v>
      </c>
      <c r="G70" s="219">
        <f t="shared" si="20"/>
        <v>850</v>
      </c>
      <c r="H70" s="219">
        <f t="shared" si="20"/>
        <v>900</v>
      </c>
      <c r="I70" s="219">
        <f t="shared" si="20"/>
        <v>950</v>
      </c>
      <c r="J70" s="220">
        <f t="shared" si="20"/>
        <v>1000</v>
      </c>
      <c r="L70" s="28"/>
      <c r="M70" s="28"/>
      <c r="N70" s="167"/>
      <c r="O70" s="28"/>
    </row>
    <row r="71" spans="2:15" ht="12" customHeight="1" x14ac:dyDescent="0.2">
      <c r="B71" s="264" t="s">
        <v>129</v>
      </c>
      <c r="C71" s="126">
        <v>20</v>
      </c>
      <c r="D71" s="121">
        <f>$C71-((D$70*$M$71/$M$72)+(D$70*$M$71*$M$73))</f>
        <v>-48.425000000000011</v>
      </c>
      <c r="E71" s="121">
        <f t="shared" ref="E71:J79" si="21">$C71-((E$70*$M$71/$M$72)+(E$70*$M$71*$M$73))</f>
        <v>-53.3125</v>
      </c>
      <c r="F71" s="121">
        <f t="shared" si="21"/>
        <v>-58.2</v>
      </c>
      <c r="G71" s="121">
        <f t="shared" si="21"/>
        <v>-63.087500000000006</v>
      </c>
      <c r="H71" s="121">
        <f t="shared" si="21"/>
        <v>-67.974999999999994</v>
      </c>
      <c r="I71" s="121">
        <f t="shared" si="21"/>
        <v>-72.862500000000011</v>
      </c>
      <c r="J71" s="121">
        <f t="shared" si="21"/>
        <v>-77.75</v>
      </c>
      <c r="L71" s="217" t="s">
        <v>232</v>
      </c>
      <c r="M71" s="221">
        <f>+M55</f>
        <v>0.85</v>
      </c>
    </row>
    <row r="72" spans="2:15" x14ac:dyDescent="0.2">
      <c r="B72" s="265"/>
      <c r="C72" s="127">
        <f>C71+10</f>
        <v>30</v>
      </c>
      <c r="D72" s="122">
        <f t="shared" ref="D72:D79" si="22">$C72-((D$70*$M$71/$M$72)+(D$70*$M$71*$M$73))</f>
        <v>-38.425000000000011</v>
      </c>
      <c r="E72" s="122">
        <f t="shared" si="21"/>
        <v>-43.3125</v>
      </c>
      <c r="F72" s="122">
        <f t="shared" si="21"/>
        <v>-48.2</v>
      </c>
      <c r="G72" s="122">
        <f t="shared" si="21"/>
        <v>-53.087500000000006</v>
      </c>
      <c r="H72" s="122">
        <f t="shared" si="21"/>
        <v>-57.974999999999994</v>
      </c>
      <c r="I72" s="122">
        <f t="shared" si="21"/>
        <v>-62.862500000000011</v>
      </c>
      <c r="J72" s="122">
        <f t="shared" si="21"/>
        <v>-67.75</v>
      </c>
      <c r="L72" s="217" t="s">
        <v>228</v>
      </c>
      <c r="M72" s="222">
        <f t="shared" ref="M72:M73" si="23">+M56</f>
        <v>20</v>
      </c>
    </row>
    <row r="73" spans="2:15" x14ac:dyDescent="0.2">
      <c r="B73" s="265"/>
      <c r="C73" s="127">
        <f t="shared" ref="C73:C79" si="24">C72+10</f>
        <v>40</v>
      </c>
      <c r="D73" s="122">
        <f t="shared" si="22"/>
        <v>-28.425000000000011</v>
      </c>
      <c r="E73" s="122">
        <f t="shared" si="21"/>
        <v>-33.3125</v>
      </c>
      <c r="F73" s="122">
        <f t="shared" si="21"/>
        <v>-38.200000000000003</v>
      </c>
      <c r="G73" s="122">
        <f t="shared" si="21"/>
        <v>-43.087500000000006</v>
      </c>
      <c r="H73" s="122">
        <f t="shared" si="21"/>
        <v>-47.974999999999994</v>
      </c>
      <c r="I73" s="122">
        <f t="shared" si="21"/>
        <v>-52.862500000000011</v>
      </c>
      <c r="J73" s="122">
        <f t="shared" si="21"/>
        <v>-57.75</v>
      </c>
      <c r="L73" s="217" t="s">
        <v>229</v>
      </c>
      <c r="M73" s="223">
        <f t="shared" si="23"/>
        <v>6.5000000000000002E-2</v>
      </c>
    </row>
    <row r="74" spans="2:15" x14ac:dyDescent="0.2">
      <c r="B74" s="265"/>
      <c r="C74" s="127">
        <f t="shared" si="24"/>
        <v>50</v>
      </c>
      <c r="D74" s="122">
        <f t="shared" si="22"/>
        <v>-18.425000000000011</v>
      </c>
      <c r="E74" s="122">
        <f t="shared" si="21"/>
        <v>-23.3125</v>
      </c>
      <c r="F74" s="122">
        <f t="shared" si="21"/>
        <v>-28.200000000000003</v>
      </c>
      <c r="G74" s="122">
        <f t="shared" si="21"/>
        <v>-33.087500000000006</v>
      </c>
      <c r="H74" s="122">
        <f t="shared" si="21"/>
        <v>-37.974999999999994</v>
      </c>
      <c r="I74" s="122">
        <f t="shared" si="21"/>
        <v>-42.862500000000011</v>
      </c>
      <c r="J74" s="122">
        <f t="shared" si="21"/>
        <v>-47.75</v>
      </c>
      <c r="M74" s="30"/>
    </row>
    <row r="75" spans="2:15" x14ac:dyDescent="0.2">
      <c r="B75" s="265"/>
      <c r="C75" s="127">
        <f t="shared" si="24"/>
        <v>60</v>
      </c>
      <c r="D75" s="122">
        <f t="shared" si="22"/>
        <v>-8.4250000000000114</v>
      </c>
      <c r="E75" s="122">
        <f t="shared" si="21"/>
        <v>-13.3125</v>
      </c>
      <c r="F75" s="122">
        <f t="shared" si="21"/>
        <v>-18.200000000000003</v>
      </c>
      <c r="G75" s="122">
        <f t="shared" si="21"/>
        <v>-23.087500000000006</v>
      </c>
      <c r="H75" s="122">
        <f t="shared" si="21"/>
        <v>-27.974999999999994</v>
      </c>
      <c r="I75" s="122">
        <f t="shared" si="21"/>
        <v>-32.862500000000011</v>
      </c>
      <c r="J75" s="122">
        <f t="shared" si="21"/>
        <v>-37.75</v>
      </c>
    </row>
    <row r="76" spans="2:15" x14ac:dyDescent="0.2">
      <c r="B76" s="265"/>
      <c r="C76" s="127">
        <f t="shared" si="24"/>
        <v>70</v>
      </c>
      <c r="D76" s="122">
        <f t="shared" si="22"/>
        <v>1.5749999999999886</v>
      </c>
      <c r="E76" s="122">
        <f t="shared" si="21"/>
        <v>-3.3125</v>
      </c>
      <c r="F76" s="122">
        <f t="shared" si="21"/>
        <v>-8.2000000000000028</v>
      </c>
      <c r="G76" s="122">
        <f t="shared" si="21"/>
        <v>-13.087500000000006</v>
      </c>
      <c r="H76" s="122">
        <f t="shared" si="21"/>
        <v>-17.974999999999994</v>
      </c>
      <c r="I76" s="122">
        <f t="shared" si="21"/>
        <v>-22.862500000000011</v>
      </c>
      <c r="J76" s="122">
        <f t="shared" si="21"/>
        <v>-27.75</v>
      </c>
    </row>
    <row r="77" spans="2:15" x14ac:dyDescent="0.2">
      <c r="B77" s="265"/>
      <c r="C77" s="127">
        <f t="shared" si="24"/>
        <v>80</v>
      </c>
      <c r="D77" s="122">
        <f t="shared" si="22"/>
        <v>11.574999999999989</v>
      </c>
      <c r="E77" s="122">
        <f t="shared" si="21"/>
        <v>6.6875</v>
      </c>
      <c r="F77" s="122">
        <f t="shared" si="21"/>
        <v>1.7999999999999972</v>
      </c>
      <c r="G77" s="122">
        <f t="shared" si="21"/>
        <v>-3.0875000000000057</v>
      </c>
      <c r="H77" s="122">
        <f t="shared" si="21"/>
        <v>-7.9749999999999943</v>
      </c>
      <c r="I77" s="122">
        <f t="shared" si="21"/>
        <v>-12.862500000000011</v>
      </c>
      <c r="J77" s="122">
        <f t="shared" si="21"/>
        <v>-17.75</v>
      </c>
    </row>
    <row r="78" spans="2:15" x14ac:dyDescent="0.2">
      <c r="B78" s="265"/>
      <c r="C78" s="127">
        <f t="shared" si="24"/>
        <v>90</v>
      </c>
      <c r="D78" s="122">
        <f t="shared" si="22"/>
        <v>21.574999999999989</v>
      </c>
      <c r="E78" s="122">
        <f t="shared" si="21"/>
        <v>16.6875</v>
      </c>
      <c r="F78" s="122">
        <f t="shared" si="21"/>
        <v>11.799999999999997</v>
      </c>
      <c r="G78" s="122">
        <f t="shared" si="21"/>
        <v>6.9124999999999943</v>
      </c>
      <c r="H78" s="122">
        <f t="shared" si="21"/>
        <v>2.0250000000000057</v>
      </c>
      <c r="I78" s="122">
        <f t="shared" si="21"/>
        <v>-2.8625000000000114</v>
      </c>
      <c r="J78" s="122">
        <f t="shared" si="21"/>
        <v>-7.75</v>
      </c>
    </row>
    <row r="79" spans="2:15" x14ac:dyDescent="0.2">
      <c r="B79" s="266"/>
      <c r="C79" s="128">
        <f t="shared" si="24"/>
        <v>100</v>
      </c>
      <c r="D79" s="122">
        <f t="shared" si="22"/>
        <v>31.574999999999989</v>
      </c>
      <c r="E79" s="122">
        <f t="shared" si="21"/>
        <v>26.6875</v>
      </c>
      <c r="F79" s="122">
        <f t="shared" si="21"/>
        <v>21.799999999999997</v>
      </c>
      <c r="G79" s="122">
        <f t="shared" si="21"/>
        <v>16.912499999999994</v>
      </c>
      <c r="H79" s="122">
        <f t="shared" si="21"/>
        <v>12.025000000000006</v>
      </c>
      <c r="I79" s="122">
        <f t="shared" si="21"/>
        <v>7.1374999999999886</v>
      </c>
      <c r="J79" s="122">
        <f t="shared" si="21"/>
        <v>2.25</v>
      </c>
    </row>
    <row r="80" spans="2:15" ht="3.95" customHeight="1" x14ac:dyDescent="0.2"/>
    <row r="81" spans="2:15" x14ac:dyDescent="0.2">
      <c r="B81" s="24" t="s">
        <v>233</v>
      </c>
      <c r="C81" s="24"/>
      <c r="D81" s="25"/>
      <c r="E81" s="25"/>
      <c r="F81" s="25"/>
      <c r="G81" s="25"/>
      <c r="H81" s="25"/>
      <c r="I81" s="25"/>
      <c r="J81" s="25"/>
    </row>
    <row r="82" spans="2:15" ht="3.95" customHeight="1" x14ac:dyDescent="0.2">
      <c r="B82" s="6"/>
      <c r="C82" s="6"/>
      <c r="D82" s="6"/>
      <c r="E82" s="6"/>
      <c r="F82" s="6"/>
      <c r="G82" s="6"/>
      <c r="H82" s="6"/>
      <c r="I82" s="6"/>
    </row>
    <row r="83" spans="2:15" x14ac:dyDescent="0.2">
      <c r="B83" s="6"/>
      <c r="C83" s="6"/>
      <c r="D83" s="118" t="s">
        <v>226</v>
      </c>
      <c r="E83" s="119"/>
      <c r="F83" s="119"/>
      <c r="G83" s="119"/>
      <c r="H83" s="119"/>
      <c r="I83" s="119"/>
      <c r="J83" s="120"/>
      <c r="N83" s="72"/>
    </row>
    <row r="84" spans="2:15" ht="12" customHeight="1" x14ac:dyDescent="0.2">
      <c r="B84" s="117"/>
      <c r="D84" s="218">
        <v>350</v>
      </c>
      <c r="E84" s="219">
        <f>D84+50</f>
        <v>400</v>
      </c>
      <c r="F84" s="219">
        <f t="shared" ref="F84:J84" si="25">E84+50</f>
        <v>450</v>
      </c>
      <c r="G84" s="219">
        <f t="shared" si="25"/>
        <v>500</v>
      </c>
      <c r="H84" s="219">
        <f t="shared" si="25"/>
        <v>550</v>
      </c>
      <c r="I84" s="219">
        <f t="shared" si="25"/>
        <v>600</v>
      </c>
      <c r="J84" s="220">
        <f t="shared" si="25"/>
        <v>650</v>
      </c>
      <c r="L84" s="28"/>
      <c r="M84" s="28"/>
      <c r="N84" s="167"/>
      <c r="O84" s="28"/>
    </row>
    <row r="85" spans="2:15" ht="12" customHeight="1" x14ac:dyDescent="0.2">
      <c r="B85" s="264" t="s">
        <v>129</v>
      </c>
      <c r="C85" s="126">
        <v>20</v>
      </c>
      <c r="D85" s="236">
        <f t="shared" ref="D85:J93" si="26">D55/(D$84*(1-$M$85))</f>
        <v>-0.2707142857142858</v>
      </c>
      <c r="E85" s="236">
        <f t="shared" si="26"/>
        <v>-0.3183333333333333</v>
      </c>
      <c r="F85" s="236">
        <f t="shared" si="26"/>
        <v>-0.35537037037037028</v>
      </c>
      <c r="G85" s="236">
        <f t="shared" si="26"/>
        <v>-0.38499999999999995</v>
      </c>
      <c r="H85" s="236">
        <f t="shared" si="26"/>
        <v>-0.40924242424242419</v>
      </c>
      <c r="I85" s="236">
        <f t="shared" si="26"/>
        <v>-0.42944444444444435</v>
      </c>
      <c r="J85" s="236">
        <f t="shared" si="26"/>
        <v>-0.4465384615384615</v>
      </c>
      <c r="L85" s="217" t="s">
        <v>232</v>
      </c>
      <c r="M85" s="221">
        <f>+M71</f>
        <v>0.85</v>
      </c>
    </row>
    <row r="86" spans="2:15" x14ac:dyDescent="0.2">
      <c r="B86" s="265"/>
      <c r="C86" s="127">
        <f>C85+10</f>
        <v>30</v>
      </c>
      <c r="D86" s="236">
        <f t="shared" si="26"/>
        <v>-8.0238095238095331E-2</v>
      </c>
      <c r="E86" s="236">
        <f t="shared" si="26"/>
        <v>-0.15166666666666667</v>
      </c>
      <c r="F86" s="236">
        <f t="shared" si="26"/>
        <v>-0.20722222222222214</v>
      </c>
      <c r="G86" s="236">
        <f t="shared" si="26"/>
        <v>-0.25166666666666659</v>
      </c>
      <c r="H86" s="236">
        <f t="shared" si="26"/>
        <v>-0.28803030303030303</v>
      </c>
      <c r="I86" s="236">
        <f t="shared" si="26"/>
        <v>-0.31833333333333325</v>
      </c>
      <c r="J86" s="236">
        <f t="shared" si="26"/>
        <v>-0.34397435897435896</v>
      </c>
      <c r="L86" s="217" t="s">
        <v>228</v>
      </c>
      <c r="M86" s="222">
        <f t="shared" ref="M86:M87" si="27">+M72</f>
        <v>20</v>
      </c>
    </row>
    <row r="87" spans="2:15" x14ac:dyDescent="0.2">
      <c r="B87" s="265"/>
      <c r="C87" s="127">
        <f t="shared" ref="C87:C93" si="28">C86+10</f>
        <v>40</v>
      </c>
      <c r="D87" s="236">
        <f t="shared" si="26"/>
        <v>0.11023809523809512</v>
      </c>
      <c r="E87" s="236">
        <f t="shared" si="26"/>
        <v>1.4999999999999975E-2</v>
      </c>
      <c r="F87" s="236">
        <f t="shared" si="26"/>
        <v>-5.9074074074074022E-2</v>
      </c>
      <c r="G87" s="236">
        <f t="shared" si="26"/>
        <v>-0.1183333333333333</v>
      </c>
      <c r="H87" s="236">
        <f t="shared" si="26"/>
        <v>-0.16681818181818184</v>
      </c>
      <c r="I87" s="236">
        <f t="shared" si="26"/>
        <v>-0.20722222222222217</v>
      </c>
      <c r="J87" s="236">
        <f t="shared" si="26"/>
        <v>-0.2414102564102564</v>
      </c>
      <c r="L87" s="217" t="s">
        <v>229</v>
      </c>
      <c r="M87" s="223">
        <f t="shared" si="27"/>
        <v>6.5000000000000002E-2</v>
      </c>
    </row>
    <row r="88" spans="2:15" x14ac:dyDescent="0.2">
      <c r="B88" s="265"/>
      <c r="C88" s="127">
        <f t="shared" si="28"/>
        <v>50</v>
      </c>
      <c r="D88" s="236">
        <f t="shared" si="26"/>
        <v>0.30071428571428555</v>
      </c>
      <c r="E88" s="236">
        <f t="shared" si="26"/>
        <v>0.18166666666666662</v>
      </c>
      <c r="F88" s="236">
        <f t="shared" si="26"/>
        <v>8.9074074074074097E-2</v>
      </c>
      <c r="G88" s="236">
        <f t="shared" si="26"/>
        <v>1.4999999999999998E-2</v>
      </c>
      <c r="H88" s="236">
        <f t="shared" si="26"/>
        <v>-4.5606060606060636E-2</v>
      </c>
      <c r="I88" s="236">
        <f t="shared" si="26"/>
        <v>-9.6111111111111078E-2</v>
      </c>
      <c r="J88" s="236">
        <f t="shared" si="26"/>
        <v>-0.13884615384615384</v>
      </c>
      <c r="M88" s="30"/>
    </row>
    <row r="89" spans="2:15" x14ac:dyDescent="0.2">
      <c r="B89" s="265"/>
      <c r="C89" s="127">
        <f t="shared" si="28"/>
        <v>60</v>
      </c>
      <c r="D89" s="236">
        <f t="shared" si="26"/>
        <v>0.49119047619047601</v>
      </c>
      <c r="E89" s="236">
        <f t="shared" si="26"/>
        <v>0.34833333333333327</v>
      </c>
      <c r="F89" s="236">
        <f t="shared" si="26"/>
        <v>0.23722222222222222</v>
      </c>
      <c r="G89" s="236">
        <f t="shared" si="26"/>
        <v>0.14833333333333332</v>
      </c>
      <c r="H89" s="236">
        <f t="shared" si="26"/>
        <v>7.5606060606060552E-2</v>
      </c>
      <c r="I89" s="236">
        <f t="shared" si="26"/>
        <v>1.5000000000000013E-2</v>
      </c>
      <c r="J89" s="236">
        <f t="shared" si="26"/>
        <v>-3.6282051282051295E-2</v>
      </c>
    </row>
    <row r="90" spans="2:15" x14ac:dyDescent="0.2">
      <c r="B90" s="265"/>
      <c r="C90" s="127">
        <f t="shared" si="28"/>
        <v>70</v>
      </c>
      <c r="D90" s="236">
        <f t="shared" si="26"/>
        <v>0.68166666666666642</v>
      </c>
      <c r="E90" s="236">
        <f t="shared" si="26"/>
        <v>0.5149999999999999</v>
      </c>
      <c r="F90" s="236">
        <f t="shared" si="26"/>
        <v>0.38537037037037031</v>
      </c>
      <c r="G90" s="236">
        <f t="shared" si="26"/>
        <v>0.28166666666666662</v>
      </c>
      <c r="H90" s="236">
        <f t="shared" si="26"/>
        <v>0.19681818181818175</v>
      </c>
      <c r="I90" s="237">
        <f t="shared" si="26"/>
        <v>0.12611111111111112</v>
      </c>
      <c r="J90" s="236">
        <f t="shared" si="26"/>
        <v>6.6282051282051252E-2</v>
      </c>
    </row>
    <row r="91" spans="2:15" x14ac:dyDescent="0.2">
      <c r="B91" s="265"/>
      <c r="C91" s="127">
        <f t="shared" si="28"/>
        <v>80</v>
      </c>
      <c r="D91" s="236">
        <f t="shared" si="26"/>
        <v>0.87214285714285689</v>
      </c>
      <c r="E91" s="236">
        <f t="shared" si="26"/>
        <v>0.68166666666666653</v>
      </c>
      <c r="F91" s="236">
        <f t="shared" si="26"/>
        <v>0.5335185185185185</v>
      </c>
      <c r="G91" s="236">
        <f t="shared" si="26"/>
        <v>0.41499999999999992</v>
      </c>
      <c r="H91" s="236">
        <f t="shared" si="26"/>
        <v>0.31803030303030294</v>
      </c>
      <c r="I91" s="238">
        <f t="shared" si="26"/>
        <v>0.2372222222222222</v>
      </c>
      <c r="J91" s="237">
        <f t="shared" si="26"/>
        <v>0.16884615384615381</v>
      </c>
    </row>
    <row r="92" spans="2:15" x14ac:dyDescent="0.2">
      <c r="B92" s="265"/>
      <c r="C92" s="127">
        <f t="shared" si="28"/>
        <v>90</v>
      </c>
      <c r="D92" s="236">
        <f t="shared" si="26"/>
        <v>1.0626190476190474</v>
      </c>
      <c r="E92" s="236">
        <f t="shared" si="26"/>
        <v>0.84833333333333316</v>
      </c>
      <c r="F92" s="236">
        <f t="shared" si="26"/>
        <v>0.68166666666666653</v>
      </c>
      <c r="G92" s="236">
        <f t="shared" si="26"/>
        <v>0.54833333333333323</v>
      </c>
      <c r="H92" s="236">
        <f t="shared" si="26"/>
        <v>0.43924242424242416</v>
      </c>
      <c r="I92" s="238">
        <f t="shared" si="26"/>
        <v>0.34833333333333327</v>
      </c>
      <c r="J92" s="238">
        <f t="shared" si="26"/>
        <v>0.27141025641025635</v>
      </c>
    </row>
    <row r="93" spans="2:15" x14ac:dyDescent="0.2">
      <c r="B93" s="266"/>
      <c r="C93" s="128">
        <f t="shared" si="28"/>
        <v>100</v>
      </c>
      <c r="D93" s="236">
        <f t="shared" si="26"/>
        <v>1.2530952380952378</v>
      </c>
      <c r="E93" s="236">
        <f t="shared" si="26"/>
        <v>1.0149999999999999</v>
      </c>
      <c r="F93" s="236">
        <f t="shared" si="26"/>
        <v>0.82981481481481467</v>
      </c>
      <c r="G93" s="236">
        <f t="shared" si="26"/>
        <v>0.68166666666666653</v>
      </c>
      <c r="H93" s="236">
        <f t="shared" si="26"/>
        <v>0.56045454545454532</v>
      </c>
      <c r="I93" s="239">
        <f t="shared" si="26"/>
        <v>0.45944444444444438</v>
      </c>
      <c r="J93" s="239">
        <f t="shared" si="26"/>
        <v>0.37397435897435888</v>
      </c>
    </row>
    <row r="94" spans="2:15" ht="3.95" customHeight="1" x14ac:dyDescent="0.2"/>
    <row r="95" spans="2:15" x14ac:dyDescent="0.2">
      <c r="B95" s="24" t="s">
        <v>245</v>
      </c>
      <c r="C95" s="24"/>
      <c r="D95" s="25"/>
      <c r="E95" s="25"/>
      <c r="F95" s="25"/>
      <c r="G95" s="25"/>
      <c r="H95" s="25"/>
      <c r="I95" s="25"/>
      <c r="J95" s="25"/>
    </row>
    <row r="96" spans="2:15" ht="3.95" customHeight="1" x14ac:dyDescent="0.2">
      <c r="B96" s="6"/>
      <c r="C96" s="6"/>
      <c r="D96" s="6"/>
      <c r="E96" s="6"/>
      <c r="F96" s="6"/>
      <c r="G96" s="6"/>
      <c r="H96" s="6"/>
      <c r="I96" s="6"/>
    </row>
    <row r="97" spans="2:15" x14ac:dyDescent="0.2">
      <c r="B97" s="6"/>
      <c r="C97" s="6"/>
      <c r="D97" s="118" t="s">
        <v>226</v>
      </c>
      <c r="E97" s="119"/>
      <c r="F97" s="119"/>
      <c r="G97" s="119"/>
      <c r="H97" s="119"/>
      <c r="I97" s="119"/>
      <c r="J97" s="120"/>
      <c r="N97" s="72"/>
    </row>
    <row r="98" spans="2:15" ht="12" customHeight="1" x14ac:dyDescent="0.2">
      <c r="B98" s="117"/>
      <c r="D98" s="218">
        <v>700</v>
      </c>
      <c r="E98" s="219">
        <f>D98+50</f>
        <v>750</v>
      </c>
      <c r="F98" s="219">
        <f t="shared" ref="F98:J98" si="29">E98+50</f>
        <v>800</v>
      </c>
      <c r="G98" s="219">
        <f t="shared" si="29"/>
        <v>850</v>
      </c>
      <c r="H98" s="219">
        <f t="shared" si="29"/>
        <v>900</v>
      </c>
      <c r="I98" s="219">
        <f t="shared" si="29"/>
        <v>950</v>
      </c>
      <c r="J98" s="220">
        <f t="shared" si="29"/>
        <v>1000</v>
      </c>
      <c r="L98" s="28"/>
      <c r="M98" s="28"/>
      <c r="N98" s="167"/>
      <c r="O98" s="28"/>
    </row>
    <row r="99" spans="2:15" ht="12" customHeight="1" x14ac:dyDescent="0.2">
      <c r="B99" s="264" t="s">
        <v>129</v>
      </c>
      <c r="C99" s="126">
        <v>20</v>
      </c>
      <c r="D99" s="236">
        <f>D71/(D$98*(1-$M$99))</f>
        <v>-0.46119047619047626</v>
      </c>
      <c r="E99" s="236">
        <f t="shared" ref="E99:J99" si="30">E71/(E$98*(1-$M$99))</f>
        <v>-0.4738888888888888</v>
      </c>
      <c r="F99" s="236">
        <f t="shared" si="30"/>
        <v>-0.48499999999999999</v>
      </c>
      <c r="G99" s="236">
        <f t="shared" si="30"/>
        <v>-0.49480392156862746</v>
      </c>
      <c r="H99" s="236">
        <f t="shared" si="30"/>
        <v>-0.50351851851851837</v>
      </c>
      <c r="I99" s="236">
        <f t="shared" si="30"/>
        <v>-0.51131578947368417</v>
      </c>
      <c r="J99" s="236">
        <f t="shared" si="30"/>
        <v>-0.5183333333333332</v>
      </c>
      <c r="L99" s="217" t="s">
        <v>232</v>
      </c>
      <c r="M99" s="221">
        <f>+M85</f>
        <v>0.85</v>
      </c>
    </row>
    <row r="100" spans="2:15" x14ac:dyDescent="0.2">
      <c r="B100" s="265"/>
      <c r="C100" s="127">
        <f>C99+10</f>
        <v>30</v>
      </c>
      <c r="D100" s="236">
        <f t="shared" ref="D100:J100" si="31">D72/(D$98*(1-$M$99))</f>
        <v>-0.36595238095238103</v>
      </c>
      <c r="E100" s="236">
        <f t="shared" si="31"/>
        <v>-0.38499999999999995</v>
      </c>
      <c r="F100" s="236">
        <f t="shared" si="31"/>
        <v>-0.40166666666666662</v>
      </c>
      <c r="G100" s="236">
        <f t="shared" si="31"/>
        <v>-0.41637254901960785</v>
      </c>
      <c r="H100" s="236">
        <f t="shared" si="31"/>
        <v>-0.4294444444444443</v>
      </c>
      <c r="I100" s="236">
        <f t="shared" si="31"/>
        <v>-0.441140350877193</v>
      </c>
      <c r="J100" s="236">
        <f t="shared" si="31"/>
        <v>-0.45166666666666661</v>
      </c>
      <c r="L100" s="217" t="s">
        <v>228</v>
      </c>
      <c r="M100" s="222">
        <f t="shared" ref="M100:M101" si="32">+M86</f>
        <v>20</v>
      </c>
    </row>
    <row r="101" spans="2:15" x14ac:dyDescent="0.2">
      <c r="B101" s="265"/>
      <c r="C101" s="127">
        <f t="shared" ref="C101:C107" si="33">C100+10</f>
        <v>40</v>
      </c>
      <c r="D101" s="236">
        <f t="shared" ref="D101:J101" si="34">D73/(D$98*(1-$M$99))</f>
        <v>-0.2707142857142858</v>
      </c>
      <c r="E101" s="236">
        <f t="shared" si="34"/>
        <v>-0.29611111111111105</v>
      </c>
      <c r="F101" s="236">
        <f t="shared" si="34"/>
        <v>-0.3183333333333333</v>
      </c>
      <c r="G101" s="236">
        <f t="shared" si="34"/>
        <v>-0.33794117647058824</v>
      </c>
      <c r="H101" s="236">
        <f t="shared" si="34"/>
        <v>-0.35537037037037028</v>
      </c>
      <c r="I101" s="236">
        <f t="shared" si="34"/>
        <v>-0.37096491228070178</v>
      </c>
      <c r="J101" s="236">
        <f t="shared" si="34"/>
        <v>-0.38499999999999995</v>
      </c>
      <c r="L101" s="217" t="s">
        <v>229</v>
      </c>
      <c r="M101" s="223">
        <f t="shared" si="32"/>
        <v>6.5000000000000002E-2</v>
      </c>
    </row>
    <row r="102" spans="2:15" x14ac:dyDescent="0.2">
      <c r="B102" s="265"/>
      <c r="C102" s="127">
        <f t="shared" si="33"/>
        <v>50</v>
      </c>
      <c r="D102" s="236">
        <f t="shared" ref="D102:J102" si="35">D74/(D$98*(1-$M$99))</f>
        <v>-0.17547619047619056</v>
      </c>
      <c r="E102" s="236">
        <f t="shared" si="35"/>
        <v>-0.2072222222222222</v>
      </c>
      <c r="F102" s="236">
        <f t="shared" si="35"/>
        <v>-0.23499999999999999</v>
      </c>
      <c r="G102" s="236">
        <f t="shared" si="35"/>
        <v>-0.25950980392156864</v>
      </c>
      <c r="H102" s="236">
        <f t="shared" si="35"/>
        <v>-0.28129629629629621</v>
      </c>
      <c r="I102" s="236">
        <f t="shared" si="35"/>
        <v>-0.30078947368421055</v>
      </c>
      <c r="J102" s="236">
        <f t="shared" si="35"/>
        <v>-0.31833333333333325</v>
      </c>
      <c r="M102" s="30"/>
    </row>
    <row r="103" spans="2:15" x14ac:dyDescent="0.2">
      <c r="B103" s="265"/>
      <c r="C103" s="127">
        <f t="shared" si="33"/>
        <v>60</v>
      </c>
      <c r="D103" s="236">
        <f t="shared" ref="D103:J103" si="36">D75/(D$98*(1-$M$99))</f>
        <v>-8.0238095238095331E-2</v>
      </c>
      <c r="E103" s="236">
        <f t="shared" si="36"/>
        <v>-0.11833333333333332</v>
      </c>
      <c r="F103" s="236">
        <f t="shared" si="36"/>
        <v>-0.15166666666666667</v>
      </c>
      <c r="G103" s="236">
        <f t="shared" si="36"/>
        <v>-0.18107843137254903</v>
      </c>
      <c r="H103" s="236">
        <f t="shared" si="36"/>
        <v>-0.20722222222222214</v>
      </c>
      <c r="I103" s="236">
        <f t="shared" si="36"/>
        <v>-0.23061403508771933</v>
      </c>
      <c r="J103" s="236">
        <f t="shared" si="36"/>
        <v>-0.25166666666666659</v>
      </c>
    </row>
    <row r="104" spans="2:15" x14ac:dyDescent="0.2">
      <c r="B104" s="265"/>
      <c r="C104" s="127">
        <f t="shared" si="33"/>
        <v>70</v>
      </c>
      <c r="D104" s="236">
        <f t="shared" ref="D104:J104" si="37">D76/(D$98*(1-$M$99))</f>
        <v>1.499999999999989E-2</v>
      </c>
      <c r="E104" s="236">
        <f t="shared" si="37"/>
        <v>-2.944444444444444E-2</v>
      </c>
      <c r="F104" s="236">
        <f t="shared" si="37"/>
        <v>-6.8333333333333343E-2</v>
      </c>
      <c r="G104" s="236">
        <f t="shared" si="37"/>
        <v>-0.10264705882352944</v>
      </c>
      <c r="H104" s="236">
        <f t="shared" si="37"/>
        <v>-0.13314814814814807</v>
      </c>
      <c r="I104" s="236">
        <f t="shared" si="37"/>
        <v>-0.16043859649122813</v>
      </c>
      <c r="J104" s="236">
        <f t="shared" si="37"/>
        <v>-0.18499999999999997</v>
      </c>
    </row>
    <row r="105" spans="2:15" x14ac:dyDescent="0.2">
      <c r="B105" s="265"/>
      <c r="C105" s="127">
        <f t="shared" si="33"/>
        <v>80</v>
      </c>
      <c r="D105" s="236">
        <f t="shared" ref="D105:J105" si="38">D77/(D$98*(1-$M$99))</f>
        <v>0.11023809523809512</v>
      </c>
      <c r="E105" s="236">
        <f t="shared" si="38"/>
        <v>5.9444444444444439E-2</v>
      </c>
      <c r="F105" s="236">
        <f t="shared" si="38"/>
        <v>1.4999999999999975E-2</v>
      </c>
      <c r="G105" s="236">
        <f t="shared" si="38"/>
        <v>-2.4215686274509846E-2</v>
      </c>
      <c r="H105" s="236">
        <f t="shared" si="38"/>
        <v>-5.9074074074074022E-2</v>
      </c>
      <c r="I105" s="236">
        <f t="shared" si="38"/>
        <v>-9.0263157894736906E-2</v>
      </c>
      <c r="J105" s="236">
        <f t="shared" si="38"/>
        <v>-0.1183333333333333</v>
      </c>
    </row>
    <row r="106" spans="2:15" x14ac:dyDescent="0.2">
      <c r="B106" s="265"/>
      <c r="C106" s="127">
        <f t="shared" si="33"/>
        <v>90</v>
      </c>
      <c r="D106" s="236">
        <f t="shared" ref="D106:J106" si="39">D78/(D$98*(1-$M$99))</f>
        <v>0.20547619047619034</v>
      </c>
      <c r="E106" s="236">
        <f t="shared" si="39"/>
        <v>0.14833333333333332</v>
      </c>
      <c r="F106" s="236">
        <f t="shared" si="39"/>
        <v>9.83333333333333E-2</v>
      </c>
      <c r="G106" s="236">
        <f t="shared" si="39"/>
        <v>5.4215686274509754E-2</v>
      </c>
      <c r="H106" s="236">
        <f t="shared" si="39"/>
        <v>1.5000000000000039E-2</v>
      </c>
      <c r="I106" s="236">
        <f t="shared" si="39"/>
        <v>-2.0087719298245689E-2</v>
      </c>
      <c r="J106" s="236">
        <f t="shared" si="39"/>
        <v>-5.1666666666666659E-2</v>
      </c>
    </row>
    <row r="107" spans="2:15" x14ac:dyDescent="0.2">
      <c r="B107" s="266"/>
      <c r="C107" s="128">
        <f t="shared" si="33"/>
        <v>100</v>
      </c>
      <c r="D107" s="236">
        <f t="shared" ref="D107:J107" si="40">D79/(D$98*(1-$M$99))</f>
        <v>0.30071428571428555</v>
      </c>
      <c r="E107" s="236">
        <f t="shared" si="40"/>
        <v>0.2372222222222222</v>
      </c>
      <c r="F107" s="236">
        <f t="shared" si="40"/>
        <v>0.18166666666666662</v>
      </c>
      <c r="G107" s="236">
        <f t="shared" si="40"/>
        <v>0.13264705882352934</v>
      </c>
      <c r="H107" s="236">
        <f t="shared" si="40"/>
        <v>8.9074074074074097E-2</v>
      </c>
      <c r="I107" s="236">
        <f t="shared" si="40"/>
        <v>5.0087719298245521E-2</v>
      </c>
      <c r="J107" s="236">
        <f t="shared" si="40"/>
        <v>1.4999999999999998E-2</v>
      </c>
    </row>
    <row r="108" spans="2:15" x14ac:dyDescent="0.2">
      <c r="E108" s="7"/>
    </row>
  </sheetData>
  <mergeCells count="7">
    <mergeCell ref="B85:B93"/>
    <mergeCell ref="B99:B107"/>
    <mergeCell ref="B9:B17"/>
    <mergeCell ref="B24:B32"/>
    <mergeCell ref="B39:B47"/>
    <mergeCell ref="B55:B63"/>
    <mergeCell ref="B71:B79"/>
  </mergeCells>
  <conditionalFormatting sqref="B1:J1048576 L8:O8 M26:M28 M30 M41:M43 M45 L54:O54 L70:O70 L84:O84 L98:O98">
    <cfRule type="expression" dxfId="19" priority="2">
      <formula>$M$3=1</formula>
    </cfRule>
  </conditionalFormatting>
  <pageMargins left="0.7" right="0.7" top="0.75" bottom="0.75" header="0.3" footer="0.3"/>
  <pageSetup orientation="portrait" r:id="rId1"/>
  <rowBreaks count="1" manualBreakCount="1">
    <brk id="49" min="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AA14-E9C7-4021-9094-B0D17D924C33}">
  <sheetPr>
    <tabColor theme="4" tint="0.79998168889431442"/>
    <pageSetUpPr fitToPage="1"/>
  </sheetPr>
  <dimension ref="B2:N94"/>
  <sheetViews>
    <sheetView showGridLines="0" view="pageBreakPreview" zoomScale="145" zoomScaleNormal="145" zoomScaleSheetLayoutView="145" workbookViewId="0"/>
  </sheetViews>
  <sheetFormatPr defaultRowHeight="12" outlineLevelRow="1" x14ac:dyDescent="0.2"/>
  <cols>
    <col min="1" max="1" width="1.7109375" style="6" customWidth="1"/>
    <col min="2" max="2" width="20.5703125" style="6" customWidth="1"/>
    <col min="3" max="8" width="9.5703125" style="6" customWidth="1"/>
    <col min="9" max="9" width="0.85546875" style="6" customWidth="1"/>
    <col min="10" max="10" width="4.42578125" style="6" customWidth="1"/>
    <col min="11" max="16384" width="9.140625" style="6"/>
  </cols>
  <sheetData>
    <row r="2" spans="2:12" ht="15.75" x14ac:dyDescent="0.25">
      <c r="B2" s="8" t="str">
        <f>+Cover!B24</f>
        <v>Sunshine Commercial Investments</v>
      </c>
    </row>
    <row r="3" spans="2:12" x14ac:dyDescent="0.2">
      <c r="B3" s="9" t="s">
        <v>112</v>
      </c>
      <c r="C3" s="10"/>
      <c r="D3" s="10"/>
      <c r="E3" s="10"/>
      <c r="F3" s="10"/>
      <c r="G3" s="10"/>
      <c r="H3" s="10"/>
      <c r="K3" s="6" t="s">
        <v>7</v>
      </c>
      <c r="L3" s="21">
        <v>0</v>
      </c>
    </row>
    <row r="5" spans="2:12" s="29" customFormat="1" x14ac:dyDescent="0.2">
      <c r="B5" s="24" t="s">
        <v>133</v>
      </c>
      <c r="C5" s="25"/>
      <c r="D5" s="25"/>
      <c r="E5" s="25"/>
      <c r="F5" s="25"/>
      <c r="G5" s="25"/>
      <c r="H5" s="25"/>
    </row>
    <row r="6" spans="2:12" s="29" customFormat="1" ht="3.95" customHeight="1" x14ac:dyDescent="0.2">
      <c r="E6" s="57"/>
      <c r="F6" s="57"/>
      <c r="G6" s="57"/>
      <c r="H6" s="57"/>
    </row>
    <row r="7" spans="2:12" s="29" customFormat="1" x14ac:dyDescent="0.2">
      <c r="C7" s="11" t="s">
        <v>17</v>
      </c>
      <c r="D7" s="11" t="s">
        <v>26</v>
      </c>
      <c r="E7" s="11" t="s">
        <v>33</v>
      </c>
      <c r="F7" s="11" t="s">
        <v>222</v>
      </c>
      <c r="H7" s="57"/>
    </row>
    <row r="8" spans="2:12" s="29" customFormat="1" x14ac:dyDescent="0.2">
      <c r="B8" s="103" t="s">
        <v>117</v>
      </c>
      <c r="C8" s="26">
        <f>+'Tennant View'!C33</f>
        <v>60900</v>
      </c>
      <c r="D8" s="30">
        <f>C8</f>
        <v>60900</v>
      </c>
      <c r="E8" s="26">
        <f>+C19*C65</f>
        <v>95050</v>
      </c>
      <c r="F8" s="26">
        <f>+C65*C20</f>
        <v>135450</v>
      </c>
      <c r="H8" s="57"/>
    </row>
    <row r="9" spans="2:12" s="29" customFormat="1" x14ac:dyDescent="0.2">
      <c r="B9" s="130" t="s">
        <v>171</v>
      </c>
      <c r="C9" s="17">
        <v>0</v>
      </c>
      <c r="D9" s="35">
        <f>C38</f>
        <v>26750</v>
      </c>
      <c r="E9" s="35">
        <f>D9</f>
        <v>26750</v>
      </c>
      <c r="F9" s="35">
        <f>E9</f>
        <v>26750</v>
      </c>
      <c r="H9" s="57"/>
    </row>
    <row r="10" spans="2:12" s="29" customFormat="1" x14ac:dyDescent="0.2">
      <c r="B10" s="18" t="s">
        <v>119</v>
      </c>
      <c r="C10" s="20">
        <f>+C8+C9</f>
        <v>60900</v>
      </c>
      <c r="D10" s="20">
        <f>+D8+D9</f>
        <v>87650</v>
      </c>
      <c r="E10" s="20">
        <f>+E8+E9</f>
        <v>121800</v>
      </c>
      <c r="F10" s="20">
        <f>+F8+F9</f>
        <v>162200</v>
      </c>
      <c r="H10" s="57"/>
    </row>
    <row r="11" spans="2:12" s="29" customFormat="1" x14ac:dyDescent="0.2">
      <c r="B11" s="130" t="s">
        <v>172</v>
      </c>
      <c r="C11" s="35">
        <f>-C38</f>
        <v>-26750</v>
      </c>
      <c r="D11" s="35">
        <f>C11</f>
        <v>-26750</v>
      </c>
      <c r="E11" s="35">
        <f t="shared" ref="E11:F11" si="0">D11</f>
        <v>-26750</v>
      </c>
      <c r="F11" s="35">
        <f t="shared" si="0"/>
        <v>-26750</v>
      </c>
      <c r="H11" s="57"/>
    </row>
    <row r="12" spans="2:12" s="29" customFormat="1" x14ac:dyDescent="0.2">
      <c r="B12" s="130" t="s">
        <v>170</v>
      </c>
      <c r="C12" s="35">
        <f>-C53</f>
        <v>-9235</v>
      </c>
      <c r="D12" s="35">
        <f>C12</f>
        <v>-9235</v>
      </c>
      <c r="E12" s="35">
        <f t="shared" ref="E12:F12" si="1">D12</f>
        <v>-9235</v>
      </c>
      <c r="F12" s="35">
        <f t="shared" si="1"/>
        <v>-9235</v>
      </c>
      <c r="H12" s="57"/>
    </row>
    <row r="13" spans="2:12" s="29" customFormat="1" x14ac:dyDescent="0.2">
      <c r="B13" s="40" t="s">
        <v>126</v>
      </c>
      <c r="C13" s="45">
        <f>SUM(C10:C12)</f>
        <v>24915</v>
      </c>
      <c r="D13" s="45">
        <f t="shared" ref="D13:F13" si="2">SUM(D10:D12)</f>
        <v>51665</v>
      </c>
      <c r="E13" s="45">
        <f t="shared" si="2"/>
        <v>85815</v>
      </c>
      <c r="F13" s="50">
        <f t="shared" si="2"/>
        <v>126215</v>
      </c>
      <c r="H13" s="57"/>
    </row>
    <row r="14" spans="2:12" s="29" customFormat="1" x14ac:dyDescent="0.2">
      <c r="E14" s="57"/>
      <c r="F14" s="57"/>
      <c r="G14" s="57"/>
      <c r="H14" s="57"/>
    </row>
    <row r="15" spans="2:12" s="29" customFormat="1" x14ac:dyDescent="0.2">
      <c r="C15" s="12" t="s">
        <v>141</v>
      </c>
      <c r="D15" s="110"/>
      <c r="E15" s="111"/>
      <c r="F15" s="111"/>
      <c r="G15" s="111"/>
      <c r="H15" s="111"/>
    </row>
    <row r="16" spans="2:12" s="29" customFormat="1" x14ac:dyDescent="0.2">
      <c r="C16" s="11" t="s">
        <v>117</v>
      </c>
      <c r="D16" s="11" t="s">
        <v>71</v>
      </c>
      <c r="E16" s="109" t="s">
        <v>65</v>
      </c>
      <c r="F16" s="109" t="s">
        <v>118</v>
      </c>
      <c r="G16" s="109" t="s">
        <v>50</v>
      </c>
      <c r="H16" s="109" t="s">
        <v>119</v>
      </c>
    </row>
    <row r="17" spans="2:8" s="29" customFormat="1" x14ac:dyDescent="0.2">
      <c r="B17" s="103" t="s">
        <v>120</v>
      </c>
      <c r="C17" s="115">
        <f>+'Market Rent Analysis'!$C$8</f>
        <v>7.25</v>
      </c>
      <c r="D17" s="15">
        <v>0</v>
      </c>
      <c r="E17" s="15">
        <v>0</v>
      </c>
      <c r="F17" s="15">
        <v>0</v>
      </c>
      <c r="G17" s="15">
        <v>0</v>
      </c>
      <c r="H17" s="32">
        <f>SUM(C17:G17)</f>
        <v>7.25</v>
      </c>
    </row>
    <row r="18" spans="2:8" s="29" customFormat="1" x14ac:dyDescent="0.2">
      <c r="B18" s="103" t="s">
        <v>122</v>
      </c>
      <c r="C18" s="148">
        <f>+'Market Rent Analysis'!$C$8</f>
        <v>7.25</v>
      </c>
      <c r="D18" s="140">
        <f>+D34</f>
        <v>0.59523809523809523</v>
      </c>
      <c r="E18" s="140">
        <f>+D35</f>
        <v>1.2797619047619047</v>
      </c>
      <c r="F18" s="140">
        <f>+D36</f>
        <v>0.59523809523809523</v>
      </c>
      <c r="G18" s="140">
        <f>+D37</f>
        <v>0.7142857142857143</v>
      </c>
      <c r="H18" s="32">
        <f>SUM(C18:G18)</f>
        <v>10.434523809523808</v>
      </c>
    </row>
    <row r="19" spans="2:8" s="29" customFormat="1" x14ac:dyDescent="0.2">
      <c r="B19" s="103" t="s">
        <v>123</v>
      </c>
      <c r="C19" s="148">
        <f>+'Sensitivity Analysis'!J23-'CRE P&amp;L'!D38</f>
        <v>11.31547619047619</v>
      </c>
      <c r="D19" s="140">
        <f>D18</f>
        <v>0.59523809523809523</v>
      </c>
      <c r="E19" s="140">
        <f t="shared" ref="E19:G19" si="3">E18</f>
        <v>1.2797619047619047</v>
      </c>
      <c r="F19" s="140">
        <f t="shared" si="3"/>
        <v>0.59523809523809523</v>
      </c>
      <c r="G19" s="140">
        <f t="shared" si="3"/>
        <v>0.7142857142857143</v>
      </c>
      <c r="H19" s="32">
        <f t="shared" ref="H19:H20" si="4">SUM(C19:G19)</f>
        <v>14.499999999999998</v>
      </c>
    </row>
    <row r="20" spans="2:8" s="29" customFormat="1" x14ac:dyDescent="0.2">
      <c r="B20" s="103" t="s">
        <v>124</v>
      </c>
      <c r="C20" s="148">
        <f>+'Market Rent Analysis'!G25</f>
        <v>16.125</v>
      </c>
      <c r="D20" s="140">
        <f t="shared" ref="D20" si="5">D19</f>
        <v>0.59523809523809523</v>
      </c>
      <c r="E20" s="140">
        <f t="shared" ref="E20:G20" si="6">E19</f>
        <v>1.2797619047619047</v>
      </c>
      <c r="F20" s="140">
        <f t="shared" si="6"/>
        <v>0.59523809523809523</v>
      </c>
      <c r="G20" s="140">
        <f t="shared" si="6"/>
        <v>0.7142857142857143</v>
      </c>
      <c r="H20" s="32">
        <f t="shared" si="4"/>
        <v>19.30952380952381</v>
      </c>
    </row>
    <row r="21" spans="2:8" ht="3.95" customHeight="1" x14ac:dyDescent="0.2">
      <c r="B21" s="7"/>
    </row>
    <row r="22" spans="2:8" hidden="1" outlineLevel="1" x14ac:dyDescent="0.2">
      <c r="B22" s="29"/>
      <c r="C22" s="12" t="s">
        <v>142</v>
      </c>
      <c r="D22" s="110"/>
      <c r="E22" s="111"/>
      <c r="F22" s="111"/>
      <c r="G22" s="111"/>
      <c r="H22" s="111"/>
    </row>
    <row r="23" spans="2:8" hidden="1" outlineLevel="1" x14ac:dyDescent="0.2">
      <c r="B23" s="29"/>
      <c r="C23" s="11" t="s">
        <v>117</v>
      </c>
      <c r="D23" s="11" t="s">
        <v>71</v>
      </c>
      <c r="E23" s="109" t="s">
        <v>65</v>
      </c>
      <c r="F23" s="109" t="s">
        <v>118</v>
      </c>
      <c r="G23" s="109" t="s">
        <v>50</v>
      </c>
      <c r="H23" s="109" t="s">
        <v>119</v>
      </c>
    </row>
    <row r="24" spans="2:8" hidden="1" outlineLevel="1" x14ac:dyDescent="0.2">
      <c r="B24" s="103" t="s">
        <v>120</v>
      </c>
      <c r="C24" s="139">
        <f>+C17</f>
        <v>7.25</v>
      </c>
      <c r="D24" s="15">
        <v>0</v>
      </c>
      <c r="E24" s="15">
        <v>0</v>
      </c>
      <c r="F24" s="15">
        <v>0</v>
      </c>
      <c r="G24" s="15">
        <v>0</v>
      </c>
      <c r="H24" s="32">
        <f>SUM(C24:G24)</f>
        <v>7.25</v>
      </c>
    </row>
    <row r="25" spans="2:8" hidden="1" outlineLevel="1" x14ac:dyDescent="0.2">
      <c r="B25" s="103" t="s">
        <v>121</v>
      </c>
      <c r="C25" s="140" t="e">
        <f>+#REF!</f>
        <v>#REF!</v>
      </c>
      <c r="D25" s="141">
        <f>+F34</f>
        <v>0</v>
      </c>
      <c r="E25" s="140">
        <f>+F35</f>
        <v>0</v>
      </c>
      <c r="F25" s="141">
        <f>+F36</f>
        <v>0</v>
      </c>
      <c r="G25" s="141">
        <f>+F37</f>
        <v>0</v>
      </c>
      <c r="H25" s="32" t="e">
        <f t="shared" ref="H25:H28" si="7">SUM(C25:G25)</f>
        <v>#REF!</v>
      </c>
    </row>
    <row r="26" spans="2:8" hidden="1" outlineLevel="1" x14ac:dyDescent="0.2">
      <c r="B26" s="103" t="s">
        <v>122</v>
      </c>
      <c r="C26" s="140">
        <f t="shared" ref="C26:C28" si="8">+C18</f>
        <v>7.25</v>
      </c>
      <c r="D26" s="141">
        <f>D25</f>
        <v>0</v>
      </c>
      <c r="E26" s="140">
        <f t="shared" ref="E26:E28" si="9">E25</f>
        <v>0</v>
      </c>
      <c r="F26" s="141">
        <f t="shared" ref="F26:F28" si="10">F25</f>
        <v>0</v>
      </c>
      <c r="G26" s="141">
        <f t="shared" ref="G26:G28" si="11">G25</f>
        <v>0</v>
      </c>
      <c r="H26" s="32">
        <f t="shared" si="7"/>
        <v>7.25</v>
      </c>
    </row>
    <row r="27" spans="2:8" hidden="1" outlineLevel="1" x14ac:dyDescent="0.2">
      <c r="B27" s="103" t="s">
        <v>123</v>
      </c>
      <c r="C27" s="140">
        <f t="shared" si="8"/>
        <v>11.31547619047619</v>
      </c>
      <c r="D27" s="141">
        <f t="shared" ref="D27:D28" si="12">D26</f>
        <v>0</v>
      </c>
      <c r="E27" s="140">
        <f t="shared" si="9"/>
        <v>0</v>
      </c>
      <c r="F27" s="141">
        <f t="shared" si="10"/>
        <v>0</v>
      </c>
      <c r="G27" s="141">
        <f t="shared" si="11"/>
        <v>0</v>
      </c>
      <c r="H27" s="32">
        <f t="shared" si="7"/>
        <v>11.31547619047619</v>
      </c>
    </row>
    <row r="28" spans="2:8" hidden="1" outlineLevel="1" x14ac:dyDescent="0.2">
      <c r="B28" s="103" t="s">
        <v>124</v>
      </c>
      <c r="C28" s="140">
        <f t="shared" si="8"/>
        <v>16.125</v>
      </c>
      <c r="D28" s="141">
        <f t="shared" si="12"/>
        <v>0</v>
      </c>
      <c r="E28" s="140">
        <f t="shared" si="9"/>
        <v>0</v>
      </c>
      <c r="F28" s="141">
        <f t="shared" si="10"/>
        <v>0</v>
      </c>
      <c r="G28" s="141">
        <f t="shared" si="11"/>
        <v>0</v>
      </c>
      <c r="H28" s="32">
        <f t="shared" si="7"/>
        <v>16.125</v>
      </c>
    </row>
    <row r="29" spans="2:8" ht="3.95" hidden="1" customHeight="1" outlineLevel="1" x14ac:dyDescent="0.2"/>
    <row r="30" spans="2:8" s="29" customFormat="1" collapsed="1" x14ac:dyDescent="0.2">
      <c r="B30" s="24" t="s">
        <v>168</v>
      </c>
      <c r="C30" s="25"/>
      <c r="D30" s="25"/>
      <c r="E30" s="25"/>
      <c r="F30" s="25"/>
      <c r="G30" s="25"/>
      <c r="H30" s="25"/>
    </row>
    <row r="31" spans="2:8" s="29" customFormat="1" ht="3.95" customHeight="1" x14ac:dyDescent="0.2">
      <c r="B31" s="7"/>
      <c r="C31" s="6"/>
      <c r="D31" s="6"/>
      <c r="E31" s="6"/>
      <c r="F31" s="6"/>
      <c r="G31" s="6"/>
      <c r="H31" s="6"/>
    </row>
    <row r="32" spans="2:8" x14ac:dyDescent="0.2">
      <c r="C32" s="12" t="s">
        <v>143</v>
      </c>
      <c r="D32" s="13"/>
      <c r="E32" s="13"/>
      <c r="F32" s="13"/>
      <c r="G32" s="13"/>
      <c r="H32" s="13"/>
    </row>
    <row r="33" spans="2:14" x14ac:dyDescent="0.2">
      <c r="B33" s="33"/>
      <c r="C33" s="11" t="s">
        <v>134</v>
      </c>
      <c r="D33" s="136" t="s">
        <v>135</v>
      </c>
      <c r="E33" s="11" t="s">
        <v>140</v>
      </c>
      <c r="F33" s="136" t="s">
        <v>135</v>
      </c>
      <c r="G33" s="11" t="s">
        <v>110</v>
      </c>
      <c r="H33" s="11" t="s">
        <v>135</v>
      </c>
    </row>
    <row r="34" spans="2:14" x14ac:dyDescent="0.2">
      <c r="B34" s="142" t="s">
        <v>71</v>
      </c>
      <c r="C34" s="153">
        <v>5000</v>
      </c>
      <c r="D34" s="137">
        <f>C34/$C$65</f>
        <v>0.59523809523809523</v>
      </c>
      <c r="E34" s="15"/>
      <c r="F34" s="137">
        <f>E34/$C$65</f>
        <v>0</v>
      </c>
      <c r="G34" s="71">
        <f>E34-C34</f>
        <v>-5000</v>
      </c>
      <c r="H34" s="132">
        <f>G34/$C$65</f>
        <v>-0.59523809523809523</v>
      </c>
    </row>
    <row r="35" spans="2:14" ht="13.5" x14ac:dyDescent="0.2">
      <c r="B35" s="142" t="s">
        <v>138</v>
      </c>
      <c r="C35" s="17">
        <v>10750</v>
      </c>
      <c r="D35" s="138">
        <f>C35/$C$65</f>
        <v>1.2797619047619047</v>
      </c>
      <c r="E35" s="17"/>
      <c r="F35" s="138">
        <f>E35/$C$65</f>
        <v>0</v>
      </c>
      <c r="G35" s="70">
        <f t="shared" ref="G35:G37" si="13">E35-C35</f>
        <v>-10750</v>
      </c>
      <c r="H35" s="133">
        <f>G35/$C$65</f>
        <v>-1.2797619047619047</v>
      </c>
      <c r="J35" s="38" t="s">
        <v>223</v>
      </c>
      <c r="N35" s="17"/>
    </row>
    <row r="36" spans="2:14" x14ac:dyDescent="0.2">
      <c r="B36" s="142" t="s">
        <v>163</v>
      </c>
      <c r="C36" s="154">
        <v>5000</v>
      </c>
      <c r="D36" s="138">
        <f>C36/$C$65</f>
        <v>0.59523809523809523</v>
      </c>
      <c r="E36" s="17"/>
      <c r="F36" s="138">
        <f>E36/$C$65</f>
        <v>0</v>
      </c>
      <c r="G36" s="70">
        <f t="shared" si="13"/>
        <v>-5000</v>
      </c>
      <c r="H36" s="133">
        <f>G36/$C$65</f>
        <v>-0.59523809523809523</v>
      </c>
    </row>
    <row r="37" spans="2:14" x14ac:dyDescent="0.2">
      <c r="B37" s="142" t="s">
        <v>50</v>
      </c>
      <c r="C37" s="154">
        <v>6000</v>
      </c>
      <c r="D37" s="138">
        <f>C37/$C$65</f>
        <v>0.7142857142857143</v>
      </c>
      <c r="E37" s="17"/>
      <c r="F37" s="138">
        <f>E37/$C$65</f>
        <v>0</v>
      </c>
      <c r="G37" s="70">
        <f t="shared" si="13"/>
        <v>-6000</v>
      </c>
      <c r="H37" s="133">
        <f>G37/$C$65</f>
        <v>-0.7142857142857143</v>
      </c>
      <c r="J37" s="135" t="s">
        <v>139</v>
      </c>
    </row>
    <row r="38" spans="2:14" x14ac:dyDescent="0.2">
      <c r="B38" s="40" t="s">
        <v>136</v>
      </c>
      <c r="C38" s="45">
        <f t="shared" ref="C38:H38" si="14">SUM(C34:C37)</f>
        <v>26750</v>
      </c>
      <c r="D38" s="143">
        <f t="shared" si="14"/>
        <v>3.1845238095238098</v>
      </c>
      <c r="E38" s="45">
        <f t="shared" si="14"/>
        <v>0</v>
      </c>
      <c r="F38" s="143">
        <f t="shared" si="14"/>
        <v>0</v>
      </c>
      <c r="G38" s="45">
        <f t="shared" si="14"/>
        <v>-26750</v>
      </c>
      <c r="H38" s="46">
        <f t="shared" si="14"/>
        <v>-3.1845238095238098</v>
      </c>
    </row>
    <row r="39" spans="2:14" x14ac:dyDescent="0.2">
      <c r="B39" s="22" t="s">
        <v>224</v>
      </c>
    </row>
    <row r="40" spans="2:14" ht="3.95" customHeight="1" x14ac:dyDescent="0.2"/>
    <row r="41" spans="2:14" s="29" customFormat="1" x14ac:dyDescent="0.2">
      <c r="B41" s="24" t="s">
        <v>169</v>
      </c>
      <c r="C41" s="25"/>
      <c r="D41" s="25"/>
      <c r="E41" s="25"/>
      <c r="F41" s="25"/>
      <c r="G41" s="25"/>
      <c r="H41" s="25"/>
    </row>
    <row r="42" spans="2:14" s="29" customFormat="1" ht="3.95" customHeight="1" x14ac:dyDescent="0.2">
      <c r="B42" s="7"/>
      <c r="C42" s="6"/>
      <c r="D42" s="6"/>
      <c r="E42" s="6"/>
      <c r="F42" s="6"/>
      <c r="G42" s="6"/>
      <c r="H42" s="6"/>
    </row>
    <row r="43" spans="2:14" x14ac:dyDescent="0.2">
      <c r="C43" s="12" t="s">
        <v>150</v>
      </c>
      <c r="D43" s="13"/>
      <c r="E43" s="13"/>
      <c r="F43" s="13"/>
      <c r="G43" s="13"/>
      <c r="H43" s="13"/>
    </row>
    <row r="44" spans="2:14" x14ac:dyDescent="0.2">
      <c r="C44" s="11" t="s">
        <v>134</v>
      </c>
      <c r="D44" s="136" t="s">
        <v>135</v>
      </c>
      <c r="E44" s="11" t="s">
        <v>140</v>
      </c>
      <c r="F44" s="136" t="s">
        <v>135</v>
      </c>
      <c r="G44" s="11" t="s">
        <v>110</v>
      </c>
      <c r="H44" s="11" t="s">
        <v>135</v>
      </c>
    </row>
    <row r="45" spans="2:14" x14ac:dyDescent="0.2">
      <c r="B45" s="103" t="s">
        <v>131</v>
      </c>
      <c r="C45" s="71">
        <f>C56*C57</f>
        <v>3045</v>
      </c>
      <c r="D45" s="137">
        <f t="shared" ref="D45:D52" si="15">C45/$C$65</f>
        <v>0.36249999999999999</v>
      </c>
      <c r="E45" s="15"/>
      <c r="F45" s="137">
        <f t="shared" ref="F45:F52" si="16">E45/$C$65</f>
        <v>0</v>
      </c>
      <c r="G45" s="71">
        <f>E45-C45</f>
        <v>-3045</v>
      </c>
      <c r="H45" s="132">
        <f t="shared" ref="H45:H52" si="17">G45/$C$65</f>
        <v>-0.36249999999999999</v>
      </c>
    </row>
    <row r="46" spans="2:14" x14ac:dyDescent="0.2">
      <c r="B46" s="103" t="s">
        <v>144</v>
      </c>
      <c r="C46" s="35">
        <f>+C58</f>
        <v>0</v>
      </c>
      <c r="D46" s="137">
        <f t="shared" si="15"/>
        <v>0</v>
      </c>
      <c r="E46" s="17">
        <v>0</v>
      </c>
      <c r="F46" s="137">
        <f t="shared" si="16"/>
        <v>0</v>
      </c>
      <c r="G46" s="70">
        <f t="shared" ref="G46:G48" si="18">E46-C46</f>
        <v>0</v>
      </c>
      <c r="H46" s="133">
        <f t="shared" si="17"/>
        <v>0</v>
      </c>
    </row>
    <row r="47" spans="2:14" x14ac:dyDescent="0.2">
      <c r="B47" s="103" t="s">
        <v>132</v>
      </c>
      <c r="C47" s="70">
        <f>C59*$C$65</f>
        <v>1680</v>
      </c>
      <c r="D47" s="137">
        <f t="shared" si="15"/>
        <v>0.2</v>
      </c>
      <c r="E47" s="17"/>
      <c r="F47" s="137">
        <f t="shared" si="16"/>
        <v>0</v>
      </c>
      <c r="G47" s="70">
        <f t="shared" si="18"/>
        <v>-1680</v>
      </c>
      <c r="H47" s="133">
        <f t="shared" si="17"/>
        <v>-0.2</v>
      </c>
    </row>
    <row r="48" spans="2:14" x14ac:dyDescent="0.2">
      <c r="B48" s="103" t="s">
        <v>145</v>
      </c>
      <c r="C48" s="70">
        <f>C60*$C$65</f>
        <v>1260</v>
      </c>
      <c r="D48" s="137">
        <f t="shared" si="15"/>
        <v>0.15</v>
      </c>
      <c r="E48" s="17"/>
      <c r="F48" s="137">
        <f t="shared" si="16"/>
        <v>0</v>
      </c>
      <c r="G48" s="70">
        <f t="shared" si="18"/>
        <v>-1260</v>
      </c>
      <c r="H48" s="133">
        <f t="shared" si="17"/>
        <v>-0.15</v>
      </c>
    </row>
    <row r="49" spans="2:11" x14ac:dyDescent="0.2">
      <c r="B49" s="103" t="s">
        <v>146</v>
      </c>
      <c r="C49" s="35">
        <f>+C61</f>
        <v>2500</v>
      </c>
      <c r="D49" s="137">
        <f t="shared" si="15"/>
        <v>0.29761904761904762</v>
      </c>
      <c r="F49" s="137">
        <f t="shared" si="16"/>
        <v>0</v>
      </c>
      <c r="G49" s="70">
        <f t="shared" ref="G49:G52" si="19">E49-C49</f>
        <v>-2500</v>
      </c>
      <c r="H49" s="133">
        <f t="shared" si="17"/>
        <v>-0.29761904761904762</v>
      </c>
    </row>
    <row r="50" spans="2:11" x14ac:dyDescent="0.2">
      <c r="B50" s="103" t="s">
        <v>147</v>
      </c>
      <c r="C50" s="35">
        <f>+C62</f>
        <v>750</v>
      </c>
      <c r="D50" s="137">
        <f t="shared" si="15"/>
        <v>8.9285714285714288E-2</v>
      </c>
      <c r="F50" s="137">
        <f t="shared" si="16"/>
        <v>0</v>
      </c>
      <c r="G50" s="70">
        <f t="shared" si="19"/>
        <v>-750</v>
      </c>
      <c r="H50" s="133">
        <f t="shared" si="17"/>
        <v>-8.9285714285714288E-2</v>
      </c>
    </row>
    <row r="51" spans="2:11" x14ac:dyDescent="0.2">
      <c r="B51" s="103" t="s">
        <v>148</v>
      </c>
      <c r="C51" s="35">
        <f>+C63</f>
        <v>0</v>
      </c>
      <c r="D51" s="137">
        <f t="shared" si="15"/>
        <v>0</v>
      </c>
      <c r="F51" s="137">
        <f t="shared" si="16"/>
        <v>0</v>
      </c>
      <c r="G51" s="70">
        <f t="shared" si="19"/>
        <v>0</v>
      </c>
      <c r="H51" s="133">
        <f t="shared" si="17"/>
        <v>0</v>
      </c>
    </row>
    <row r="52" spans="2:11" x14ac:dyDescent="0.2">
      <c r="B52" s="103" t="s">
        <v>149</v>
      </c>
      <c r="C52" s="35">
        <f>+C64</f>
        <v>0</v>
      </c>
      <c r="D52" s="137">
        <f t="shared" si="15"/>
        <v>0</v>
      </c>
      <c r="F52" s="137">
        <f t="shared" si="16"/>
        <v>0</v>
      </c>
      <c r="G52" s="70">
        <f t="shared" si="19"/>
        <v>0</v>
      </c>
      <c r="H52" s="133">
        <f t="shared" si="17"/>
        <v>0</v>
      </c>
    </row>
    <row r="53" spans="2:11" x14ac:dyDescent="0.2">
      <c r="B53" s="40" t="s">
        <v>151</v>
      </c>
      <c r="C53" s="45">
        <f>SUM(C45:C52)</f>
        <v>9235</v>
      </c>
      <c r="D53" s="143">
        <f t="shared" ref="D53:H53" si="20">SUM(D45:D52)</f>
        <v>1.0994047619047618</v>
      </c>
      <c r="E53" s="45">
        <f t="shared" si="20"/>
        <v>0</v>
      </c>
      <c r="F53" s="143">
        <f t="shared" si="20"/>
        <v>0</v>
      </c>
      <c r="G53" s="45">
        <f t="shared" si="20"/>
        <v>-9235</v>
      </c>
      <c r="H53" s="46">
        <f t="shared" si="20"/>
        <v>-1.0994047619047618</v>
      </c>
    </row>
    <row r="54" spans="2:11" x14ac:dyDescent="0.2">
      <c r="B54" s="7"/>
    </row>
    <row r="55" spans="2:11" x14ac:dyDescent="0.2">
      <c r="C55" s="157" t="s">
        <v>152</v>
      </c>
      <c r="D55" s="158" t="s">
        <v>153</v>
      </c>
      <c r="E55" s="158"/>
      <c r="F55" s="158"/>
      <c r="G55" s="158"/>
      <c r="H55" s="158"/>
    </row>
    <row r="56" spans="2:11" x14ac:dyDescent="0.2">
      <c r="B56" s="103" t="s">
        <v>165</v>
      </c>
      <c r="C56" s="156">
        <f>+'Tennant View'!C33</f>
        <v>60900</v>
      </c>
      <c r="D56" s="144" t="s">
        <v>166</v>
      </c>
      <c r="E56" s="12"/>
      <c r="F56" s="12"/>
      <c r="G56" s="12"/>
      <c r="H56" s="12"/>
    </row>
    <row r="57" spans="2:11" x14ac:dyDescent="0.2">
      <c r="B57" s="103" t="s">
        <v>131</v>
      </c>
      <c r="C57" s="145">
        <v>0.05</v>
      </c>
      <c r="D57" s="144" t="s">
        <v>155</v>
      </c>
      <c r="E57" s="13"/>
      <c r="F57" s="13"/>
      <c r="G57" s="13"/>
      <c r="H57" s="13"/>
    </row>
    <row r="58" spans="2:11" x14ac:dyDescent="0.2">
      <c r="B58" s="103" t="s">
        <v>144</v>
      </c>
      <c r="C58" s="152">
        <v>0</v>
      </c>
      <c r="D58" s="144" t="s">
        <v>154</v>
      </c>
      <c r="E58" s="13"/>
      <c r="F58" s="13"/>
      <c r="G58" s="13"/>
      <c r="H58" s="13"/>
      <c r="K58" s="153"/>
    </row>
    <row r="59" spans="2:11" x14ac:dyDescent="0.2">
      <c r="B59" s="103" t="s">
        <v>132</v>
      </c>
      <c r="C59" s="145">
        <v>0.2</v>
      </c>
      <c r="D59" s="144" t="s">
        <v>156</v>
      </c>
      <c r="E59" s="13"/>
      <c r="F59" s="13"/>
      <c r="G59" s="13"/>
      <c r="H59" s="13"/>
      <c r="J59" s="135" t="s">
        <v>157</v>
      </c>
    </row>
    <row r="60" spans="2:11" x14ac:dyDescent="0.2">
      <c r="B60" s="103" t="s">
        <v>145</v>
      </c>
      <c r="C60" s="145">
        <v>0.15</v>
      </c>
      <c r="D60" s="144" t="s">
        <v>156</v>
      </c>
      <c r="E60" s="13"/>
      <c r="F60" s="13"/>
      <c r="G60" s="13"/>
      <c r="H60" s="13"/>
      <c r="J60" s="135" t="s">
        <v>157</v>
      </c>
    </row>
    <row r="61" spans="2:11" x14ac:dyDescent="0.2">
      <c r="B61" s="103" t="s">
        <v>146</v>
      </c>
      <c r="C61" s="152">
        <v>2500</v>
      </c>
      <c r="D61" s="144" t="s">
        <v>164</v>
      </c>
      <c r="E61" s="13"/>
      <c r="F61" s="13"/>
      <c r="G61" s="13"/>
      <c r="H61" s="13"/>
    </row>
    <row r="62" spans="2:11" x14ac:dyDescent="0.2">
      <c r="B62" s="103" t="s">
        <v>147</v>
      </c>
      <c r="C62" s="152">
        <v>750</v>
      </c>
      <c r="D62" s="144" t="s">
        <v>162</v>
      </c>
      <c r="E62" s="13"/>
      <c r="F62" s="13"/>
      <c r="G62" s="13"/>
      <c r="H62" s="13"/>
    </row>
    <row r="63" spans="2:11" x14ac:dyDescent="0.2">
      <c r="B63" s="103" t="s">
        <v>148</v>
      </c>
      <c r="C63" s="151">
        <v>0</v>
      </c>
      <c r="D63" s="144" t="s">
        <v>225</v>
      </c>
      <c r="E63" s="13"/>
      <c r="F63" s="13"/>
      <c r="G63" s="13"/>
      <c r="H63" s="13"/>
    </row>
    <row r="64" spans="2:11" x14ac:dyDescent="0.2">
      <c r="B64" s="103" t="s">
        <v>149</v>
      </c>
      <c r="C64" s="155">
        <v>0</v>
      </c>
      <c r="D64" s="144" t="s">
        <v>164</v>
      </c>
      <c r="E64" s="116"/>
      <c r="F64" s="13"/>
      <c r="G64" s="13"/>
      <c r="H64" s="13"/>
    </row>
    <row r="65" spans="2:8" x14ac:dyDescent="0.2">
      <c r="B65" s="103" t="s">
        <v>130</v>
      </c>
      <c r="C65" s="150">
        <f>+'Market Rent Analysis'!$C$7</f>
        <v>8400</v>
      </c>
    </row>
    <row r="75" spans="2:8" x14ac:dyDescent="0.2">
      <c r="C75" s="11" t="s">
        <v>17</v>
      </c>
      <c r="D75" s="11" t="s">
        <v>111</v>
      </c>
      <c r="E75" s="11" t="s">
        <v>26</v>
      </c>
      <c r="F75" s="11" t="s">
        <v>33</v>
      </c>
      <c r="G75" s="11" t="s">
        <v>34</v>
      </c>
      <c r="H75" s="27"/>
    </row>
    <row r="76" spans="2:8" x14ac:dyDescent="0.2">
      <c r="C76" s="27"/>
      <c r="D76" s="27"/>
      <c r="E76" s="27"/>
      <c r="F76" s="27"/>
      <c r="G76" s="27"/>
      <c r="H76" s="27"/>
    </row>
    <row r="77" spans="2:8" x14ac:dyDescent="0.2">
      <c r="B77" s="7" t="str">
        <f>+'Tennant View'!B23</f>
        <v>Total Current Rent</v>
      </c>
      <c r="C77" s="31">
        <f>+'Tennant View'!C33</f>
        <v>60900</v>
      </c>
      <c r="D77" s="102">
        <f>D92-D36-D80</f>
        <v>83422.404761904763</v>
      </c>
      <c r="E77" s="31">
        <f>+'Tennant View'!C33-$C$34-$N$35-$C$37</f>
        <v>49900</v>
      </c>
      <c r="F77" s="31">
        <f>+'Market Rent Analysis'!C48-$C$34-$N$35-$C$37</f>
        <v>56200</v>
      </c>
      <c r="G77" s="31">
        <f>+'Market Rent Analysis'!D48-$C$34-$N$35-$C$37</f>
        <v>73000</v>
      </c>
      <c r="H77" s="31"/>
    </row>
    <row r="80" spans="2:8" x14ac:dyDescent="0.2">
      <c r="B80" s="36" t="s">
        <v>24</v>
      </c>
      <c r="C80" s="17">
        <v>-3423</v>
      </c>
      <c r="D80" s="35">
        <f>C80</f>
        <v>-3423</v>
      </c>
      <c r="E80" s="35">
        <f>C80</f>
        <v>-3423</v>
      </c>
      <c r="F80" s="35">
        <f>E80</f>
        <v>-3423</v>
      </c>
      <c r="G80" s="35">
        <f>F80</f>
        <v>-3423</v>
      </c>
      <c r="H80" s="35"/>
    </row>
    <row r="83" spans="2:8" x14ac:dyDescent="0.2">
      <c r="B83" s="18" t="s">
        <v>18</v>
      </c>
      <c r="C83" s="20">
        <f>SUM(C77:C82)</f>
        <v>57477</v>
      </c>
      <c r="D83" s="20">
        <f>SUM(D77:D82)</f>
        <v>79999.404761904763</v>
      </c>
      <c r="E83" s="20">
        <f>SUM(E77:E82)</f>
        <v>46477</v>
      </c>
      <c r="F83" s="20">
        <f>SUM(F77:F82)</f>
        <v>52777</v>
      </c>
      <c r="G83" s="20">
        <f>SUM(G77:G82)</f>
        <v>69577</v>
      </c>
      <c r="H83" s="39"/>
    </row>
    <row r="84" spans="2:8" x14ac:dyDescent="0.2">
      <c r="B84" s="7"/>
      <c r="C84" s="39"/>
      <c r="D84" s="39"/>
      <c r="E84" s="39"/>
      <c r="F84" s="39"/>
      <c r="G84" s="39"/>
      <c r="H84" s="39"/>
    </row>
    <row r="87" spans="2:8" x14ac:dyDescent="0.2">
      <c r="B87" s="34" t="str">
        <f>+B83</f>
        <v>Net Operating Income</v>
      </c>
      <c r="C87" s="35">
        <f>+C83</f>
        <v>57477</v>
      </c>
      <c r="D87" s="35">
        <f>+D83</f>
        <v>79999.404761904763</v>
      </c>
      <c r="E87" s="35">
        <f>+E83</f>
        <v>46477</v>
      </c>
      <c r="F87" s="35">
        <f t="shared" ref="F87:G87" si="21">+F83</f>
        <v>52777</v>
      </c>
      <c r="G87" s="35">
        <f t="shared" si="21"/>
        <v>69577</v>
      </c>
      <c r="H87" s="35"/>
    </row>
    <row r="88" spans="2:8" x14ac:dyDescent="0.2">
      <c r="B88" s="36" t="s">
        <v>22</v>
      </c>
      <c r="C88" s="15">
        <v>580000</v>
      </c>
      <c r="D88" s="30">
        <f>C88</f>
        <v>580000</v>
      </c>
      <c r="E88" s="30">
        <f>C88</f>
        <v>580000</v>
      </c>
      <c r="F88" s="30">
        <f t="shared" ref="F88:G88" si="22">E88</f>
        <v>580000</v>
      </c>
      <c r="G88" s="30">
        <f t="shared" si="22"/>
        <v>580000</v>
      </c>
      <c r="H88" s="30"/>
    </row>
    <row r="89" spans="2:8" x14ac:dyDescent="0.2">
      <c r="B89" s="40" t="s">
        <v>23</v>
      </c>
      <c r="C89" s="41">
        <f>C87/C88</f>
        <v>9.9098275862068971E-2</v>
      </c>
      <c r="D89" s="41">
        <f>D87/D88</f>
        <v>0.13793000821018062</v>
      </c>
      <c r="E89" s="41">
        <f>E87/E88</f>
        <v>8.0132758620689651E-2</v>
      </c>
      <c r="F89" s="41">
        <f t="shared" ref="F89:G89" si="23">F87/F88</f>
        <v>9.0994827586206903E-2</v>
      </c>
      <c r="G89" s="42">
        <f t="shared" si="23"/>
        <v>0.1199603448275862</v>
      </c>
      <c r="H89" s="112"/>
    </row>
    <row r="91" spans="2:8" x14ac:dyDescent="0.2">
      <c r="C91" s="11" t="str">
        <f>+C75</f>
        <v>FY25</v>
      </c>
      <c r="D91" s="11" t="str">
        <f>+D75</f>
        <v>Clearing</v>
      </c>
      <c r="E91" s="11" t="str">
        <f>+E75</f>
        <v>NNN</v>
      </c>
      <c r="F91" s="11" t="str">
        <f t="shared" ref="F91:G91" si="24">+F75</f>
        <v>Low-End</v>
      </c>
      <c r="G91" s="11" t="str">
        <f t="shared" si="24"/>
        <v>Base-Rate</v>
      </c>
      <c r="H91" s="27"/>
    </row>
    <row r="92" spans="2:8" x14ac:dyDescent="0.2">
      <c r="B92" s="34" t="s">
        <v>25</v>
      </c>
      <c r="C92" s="30">
        <f>+C83</f>
        <v>57477</v>
      </c>
      <c r="D92" s="71">
        <f>D94*D93</f>
        <v>80000</v>
      </c>
      <c r="E92" s="30">
        <f>+E83</f>
        <v>46477</v>
      </c>
      <c r="F92" s="30">
        <f t="shared" ref="F92:G92" si="25">+F83</f>
        <v>52777</v>
      </c>
      <c r="G92" s="30">
        <f t="shared" si="25"/>
        <v>69577</v>
      </c>
      <c r="H92" s="30"/>
    </row>
    <row r="93" spans="2:8" x14ac:dyDescent="0.2">
      <c r="B93" s="36" t="s">
        <v>27</v>
      </c>
      <c r="C93" s="43">
        <v>0.08</v>
      </c>
      <c r="D93" s="44">
        <f>C93</f>
        <v>0.08</v>
      </c>
      <c r="E93" s="44">
        <f>C93</f>
        <v>0.08</v>
      </c>
      <c r="F93" s="44">
        <f>E93</f>
        <v>0.08</v>
      </c>
      <c r="G93" s="44">
        <f>F93</f>
        <v>0.08</v>
      </c>
      <c r="H93" s="44"/>
    </row>
    <row r="94" spans="2:8" x14ac:dyDescent="0.2">
      <c r="B94" s="40" t="s">
        <v>42</v>
      </c>
      <c r="C94" s="45">
        <f>C92/C93</f>
        <v>718462.5</v>
      </c>
      <c r="D94" s="101">
        <v>1000000</v>
      </c>
      <c r="E94" s="45">
        <f>E92/E93</f>
        <v>580962.5</v>
      </c>
      <c r="F94" s="45">
        <f t="shared" ref="F94:G94" si="26">F92/F93</f>
        <v>659712.5</v>
      </c>
      <c r="G94" s="50">
        <f t="shared" si="26"/>
        <v>869712.5</v>
      </c>
      <c r="H94" s="113"/>
    </row>
  </sheetData>
  <conditionalFormatting sqref="B1:I5 E6:I6 H7:I13 D8 D9:F9 E14:I16 H17:I20 B21:I21 E22:H23 I22:I28 H24:H28 B29:I32 I33:I36 B33:H38 I37:J37 I38 B39:I42 B43 C43:I45 B45:B52 E46:E48 C46:D52 F46:I52 E50:E52 B53:I54 C55:C57 D55:I59 B57:B64 C59:C60 C60:D60 F60:I60 D61:I64 C62:C64 B65:I77 B80:I80 B83:I84 B86:I95 I96:I107 B108:I1048576">
    <cfRule type="expression" dxfId="18" priority="8">
      <formula>$L$3=1</formula>
    </cfRule>
  </conditionalFormatting>
  <conditionalFormatting sqref="C7:F7 J35">
    <cfRule type="expression" dxfId="17" priority="5">
      <formula>$O$3=1</formula>
    </cfRule>
  </conditionalFormatting>
  <conditionalFormatting sqref="D17:G17">
    <cfRule type="expression" dxfId="16" priority="7">
      <formula>$L$3=1</formula>
    </cfRule>
  </conditionalFormatting>
  <conditionalFormatting sqref="D24:G24">
    <cfRule type="expression" dxfId="15" priority="6">
      <formula>$L$3=1</formula>
    </cfRule>
  </conditionalFormatting>
  <conditionalFormatting sqref="J59:J60">
    <cfRule type="expression" dxfId="14" priority="2">
      <formula>$L$3=1</formula>
    </cfRule>
  </conditionalFormatting>
  <hyperlinks>
    <hyperlink ref="J35" r:id="rId1" xr:uid="{E0A57258-5F4F-47A7-864A-E6A5617C9345}"/>
  </hyperlinks>
  <pageMargins left="0.7" right="0.7" top="0.75" bottom="0.75" header="0.3" footer="0.3"/>
  <pageSetup orientation="portrait" r:id="rId2"/>
  <colBreaks count="1" manualBreakCount="1">
    <brk id="8" min="1" max="5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E30B-43B2-48AD-A4F9-3A6156E23268}">
  <sheetPr>
    <tabColor theme="4" tint="0.79998168889431442"/>
    <pageSetUpPr fitToPage="1"/>
  </sheetPr>
  <dimension ref="B2:AB57"/>
  <sheetViews>
    <sheetView showGridLines="0" view="pageBreakPreview" zoomScaleNormal="160" zoomScaleSheetLayoutView="100" workbookViewId="0"/>
  </sheetViews>
  <sheetFormatPr defaultRowHeight="12" x14ac:dyDescent="0.2"/>
  <cols>
    <col min="1" max="1" width="1.7109375" style="103" customWidth="1"/>
    <col min="2" max="2" width="24" style="103" customWidth="1"/>
    <col min="3" max="3" width="10" style="103" bestFit="1" customWidth="1"/>
    <col min="4" max="4" width="12.28515625" style="103" bestFit="1" customWidth="1"/>
    <col min="5" max="5" width="8.85546875" style="103" bestFit="1" customWidth="1"/>
    <col min="6" max="6" width="10.42578125" style="103" bestFit="1" customWidth="1"/>
    <col min="7" max="7" width="13.5703125" style="103" bestFit="1" customWidth="1"/>
    <col min="8" max="8" width="12.85546875" style="103" bestFit="1" customWidth="1"/>
    <col min="9" max="9" width="13.42578125" style="103" bestFit="1" customWidth="1"/>
    <col min="10" max="10" width="4.28515625" style="103" customWidth="1"/>
    <col min="11" max="11" width="9.5703125" style="103" customWidth="1"/>
    <col min="12" max="16384" width="9.140625" style="103"/>
  </cols>
  <sheetData>
    <row r="2" spans="2:14" ht="16.5" x14ac:dyDescent="0.25">
      <c r="B2" s="104" t="str">
        <f>+Cover!B24</f>
        <v>Sunshine Commercial Investments</v>
      </c>
    </row>
    <row r="3" spans="2:14" x14ac:dyDescent="0.2">
      <c r="B3" s="9" t="s">
        <v>113</v>
      </c>
      <c r="C3" s="105"/>
      <c r="D3" s="105"/>
      <c r="E3" s="105"/>
      <c r="F3" s="105"/>
      <c r="G3" s="105"/>
      <c r="H3" s="105"/>
      <c r="I3" s="105"/>
    </row>
    <row r="4" spans="2:14" x14ac:dyDescent="0.2">
      <c r="K4" s="103" t="s">
        <v>7</v>
      </c>
      <c r="L4" s="21">
        <v>1</v>
      </c>
    </row>
    <row r="5" spans="2:14" x14ac:dyDescent="0.2">
      <c r="B5" s="33" t="s">
        <v>20</v>
      </c>
      <c r="C5" s="29"/>
    </row>
    <row r="6" spans="2:14" x14ac:dyDescent="0.2">
      <c r="B6" s="29" t="str">
        <f>+'Tennant View'!B23</f>
        <v>Total Current Rent</v>
      </c>
      <c r="C6" s="30">
        <f>+'Tennant View'!C33</f>
        <v>60900</v>
      </c>
    </row>
    <row r="7" spans="2:14" x14ac:dyDescent="0.2">
      <c r="B7" s="29" t="s">
        <v>19</v>
      </c>
      <c r="C7" s="17">
        <v>8400</v>
      </c>
    </row>
    <row r="8" spans="2:14" x14ac:dyDescent="0.2">
      <c r="B8" s="40" t="s">
        <v>20</v>
      </c>
      <c r="C8" s="46">
        <f>C6/C7</f>
        <v>7.25</v>
      </c>
    </row>
    <row r="9" spans="2:14" x14ac:dyDescent="0.2">
      <c r="B9" s="28"/>
      <c r="C9" s="29"/>
    </row>
    <row r="10" spans="2:14" x14ac:dyDescent="0.2">
      <c r="B10" s="11" t="s">
        <v>180</v>
      </c>
      <c r="C10" s="11" t="s">
        <v>181</v>
      </c>
      <c r="D10" s="11" t="s">
        <v>183</v>
      </c>
      <c r="E10" s="11" t="s">
        <v>184</v>
      </c>
      <c r="F10" s="11" t="s">
        <v>185</v>
      </c>
      <c r="G10" s="11" t="s">
        <v>117</v>
      </c>
      <c r="H10" s="11" t="s">
        <v>186</v>
      </c>
      <c r="I10" s="11" t="s">
        <v>119</v>
      </c>
    </row>
    <row r="11" spans="2:14" x14ac:dyDescent="0.2">
      <c r="B11" s="142" t="s">
        <v>212</v>
      </c>
      <c r="C11" s="108" t="s">
        <v>204</v>
      </c>
      <c r="D11" s="108">
        <v>800</v>
      </c>
      <c r="E11" s="108">
        <v>1998</v>
      </c>
      <c r="F11" s="108" t="s">
        <v>192</v>
      </c>
      <c r="G11" s="183">
        <v>19.5</v>
      </c>
      <c r="H11" s="183">
        <v>4.97</v>
      </c>
      <c r="I11" s="168">
        <v>24.47</v>
      </c>
      <c r="N11" s="178" t="s">
        <v>212</v>
      </c>
    </row>
    <row r="12" spans="2:14" x14ac:dyDescent="0.2">
      <c r="B12" s="142" t="s">
        <v>200</v>
      </c>
      <c r="C12" s="108" t="s">
        <v>201</v>
      </c>
      <c r="D12" s="179">
        <v>1062</v>
      </c>
      <c r="E12" s="108">
        <v>2004</v>
      </c>
      <c r="F12" s="108" t="s">
        <v>198</v>
      </c>
      <c r="G12" s="183">
        <v>18.5</v>
      </c>
      <c r="H12" s="215" t="s">
        <v>193</v>
      </c>
      <c r="I12" s="215" t="s">
        <v>193</v>
      </c>
      <c r="N12" s="178" t="s">
        <v>200</v>
      </c>
    </row>
    <row r="13" spans="2:14" x14ac:dyDescent="0.2">
      <c r="B13" s="142" t="s">
        <v>187</v>
      </c>
      <c r="C13" s="108" t="s">
        <v>188</v>
      </c>
      <c r="D13" s="179">
        <v>1291</v>
      </c>
      <c r="E13" s="108">
        <v>2004</v>
      </c>
      <c r="F13" s="108" t="s">
        <v>190</v>
      </c>
      <c r="G13" s="183">
        <v>18</v>
      </c>
      <c r="H13" s="183">
        <v>2.93</v>
      </c>
      <c r="I13" s="168">
        <f>G13+H13</f>
        <v>20.93</v>
      </c>
      <c r="N13" s="178" t="s">
        <v>187</v>
      </c>
    </row>
    <row r="14" spans="2:14" x14ac:dyDescent="0.2">
      <c r="B14" s="142" t="s">
        <v>191</v>
      </c>
      <c r="C14" s="108" t="s">
        <v>188</v>
      </c>
      <c r="D14" s="179">
        <v>3110</v>
      </c>
      <c r="E14" s="108">
        <v>1951</v>
      </c>
      <c r="F14" s="108" t="s">
        <v>192</v>
      </c>
      <c r="G14" s="183">
        <v>18</v>
      </c>
      <c r="H14" s="215" t="s">
        <v>193</v>
      </c>
      <c r="I14" s="215" t="s">
        <v>193</v>
      </c>
      <c r="N14" s="178" t="s">
        <v>191</v>
      </c>
    </row>
    <row r="15" spans="2:14" x14ac:dyDescent="0.2">
      <c r="B15" s="142" t="s">
        <v>208</v>
      </c>
      <c r="C15" s="108" t="s">
        <v>204</v>
      </c>
      <c r="D15" s="179">
        <v>1452</v>
      </c>
      <c r="E15" s="108">
        <v>1987</v>
      </c>
      <c r="F15" s="108" t="s">
        <v>192</v>
      </c>
      <c r="G15" s="183">
        <v>17.5</v>
      </c>
      <c r="H15" s="183">
        <v>3.5</v>
      </c>
      <c r="I15" s="168">
        <f>G15+H15</f>
        <v>21</v>
      </c>
      <c r="J15" s="184"/>
      <c r="N15" s="178" t="s">
        <v>208</v>
      </c>
    </row>
    <row r="16" spans="2:14" x14ac:dyDescent="0.2">
      <c r="B16" s="142" t="s">
        <v>214</v>
      </c>
      <c r="C16" s="108" t="s">
        <v>204</v>
      </c>
      <c r="D16" s="179">
        <v>1200</v>
      </c>
      <c r="E16" s="108">
        <v>1990</v>
      </c>
      <c r="F16" s="108" t="s">
        <v>192</v>
      </c>
      <c r="G16" s="183">
        <v>16.5</v>
      </c>
      <c r="H16" s="215" t="s">
        <v>193</v>
      </c>
      <c r="I16" s="215" t="s">
        <v>193</v>
      </c>
      <c r="N16" s="178" t="s">
        <v>214</v>
      </c>
    </row>
    <row r="17" spans="2:14" x14ac:dyDescent="0.2">
      <c r="B17" s="142" t="s">
        <v>196</v>
      </c>
      <c r="C17" s="108" t="s">
        <v>197</v>
      </c>
      <c r="D17" s="179">
        <v>1861</v>
      </c>
      <c r="E17" s="108">
        <v>1985</v>
      </c>
      <c r="F17" s="108" t="s">
        <v>198</v>
      </c>
      <c r="G17" s="183">
        <v>16</v>
      </c>
      <c r="H17" s="215" t="s">
        <v>193</v>
      </c>
      <c r="I17" s="215" t="s">
        <v>193</v>
      </c>
      <c r="N17" s="178" t="s">
        <v>196</v>
      </c>
    </row>
    <row r="18" spans="2:14" x14ac:dyDescent="0.2">
      <c r="B18" s="142" t="s">
        <v>211</v>
      </c>
      <c r="C18" s="108" t="s">
        <v>204</v>
      </c>
      <c r="D18" s="179">
        <v>1100</v>
      </c>
      <c r="E18" s="108">
        <v>2004</v>
      </c>
      <c r="F18" s="108" t="s">
        <v>198</v>
      </c>
      <c r="G18" s="183">
        <v>16</v>
      </c>
      <c r="H18" s="183">
        <v>4.5</v>
      </c>
      <c r="I18" s="168">
        <v>20.5</v>
      </c>
      <c r="N18" s="178" t="s">
        <v>211</v>
      </c>
    </row>
    <row r="19" spans="2:14" x14ac:dyDescent="0.2">
      <c r="B19" s="142" t="s">
        <v>207</v>
      </c>
      <c r="C19" s="108" t="s">
        <v>204</v>
      </c>
      <c r="D19" s="179">
        <v>3600</v>
      </c>
      <c r="E19" s="108">
        <v>1995</v>
      </c>
      <c r="F19" s="108" t="s">
        <v>192</v>
      </c>
      <c r="G19" s="183">
        <v>15.25</v>
      </c>
      <c r="H19" s="183">
        <v>4</v>
      </c>
      <c r="I19" s="168">
        <f>H19+G19</f>
        <v>19.25</v>
      </c>
      <c r="N19" s="178" t="s">
        <v>207</v>
      </c>
    </row>
    <row r="20" spans="2:14" x14ac:dyDescent="0.2">
      <c r="B20" s="142" t="s">
        <v>194</v>
      </c>
      <c r="C20" s="108" t="s">
        <v>188</v>
      </c>
      <c r="D20" s="179">
        <v>2147</v>
      </c>
      <c r="E20" s="108">
        <v>1960</v>
      </c>
      <c r="F20" s="108" t="s">
        <v>195</v>
      </c>
      <c r="G20" s="183">
        <v>15</v>
      </c>
      <c r="H20" s="183">
        <v>2.25</v>
      </c>
      <c r="I20" s="168">
        <f>G20+H20</f>
        <v>17.25</v>
      </c>
      <c r="N20" s="178" t="s">
        <v>194</v>
      </c>
    </row>
    <row r="21" spans="2:14" x14ac:dyDescent="0.2">
      <c r="B21" s="142" t="s">
        <v>213</v>
      </c>
      <c r="C21" s="108" t="s">
        <v>204</v>
      </c>
      <c r="D21" s="179">
        <v>1300</v>
      </c>
      <c r="E21" s="108">
        <v>1974</v>
      </c>
      <c r="F21" s="108" t="s">
        <v>192</v>
      </c>
      <c r="G21" s="183">
        <v>14.5</v>
      </c>
      <c r="H21" s="215" t="s">
        <v>193</v>
      </c>
      <c r="I21" s="215" t="s">
        <v>193</v>
      </c>
      <c r="N21" s="178" t="s">
        <v>213</v>
      </c>
    </row>
    <row r="22" spans="2:14" x14ac:dyDescent="0.2">
      <c r="B22" s="142" t="s">
        <v>203</v>
      </c>
      <c r="C22" s="108" t="s">
        <v>204</v>
      </c>
      <c r="D22" s="179">
        <v>7800</v>
      </c>
      <c r="E22" s="108">
        <v>1985</v>
      </c>
      <c r="F22" s="108" t="s">
        <v>192</v>
      </c>
      <c r="G22" s="183">
        <v>14</v>
      </c>
      <c r="H22" s="183">
        <v>4.5</v>
      </c>
      <c r="I22" s="168">
        <f>+H22+G22</f>
        <v>18.5</v>
      </c>
      <c r="N22" s="178" t="s">
        <v>203</v>
      </c>
    </row>
    <row r="23" spans="2:14" x14ac:dyDescent="0.2">
      <c r="B23" s="142" t="s">
        <v>209</v>
      </c>
      <c r="C23" s="108" t="s">
        <v>204</v>
      </c>
      <c r="D23" s="108">
        <v>900</v>
      </c>
      <c r="E23" s="108">
        <v>1952</v>
      </c>
      <c r="F23" s="108" t="s">
        <v>192</v>
      </c>
      <c r="G23" s="183">
        <v>13.5</v>
      </c>
      <c r="H23" s="183">
        <v>3.75</v>
      </c>
      <c r="I23" s="168">
        <f>+H23+G23</f>
        <v>17.25</v>
      </c>
      <c r="N23" s="178" t="s">
        <v>209</v>
      </c>
    </row>
    <row r="24" spans="2:14" x14ac:dyDescent="0.2">
      <c r="B24" s="142" t="s">
        <v>210</v>
      </c>
      <c r="C24" s="108" t="s">
        <v>204</v>
      </c>
      <c r="D24" s="179">
        <v>1300</v>
      </c>
      <c r="E24" s="108">
        <v>1984</v>
      </c>
      <c r="F24" s="108" t="s">
        <v>192</v>
      </c>
      <c r="G24" s="183">
        <v>13.5</v>
      </c>
      <c r="H24" s="183">
        <v>3</v>
      </c>
      <c r="I24" s="168">
        <v>16.5</v>
      </c>
      <c r="N24" s="178" t="s">
        <v>210</v>
      </c>
    </row>
    <row r="25" spans="2:14" x14ac:dyDescent="0.2">
      <c r="B25" s="187" t="s">
        <v>217</v>
      </c>
      <c r="C25" s="188"/>
      <c r="D25" s="192"/>
      <c r="E25" s="188"/>
      <c r="F25" s="188"/>
      <c r="G25" s="193">
        <f>AVERAGE(G11:G24)</f>
        <v>16.125</v>
      </c>
      <c r="H25" s="193">
        <f t="shared" ref="H25:I25" si="0">AVERAGE(H11:H24)</f>
        <v>3.7111111111111108</v>
      </c>
      <c r="I25" s="194">
        <f t="shared" si="0"/>
        <v>19.516666666666666</v>
      </c>
      <c r="J25" s="180"/>
    </row>
    <row r="26" spans="2:14" x14ac:dyDescent="0.2">
      <c r="B26" s="189" t="s">
        <v>218</v>
      </c>
      <c r="C26" s="190" t="s">
        <v>188</v>
      </c>
      <c r="D26" s="191">
        <f>+C7</f>
        <v>8400</v>
      </c>
      <c r="E26" s="190">
        <v>1965</v>
      </c>
      <c r="F26" s="190" t="s">
        <v>192</v>
      </c>
      <c r="G26" s="195">
        <v>7.25</v>
      </c>
      <c r="H26" s="214">
        <v>0</v>
      </c>
      <c r="I26" s="196">
        <v>7.25</v>
      </c>
    </row>
    <row r="27" spans="2:14" x14ac:dyDescent="0.2">
      <c r="C27" s="27"/>
      <c r="D27" s="186"/>
      <c r="E27" s="27"/>
      <c r="F27" s="27"/>
      <c r="G27" s="201"/>
      <c r="H27" s="184"/>
      <c r="I27" s="201"/>
    </row>
    <row r="28" spans="2:14" x14ac:dyDescent="0.2">
      <c r="B28" s="24" t="s">
        <v>220</v>
      </c>
      <c r="C28" s="25"/>
      <c r="D28" s="25"/>
      <c r="E28" s="25"/>
      <c r="F28" s="27"/>
      <c r="G28" s="27"/>
      <c r="H28" s="27"/>
    </row>
    <row r="29" spans="2:14" ht="3.95" customHeight="1" x14ac:dyDescent="0.2">
      <c r="B29" s="7"/>
      <c r="C29" s="6"/>
      <c r="D29" s="6"/>
      <c r="E29" s="6"/>
      <c r="F29" s="6"/>
      <c r="G29" s="6"/>
      <c r="H29" s="6"/>
      <c r="I29" s="6"/>
    </row>
    <row r="30" spans="2:14" x14ac:dyDescent="0.2">
      <c r="B30" s="185"/>
      <c r="C30" s="211" t="s">
        <v>219</v>
      </c>
      <c r="D30" s="203" t="s">
        <v>52</v>
      </c>
      <c r="E30" s="12"/>
      <c r="F30" s="27"/>
      <c r="G30" s="201"/>
      <c r="H30" s="184"/>
      <c r="I30" s="201"/>
    </row>
    <row r="31" spans="2:14" x14ac:dyDescent="0.2">
      <c r="C31" s="212" t="s">
        <v>119</v>
      </c>
      <c r="D31" s="146" t="s">
        <v>117</v>
      </c>
      <c r="E31" s="204" t="s">
        <v>119</v>
      </c>
      <c r="F31" s="27"/>
      <c r="H31" s="202"/>
    </row>
    <row r="32" spans="2:14" x14ac:dyDescent="0.2">
      <c r="B32" s="205" t="s">
        <v>221</v>
      </c>
      <c r="C32" s="207">
        <f>+C6/1000</f>
        <v>60.9</v>
      </c>
      <c r="D32" s="206">
        <f>$C$32*(1+D$33)</f>
        <v>135.44999999999999</v>
      </c>
      <c r="E32" s="207">
        <f>$C$32*(1+E$33)</f>
        <v>163.94</v>
      </c>
      <c r="F32" s="27"/>
      <c r="G32" s="202"/>
      <c r="H32" s="202"/>
      <c r="I32" s="202"/>
    </row>
    <row r="33" spans="2:28" x14ac:dyDescent="0.2">
      <c r="B33" s="208" t="s">
        <v>37</v>
      </c>
      <c r="C33" s="213"/>
      <c r="D33" s="209">
        <f>G25/G26-1</f>
        <v>1.2241379310344827</v>
      </c>
      <c r="E33" s="210">
        <f>I25/I26-1</f>
        <v>1.6919540229885057</v>
      </c>
      <c r="F33" s="27"/>
      <c r="G33" s="202"/>
      <c r="H33" s="202"/>
      <c r="I33" s="202"/>
    </row>
    <row r="34" spans="2:28" x14ac:dyDescent="0.2">
      <c r="B34" s="185"/>
      <c r="C34" s="27"/>
      <c r="D34" s="186"/>
      <c r="E34" s="27"/>
      <c r="F34" s="27"/>
      <c r="G34" s="202"/>
      <c r="H34" s="202"/>
      <c r="I34" s="202"/>
    </row>
    <row r="35" spans="2:28" x14ac:dyDescent="0.2">
      <c r="B35" s="185"/>
      <c r="C35" s="27"/>
      <c r="D35" s="186"/>
      <c r="E35" s="27"/>
      <c r="F35" s="27"/>
      <c r="G35" s="202"/>
      <c r="H35" s="202"/>
      <c r="I35" s="202"/>
    </row>
    <row r="36" spans="2:28" x14ac:dyDescent="0.2">
      <c r="B36" s="197"/>
      <c r="C36" s="198"/>
      <c r="D36" s="199"/>
      <c r="E36" s="198"/>
      <c r="F36" s="198"/>
      <c r="G36" s="200"/>
      <c r="H36" s="200"/>
      <c r="I36" s="200"/>
    </row>
    <row r="37" spans="2:28" x14ac:dyDescent="0.2">
      <c r="G37" s="162">
        <v>1000</v>
      </c>
    </row>
    <row r="38" spans="2:28" x14ac:dyDescent="0.2">
      <c r="G38" s="162">
        <f>G37/20</f>
        <v>50</v>
      </c>
    </row>
    <row r="39" spans="2:28" x14ac:dyDescent="0.2">
      <c r="B39" s="33" t="s">
        <v>21</v>
      </c>
      <c r="C39" s="29"/>
      <c r="G39" s="216">
        <f>G37*0.065</f>
        <v>65</v>
      </c>
      <c r="AB39" s="37" t="s">
        <v>30</v>
      </c>
    </row>
    <row r="40" spans="2:28" x14ac:dyDescent="0.2">
      <c r="B40" s="34" t="s">
        <v>28</v>
      </c>
      <c r="C40" s="47">
        <v>8</v>
      </c>
      <c r="G40" s="162">
        <f>+G39+G38</f>
        <v>115</v>
      </c>
    </row>
    <row r="41" spans="2:28" x14ac:dyDescent="0.2">
      <c r="B41" s="34" t="s">
        <v>34</v>
      </c>
      <c r="C41" s="47">
        <v>10</v>
      </c>
    </row>
    <row r="42" spans="2:28" x14ac:dyDescent="0.2">
      <c r="B42" s="34" t="s">
        <v>29</v>
      </c>
      <c r="C42" s="47">
        <v>14</v>
      </c>
    </row>
    <row r="44" spans="2:28" x14ac:dyDescent="0.2">
      <c r="B44" s="29"/>
      <c r="C44" s="48" t="s">
        <v>33</v>
      </c>
      <c r="D44" s="48" t="s">
        <v>34</v>
      </c>
    </row>
    <row r="45" spans="2:28" x14ac:dyDescent="0.2">
      <c r="B45" s="33" t="s">
        <v>32</v>
      </c>
      <c r="C45" s="32"/>
      <c r="D45" s="29"/>
    </row>
    <row r="46" spans="2:28" x14ac:dyDescent="0.2">
      <c r="B46" s="34" t="s">
        <v>35</v>
      </c>
      <c r="C46" s="49">
        <f>+'Market Rent Analysis'!C40</f>
        <v>8</v>
      </c>
      <c r="D46" s="49">
        <f>+'Market Rent Analysis'!C41</f>
        <v>10</v>
      </c>
    </row>
    <row r="47" spans="2:28" x14ac:dyDescent="0.2">
      <c r="B47" s="36" t="s">
        <v>36</v>
      </c>
      <c r="C47" s="35">
        <f>+'Market Rent Analysis'!C7</f>
        <v>8400</v>
      </c>
      <c r="D47" s="35">
        <f>C47</f>
        <v>8400</v>
      </c>
    </row>
    <row r="48" spans="2:28" x14ac:dyDescent="0.2">
      <c r="B48" s="51" t="s">
        <v>31</v>
      </c>
      <c r="C48" s="52">
        <f>C46*C47</f>
        <v>67200</v>
      </c>
      <c r="D48" s="53">
        <f>D46*D47</f>
        <v>84000</v>
      </c>
    </row>
    <row r="49" spans="2:10" x14ac:dyDescent="0.2">
      <c r="B49" s="54" t="s">
        <v>37</v>
      </c>
      <c r="C49" s="55">
        <f>C48/'Market Rent Analysis'!$C$6-1</f>
        <v>0.10344827586206895</v>
      </c>
      <c r="D49" s="56">
        <f>D48/'Market Rent Analysis'!$C$6-1</f>
        <v>0.3793103448275863</v>
      </c>
    </row>
    <row r="52" spans="2:10" ht="12.75" thickBot="1" x14ac:dyDescent="0.25"/>
    <row r="53" spans="2:10" ht="12.75" thickBot="1" x14ac:dyDescent="0.25">
      <c r="B53" s="177" t="s">
        <v>180</v>
      </c>
      <c r="C53" s="177" t="s">
        <v>181</v>
      </c>
      <c r="D53" s="177" t="s">
        <v>182</v>
      </c>
      <c r="E53" s="177" t="s">
        <v>183</v>
      </c>
      <c r="F53" s="177" t="s">
        <v>184</v>
      </c>
      <c r="G53" s="177" t="s">
        <v>185</v>
      </c>
      <c r="H53" s="177" t="s">
        <v>117</v>
      </c>
      <c r="I53" s="177" t="s">
        <v>186</v>
      </c>
      <c r="J53" s="177" t="s">
        <v>119</v>
      </c>
    </row>
    <row r="54" spans="2:10" x14ac:dyDescent="0.2">
      <c r="B54" s="178" t="s">
        <v>205</v>
      </c>
      <c r="C54" s="108" t="s">
        <v>204</v>
      </c>
      <c r="D54" s="108" t="s">
        <v>189</v>
      </c>
      <c r="E54" s="179">
        <v>26000</v>
      </c>
      <c r="F54" s="108">
        <v>1998</v>
      </c>
      <c r="G54" s="108" t="s">
        <v>206</v>
      </c>
      <c r="H54" s="108" t="s">
        <v>193</v>
      </c>
      <c r="I54" s="108" t="s">
        <v>193</v>
      </c>
      <c r="J54" s="180">
        <v>10</v>
      </c>
    </row>
    <row r="55" spans="2:10" x14ac:dyDescent="0.2">
      <c r="B55" s="178" t="s">
        <v>199</v>
      </c>
      <c r="C55" s="108" t="s">
        <v>188</v>
      </c>
      <c r="D55" s="108" t="s">
        <v>189</v>
      </c>
      <c r="E55" s="179">
        <v>23800</v>
      </c>
      <c r="F55" s="108">
        <v>1998</v>
      </c>
      <c r="G55" s="108" t="s">
        <v>192</v>
      </c>
      <c r="H55" s="108" t="s">
        <v>193</v>
      </c>
      <c r="I55" s="108" t="s">
        <v>193</v>
      </c>
      <c r="J55" s="180">
        <v>9.07</v>
      </c>
    </row>
    <row r="56" spans="2:10" x14ac:dyDescent="0.2">
      <c r="B56" s="178" t="s">
        <v>202</v>
      </c>
      <c r="C56" s="108" t="s">
        <v>188</v>
      </c>
      <c r="D56" s="108" t="s">
        <v>189</v>
      </c>
      <c r="E56" s="179">
        <v>17147</v>
      </c>
      <c r="F56" s="108">
        <v>2004</v>
      </c>
      <c r="G56" s="108" t="s">
        <v>192</v>
      </c>
      <c r="H56" s="108" t="s">
        <v>193</v>
      </c>
      <c r="I56" s="108" t="s">
        <v>193</v>
      </c>
      <c r="J56" s="180">
        <v>20.25</v>
      </c>
    </row>
    <row r="57" spans="2:10" x14ac:dyDescent="0.2">
      <c r="B57" s="178" t="s">
        <v>215</v>
      </c>
      <c r="C57" s="108" t="s">
        <v>204</v>
      </c>
      <c r="D57" s="179">
        <v>4380</v>
      </c>
      <c r="E57" s="108">
        <v>2000</v>
      </c>
      <c r="F57" s="108" t="s">
        <v>216</v>
      </c>
      <c r="G57" s="182"/>
      <c r="H57" s="182"/>
      <c r="I57" s="181">
        <v>19.5</v>
      </c>
    </row>
  </sheetData>
  <autoFilter ref="B10:I24" xr:uid="{1FB2E30B-43B2-48AD-A4F9-3A6156E23268}">
    <sortState xmlns:xlrd2="http://schemas.microsoft.com/office/spreadsheetml/2017/richdata2" ref="B11:I24">
      <sortCondition descending="1" ref="G10:G24"/>
    </sortState>
  </autoFilter>
  <conditionalFormatting sqref="A1:I26 C27:I27 A27:A29 A30:I30 C31:F31 H31 A31:A32 C32 F32:I32 A33:I1048576">
    <cfRule type="expression" dxfId="13" priority="4">
      <formula>$L$4=1</formula>
    </cfRule>
  </conditionalFormatting>
  <conditionalFormatting sqref="B5:C9 B39:C42">
    <cfRule type="expression" dxfId="12" priority="6">
      <formula>$O$3=1</formula>
    </cfRule>
  </conditionalFormatting>
  <conditionalFormatting sqref="B44:D49">
    <cfRule type="expression" dxfId="11" priority="5">
      <formula>$O$3=1</formula>
    </cfRule>
  </conditionalFormatting>
  <conditionalFormatting sqref="B28:E28">
    <cfRule type="expression" dxfId="10" priority="2">
      <formula>$L$3=1</formula>
    </cfRule>
  </conditionalFormatting>
  <conditionalFormatting sqref="B29:I29">
    <cfRule type="expression" dxfId="9" priority="3">
      <formula>$L$3=1</formula>
    </cfRule>
  </conditionalFormatting>
  <conditionalFormatting sqref="F28:H28">
    <cfRule type="expression" dxfId="8" priority="1">
      <formula>$L$4=1</formula>
    </cfRule>
  </conditionalFormatting>
  <hyperlinks>
    <hyperlink ref="AB39" r:id="rId1" xr:uid="{4B710544-674F-4FA8-B4DA-FA56D45B41A8}"/>
    <hyperlink ref="N13" r:id="rId2" display="https://images1.showcase.com/d2/U58AwmkgF_g4BHqXRoaY2zWjcW587hcIc0SDZnhqjG8/document.pdf" xr:uid="{FF0ACEDF-8052-441A-BB31-4CD7A16376EC}"/>
    <hyperlink ref="N14" r:id="rId3" display="https://images1.showcase.com/d2/pXEIMbMHsymva01Ik1UijAX2-FJx8fSLA-bjw5RFP1Y/document.pdf" xr:uid="{B6ECB7A9-FC41-4304-BDE6-DFC21C69FF8A}"/>
    <hyperlink ref="N20" r:id="rId4" display="https://realmo.com/listing/4848-ward-basin-rd-milton-fl-32583/11844022" xr:uid="{1A748C44-B029-463F-A02F-7E425D9B9644}"/>
    <hyperlink ref="N17" r:id="rId5" display="https://www.commercialsearch.com/commercial-property/us/fl/gulf-breeze/quietwater-bldg-1-suite-360-1/" xr:uid="{DC81D6D2-FE51-4833-A7F6-B0705A097D5D}"/>
    <hyperlink ref="B55" r:id="rId6" display="https://www.loopnet.com/Listing/8165-Progress-Dr-Milton-FL/30005179/" xr:uid="{BDE22254-1310-4C85-8928-08457AF0B6FE}"/>
    <hyperlink ref="N12" r:id="rId7" display="https://www.showcase.com/4628-summerdale-blvd-pace-fl-32571/38694774/" xr:uid="{39B14ED8-9222-4594-BA08-C5B5868F7581}"/>
    <hyperlink ref="B56" r:id="rId8" display="https://www.commercialcafe.com/commercial-property/us/fl/milton/5941-berryhill-road/" xr:uid="{93565C65-A382-4459-99B0-A72A4283B2EF}"/>
    <hyperlink ref="N22" r:id="rId9" display="https://www.cityfeet.com/cont/listing/4455-4497-mobile-hwy-pensacola-fl-32506/cs38731909?sk=b311911553034653a9bdd77920e80854" xr:uid="{8F31FACF-D09F-4253-8490-EE5DAE33422C}"/>
    <hyperlink ref="B54" r:id="rId10" display="https://www.cityfeet.com/cont/listing/50-s-blue-angel-pky-pensacola-fl-32506/cs25756394?sk=b311911553034653a9bdd77920e80854" xr:uid="{203F84B7-7412-4A8A-A424-F7706911895E}"/>
    <hyperlink ref="N19" r:id="rId11" display="https://www.cityfeet.com/cont/listing/275-w-airport-blvd-pensacola-fl-32505/cs40987829?sk=185fd027efce440283b13b848915a18a" xr:uid="{86B48B92-6BB1-4FF1-919D-A1CCB7D1C2D7}"/>
    <hyperlink ref="N15" r:id="rId12" display="https://www.cityfeet.com/cont/listing/5700-n-davis-hwy-pensacola-fl-32503/cs40677665?sk=185fd027efce440283b13b848915a18a" xr:uid="{7E9DDA30-C5F4-4138-BD3A-6DCD6EEF2D6D}"/>
    <hyperlink ref="N23" r:id="rId13" display="https://www.cityfeet.com/cont/listing/3620-3642-barrancas-ave-pensacola-fl-32507/cs27522007?sk=185fd027efce440283b13b848915a18a" xr:uid="{A8280557-5592-4DA2-8302-A4A9AAD688F3}"/>
    <hyperlink ref="N24" r:id="rId14" display="https://www.cityfeet.com/cont/listing/3960-w-navy-blvd-pensacola-fl-32507/cs28730232?sk=185fd027efce440283b13b848915a18a" xr:uid="{774B25CF-9CD3-4406-A33D-FC09A93C893C}"/>
    <hyperlink ref="N18" r:id="rId15" display="https://www.cityfeet.com/cont/listing/5022-w-fairfield-dr-pensacola-fl-32506/cs26762393?sk=61aecbefa81547bfbc1e933bb9b10fb7" xr:uid="{5A91DD6B-CBC3-4056-A8E2-ECEFAB8C50F6}"/>
    <hyperlink ref="N11" r:id="rId16" display="https://www.cityfeet.com/cont/listing/2115-w-9-mile-rd-pensacola-fl-32534/cs26548218?sk=61aecbefa81547bfbc1e933bb9b10fb7" xr:uid="{E186153D-4E56-459E-B158-AC5D5D99D5FF}"/>
    <hyperlink ref="N21" r:id="rId17" display="https://www.cityfeet.com/cont/listing/8602-8612-pensacola-blvd-pensacola-fl-32534/cs40869959?sk=61aecbefa81547bfbc1e933bb9b10fb7" xr:uid="{7209C271-60D7-43D8-8D9D-58B7E88EC9E2}"/>
    <hyperlink ref="N16" r:id="rId18" display="https://www.cityfeet.com/cont/listing/7000-pine-forest-rd-pensacola-fl-32526/cs39432918?sk=61aecbefa81547bfbc1e933bb9b10fb7" xr:uid="{73435382-76D8-43B1-8480-FD6E77DDAFC9}"/>
    <hyperlink ref="B57" r:id="rId19" display="https://www.cityfeet.com/cont/listing/1421-e-nine-mile-rd-pensacola-fl-32514/cs39301999?sk=4c70f067e93f47c6a62fba83a9a2e2b3" xr:uid="{B250DCCA-B6AA-4DB7-A4CD-C09B90CED2A7}"/>
  </hyperlinks>
  <pageMargins left="0.7" right="0.7" top="0.75" bottom="0.75" header="0.3" footer="0.3"/>
  <pageSetup orientation="landscape" r:id="rId20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F843-6AF7-4DD3-8CB8-D4372E3AEBBE}">
  <sheetPr>
    <tabColor rgb="FFC00000"/>
    <pageSetUpPr fitToPage="1"/>
  </sheetPr>
  <dimension ref="B2:L48"/>
  <sheetViews>
    <sheetView showGridLines="0" view="pageBreakPreview" zoomScale="175" zoomScaleNormal="145" zoomScaleSheetLayoutView="175" workbookViewId="0"/>
  </sheetViews>
  <sheetFormatPr defaultRowHeight="12" x14ac:dyDescent="0.2"/>
  <cols>
    <col min="1" max="1" width="1.7109375" style="6" customWidth="1"/>
    <col min="2" max="2" width="20.5703125" style="6" customWidth="1"/>
    <col min="3" max="8" width="9.5703125" style="6" customWidth="1"/>
    <col min="9" max="9" width="0.85546875" style="6" customWidth="1"/>
    <col min="10" max="10" width="4.42578125" style="6" customWidth="1"/>
    <col min="11" max="16384" width="9.140625" style="6"/>
  </cols>
  <sheetData>
    <row r="2" spans="2:12" ht="15.75" x14ac:dyDescent="0.25">
      <c r="B2" s="8" t="str">
        <f>+Cover!B24</f>
        <v>Sunshine Commercial Investments</v>
      </c>
    </row>
    <row r="3" spans="2:12" x14ac:dyDescent="0.2">
      <c r="B3" s="9" t="s">
        <v>112</v>
      </c>
      <c r="C3" s="10"/>
      <c r="D3" s="10"/>
      <c r="E3" s="10"/>
      <c r="F3" s="10"/>
      <c r="G3" s="10"/>
      <c r="H3" s="10"/>
      <c r="K3" s="6" t="s">
        <v>7</v>
      </c>
      <c r="L3" s="21">
        <v>0</v>
      </c>
    </row>
    <row r="5" spans="2:12" x14ac:dyDescent="0.2">
      <c r="B5" s="24" t="s">
        <v>14</v>
      </c>
      <c r="C5" s="25"/>
      <c r="D5" s="25"/>
      <c r="E5" s="25"/>
      <c r="F5" s="25"/>
      <c r="G5" s="25"/>
      <c r="H5" s="25"/>
      <c r="I5" s="25"/>
    </row>
    <row r="6" spans="2:12" ht="3.95" customHeight="1" x14ac:dyDescent="0.2"/>
    <row r="7" spans="2:12" x14ac:dyDescent="0.2">
      <c r="C7" s="58" t="s">
        <v>161</v>
      </c>
      <c r="D7" s="13"/>
      <c r="E7" s="13"/>
      <c r="F7" s="13"/>
      <c r="G7" s="13"/>
    </row>
    <row r="8" spans="2:12" x14ac:dyDescent="0.2">
      <c r="C8" s="146" t="s">
        <v>17</v>
      </c>
      <c r="D8" s="11" t="s">
        <v>111</v>
      </c>
      <c r="E8" s="146" t="s">
        <v>26</v>
      </c>
      <c r="F8" s="11" t="s">
        <v>33</v>
      </c>
      <c r="G8" s="11" t="s">
        <v>34</v>
      </c>
    </row>
    <row r="9" spans="2:12" ht="12" customHeight="1" x14ac:dyDescent="0.2">
      <c r="B9" s="103" t="s">
        <v>158</v>
      </c>
      <c r="C9" s="147">
        <f>+'CRE P&amp;L'!C17</f>
        <v>7.25</v>
      </c>
      <c r="E9" s="147">
        <f>+'CRE P&amp;L'!C17</f>
        <v>7.25</v>
      </c>
    </row>
    <row r="10" spans="2:12" ht="12" customHeight="1" x14ac:dyDescent="0.2">
      <c r="B10" s="103" t="s">
        <v>159</v>
      </c>
      <c r="C10" s="17">
        <v>0</v>
      </c>
      <c r="E10" s="149">
        <f>+'CRE P&amp;L'!D38</f>
        <v>3.1845238095238098</v>
      </c>
      <c r="F10" s="149">
        <f>E10</f>
        <v>3.1845238095238098</v>
      </c>
      <c r="G10" s="149">
        <f>F10</f>
        <v>3.1845238095238098</v>
      </c>
    </row>
    <row r="11" spans="2:12" x14ac:dyDescent="0.2">
      <c r="B11" s="18" t="s">
        <v>160</v>
      </c>
      <c r="C11" s="134">
        <f>SUM(C9:C10)</f>
        <v>7.25</v>
      </c>
      <c r="D11" s="134">
        <f>SUM(D9:D10)</f>
        <v>0</v>
      </c>
      <c r="E11" s="32">
        <f>SUM(E9:E10)</f>
        <v>10.43452380952381</v>
      </c>
      <c r="F11" s="134">
        <f>SUM(F9:F10)</f>
        <v>3.1845238095238098</v>
      </c>
      <c r="G11" s="134">
        <f>SUM(G9:G10)</f>
        <v>3.1845238095238098</v>
      </c>
    </row>
    <row r="12" spans="2:12" ht="3.95" customHeight="1" x14ac:dyDescent="0.2">
      <c r="B12" s="7"/>
      <c r="C12" s="32"/>
      <c r="D12" s="32"/>
      <c r="E12" s="32"/>
      <c r="F12" s="32"/>
      <c r="G12" s="32"/>
    </row>
    <row r="13" spans="2:12" x14ac:dyDescent="0.2">
      <c r="B13" s="40" t="s">
        <v>116</v>
      </c>
      <c r="C13" s="106">
        <f>'CRE P&amp;L'!C77/'CRE P&amp;L'!$C$77-1</f>
        <v>0</v>
      </c>
      <c r="D13" s="106">
        <f>'CRE P&amp;L'!D77/'CRE P&amp;L'!$C$77-1</f>
        <v>0.36982602236296813</v>
      </c>
      <c r="E13" s="106">
        <f>'CRE P&amp;L'!E77/'CRE P&amp;L'!$C$77-1</f>
        <v>-0.180623973727422</v>
      </c>
      <c r="F13" s="106">
        <f>'CRE P&amp;L'!F77/'CRE P&amp;L'!$C$77-1</f>
        <v>-7.7175697865353055E-2</v>
      </c>
      <c r="G13" s="107">
        <f>'CRE P&amp;L'!G77/'CRE P&amp;L'!$C$77-1</f>
        <v>0.19868637110016429</v>
      </c>
      <c r="H13" s="114"/>
    </row>
    <row r="14" spans="2:12" ht="3.95" customHeight="1" x14ac:dyDescent="0.2"/>
    <row r="15" spans="2:12" x14ac:dyDescent="0.2">
      <c r="C15" s="58" t="s">
        <v>114</v>
      </c>
      <c r="D15" s="59"/>
      <c r="E15" s="59"/>
      <c r="F15" s="13"/>
      <c r="G15" s="13"/>
      <c r="H15" s="13"/>
    </row>
    <row r="16" spans="2:12" x14ac:dyDescent="0.2">
      <c r="C16" s="11" t="s">
        <v>17</v>
      </c>
      <c r="D16" s="11" t="s">
        <v>111</v>
      </c>
      <c r="E16" s="11" t="s">
        <v>26</v>
      </c>
      <c r="F16" s="11" t="s">
        <v>33</v>
      </c>
      <c r="G16" s="11" t="s">
        <v>34</v>
      </c>
      <c r="H16" s="27"/>
      <c r="L16" s="131"/>
    </row>
    <row r="17" spans="2:11" ht="2.1" customHeight="1" x14ac:dyDescent="0.2">
      <c r="C17" s="27"/>
      <c r="D17" s="27"/>
      <c r="E17" s="27"/>
      <c r="F17" s="27"/>
      <c r="G17" s="27"/>
      <c r="H17" s="27"/>
    </row>
    <row r="18" spans="2:11" x14ac:dyDescent="0.2">
      <c r="B18" s="6" t="s">
        <v>3</v>
      </c>
      <c r="C18" s="15">
        <v>1800</v>
      </c>
      <c r="E18" s="16"/>
      <c r="F18" s="16"/>
      <c r="G18" s="71">
        <f>C18*(1+$G$13)</f>
        <v>2157.6354679802957</v>
      </c>
      <c r="H18" s="71"/>
    </row>
    <row r="19" spans="2:11" x14ac:dyDescent="0.2">
      <c r="B19" s="6" t="s">
        <v>2</v>
      </c>
      <c r="C19" s="17">
        <v>1200</v>
      </c>
      <c r="E19" s="14"/>
      <c r="F19" s="14"/>
      <c r="G19" s="70">
        <f>C19*(1+$G$13)</f>
        <v>1438.4236453201972</v>
      </c>
      <c r="H19" s="70"/>
    </row>
    <row r="20" spans="2:11" x14ac:dyDescent="0.2">
      <c r="B20" s="6" t="s">
        <v>4</v>
      </c>
      <c r="C20" s="17">
        <v>775</v>
      </c>
      <c r="E20" s="16"/>
      <c r="F20" s="16"/>
      <c r="G20" s="70">
        <f>C20*(1+$G$13)</f>
        <v>928.98193760262734</v>
      </c>
      <c r="H20" s="70"/>
      <c r="K20" s="135" t="s">
        <v>139</v>
      </c>
    </row>
    <row r="21" spans="2:11" x14ac:dyDescent="0.2">
      <c r="B21" s="6" t="s">
        <v>5</v>
      </c>
      <c r="C21" s="17">
        <v>700</v>
      </c>
      <c r="E21" s="16"/>
      <c r="F21" s="16"/>
      <c r="G21" s="70">
        <f>C21*(1+$G$13)</f>
        <v>839.080459770115</v>
      </c>
      <c r="H21" s="70"/>
    </row>
    <row r="22" spans="2:11" x14ac:dyDescent="0.2">
      <c r="B22" s="6" t="s">
        <v>6</v>
      </c>
      <c r="C22" s="17">
        <v>600</v>
      </c>
      <c r="E22" s="16"/>
      <c r="F22" s="16"/>
      <c r="G22" s="70">
        <f>C22*(1+$G$13)</f>
        <v>719.21182266009862</v>
      </c>
      <c r="H22" s="70"/>
    </row>
    <row r="23" spans="2:11" x14ac:dyDescent="0.2">
      <c r="B23" s="18" t="s">
        <v>16</v>
      </c>
      <c r="C23" s="20">
        <f>SUM(C18:C22)</f>
        <v>5075</v>
      </c>
      <c r="D23" s="20">
        <f>SUM(D18:D22)</f>
        <v>0</v>
      </c>
      <c r="E23" s="20">
        <f>SUM(E18:E22)</f>
        <v>0</v>
      </c>
      <c r="F23" s="20">
        <f>SUM(F18:F22)</f>
        <v>0</v>
      </c>
      <c r="G23" s="20">
        <f>SUM(G18:G22)</f>
        <v>6083.3333333333339</v>
      </c>
      <c r="H23" s="39"/>
    </row>
    <row r="24" spans="2:11" s="29" customFormat="1" ht="3.95" customHeight="1" x14ac:dyDescent="0.2">
      <c r="B24" s="28"/>
    </row>
    <row r="25" spans="2:11" s="29" customFormat="1" x14ac:dyDescent="0.2">
      <c r="B25" s="6"/>
      <c r="C25" s="58" t="s">
        <v>115</v>
      </c>
      <c r="D25" s="59"/>
      <c r="E25" s="59"/>
      <c r="F25" s="13"/>
      <c r="G25" s="13"/>
      <c r="H25" s="13"/>
    </row>
    <row r="26" spans="2:11" s="29" customFormat="1" x14ac:dyDescent="0.2">
      <c r="B26" s="6"/>
      <c r="C26" s="11" t="s">
        <v>17</v>
      </c>
      <c r="D26" s="11" t="s">
        <v>111</v>
      </c>
      <c r="E26" s="11" t="s">
        <v>26</v>
      </c>
      <c r="F26" s="11" t="s">
        <v>33</v>
      </c>
      <c r="G26" s="11" t="s">
        <v>34</v>
      </c>
      <c r="H26" s="27"/>
    </row>
    <row r="27" spans="2:11" s="29" customFormat="1" ht="2.1" customHeight="1" x14ac:dyDescent="0.2">
      <c r="B27" s="6"/>
      <c r="C27" s="27"/>
      <c r="D27" s="27"/>
      <c r="E27" s="27"/>
      <c r="F27" s="27"/>
    </row>
    <row r="28" spans="2:11" s="29" customFormat="1" x14ac:dyDescent="0.2">
      <c r="B28" s="6" t="s">
        <v>3</v>
      </c>
      <c r="C28" s="14">
        <f>C18*12</f>
        <v>21600</v>
      </c>
      <c r="D28" s="14"/>
      <c r="E28" s="16"/>
      <c r="F28" s="16"/>
      <c r="G28" s="14">
        <f t="shared" ref="G28:G33" si="0">G18*12</f>
        <v>25891.625615763551</v>
      </c>
      <c r="H28" s="14"/>
    </row>
    <row r="29" spans="2:11" s="29" customFormat="1" x14ac:dyDescent="0.2">
      <c r="B29" s="6" t="s">
        <v>2</v>
      </c>
      <c r="C29" s="16">
        <f>C19*12</f>
        <v>14400</v>
      </c>
      <c r="D29" s="16"/>
      <c r="E29" s="14"/>
      <c r="F29" s="14"/>
      <c r="G29" s="16">
        <f t="shared" si="0"/>
        <v>17261.083743842366</v>
      </c>
      <c r="H29" s="16"/>
    </row>
    <row r="30" spans="2:11" s="29" customFormat="1" x14ac:dyDescent="0.2">
      <c r="B30" s="6" t="s">
        <v>4</v>
      </c>
      <c r="C30" s="16">
        <f>C20*12</f>
        <v>9300</v>
      </c>
      <c r="D30" s="16"/>
      <c r="E30" s="16"/>
      <c r="F30" s="16"/>
      <c r="G30" s="16">
        <f t="shared" si="0"/>
        <v>11147.783251231529</v>
      </c>
      <c r="H30" s="16"/>
    </row>
    <row r="31" spans="2:11" s="29" customFormat="1" x14ac:dyDescent="0.2">
      <c r="B31" s="6" t="s">
        <v>5</v>
      </c>
      <c r="C31" s="16">
        <f>C21*12</f>
        <v>8400</v>
      </c>
      <c r="D31" s="16"/>
      <c r="E31" s="16"/>
      <c r="F31" s="16"/>
      <c r="G31" s="16">
        <f t="shared" si="0"/>
        <v>10068.96551724138</v>
      </c>
      <c r="H31" s="16"/>
    </row>
    <row r="32" spans="2:11" s="29" customFormat="1" x14ac:dyDescent="0.2">
      <c r="B32" s="6" t="s">
        <v>6</v>
      </c>
      <c r="C32" s="16">
        <f>C22*12</f>
        <v>7200</v>
      </c>
      <c r="D32" s="16"/>
      <c r="E32" s="16"/>
      <c r="F32" s="16"/>
      <c r="G32" s="16">
        <f t="shared" si="0"/>
        <v>8630.541871921183</v>
      </c>
      <c r="H32" s="16"/>
    </row>
    <row r="33" spans="2:8" s="29" customFormat="1" x14ac:dyDescent="0.2">
      <c r="B33" s="18" t="s">
        <v>16</v>
      </c>
      <c r="C33" s="20">
        <f>SUM(C28:C32)</f>
        <v>60900</v>
      </c>
      <c r="D33" s="20">
        <f>SUM(D28:D32)</f>
        <v>0</v>
      </c>
      <c r="E33" s="20">
        <f>SUM(E28:E32)</f>
        <v>0</v>
      </c>
      <c r="F33" s="20">
        <f>SUM(F28:F32)</f>
        <v>0</v>
      </c>
      <c r="G33" s="20">
        <f t="shared" si="0"/>
        <v>73000</v>
      </c>
      <c r="H33" s="39"/>
    </row>
    <row r="34" spans="2:8" s="29" customFormat="1" x14ac:dyDescent="0.2">
      <c r="B34" s="22" t="s">
        <v>137</v>
      </c>
    </row>
    <row r="35" spans="2:8" s="29" customFormat="1" x14ac:dyDescent="0.2">
      <c r="B35" s="22"/>
    </row>
    <row r="36" spans="2:8" s="29" customFormat="1" x14ac:dyDescent="0.2">
      <c r="B36" s="22" t="s">
        <v>167</v>
      </c>
    </row>
    <row r="37" spans="2:8" s="29" customFormat="1" x14ac:dyDescent="0.2">
      <c r="B37" s="22"/>
    </row>
    <row r="38" spans="2:8" s="29" customFormat="1" x14ac:dyDescent="0.2">
      <c r="B38" s="22"/>
    </row>
    <row r="39" spans="2:8" s="29" customFormat="1" x14ac:dyDescent="0.2">
      <c r="B39" s="22"/>
    </row>
    <row r="40" spans="2:8" s="29" customFormat="1" x14ac:dyDescent="0.2">
      <c r="B40" s="22"/>
    </row>
    <row r="41" spans="2:8" s="29" customFormat="1" x14ac:dyDescent="0.2">
      <c r="B41" s="22"/>
    </row>
    <row r="42" spans="2:8" s="29" customFormat="1" x14ac:dyDescent="0.2">
      <c r="B42" s="22"/>
    </row>
    <row r="43" spans="2:8" s="29" customFormat="1" x14ac:dyDescent="0.2">
      <c r="B43" s="22"/>
    </row>
    <row r="44" spans="2:8" s="29" customFormat="1" x14ac:dyDescent="0.2">
      <c r="B44" s="22"/>
    </row>
    <row r="45" spans="2:8" s="29" customFormat="1" x14ac:dyDescent="0.2">
      <c r="B45" s="22"/>
    </row>
    <row r="46" spans="2:8" s="29" customFormat="1" x14ac:dyDescent="0.2">
      <c r="B46" s="22"/>
    </row>
    <row r="47" spans="2:8" s="29" customFormat="1" x14ac:dyDescent="0.2">
      <c r="B47" s="22"/>
    </row>
    <row r="48" spans="2:8" s="29" customFormat="1" ht="3.95" customHeight="1" x14ac:dyDescent="0.2">
      <c r="E48" s="49"/>
      <c r="F48" s="49"/>
      <c r="G48" s="49"/>
      <c r="H48" s="49"/>
    </row>
  </sheetData>
  <conditionalFormatting sqref="B1:I9 B10 D10:I10 B11:I17 E18:I22 B18:C23 D23:I23 B24:I26 B27:F32 I27:I32 G28:H32 B33:I33 B34:B47 E34:I48 I49:I59">
    <cfRule type="expression" dxfId="7" priority="2">
      <formula>$L$3=1</formula>
    </cfRule>
  </conditionalFormatting>
  <conditionalFormatting sqref="B60:I1048576">
    <cfRule type="expression" dxfId="6" priority="8">
      <formula>$L$3=1</formula>
    </cfRule>
  </conditionalFormatting>
  <conditionalFormatting sqref="K20">
    <cfRule type="expression" dxfId="5" priority="1">
      <formula>$L$3=1</formula>
    </cfRule>
  </conditionalFormatting>
  <pageMargins left="0.7" right="0.7" top="0.75" bottom="0.75" header="0.3" footer="0.3"/>
  <pageSetup orientation="portrait" r:id="rId1"/>
  <colBreaks count="1" manualBreakCount="1">
    <brk id="8" min="1" max="5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497-BA6D-42FA-B491-9EFF945B5FAF}">
  <sheetPr>
    <tabColor rgb="FFC00000"/>
    <pageSetUpPr fitToPage="1"/>
  </sheetPr>
  <dimension ref="A2:I90"/>
  <sheetViews>
    <sheetView showGridLines="0" view="pageBreakPreview" zoomScale="130" zoomScaleNormal="145" zoomScaleSheetLayoutView="130" workbookViewId="0"/>
  </sheetViews>
  <sheetFormatPr defaultRowHeight="12" x14ac:dyDescent="0.2"/>
  <cols>
    <col min="1" max="1" width="1.7109375" style="6" customWidth="1"/>
    <col min="2" max="2" width="21.140625" style="6" customWidth="1"/>
    <col min="3" max="6" width="10.42578125" style="6" customWidth="1"/>
    <col min="7" max="7" width="4.42578125" style="6" customWidth="1"/>
    <col min="8" max="16384" width="9.140625" style="6"/>
  </cols>
  <sheetData>
    <row r="2" spans="2:9" ht="15.75" x14ac:dyDescent="0.25">
      <c r="B2" s="8" t="str">
        <f>+Cover!B24</f>
        <v>Sunshine Commercial Investments</v>
      </c>
    </row>
    <row r="3" spans="2:9" x14ac:dyDescent="0.2">
      <c r="B3" s="9" t="s">
        <v>98</v>
      </c>
      <c r="C3" s="10"/>
      <c r="D3" s="10"/>
      <c r="E3" s="10"/>
      <c r="F3" s="10"/>
      <c r="H3" s="6" t="s">
        <v>7</v>
      </c>
      <c r="I3" s="21">
        <v>1</v>
      </c>
    </row>
    <row r="5" spans="2:9" ht="24" x14ac:dyDescent="0.2">
      <c r="C5" s="96" t="s">
        <v>100</v>
      </c>
      <c r="D5" s="96" t="s">
        <v>99</v>
      </c>
      <c r="E5" s="96" t="s">
        <v>105</v>
      </c>
      <c r="F5" s="96" t="s">
        <v>101</v>
      </c>
    </row>
    <row r="6" spans="2:9" ht="2.1" customHeight="1" x14ac:dyDescent="0.2">
      <c r="C6" s="97"/>
      <c r="D6" s="97"/>
      <c r="E6" s="97"/>
      <c r="F6" s="97"/>
    </row>
    <row r="7" spans="2:9" x14ac:dyDescent="0.2">
      <c r="B7" s="92" t="s">
        <v>2</v>
      </c>
      <c r="C7" s="26">
        <f ca="1">ROUND(+'Laundromat Valuation'!F53,-2)</f>
        <v>500</v>
      </c>
      <c r="D7" s="30">
        <f ca="1">C7</f>
        <v>500</v>
      </c>
      <c r="E7" s="30">
        <f ca="1">C7</f>
        <v>500</v>
      </c>
      <c r="F7" s="30">
        <f ca="1">E7</f>
        <v>500</v>
      </c>
    </row>
    <row r="8" spans="2:9" x14ac:dyDescent="0.2">
      <c r="B8" s="92" t="s">
        <v>102</v>
      </c>
      <c r="C8" s="16">
        <f>+'CRE P&amp;L'!C94/1000</f>
        <v>718.46249999999998</v>
      </c>
      <c r="D8" s="16">
        <f>+'CRE P&amp;L'!D94/1000</f>
        <v>1000</v>
      </c>
      <c r="E8" s="16">
        <f>+'CRE P&amp;L'!E94/1000</f>
        <v>580.96249999999998</v>
      </c>
      <c r="F8" s="16">
        <f>+'CRE P&amp;L'!F94/1000</f>
        <v>659.71249999999998</v>
      </c>
    </row>
    <row r="9" spans="2:9" x14ac:dyDescent="0.2">
      <c r="B9" s="40" t="s">
        <v>104</v>
      </c>
      <c r="C9" s="45">
        <f ca="1">+C8+C7</f>
        <v>1218.4625000000001</v>
      </c>
      <c r="D9" s="45">
        <f t="shared" ref="D9:F9" ca="1" si="0">+D8+D7</f>
        <v>1500</v>
      </c>
      <c r="E9" s="45">
        <f t="shared" ca="1" si="0"/>
        <v>1080.9625000000001</v>
      </c>
      <c r="F9" s="50">
        <f t="shared" ca="1" si="0"/>
        <v>1159.7125000000001</v>
      </c>
    </row>
    <row r="10" spans="2:9" x14ac:dyDescent="0.2">
      <c r="B10" s="100" t="s">
        <v>109</v>
      </c>
      <c r="C10" s="17">
        <v>-1600</v>
      </c>
      <c r="D10" s="35">
        <f>C10</f>
        <v>-1600</v>
      </c>
      <c r="E10" s="35">
        <f>C10</f>
        <v>-1600</v>
      </c>
      <c r="F10" s="35">
        <f>E10</f>
        <v>-1600</v>
      </c>
    </row>
    <row r="11" spans="2:9" x14ac:dyDescent="0.2">
      <c r="B11" s="40" t="s">
        <v>110</v>
      </c>
      <c r="C11" s="45">
        <f ca="1">+C9+C10</f>
        <v>-381.53749999999991</v>
      </c>
      <c r="D11" s="45">
        <f t="shared" ref="D11:F11" ca="1" si="1">+D9+D10</f>
        <v>-100</v>
      </c>
      <c r="E11" s="45">
        <f t="shared" ca="1" si="1"/>
        <v>-519.03749999999991</v>
      </c>
      <c r="F11" s="50">
        <f t="shared" ca="1" si="1"/>
        <v>-440.28749999999991</v>
      </c>
    </row>
    <row r="12" spans="2:9" x14ac:dyDescent="0.2">
      <c r="B12" s="7"/>
      <c r="C12" s="39"/>
      <c r="D12" s="39"/>
      <c r="E12" s="39"/>
      <c r="F12" s="39"/>
    </row>
    <row r="13" spans="2:9" x14ac:dyDescent="0.2">
      <c r="B13" s="24" t="s">
        <v>103</v>
      </c>
      <c r="C13" s="25"/>
      <c r="D13" s="25"/>
      <c r="E13" s="25"/>
      <c r="F13" s="25"/>
    </row>
    <row r="14" spans="2:9" ht="3.95" customHeight="1" x14ac:dyDescent="0.2"/>
    <row r="15" spans="2:9" ht="24" x14ac:dyDescent="0.2">
      <c r="B15" s="33"/>
      <c r="C15" s="96" t="str">
        <f>+C$5</f>
        <v>Current Valuation</v>
      </c>
      <c r="D15" s="96" t="str">
        <f t="shared" ref="D15:F15" si="2">+D$5</f>
        <v>Clearing Price</v>
      </c>
      <c r="E15" s="96" t="str">
        <f t="shared" si="2"/>
        <v>NNN Valuation</v>
      </c>
      <c r="F15" s="96" t="str">
        <f t="shared" si="2"/>
        <v>Base-Rate Valuation</v>
      </c>
    </row>
    <row r="16" spans="2:9" ht="2.1" customHeight="1" x14ac:dyDescent="0.2">
      <c r="B16" s="33"/>
      <c r="C16" s="97"/>
      <c r="D16" s="97"/>
      <c r="E16" s="97"/>
      <c r="F16" s="97"/>
    </row>
    <row r="17" spans="2:8" ht="12" customHeight="1" x14ac:dyDescent="0.2">
      <c r="B17" s="6" t="str">
        <f>+'Tennant View'!B18</f>
        <v>Community Theater</v>
      </c>
      <c r="C17" s="26">
        <f>+'Tennant View'!C28/1000</f>
        <v>21.6</v>
      </c>
      <c r="D17" s="14">
        <f>D$22*$H17</f>
        <v>29.588242083040111</v>
      </c>
      <c r="E17" s="14">
        <f>E$22*$H17</f>
        <v>17.698522167487685</v>
      </c>
      <c r="F17" s="14">
        <f>F$22*$H17</f>
        <v>25.891625615763548</v>
      </c>
      <c r="H17" s="99">
        <f>C17/$C$22</f>
        <v>0.35467980295566504</v>
      </c>
    </row>
    <row r="18" spans="2:8" ht="12" customHeight="1" x14ac:dyDescent="0.2">
      <c r="B18" s="6" t="str">
        <f>+'Tennant View'!B19</f>
        <v>Laundromat</v>
      </c>
      <c r="C18" s="26">
        <f>+'Tennant View'!C29/1000</f>
        <v>14.4</v>
      </c>
      <c r="D18" s="16">
        <f t="shared" ref="D18:F21" si="3">D$22*$H18</f>
        <v>19.725494722026742</v>
      </c>
      <c r="E18" s="16">
        <f t="shared" si="3"/>
        <v>11.799014778325123</v>
      </c>
      <c r="F18" s="16">
        <f t="shared" si="3"/>
        <v>17.261083743842367</v>
      </c>
      <c r="H18" s="99">
        <f t="shared" ref="H18:H21" si="4">C18/$C$22</f>
        <v>0.23645320197044337</v>
      </c>
    </row>
    <row r="19" spans="2:8" ht="12" customHeight="1" x14ac:dyDescent="0.2">
      <c r="B19" s="6" t="str">
        <f>+'Tennant View'!B20</f>
        <v>Turnaround Testron*</v>
      </c>
      <c r="C19" s="26">
        <f>+'Tennant View'!C30/1000</f>
        <v>9.3000000000000007</v>
      </c>
      <c r="D19" s="16">
        <f t="shared" si="3"/>
        <v>12.739382007975603</v>
      </c>
      <c r="E19" s="16">
        <f t="shared" si="3"/>
        <v>7.6201970443349758</v>
      </c>
      <c r="F19" s="16">
        <f t="shared" si="3"/>
        <v>11.147783251231528</v>
      </c>
      <c r="H19" s="99">
        <f t="shared" si="4"/>
        <v>0.15270935960591134</v>
      </c>
    </row>
    <row r="20" spans="2:8" ht="12" customHeight="1" x14ac:dyDescent="0.2">
      <c r="B20" s="6" t="str">
        <f>+'Tennant View'!B21</f>
        <v>Consignment Shop</v>
      </c>
      <c r="C20" s="26">
        <f>+'Tennant View'!C31/1000</f>
        <v>8.4</v>
      </c>
      <c r="D20" s="16">
        <f t="shared" si="3"/>
        <v>11.506538587848931</v>
      </c>
      <c r="E20" s="16">
        <f t="shared" si="3"/>
        <v>6.8827586206896552</v>
      </c>
      <c r="F20" s="16">
        <f t="shared" si="3"/>
        <v>10.068965517241379</v>
      </c>
      <c r="H20" s="99">
        <f t="shared" si="4"/>
        <v>0.13793103448275862</v>
      </c>
    </row>
    <row r="21" spans="2:8" ht="12" customHeight="1" x14ac:dyDescent="0.2">
      <c r="B21" s="6" t="str">
        <f>+'Tennant View'!B22</f>
        <v>Book Store</v>
      </c>
      <c r="C21" s="26">
        <f>+'Tennant View'!C32/1000</f>
        <v>7.2</v>
      </c>
      <c r="D21" s="16">
        <f t="shared" si="3"/>
        <v>9.8627473610133709</v>
      </c>
      <c r="E21" s="16">
        <f t="shared" si="3"/>
        <v>5.8995073891625616</v>
      </c>
      <c r="F21" s="16">
        <f t="shared" si="3"/>
        <v>8.6305418719211833</v>
      </c>
      <c r="H21" s="99">
        <f t="shared" si="4"/>
        <v>0.11822660098522168</v>
      </c>
    </row>
    <row r="22" spans="2:8" x14ac:dyDescent="0.2">
      <c r="B22" s="18" t="s">
        <v>108</v>
      </c>
      <c r="C22" s="98">
        <f>SUM(C17:C21)</f>
        <v>60.9</v>
      </c>
      <c r="D22" s="98">
        <f>+'CRE P&amp;L'!D77/1000</f>
        <v>83.422404761904758</v>
      </c>
      <c r="E22" s="98">
        <f>+'CRE P&amp;L'!E77/1000</f>
        <v>49.9</v>
      </c>
      <c r="F22" s="98">
        <f>+'CRE P&amp;L'!G77/1000</f>
        <v>73</v>
      </c>
    </row>
    <row r="23" spans="2:8" x14ac:dyDescent="0.2">
      <c r="B23" s="28" t="s">
        <v>37</v>
      </c>
      <c r="C23" s="28"/>
      <c r="D23" s="81">
        <f>D22/$C$22-1</f>
        <v>0.36982602236296813</v>
      </c>
      <c r="E23" s="81">
        <f>E22/$C$22-1</f>
        <v>-0.180623973727422</v>
      </c>
      <c r="F23" s="81">
        <f>F22/$C$22-1</f>
        <v>0.19868637110016429</v>
      </c>
    </row>
    <row r="25" spans="2:8" x14ac:dyDescent="0.2">
      <c r="B25" s="24" t="s">
        <v>106</v>
      </c>
      <c r="C25" s="25"/>
      <c r="D25" s="25"/>
      <c r="E25" s="25"/>
      <c r="F25" s="25"/>
    </row>
    <row r="26" spans="2:8" ht="3.95" customHeight="1" x14ac:dyDescent="0.2"/>
    <row r="27" spans="2:8" ht="24" x14ac:dyDescent="0.2">
      <c r="B27" s="33"/>
      <c r="C27" s="96" t="str">
        <f>+C$5</f>
        <v>Current Valuation</v>
      </c>
      <c r="D27" s="96" t="str">
        <f t="shared" ref="D27:F27" si="5">+D$5</f>
        <v>Clearing Price</v>
      </c>
      <c r="E27" s="96" t="str">
        <f t="shared" si="5"/>
        <v>NNN Valuation</v>
      </c>
      <c r="F27" s="96" t="str">
        <f t="shared" si="5"/>
        <v>Base-Rate Valuation</v>
      </c>
    </row>
    <row r="28" spans="2:8" x14ac:dyDescent="0.2">
      <c r="B28" s="33"/>
      <c r="C28" s="97"/>
      <c r="D28" s="97"/>
      <c r="E28" s="97"/>
      <c r="F28" s="97"/>
    </row>
    <row r="29" spans="2:8" x14ac:dyDescent="0.2">
      <c r="B29" s="6" t="str">
        <f>+B17</f>
        <v>Community Theater</v>
      </c>
      <c r="C29" s="26">
        <f>+'Tennant View'!C18</f>
        <v>1800</v>
      </c>
      <c r="D29" s="14">
        <f>D$34*$H29</f>
        <v>2465.6868402533428</v>
      </c>
      <c r="E29" s="14">
        <f>E$34*$H29</f>
        <v>1474.8768472906404</v>
      </c>
      <c r="F29" s="14">
        <f>F$34*$H29</f>
        <v>2157.6354679802957</v>
      </c>
      <c r="H29" s="99">
        <f>C29/$C$34</f>
        <v>0.35467980295566504</v>
      </c>
    </row>
    <row r="30" spans="2:8" x14ac:dyDescent="0.2">
      <c r="B30" s="6" t="str">
        <f t="shared" ref="B30:B33" si="6">+B18</f>
        <v>Laundromat</v>
      </c>
      <c r="C30" s="26">
        <f>+'Tennant View'!C19</f>
        <v>1200</v>
      </c>
      <c r="D30" s="16">
        <f t="shared" ref="D30:F33" si="7">D$34*$H30</f>
        <v>1643.7912268355617</v>
      </c>
      <c r="E30" s="16">
        <f t="shared" si="7"/>
        <v>983.25123152709352</v>
      </c>
      <c r="F30" s="16">
        <f t="shared" si="7"/>
        <v>1438.423645320197</v>
      </c>
      <c r="H30" s="99">
        <f t="shared" ref="H30:H33" si="8">C30/$C$34</f>
        <v>0.23645320197044334</v>
      </c>
    </row>
    <row r="31" spans="2:8" x14ac:dyDescent="0.2">
      <c r="B31" s="6" t="str">
        <f t="shared" si="6"/>
        <v>Turnaround Testron*</v>
      </c>
      <c r="C31" s="26">
        <f>+'Tennant View'!C20</f>
        <v>775</v>
      </c>
      <c r="D31" s="16">
        <f t="shared" si="7"/>
        <v>1061.6151673313004</v>
      </c>
      <c r="E31" s="16">
        <f t="shared" si="7"/>
        <v>635.01642036124792</v>
      </c>
      <c r="F31" s="16">
        <f t="shared" si="7"/>
        <v>928.98193760262723</v>
      </c>
      <c r="H31" s="99">
        <f t="shared" si="8"/>
        <v>0.15270935960591134</v>
      </c>
    </row>
    <row r="32" spans="2:8" x14ac:dyDescent="0.2">
      <c r="B32" s="6" t="str">
        <f t="shared" si="6"/>
        <v>Consignment Shop</v>
      </c>
      <c r="C32" s="26">
        <f>+'Tennant View'!C21</f>
        <v>700</v>
      </c>
      <c r="D32" s="16">
        <f t="shared" si="7"/>
        <v>958.87821565407774</v>
      </c>
      <c r="E32" s="16">
        <f t="shared" si="7"/>
        <v>573.56321839080454</v>
      </c>
      <c r="F32" s="16">
        <f t="shared" si="7"/>
        <v>839.08045977011489</v>
      </c>
      <c r="H32" s="99">
        <f t="shared" si="8"/>
        <v>0.13793103448275862</v>
      </c>
    </row>
    <row r="33" spans="1:8" x14ac:dyDescent="0.2">
      <c r="B33" s="6" t="str">
        <f t="shared" si="6"/>
        <v>Book Store</v>
      </c>
      <c r="C33" s="26">
        <f>+'Tennant View'!C22</f>
        <v>600</v>
      </c>
      <c r="D33" s="16">
        <f t="shared" si="7"/>
        <v>821.89561341778085</v>
      </c>
      <c r="E33" s="16">
        <f t="shared" si="7"/>
        <v>491.62561576354676</v>
      </c>
      <c r="F33" s="16">
        <f t="shared" si="7"/>
        <v>719.21182266009851</v>
      </c>
      <c r="H33" s="99">
        <f t="shared" si="8"/>
        <v>0.11822660098522167</v>
      </c>
    </row>
    <row r="34" spans="1:8" x14ac:dyDescent="0.2">
      <c r="B34" s="18" t="s">
        <v>107</v>
      </c>
      <c r="C34" s="98">
        <f>SUM(C29:C33)</f>
        <v>5075</v>
      </c>
      <c r="D34" s="98">
        <f>+D22/12*1000</f>
        <v>6951.8670634920636</v>
      </c>
      <c r="E34" s="98">
        <f>+E22/12*1000</f>
        <v>4158.333333333333</v>
      </c>
      <c r="F34" s="98">
        <f>+F22/12*1000</f>
        <v>6083.333333333333</v>
      </c>
    </row>
    <row r="35" spans="1:8" x14ac:dyDescent="0.2">
      <c r="A35" s="7"/>
      <c r="B35" s="28" t="s">
        <v>37</v>
      </c>
      <c r="C35" s="28"/>
      <c r="D35" s="81">
        <f>D34/$C$34-1</f>
        <v>0.36982602236296813</v>
      </c>
      <c r="E35" s="81">
        <f>E34/$C$34-1</f>
        <v>-0.18062397372742212</v>
      </c>
      <c r="F35" s="81">
        <f>F34/$C$34-1</f>
        <v>0.19868637110016407</v>
      </c>
    </row>
    <row r="45" spans="1:8" s="23" customFormat="1" ht="9" x14ac:dyDescent="0.15"/>
    <row r="72" spans="2:5" x14ac:dyDescent="0.2">
      <c r="C72" s="11" t="s">
        <v>8</v>
      </c>
      <c r="D72" s="11" t="s">
        <v>9</v>
      </c>
      <c r="E72" s="11" t="s">
        <v>9</v>
      </c>
    </row>
    <row r="73" spans="2:5" x14ac:dyDescent="0.2">
      <c r="B73" s="6" t="s">
        <v>15</v>
      </c>
      <c r="C73" s="15">
        <v>580000</v>
      </c>
    </row>
    <row r="74" spans="2:5" x14ac:dyDescent="0.2">
      <c r="B74" s="6" t="s">
        <v>13</v>
      </c>
      <c r="C74" s="17">
        <v>435734</v>
      </c>
    </row>
    <row r="75" spans="2:5" x14ac:dyDescent="0.2">
      <c r="B75" s="6" t="s">
        <v>10</v>
      </c>
    </row>
    <row r="76" spans="2:5" x14ac:dyDescent="0.2">
      <c r="B76" s="18" t="s">
        <v>12</v>
      </c>
      <c r="C76" s="19"/>
      <c r="D76" s="19"/>
      <c r="E76" s="19"/>
    </row>
    <row r="78" spans="2:5" x14ac:dyDescent="0.2">
      <c r="B78" s="6" t="s">
        <v>11</v>
      </c>
    </row>
    <row r="80" spans="2:5" x14ac:dyDescent="0.2">
      <c r="B80" s="34" t="s">
        <v>38</v>
      </c>
      <c r="C80" s="15">
        <v>128331</v>
      </c>
    </row>
    <row r="81" spans="2:3" x14ac:dyDescent="0.2">
      <c r="B81" s="34" t="s">
        <v>39</v>
      </c>
      <c r="C81" s="17">
        <v>14670</v>
      </c>
    </row>
    <row r="82" spans="2:3" x14ac:dyDescent="0.2">
      <c r="B82" s="18" t="s">
        <v>41</v>
      </c>
      <c r="C82" s="60">
        <f>+C80+C81</f>
        <v>143001</v>
      </c>
    </row>
    <row r="83" spans="2:3" x14ac:dyDescent="0.2">
      <c r="C83" s="61">
        <v>3</v>
      </c>
    </row>
    <row r="84" spans="2:3" x14ac:dyDescent="0.2">
      <c r="B84" s="40" t="s">
        <v>42</v>
      </c>
      <c r="C84" s="62">
        <f>C82*C83</f>
        <v>429003</v>
      </c>
    </row>
    <row r="85" spans="2:3" x14ac:dyDescent="0.2">
      <c r="B85" s="34" t="s">
        <v>43</v>
      </c>
    </row>
    <row r="90" spans="2:3" x14ac:dyDescent="0.2">
      <c r="B90" s="34" t="s">
        <v>40</v>
      </c>
      <c r="C90" s="17">
        <v>28555</v>
      </c>
    </row>
  </sheetData>
  <conditionalFormatting sqref="B1:F12 B14:C14 D14:F24 C15:C16 B17:C24 B29:F35 B52:C75 D52:F1048576 C76 B77:C78 C79 B80:C81 B83:C84 B86:C86 B88:C1048576">
    <cfRule type="expression" dxfId="4" priority="6">
      <formula>$I$3=1</formula>
    </cfRule>
  </conditionalFormatting>
  <conditionalFormatting sqref="B13:F13">
    <cfRule type="expression" dxfId="3" priority="5">
      <formula>$K$3=1</formula>
    </cfRule>
  </conditionalFormatting>
  <conditionalFormatting sqref="B25:F25">
    <cfRule type="expression" dxfId="2" priority="3">
      <formula>$K$3=1</formula>
    </cfRule>
  </conditionalFormatting>
  <conditionalFormatting sqref="B26:F26">
    <cfRule type="expression" dxfId="1" priority="2">
      <formula>$I$3=1</formula>
    </cfRule>
  </conditionalFormatting>
  <conditionalFormatting sqref="C27:F28">
    <cfRule type="expression" dxfId="0" priority="1">
      <formula>$I$3=1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Cover</vt:lpstr>
      <vt:lpstr>Laundromat Valuation</vt:lpstr>
      <vt:lpstr>CRE Valuation</vt:lpstr>
      <vt:lpstr>Sensitivity Analysis</vt:lpstr>
      <vt:lpstr>CRE P&amp;L</vt:lpstr>
      <vt:lpstr>Market Rent Analysis</vt:lpstr>
      <vt:lpstr>Tennant View</vt:lpstr>
      <vt:lpstr>Valuation Overview</vt:lpstr>
      <vt:lpstr>Cover!Print_Area</vt:lpstr>
      <vt:lpstr>'CRE P&amp;L'!Print_Area</vt:lpstr>
      <vt:lpstr>'CRE Valuation'!Print_Area</vt:lpstr>
      <vt:lpstr>'Laundromat Valuation'!Print_Area</vt:lpstr>
      <vt:lpstr>'Market Rent Analysis'!Print_Area</vt:lpstr>
      <vt:lpstr>'Sensitivity Analysis'!Print_Area</vt:lpstr>
      <vt:lpstr>'Tennant View'!Print_Area</vt:lpstr>
      <vt:lpstr>'Valuation Overview'!Print_Area</vt:lpstr>
      <vt:lpstr>'CRE Valuation'!Print_Titles</vt:lpstr>
      <vt:lpstr>'Sensitivity Analysis'!Print_Titles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2026-08-13T02:11:14Z</cp:lastPrinted>
  <dcterms:created xsi:type="dcterms:W3CDTF">2015-06-05T18:17:20Z</dcterms:created>
  <dcterms:modified xsi:type="dcterms:W3CDTF">2026-08-13T02:24:41Z</dcterms:modified>
</cp:coreProperties>
</file>