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ilestones" sheetId="2" state="visible" r:id="rId4"/>
    <sheet name="Pre-LOI Checklist" sheetId="3" state="visible" r:id="rId5"/>
    <sheet name="Post-LOI Checklist" sheetId="4" state="visible" r:id="rId6"/>
    <sheet name="Timeline" sheetId="5" state="visible" r:id="rId7"/>
  </sheets>
  <definedNames>
    <definedName function="false" hidden="true" localSheetId="3" name="_xlnm._FilterDatabase" vbProcedure="false">'Post-LOI Checklist'!$A$4:$P$45</definedName>
    <definedName function="false" hidden="true" localSheetId="2" name="_xlnm._FilterDatabase" vbProcedure="false">'Pre-LOI Checklist'!$A$4:$P$31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<sst xmlns="http://schemas.openxmlformats.org/spreadsheetml/2006/main" count="934" uniqueCount="391">
  <si>
    <t xml:space="preserve">Keystone Partnership – Deal Checklist and Timeline</t>
  </si>
  <si>
    <t xml:space="preserve">Prepared by AMB Advisory Services LLC for Jon Sukhia / Topkey | September 24, 2026 | Confidential</t>
  </si>
  <si>
    <t xml:space="preserve">Targets</t>
  </si>
  <si>
    <t xml:space="preserve">LOI signed</t>
  </si>
  <si>
    <t xml:space="preserve">Friday, October 16, 2026</t>
  </si>
  <si>
    <t xml:space="preserve">Signing and escrow funding</t>
  </si>
  <si>
    <t xml:space="preserve">Friday, December 18, 2026</t>
  </si>
  <si>
    <t xml:space="preserve">Effective date</t>
  </si>
  <si>
    <t xml:space="preserve">Saturday, January 2, 2027 (wires Monday, January 4)</t>
  </si>
  <si>
    <t xml:space="preserve">How to use</t>
  </si>
  <si>
    <t xml:space="preserve">Status</t>
  </si>
  <si>
    <t xml:space="preserve">Edit the Status column on each checklist tab (drop-down). Everything else recalculates.</t>
  </si>
  <si>
    <t xml:space="preserve">Dates</t>
  </si>
  <si>
    <t xml:space="preserve">Start and Due dates are editable. The Timeline tab and Days to Due update automatically.</t>
  </si>
  <si>
    <t xml:space="preserve">Critical path</t>
  </si>
  <si>
    <t xml:space="preserve">'Y' marks tasks that move the Dec 18 signing date if they slip.</t>
  </si>
  <si>
    <t xml:space="preserve">Priority</t>
  </si>
  <si>
    <t xml:space="preserve">P1 - Critical</t>
  </si>
  <si>
    <t xml:space="preserve">On the critical path or a deal-breaker if missed</t>
  </si>
  <si>
    <t xml:space="preserve">P2 - High</t>
  </si>
  <si>
    <t xml:space="preserve">Needed for signing but has some float</t>
  </si>
  <si>
    <t xml:space="preserve">P3 - Medium</t>
  </si>
  <si>
    <t xml:space="preserve">Needed but flexible, or post-close</t>
  </si>
  <si>
    <t xml:space="preserve">Difficulty</t>
  </si>
  <si>
    <t xml:space="preserve">High</t>
  </si>
  <si>
    <t xml:space="preserve">Third parties, negotiation or legal complexity; allow extra time</t>
  </si>
  <si>
    <t xml:space="preserve">Medium</t>
  </si>
  <si>
    <t xml:space="preserve">Several people, some judgment</t>
  </si>
  <si>
    <t xml:space="preserve">Low</t>
  </si>
  <si>
    <t xml:space="preserve">Straightforward, one owner</t>
  </si>
  <si>
    <t xml:space="preserve">People</t>
  </si>
  <si>
    <t xml:space="preserve">Jon</t>
  </si>
  <si>
    <t xml:space="preserve">Jon Sukhia – Topkey CEO</t>
  </si>
  <si>
    <t xml:space="preserve">Frank / Tereno</t>
  </si>
  <si>
    <t xml:space="preserve">AMB Advisory</t>
  </si>
  <si>
    <t xml:space="preserve">Josh</t>
  </si>
  <si>
    <t xml:space="preserve">Burkland – Topkey CFO</t>
  </si>
  <si>
    <t xml:space="preserve">Corey</t>
  </si>
  <si>
    <t xml:space="preserve">Topkey M&amp;A / securities counsel</t>
  </si>
  <si>
    <t xml:space="preserve">Tax counsel</t>
  </si>
  <si>
    <t xml:space="preserve">Joint tax counsel with NH experience – to be engaged (PRE-03)</t>
  </si>
  <si>
    <t xml:space="preserve">Appraiser</t>
  </si>
  <si>
    <t xml:space="preserve">Topkey's 409A appraiser</t>
  </si>
  <si>
    <t xml:space="preserve">Pete / Darren</t>
  </si>
  <si>
    <t xml:space="preserve">Topkey engineering</t>
  </si>
  <si>
    <t xml:space="preserve">Ben</t>
  </si>
  <si>
    <t xml:space="preserve">Keystone owner; Ben's counsel and CPA as noted</t>
  </si>
  <si>
    <t xml:space="preserve">Sources</t>
  </si>
  <si>
    <t xml:space="preserve">LOI v13, Offer v15, Topkey Data Room Review, Series A Decision Options v2, Offer Review v3, deal-call transcripts</t>
  </si>
  <si>
    <t xml:space="preserve">Key Milestones and Status</t>
  </si>
  <si>
    <t xml:space="preserve">Days remaining count from today.</t>
  </si>
  <si>
    <t xml:space="preserve">Milestone</t>
  </si>
  <si>
    <t xml:space="preserve">Target date</t>
  </si>
  <si>
    <t xml:space="preserve">Days remaining</t>
  </si>
  <si>
    <t xml:space="preserve">Linked task</t>
  </si>
  <si>
    <t xml:space="preserve">Owner</t>
  </si>
  <si>
    <t xml:space="preserve">Gate / what must be true</t>
  </si>
  <si>
    <t xml:space="preserve">Thread Bank status confirmed</t>
  </si>
  <si>
    <t xml:space="preserve">PRE-02</t>
  </si>
  <si>
    <t xml:space="preserve">Know whether the line is extended, repayable or in default</t>
  </si>
  <si>
    <t xml:space="preserve">Walk-through call with Ben</t>
  </si>
  <si>
    <t xml:space="preserve">PRE-12</t>
  </si>
  <si>
    <t xml:space="preserve">Open terms decided (PRE-04)</t>
  </si>
  <si>
    <t xml:space="preserve">Tax counsel engaged</t>
  </si>
  <si>
    <t xml:space="preserve">PRE-03</t>
  </si>
  <si>
    <t xml:space="preserve">Engagement letter signed</t>
  </si>
  <si>
    <t xml:space="preserve">LOI v14 / Offer v16 cleared by counsel</t>
  </si>
  <si>
    <t xml:space="preserve">PRE-21</t>
  </si>
  <si>
    <t xml:space="preserve">Decisions made; consents drafted</t>
  </si>
  <si>
    <t xml:space="preserve">LOI sent to Ben</t>
  </si>
  <si>
    <t xml:space="preserve">PRE-25</t>
  </si>
  <si>
    <t xml:space="preserve">Disclosure package ready or dated</t>
  </si>
  <si>
    <t xml:space="preserve">Stockholder consent signed</t>
  </si>
  <si>
    <t xml:space="preserve">PRE-24</t>
  </si>
  <si>
    <t xml:space="preserve">Felicis + a16z (or YC) = 55% of Preferred</t>
  </si>
  <si>
    <t xml:space="preserve">PRE-27</t>
  </si>
  <si>
    <t xml:space="preserve">Exclusivity starts (90 days)</t>
  </si>
  <si>
    <t xml:space="preserve">Keystone data room complete</t>
  </si>
  <si>
    <t xml:space="preserve">POST-02</t>
  </si>
  <si>
    <t xml:space="preserve">First drafts: MIPA and Operating Agreement; tax memo</t>
  </si>
  <si>
    <t xml:space="preserve">POST-15</t>
  </si>
  <si>
    <t xml:space="preserve">Structure confirmed by tax counsel</t>
  </si>
  <si>
    <t xml:space="preserve">Diligence substantially complete (QoE)</t>
  </si>
  <si>
    <t xml:space="preserve">POST-09</t>
  </si>
  <si>
    <t xml:space="preserve">No price-changing findings</t>
  </si>
  <si>
    <t xml:space="preserve">Thread paid off and liens released</t>
  </si>
  <si>
    <t xml:space="preserve">POST-05</t>
  </si>
  <si>
    <t xml:space="preserve">Keystone not a co-borrower</t>
  </si>
  <si>
    <t xml:space="preserve">Final agreed documents</t>
  </si>
  <si>
    <t xml:space="preserve">POST-23</t>
  </si>
  <si>
    <t xml:space="preserve">Schedules and third-party consents in hand</t>
  </si>
  <si>
    <t xml:space="preserve">F-reorganization complete</t>
  </si>
  <si>
    <t xml:space="preserve">POST-21</t>
  </si>
  <si>
    <t xml:space="preserve">NewCo and QSub election in place</t>
  </si>
  <si>
    <t xml:space="preserve">Board approval</t>
  </si>
  <si>
    <t xml:space="preserve">POST-33</t>
  </si>
  <si>
    <t xml:space="preserve">Fair-value finding for shares</t>
  </si>
  <si>
    <t xml:space="preserve">SIGNING and escrow funded</t>
  </si>
  <si>
    <t xml:space="preserve">POST-34</t>
  </si>
  <si>
    <t xml:space="preserve">All P1 pre-signing tasks Done</t>
  </si>
  <si>
    <t xml:space="preserve">EFFECTIVE DATE</t>
  </si>
  <si>
    <t xml:space="preserve">POST-36</t>
  </si>
  <si>
    <t xml:space="preserve">Wires Monday Jan 4</t>
  </si>
  <si>
    <t xml:space="preserve">Exclusivity expiry (before extension)</t>
  </si>
  <si>
    <t xml:space="preserve">POST-35</t>
  </si>
  <si>
    <t xml:space="preserve">Frank</t>
  </si>
  <si>
    <t xml:space="preserve">Closing must occur first</t>
  </si>
  <si>
    <t xml:space="preserve">Status summary</t>
  </si>
  <si>
    <t xml:space="preserve">Pre-LOI</t>
  </si>
  <si>
    <t xml:space="preserve">Post-LOI</t>
  </si>
  <si>
    <t xml:space="preserve">Total</t>
  </si>
  <si>
    <t xml:space="preserve">Not started</t>
  </si>
  <si>
    <t xml:space="preserve">In progress</t>
  </si>
  <si>
    <t xml:space="preserve">Done</t>
  </si>
  <si>
    <t xml:space="preserve">Blocked</t>
  </si>
  <si>
    <t xml:space="preserve">At risk</t>
  </si>
  <si>
    <t xml:space="preserve">Total tasks</t>
  </si>
  <si>
    <t xml:space="preserve">% complete</t>
  </si>
  <si>
    <t xml:space="preserve">P1 open (not Done)</t>
  </si>
  <si>
    <t xml:space="preserve">Overdue (past due, not Done)</t>
  </si>
  <si>
    <t xml:space="preserve">Pre-LOI Checklist – Sep 25 to Oct 16, 2026</t>
  </si>
  <si>
    <t xml:space="preserve">Edit Status (drop-down), Start and Due. Days to due is blank once Done.</t>
  </si>
  <si>
    <t xml:space="preserve">ID</t>
  </si>
  <si>
    <t xml:space="preserve">Workstream</t>
  </si>
  <si>
    <t xml:space="preserve">Task</t>
  </si>
  <si>
    <t xml:space="preserve">Detail / deliverable</t>
  </si>
  <si>
    <t xml:space="preserve">Support</t>
  </si>
  <si>
    <t xml:space="preserve">Start</t>
  </si>
  <si>
    <t xml:space="preserve">Due</t>
  </si>
  <si>
    <t xml:space="preserve">Duration (days)</t>
  </si>
  <si>
    <t xml:space="preserve">Days to due</t>
  </si>
  <si>
    <t xml:space="preserve">Depends on</t>
  </si>
  <si>
    <t xml:space="preserve">Notes / source</t>
  </si>
  <si>
    <t xml:space="preserve">PRE-01</t>
  </si>
  <si>
    <t xml:space="preserve">Diligence prep</t>
  </si>
  <si>
    <t xml:space="preserve">Request missing Topkey items</t>
  </si>
  <si>
    <t xml:space="preserve">Founder Voting Agreement, ROFR &amp; Co-Sale Agreement, current 409A report, Thread documents after Aug 26 maturity, Burkland $60M SAFE, FY2025 audit status, Bryan Beshore's role</t>
  </si>
  <si>
    <t xml:space="preserve">N</t>
  </si>
  <si>
    <t xml:space="preserve">Data Room Review §2 / §9 item 9</t>
  </si>
  <si>
    <t xml:space="preserve">Financing &amp; consents</t>
  </si>
  <si>
    <t xml:space="preserve">Confirm Thread Bank line status after Aug 26, 2026 maturity</t>
  </si>
  <si>
    <t xml:space="preserve">Extended, paid off or in default? Are monthly compliance certificates and the FY2025 audit current? $500K drawn at 8/31</t>
  </si>
  <si>
    <t xml:space="preserve">Y</t>
  </si>
  <si>
    <t xml:space="preserve">LSA §§6.3, 6.8, 7.3, 7.7; Fourth Amendment</t>
  </si>
  <si>
    <t xml:space="preserve">Tax &amp; structure</t>
  </si>
  <si>
    <t xml:space="preserve">Engage joint tax counsel (NH experience)</t>
  </si>
  <si>
    <t xml:space="preserve">Engagement letter and scope: F-reorg, Rev. Rul. 99-5, NH BPT, QSBS, §83 repurchase wording, Ben's residency, Form 8594, §754. Agree who pays</t>
  </si>
  <si>
    <t xml:space="preserve">Frank, Josh</t>
  </si>
  <si>
    <t xml:space="preserve">Offer Review v3; Structures report §4</t>
  </si>
  <si>
    <t xml:space="preserve">PRE-04</t>
  </si>
  <si>
    <t xml:space="preserve">Deal terms</t>
  </si>
  <si>
    <t xml:space="preserve">Jon decides open terms</t>
  </si>
  <si>
    <t xml:space="preserve">Series A options doc (14 decisions) and data-room decisions: Reference Valuation, Thread payoff vs consent, consent strategy, equity-protection fallback, cash timing, disclosure scope, board seat</t>
  </si>
  <si>
    <t xml:space="preserve">Options doc v2; Data Room Review §8</t>
  </si>
  <si>
    <t xml:space="preserve">PRE-05</t>
  </si>
  <si>
    <t xml:space="preserve">Brief new Felicis partner and a16z (YC ES20 as backup)</t>
  </si>
  <si>
    <t xml:space="preserve">Explain partnership, request 55% Requisite Holder consent (§3.3.9, §3.3.8, §3.3.7) and IRA §4.1 ROFO waiver</t>
  </si>
  <si>
    <t xml:space="preserve">Charter Art. IV.B §3.3; IRA §6.6(b)</t>
  </si>
  <si>
    <t xml:space="preserve">PRE-06</t>
  </si>
  <si>
    <t xml:space="preserve">Explore insider bridge SAFE ($1–2M)</t>
  </si>
  <si>
    <t xml:space="preserve">Felicis/YC bridge signed alongside the deal to restore runway and validate the reference price</t>
  </si>
  <si>
    <t xml:space="preserve">Deal assessment – 'what would improve the odds'</t>
  </si>
  <si>
    <t xml:space="preserve">PRE-07</t>
  </si>
  <si>
    <t xml:space="preserve">Confirm current 409A and engage appraiser</t>
  </si>
  <si>
    <t xml:space="preserve">Resolve $0.17 vs $0.22; indicative value of Ben's plain common as of Jan 2, 2027; scope the closing-date update</t>
  </si>
  <si>
    <t xml:space="preserve">Data Room Review §3.2</t>
  </si>
  <si>
    <t xml:space="preserve">PRE-08</t>
  </si>
  <si>
    <t xml:space="preserve">Pro forma SAFE-conversion cap table</t>
  </si>
  <si>
    <t xml:space="preserve">At $50M and $60M reference; include Thread warrants (up to 42,500 sh) and Ben's shares</t>
  </si>
  <si>
    <t xml:space="preserve">Data Room Review §3.1</t>
  </si>
  <si>
    <t xml:space="preserve">PRE-09</t>
  </si>
  <si>
    <t xml:space="preserve">ARR bridge</t>
  </si>
  <si>
    <t xml:space="preserve">Investor-update SaaS ARR ($3.06M) to GAAP revenue (Aug run-rate $3.14M all-in / $2.55M platform fees)</t>
  </si>
  <si>
    <t xml:space="preserve">Data Room Review §3.5</t>
  </si>
  <si>
    <t xml:space="preserve">PRE-10</t>
  </si>
  <si>
    <t xml:space="preserve">Fix Kindergarten SAFE cap wording; confirm Burkland SAFE</t>
  </si>
  <si>
    <t xml:space="preserve">Correct 'Pre-Money Valuation Cap'; confirm whether the $60M SAFE has closed and falls within the 2025 authorization ($2.5M)</t>
  </si>
  <si>
    <t xml:space="preserve">SAFE Summary items 1–2; 2025 consent</t>
  </si>
  <si>
    <t xml:space="preserve">PRE-11</t>
  </si>
  <si>
    <t xml:space="preserve">Thread decision and next action</t>
  </si>
  <si>
    <t xml:space="preserve">Recommended: request payoff letter (LSA §2.6) and wind-down timeline. Alternative: written consent + §6.10 carve-out for Keystone</t>
  </si>
  <si>
    <t xml:space="preserve">Josh, Corey</t>
  </si>
  <si>
    <t xml:space="preserve">Data Room Review Decision 1</t>
  </si>
  <si>
    <t xml:space="preserve">Seller</t>
  </si>
  <si>
    <t xml:space="preserve">Verbal offer: 70/30, $650K cash, plain common at reference valuation, preference stack, tax framing, timeline, consents</t>
  </si>
  <si>
    <t xml:space="preserve">Jon plans mid-week call</t>
  </si>
  <si>
    <t xml:space="preserve">PRE-13</t>
  </si>
  <si>
    <t xml:space="preserve">Send Ben tax questions and document request</t>
  </si>
  <si>
    <t xml:space="preserve">Offer Review v3 §8 questions; 1120-S, NH-1120/DP-80, 1040 Sch. D/E, S-election acceptance letter</t>
  </si>
  <si>
    <t xml:space="preserve">Offer Review v3 §8</t>
  </si>
  <si>
    <t xml:space="preserve">PRE-14</t>
  </si>
  <si>
    <t xml:space="preserve">Confirm Ben's residency plan</t>
  </si>
  <si>
    <t xml:space="preserve">NH vs Europe through 2027 and at exit; drives the whole tax analysis</t>
  </si>
  <si>
    <t xml:space="preserve">Tax counsel, Jon</t>
  </si>
  <si>
    <t xml:space="preserve">Structures report §4</t>
  </si>
  <si>
    <t xml:space="preserve">PRE-15</t>
  </si>
  <si>
    <t xml:space="preserve">Commercial</t>
  </si>
  <si>
    <t xml:space="preserve">Amanda / partner bookkeeping firm transition plan</t>
  </si>
  <si>
    <t xml:space="preserve">Reconcile Keystone exclusivity with the existing partner firm and Quantum SOW</t>
  </si>
  <si>
    <t xml:space="preserve">Darren</t>
  </si>
  <si>
    <t xml:space="preserve">Investor update (Bookkeeping)</t>
  </si>
  <si>
    <t xml:space="preserve">PRE-16</t>
  </si>
  <si>
    <t xml:space="preserve">Governance</t>
  </si>
  <si>
    <t xml:space="preserve">Inform co-founder Bryan Beshore</t>
  </si>
  <si>
    <t xml:space="preserve">24.5% FD holder and Key Holder; not required to consent but should hear it from Jon</t>
  </si>
  <si>
    <t xml:space="preserve">Voting Agreement §3.2</t>
  </si>
  <si>
    <t xml:space="preserve">PRE-17</t>
  </si>
  <si>
    <t xml:space="preserve">Draft omnibus stockholder consent</t>
  </si>
  <si>
    <t xml:space="preserve">Template: 7/1/25 SAFE consent. Covers §3.3.9 non-wholly-owned subsidiary, §3.3.8 related-party arrangements with Ben, §3.3.7 any deferred payment, ROFO waiver, $60M SAFE ratification if needed</t>
  </si>
  <si>
    <t xml:space="preserve">Data Room Review §5</t>
  </si>
  <si>
    <t xml:space="preserve">PRE-18</t>
  </si>
  <si>
    <t xml:space="preserve">Confirm board authority</t>
  </si>
  <si>
    <t xml:space="preserve">Can a single sitting director approve? Fill the vacant Common Director seat if needed; resolution authorizing LOI</t>
  </si>
  <si>
    <t xml:space="preserve">Voting Agreement §1.2; bylaws</t>
  </si>
  <si>
    <t xml:space="preserve">PRE-19</t>
  </si>
  <si>
    <t xml:space="preserve">Documents</t>
  </si>
  <si>
    <t xml:space="preserve">Update LOI v14 and Offer v16</t>
  </si>
  <si>
    <t xml:space="preserve">Apply Jon's decisions and data-room changes (closing conditions, consents, disclosure package, credit-support clause, $50M reference)</t>
  </si>
  <si>
    <t xml:space="preserve">Data Room Review §6–7</t>
  </si>
  <si>
    <t xml:space="preserve">PRE-20</t>
  </si>
  <si>
    <t xml:space="preserve">Re-run scenario model</t>
  </si>
  <si>
    <t xml:space="preserve">12–15 month runway, $50M reference, 409A range for Ben's closing tax, 15–25% Series A dilution, after-tax rows</t>
  </si>
  <si>
    <t xml:space="preserve">Data Room Review §9 item 10</t>
  </si>
  <si>
    <t xml:space="preserve">Counsel review of LOI v14 / Offer v16 and Exhibit A</t>
  </si>
  <si>
    <t xml:space="preserve">Corey sign-off before release; include operating agreement term sheet</t>
  </si>
  <si>
    <t xml:space="preserve">PRE-22</t>
  </si>
  <si>
    <t xml:space="preserve">Topkey disclosure package for Ben</t>
  </si>
  <si>
    <t xml:space="preserve">Financials through 8/31/26, cap table, charter, SAFE and warrant schedule, Thread summary, ARR bridge; confirm NDA coverage</t>
  </si>
  <si>
    <t xml:space="preserve">Data Room Review Decision 6</t>
  </si>
  <si>
    <t xml:space="preserve">PRE-23</t>
  </si>
  <si>
    <t xml:space="preserve">Accredited-investor questionnaire ready</t>
  </si>
  <si>
    <t xml:space="preserve">Rule 506(b) private placement to Ben</t>
  </si>
  <si>
    <t xml:space="preserve">Stockholder consent executed (or LOI made conditional)</t>
  </si>
  <si>
    <t xml:space="preserve">Felicis + a16z (or YC) signatures; ROFO waiver</t>
  </si>
  <si>
    <t xml:space="preserve">Felicis, a16z</t>
  </si>
  <si>
    <t xml:space="preserve">Send LOI and Offer to Ben</t>
  </si>
  <si>
    <t xml:space="preserve">With disclosure package or a date for it</t>
  </si>
  <si>
    <t xml:space="preserve">PRE-26</t>
  </si>
  <si>
    <t xml:space="preserve">Ben and his advisors review; negotiate LOI</t>
  </si>
  <si>
    <t xml:space="preserve">Expect pushback on stock value (409A gap) and cash after tax</t>
  </si>
  <si>
    <t xml:space="preserve">Jon, Frank</t>
  </si>
  <si>
    <t xml:space="preserve">Deal assessment – concern #3</t>
  </si>
  <si>
    <t xml:space="preserve">LOI SIGNED</t>
  </si>
  <si>
    <t xml:space="preserve">Exclusivity (90 days) starts; target Friday Oct 16</t>
  </si>
  <si>
    <t xml:space="preserve">PRE-24, PRE-26</t>
  </si>
  <si>
    <t xml:space="preserve">Post-LOI Checklist – Oct 19, 2026 to closing (Jan 2, 2027) and post-close</t>
  </si>
  <si>
    <t xml:space="preserve">POST-01</t>
  </si>
  <si>
    <t xml:space="preserve">Project management</t>
  </si>
  <si>
    <t xml:space="preserve">Kickoff call, diligence request list, working-group list and calendar</t>
  </si>
  <si>
    <t xml:space="preserve">Weekly deal call through signing</t>
  </si>
  <si>
    <t xml:space="preserve">Tereno</t>
  </si>
  <si>
    <t xml:space="preserve">Diligence</t>
  </si>
  <si>
    <t xml:space="preserve">Keystone target data room populated</t>
  </si>
  <si>
    <t xml:space="preserve">Financials, contracts, roster, vendor agreements, IP, tax filings</t>
  </si>
  <si>
    <t xml:space="preserve">POST-03</t>
  </si>
  <si>
    <t xml:space="preserve">Tax structure memo</t>
  </si>
  <si>
    <t xml:space="preserve">F-reorg, 99-5 treatment, NH BPT, QSBS opinion on Topkey shares, §83 repurchase, Form 8594 allocation, §754, tax distributions</t>
  </si>
  <si>
    <t xml:space="preserve">Josh, Frank</t>
  </si>
  <si>
    <t xml:space="preserve">POST-04</t>
  </si>
  <si>
    <t xml:space="preserve">Entity and tax diligence</t>
  </si>
  <si>
    <t xml:space="preserve">Formation docs, S-election acceptance, stock basis/AAA, NH DP-80 apportionment, §174 treatment of Arch/portal</t>
  </si>
  <si>
    <t xml:space="preserve">Thread payoff executed</t>
  </si>
  <si>
    <t xml:space="preserve">Payoff letter, UCC-3 termination, DACA terminations (Mercury, Brex), warrant status</t>
  </si>
  <si>
    <t xml:space="preserve">LSA §2.6</t>
  </si>
  <si>
    <t xml:space="preserve">POST-06</t>
  </si>
  <si>
    <t xml:space="preserve">Charge-card wind-down and reserve release</t>
  </si>
  <si>
    <t xml:space="preserve">Collect $779K receivables, release reserve and operational balances, settle $476K reward-points liability</t>
  </si>
  <si>
    <t xml:space="preserve">Financials 8/31/26</t>
  </si>
  <si>
    <t xml:space="preserve">POST-07</t>
  </si>
  <si>
    <t xml:space="preserve">Insider bridge SAFE closed (if pursued)</t>
  </si>
  <si>
    <t xml:space="preserve">Restores runway before closing cash goes out</t>
  </si>
  <si>
    <t xml:space="preserve">POST-08</t>
  </si>
  <si>
    <t xml:space="preserve">Reverse diligence by Ben's advisors</t>
  </si>
  <si>
    <t xml:space="preserve">Q&amp;A on Topkey package, preference stack, runway</t>
  </si>
  <si>
    <t xml:space="preserve">Quality of earnings and working-capital peg</t>
  </si>
  <si>
    <t xml:space="preserve">Normalized EBITDA ($470–500K), deferred revenue as operating liability, card/revolver balances cleared</t>
  </si>
  <si>
    <t xml:space="preserve">POST-10</t>
  </si>
  <si>
    <t xml:space="preserve">Client contracts, retention and churn</t>
  </si>
  <si>
    <t xml:space="preserve">Revenue per client, properties per client, SMB book sale, departures</t>
  </si>
  <si>
    <t xml:space="preserve">POST-11</t>
  </si>
  <si>
    <t xml:space="preserve">Offshore team classification and go-forward model</t>
  </si>
  <si>
    <t xml:space="preserve">Philippines counsel view; EOR for client leads and accounting staff; special indemnity scope</t>
  </si>
  <si>
    <t xml:space="preserve">PH counsel, Ben</t>
  </si>
  <si>
    <t xml:space="preserve">LOI 7(d); Options doc Decision 8</t>
  </si>
  <si>
    <t xml:space="preserve">POST-12</t>
  </si>
  <si>
    <t xml:space="preserve">Vendor and software contract assignability</t>
  </si>
  <si>
    <t xml:space="preserve">VR Platform, Karbon (through Apr 2027), other tools</t>
  </si>
  <si>
    <t xml:space="preserve">POST-13</t>
  </si>
  <si>
    <t xml:space="preserve">IP assignment confirmation</t>
  </si>
  <si>
    <t xml:space="preserve">Arch, client portal, developer work product assigned to Keystone</t>
  </si>
  <si>
    <t xml:space="preserve">POST-14</t>
  </si>
  <si>
    <t xml:space="preserve">Franchise, marketplace and referral agreements</t>
  </si>
  <si>
    <t xml:space="preserve">PMI, PMS marketplaces, STR Secrets, commissions</t>
  </si>
  <si>
    <t xml:space="preserve">Membership interest purchase agreement – first draft</t>
  </si>
  <si>
    <t xml:space="preserve">Reps, indemnity (10% cap, 0.75% basket, 15 months), escrow, set-off, special indemnity, Topkey reps</t>
  </si>
  <si>
    <t xml:space="preserve">POST-16</t>
  </si>
  <si>
    <t xml:space="preserve">A&amp;R Operating Agreement – first draft</t>
  </si>
  <si>
    <t xml:space="preserve">Board, consent rights, tax distributions, ROFR/tag/drag, call (yrs 3–5) and put (yr 5), Formula Price, credit-support limit</t>
  </si>
  <si>
    <t xml:space="preserve">LOI Exhibit A</t>
  </si>
  <si>
    <t xml:space="preserve">POST-17</t>
  </si>
  <si>
    <t xml:space="preserve">Services Schedule</t>
  </si>
  <si>
    <t xml:space="preserve">Topkey product pricing, engineering support and IP ownership/licence, referral fee</t>
  </si>
  <si>
    <t xml:space="preserve">Jon, Corey</t>
  </si>
  <si>
    <t xml:space="preserve">LOI 7(b)</t>
  </si>
  <si>
    <t xml:space="preserve">POST-18</t>
  </si>
  <si>
    <t xml:space="preserve">Integration</t>
  </si>
  <si>
    <t xml:space="preserve">Migration Protocol</t>
  </si>
  <si>
    <t xml:space="preserve">Readiness criteria, cohort sign-off by Ben, Jan–Feb blackout, trust accounts last; tied to trust-accounting general availability</t>
  </si>
  <si>
    <t xml:space="preserve">Pete</t>
  </si>
  <si>
    <t xml:space="preserve">Darren, Ben, Frank</t>
  </si>
  <si>
    <t xml:space="preserve">POST-19</t>
  </si>
  <si>
    <t xml:space="preserve">Ben employment and restrictive-covenant agreements</t>
  </si>
  <si>
    <t xml:space="preserve">Title, bonus metrics, severance, Good Reason, non-compete (NH enforceability; Ben abroad)</t>
  </si>
  <si>
    <t xml:space="preserve">POST-20</t>
  </si>
  <si>
    <t xml:space="preserve">Related-party recruiting agreement</t>
  </si>
  <si>
    <t xml:space="preserve">Arm's-length terms; approved in stockholder consent</t>
  </si>
  <si>
    <t xml:space="preserve">Charter §3.3.8</t>
  </si>
  <si>
    <t xml:space="preserve">F-reorganization executed</t>
  </si>
  <si>
    <t xml:space="preserve">NewCo S corp formed, Keystone LLC contributed, QSub election (Form 8869), EINs, NewCo bank account</t>
  </si>
  <si>
    <t xml:space="preserve">Ben's CPA, tax counsel</t>
  </si>
  <si>
    <t xml:space="preserve">POST-22</t>
  </si>
  <si>
    <t xml:space="preserve">Disclosure schedules</t>
  </si>
  <si>
    <t xml:space="preserve">Seller schedules against MIPA reps</t>
  </si>
  <si>
    <t xml:space="preserve">Document turns and negotiation</t>
  </si>
  <si>
    <t xml:space="preserve">2–3 rounds with Ben's counsel on MIPA, Operating Agreement, employment, Services Schedule</t>
  </si>
  <si>
    <t xml:space="preserve">Jon, Frank, Ben's counsel</t>
  </si>
  <si>
    <t xml:space="preserve">POST-15, POST-16</t>
  </si>
  <si>
    <t xml:space="preserve">POST-24</t>
  </si>
  <si>
    <t xml:space="preserve">Third-party consents</t>
  </si>
  <si>
    <t xml:space="preserve">VR Platform, Karbon, PMI, marketplaces, any lease</t>
  </si>
  <si>
    <t xml:space="preserve">POST-25</t>
  </si>
  <si>
    <t xml:space="preserve">Closing-date 409A and appraisal of Ben's shares; agree Form 8594 allocation</t>
  </si>
  <si>
    <t xml:space="preserve">Both sides report the same value</t>
  </si>
  <si>
    <t xml:space="preserve">Appraiser, tax counsel</t>
  </si>
  <si>
    <t xml:space="preserve">POST-26</t>
  </si>
  <si>
    <t xml:space="preserve">Day-1 and 100-day integration plan</t>
  </si>
  <si>
    <t xml:space="preserve">Two-segment reporting, monthly close, banking, brand ('Keystone, a Topkey company'), governance calendar</t>
  </si>
  <si>
    <t xml:space="preserve">Tereno, Jon, Ben</t>
  </si>
  <si>
    <t xml:space="preserve">POST-27</t>
  </si>
  <si>
    <t xml:space="preserve">Escrow agreement and agent</t>
  </si>
  <si>
    <t xml:space="preserve">$65K escrow, 15-month term</t>
  </si>
  <si>
    <t xml:space="preserve">POST-28</t>
  </si>
  <si>
    <t xml:space="preserve">Securities documents</t>
  </si>
  <si>
    <t xml:space="preserve">Subscription, investor questionnaire, Voting Agreement adoption, ROFR/co-sale joinder, IRA stand-off, legends; Form D prep</t>
  </si>
  <si>
    <t xml:space="preserve">Voting Agreement §7.1(b)</t>
  </si>
  <si>
    <t xml:space="preserve">POST-29</t>
  </si>
  <si>
    <t xml:space="preserve">Ben option grant</t>
  </si>
  <si>
    <t xml:space="preserve">Board approval at 409A strike</t>
  </si>
  <si>
    <t xml:space="preserve">POST-30</t>
  </si>
  <si>
    <t xml:space="preserve">Client and team communications plan</t>
  </si>
  <si>
    <t xml:space="preserve">Announce after Jan 2; no disruption in 1099 season</t>
  </si>
  <si>
    <t xml:space="preserve">POST-31</t>
  </si>
  <si>
    <t xml:space="preserve">Closing</t>
  </si>
  <si>
    <t xml:space="preserve">Funds-flow memo and wire verification</t>
  </si>
  <si>
    <t xml:space="preserve">Escrow $65K on 12/18; $585K to NewCo on first business day; call-back verification</t>
  </si>
  <si>
    <t xml:space="preserve">POST-32</t>
  </si>
  <si>
    <t xml:space="preserve">Confirm effective time and wire date</t>
  </si>
  <si>
    <t xml:space="preserve">Jan 2, 2027 is a Saturday – confirm effective time with tax counsel; wires on Mon Jan 4</t>
  </si>
  <si>
    <t xml:space="preserve">Final board approval and any bring-down consent</t>
  </si>
  <si>
    <t xml:space="preserve">Acquisition, share issuance with fair-value finding, employment, option grant, repurchase right</t>
  </si>
  <si>
    <t xml:space="preserve">Charter §4.4.5</t>
  </si>
  <si>
    <t xml:space="preserve">SIGNING – definitive agreements executed; escrow funded</t>
  </si>
  <si>
    <t xml:space="preserve">Target Friday Dec 18, 2026</t>
  </si>
  <si>
    <t xml:space="preserve">Ben, Corey</t>
  </si>
  <si>
    <t xml:space="preserve">POST-21, POST-22, POST-23, POST-33</t>
  </si>
  <si>
    <t xml:space="preserve">Exclusivity window check</t>
  </si>
  <si>
    <t xml:space="preserve">90 days from LOI ≈ Jan 14, 2027; single automatic 30-day extension</t>
  </si>
  <si>
    <t xml:space="preserve">LOI Agreement §1</t>
  </si>
  <si>
    <t xml:space="preserve">EFFECTIVE DATE – closing</t>
  </si>
  <si>
    <t xml:space="preserve">Operating Agreement effective, shares issued, $585K wired Mon Jan 4</t>
  </si>
  <si>
    <t xml:space="preserve">POST-37</t>
  </si>
  <si>
    <t xml:space="preserve">Post-close</t>
  </si>
  <si>
    <t xml:space="preserve">Post-close filings</t>
  </si>
  <si>
    <t xml:space="preserve">Form D within 15 days, Pulley cap table, stock notices, blue sky</t>
  </si>
  <si>
    <t xml:space="preserve">POST-38</t>
  </si>
  <si>
    <t xml:space="preserve">Announcements and client communications</t>
  </si>
  <si>
    <t xml:space="preserve">Per POST-30 plan</t>
  </si>
  <si>
    <t xml:space="preserve">POST-39</t>
  </si>
  <si>
    <t xml:space="preserve">Purchase price allocation and first consolidated close</t>
  </si>
  <si>
    <t xml:space="preserve">ASC 805 valuation, NCI, two-segment reporting</t>
  </si>
  <si>
    <t xml:space="preserve">POST-40</t>
  </si>
  <si>
    <t xml:space="preserve">First tax distribution; Keystone 1065 and §754 plan</t>
  </si>
  <si>
    <t xml:space="preserve">Quarterly tax distribution by Apr 15, 2027</t>
  </si>
  <si>
    <t xml:space="preserve">POST-41</t>
  </si>
  <si>
    <t xml:space="preserve">Migration cohort 1 readiness review</t>
  </si>
  <si>
    <t xml:space="preserve">No client migrations before March (1099 season)</t>
  </si>
  <si>
    <t xml:space="preserve">Darren, Ben</t>
  </si>
  <si>
    <t xml:space="preserve">Timeline – weekly view (weeks start Monday)</t>
  </si>
  <si>
    <t xml:space="preserve">Bars update from the Start and Due dates on the checklist tabs. Red columns: LOI signing (Oct 16), signing (Dec 18), effective date (Jan 2).</t>
  </si>
  <si>
    <t xml:space="preserve">PRE-LOI</t>
  </si>
  <si>
    <t xml:space="preserve">POST-LOI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</si>
</sst>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&quot;, &quot;mmm\ d&quot;, &quot;yyyy"/>
    <numFmt numFmtId="166" formatCode="General"/>
    <numFmt numFmtId="167" formatCode="0%"/>
    <numFmt numFmtId="168" formatCode="mmm\ d&quot;, &quot;yyyy"/>
    <numFmt numFmtId="169" formatCode="mmm\ 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ont>
        <name val="Arial"/>
        <charset val="1"/>
        <family val="0"/>
        <color rgb="FF80808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4B084"/>
        </patternFill>
      </fill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color rgb="FFA9D08E"/>
      </font>
      <fill>
        <patternFill>
          <bgColor rgb="FFA9D08E"/>
        </patternFill>
      </fill>
    </dxf>
    <dxf>
      <font>
        <name val="Arial"/>
        <charset val="1"/>
        <family val="0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color rgb="FFFFFFFF"/>
      </font>
      <fill>
        <patternFill>
          <bgColor rgb="FFED7D31"/>
        </patternFill>
      </fill>
    </dxf>
    <dxf>
      <font>
        <name val="Arial"/>
        <charset val="1"/>
        <family val="0"/>
        <color rgb="FFFFFFFF"/>
      </font>
      <fill>
        <patternFill>
          <bgColor rgb="FF70AD4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4EDDA"/>
      <rgbColor rgb="FFC6EFCE"/>
      <rgbColor rgb="FFF8D7DA"/>
      <rgbColor rgb="FFA9D08E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3" t="s">
        <v>9</v>
      </c>
      <c r="B9" s="4"/>
    </row>
    <row r="10" customFormat="false" ht="15" hidden="false" customHeight="false" outlineLevel="0" collapsed="false">
      <c r="A10" s="5" t="s">
        <v>10</v>
      </c>
      <c r="B10" s="4" t="s">
        <v>11</v>
      </c>
    </row>
    <row r="11" customFormat="false" ht="15" hidden="false" customHeight="false" outlineLevel="0" collapsed="false">
      <c r="A11" s="5" t="s">
        <v>12</v>
      </c>
      <c r="B11" s="4" t="s">
        <v>13</v>
      </c>
    </row>
    <row r="12" customFormat="false" ht="15" hidden="false" customHeight="false" outlineLevel="0" collapsed="false">
      <c r="A12" s="5" t="s">
        <v>14</v>
      </c>
      <c r="B12" s="4" t="s">
        <v>15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3" t="s">
        <v>16</v>
      </c>
      <c r="B14" s="4"/>
    </row>
    <row r="15" customFormat="false" ht="15" hidden="false" customHeight="false" outlineLevel="0" collapsed="false">
      <c r="A15" s="5" t="s">
        <v>17</v>
      </c>
      <c r="B15" s="4" t="s">
        <v>18</v>
      </c>
    </row>
    <row r="16" customFormat="false" ht="15" hidden="false" customHeight="false" outlineLevel="0" collapsed="false">
      <c r="A16" s="5" t="s">
        <v>19</v>
      </c>
      <c r="B16" s="4" t="s">
        <v>20</v>
      </c>
    </row>
    <row r="17" customFormat="false" ht="15" hidden="false" customHeight="false" outlineLevel="0" collapsed="false">
      <c r="A17" s="5" t="s">
        <v>21</v>
      </c>
      <c r="B17" s="4" t="s">
        <v>22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3" t="s">
        <v>23</v>
      </c>
      <c r="B19" s="4"/>
    </row>
    <row r="20" customFormat="false" ht="15" hidden="false" customHeight="false" outlineLevel="0" collapsed="false">
      <c r="A20" s="5" t="s">
        <v>24</v>
      </c>
      <c r="B20" s="4" t="s">
        <v>25</v>
      </c>
    </row>
    <row r="21" customFormat="false" ht="15" hidden="false" customHeight="false" outlineLevel="0" collapsed="false">
      <c r="A21" s="5" t="s">
        <v>26</v>
      </c>
      <c r="B21" s="4" t="s">
        <v>27</v>
      </c>
    </row>
    <row r="22" customFormat="false" ht="15" hidden="false" customHeight="false" outlineLevel="0" collapsed="false">
      <c r="A22" s="5" t="s">
        <v>28</v>
      </c>
      <c r="B22" s="4" t="s">
        <v>29</v>
      </c>
    </row>
    <row r="23" customFormat="false" ht="15" hidden="false" customHeight="false" outlineLevel="0" collapsed="false">
      <c r="A23" s="3"/>
      <c r="B23" s="4"/>
    </row>
    <row r="24" customFormat="false" ht="15" hidden="false" customHeight="false" outlineLevel="0" collapsed="false">
      <c r="A24" s="3" t="s">
        <v>30</v>
      </c>
      <c r="B24" s="4"/>
    </row>
    <row r="25" customFormat="false" ht="15" hidden="false" customHeight="false" outlineLevel="0" collapsed="false">
      <c r="A25" s="5" t="s">
        <v>31</v>
      </c>
      <c r="B25" s="4" t="s">
        <v>32</v>
      </c>
    </row>
    <row r="26" customFormat="false" ht="15" hidden="false" customHeight="false" outlineLevel="0" collapsed="false">
      <c r="A26" s="5" t="s">
        <v>33</v>
      </c>
      <c r="B26" s="4" t="s">
        <v>34</v>
      </c>
    </row>
    <row r="27" customFormat="false" ht="15" hidden="false" customHeight="false" outlineLevel="0" collapsed="false">
      <c r="A27" s="5" t="s">
        <v>35</v>
      </c>
      <c r="B27" s="4" t="s">
        <v>36</v>
      </c>
    </row>
    <row r="28" customFormat="false" ht="15" hidden="false" customHeight="false" outlineLevel="0" collapsed="false">
      <c r="A28" s="5" t="s">
        <v>37</v>
      </c>
      <c r="B28" s="4" t="s">
        <v>38</v>
      </c>
    </row>
    <row r="29" customFormat="false" ht="15" hidden="false" customHeight="false" outlineLevel="0" collapsed="false">
      <c r="A29" s="5" t="s">
        <v>39</v>
      </c>
      <c r="B29" s="4" t="s">
        <v>40</v>
      </c>
    </row>
    <row r="30" customFormat="false" ht="15" hidden="false" customHeight="false" outlineLevel="0" collapsed="false">
      <c r="A30" s="5" t="s">
        <v>41</v>
      </c>
      <c r="B30" s="4" t="s">
        <v>42</v>
      </c>
    </row>
    <row r="31" customFormat="false" ht="15" hidden="false" customHeight="false" outlineLevel="0" collapsed="false">
      <c r="A31" s="5" t="s">
        <v>43</v>
      </c>
      <c r="B31" s="4" t="s">
        <v>44</v>
      </c>
    </row>
    <row r="32" customFormat="false" ht="15" hidden="false" customHeight="false" outlineLevel="0" collapsed="false">
      <c r="A32" s="5" t="s">
        <v>45</v>
      </c>
      <c r="B32" s="4" t="s">
        <v>46</v>
      </c>
    </row>
    <row r="33" customFormat="false" ht="15" hidden="false" customHeight="false" outlineLevel="0" collapsed="false">
      <c r="A33" s="3"/>
      <c r="B33" s="4"/>
    </row>
    <row r="34" customFormat="false" ht="15" hidden="false" customHeight="false" outlineLevel="0" collapsed="false">
      <c r="A34" s="3" t="s">
        <v>47</v>
      </c>
      <c r="B34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6" t="s">
        <v>51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</row>
    <row r="5" customFormat="false" ht="15" hidden="false" customHeight="false" outlineLevel="0" collapsed="false">
      <c r="A5" s="7" t="s">
        <v>57</v>
      </c>
      <c r="B5" s="8" t="n">
        <v>46294</v>
      </c>
      <c r="C5" s="9" t="n">
        <f aca="true">B5-TODAY()</f>
        <v>4</v>
      </c>
      <c r="D5" s="7" t="s">
        <v>58</v>
      </c>
      <c r="E5" s="7" t="s">
        <v>31</v>
      </c>
      <c r="F5" s="7" t="s">
        <v>59</v>
      </c>
    </row>
    <row r="6" customFormat="false" ht="15" hidden="false" customHeight="false" outlineLevel="0" collapsed="false">
      <c r="A6" s="7" t="s">
        <v>60</v>
      </c>
      <c r="B6" s="8" t="n">
        <v>46297</v>
      </c>
      <c r="C6" s="9" t="n">
        <f aca="true">B6-TODAY()</f>
        <v>7</v>
      </c>
      <c r="D6" s="7" t="s">
        <v>61</v>
      </c>
      <c r="E6" s="7" t="s">
        <v>31</v>
      </c>
      <c r="F6" s="7" t="s">
        <v>62</v>
      </c>
    </row>
    <row r="7" customFormat="false" ht="15" hidden="false" customHeight="false" outlineLevel="0" collapsed="false">
      <c r="A7" s="7" t="s">
        <v>63</v>
      </c>
      <c r="B7" s="8" t="n">
        <v>46297</v>
      </c>
      <c r="C7" s="9" t="n">
        <f aca="true">B7-TODAY()</f>
        <v>7</v>
      </c>
      <c r="D7" s="7" t="s">
        <v>64</v>
      </c>
      <c r="E7" s="7" t="s">
        <v>31</v>
      </c>
      <c r="F7" s="7" t="s">
        <v>65</v>
      </c>
    </row>
    <row r="8" customFormat="false" ht="15" hidden="false" customHeight="false" outlineLevel="0" collapsed="false">
      <c r="A8" s="7" t="s">
        <v>66</v>
      </c>
      <c r="B8" s="8" t="n">
        <v>46304</v>
      </c>
      <c r="C8" s="9" t="n">
        <f aca="true">B8-TODAY()</f>
        <v>14</v>
      </c>
      <c r="D8" s="7" t="s">
        <v>67</v>
      </c>
      <c r="E8" s="7" t="s">
        <v>37</v>
      </c>
      <c r="F8" s="7" t="s">
        <v>68</v>
      </c>
    </row>
    <row r="9" customFormat="false" ht="15" hidden="false" customHeight="false" outlineLevel="0" collapsed="false">
      <c r="A9" s="7" t="s">
        <v>69</v>
      </c>
      <c r="B9" s="8" t="n">
        <v>46304</v>
      </c>
      <c r="C9" s="9" t="n">
        <f aca="true">B9-TODAY()</f>
        <v>14</v>
      </c>
      <c r="D9" s="7" t="s">
        <v>70</v>
      </c>
      <c r="E9" s="7" t="s">
        <v>31</v>
      </c>
      <c r="F9" s="7" t="s">
        <v>71</v>
      </c>
    </row>
    <row r="10" customFormat="false" ht="15" hidden="false" customHeight="false" outlineLevel="0" collapsed="false">
      <c r="A10" s="7" t="s">
        <v>72</v>
      </c>
      <c r="B10" s="8" t="n">
        <v>46311</v>
      </c>
      <c r="C10" s="9" t="n">
        <f aca="true">B10-TODAY()</f>
        <v>21</v>
      </c>
      <c r="D10" s="7" t="s">
        <v>73</v>
      </c>
      <c r="E10" s="7" t="s">
        <v>31</v>
      </c>
      <c r="F10" s="7" t="s">
        <v>74</v>
      </c>
    </row>
    <row r="11" customFormat="false" ht="15" hidden="false" customHeight="false" outlineLevel="0" collapsed="false">
      <c r="A11" s="10" t="s">
        <v>3</v>
      </c>
      <c r="B11" s="11" t="n">
        <v>46311</v>
      </c>
      <c r="C11" s="9" t="n">
        <f aca="true">B11-TODAY()</f>
        <v>21</v>
      </c>
      <c r="D11" s="10" t="s">
        <v>75</v>
      </c>
      <c r="E11" s="10" t="s">
        <v>31</v>
      </c>
      <c r="F11" s="10" t="s">
        <v>76</v>
      </c>
    </row>
    <row r="12" customFormat="false" ht="15" hidden="false" customHeight="false" outlineLevel="0" collapsed="false">
      <c r="A12" s="7" t="s">
        <v>77</v>
      </c>
      <c r="B12" s="8" t="n">
        <v>46325</v>
      </c>
      <c r="C12" s="9" t="n">
        <f aca="true">B12-TODAY()</f>
        <v>35</v>
      </c>
      <c r="D12" s="7" t="s">
        <v>78</v>
      </c>
      <c r="E12" s="7" t="s">
        <v>45</v>
      </c>
      <c r="F12" s="7"/>
    </row>
    <row r="13" customFormat="false" ht="23.85" hidden="false" customHeight="false" outlineLevel="0" collapsed="false">
      <c r="A13" s="7" t="s">
        <v>79</v>
      </c>
      <c r="B13" s="8" t="n">
        <v>46339</v>
      </c>
      <c r="C13" s="9" t="n">
        <f aca="true">B13-TODAY()</f>
        <v>49</v>
      </c>
      <c r="D13" s="7" t="s">
        <v>80</v>
      </c>
      <c r="E13" s="7" t="s">
        <v>37</v>
      </c>
      <c r="F13" s="7" t="s">
        <v>81</v>
      </c>
    </row>
    <row r="14" customFormat="false" ht="15" hidden="false" customHeight="false" outlineLevel="0" collapsed="false">
      <c r="A14" s="7" t="s">
        <v>82</v>
      </c>
      <c r="B14" s="8" t="n">
        <v>46346</v>
      </c>
      <c r="C14" s="9" t="n">
        <f aca="true">B14-TODAY()</f>
        <v>56</v>
      </c>
      <c r="D14" s="7" t="s">
        <v>83</v>
      </c>
      <c r="E14" s="7" t="s">
        <v>35</v>
      </c>
      <c r="F14" s="7" t="s">
        <v>84</v>
      </c>
    </row>
    <row r="15" customFormat="false" ht="15" hidden="false" customHeight="false" outlineLevel="0" collapsed="false">
      <c r="A15" s="7" t="s">
        <v>85</v>
      </c>
      <c r="B15" s="8" t="n">
        <v>46356</v>
      </c>
      <c r="C15" s="9" t="n">
        <f aca="true">B15-TODAY()</f>
        <v>66</v>
      </c>
      <c r="D15" s="7" t="s">
        <v>86</v>
      </c>
      <c r="E15" s="7" t="s">
        <v>31</v>
      </c>
      <c r="F15" s="7" t="s">
        <v>87</v>
      </c>
    </row>
    <row r="16" customFormat="false" ht="15" hidden="false" customHeight="false" outlineLevel="0" collapsed="false">
      <c r="A16" s="7" t="s">
        <v>88</v>
      </c>
      <c r="B16" s="8" t="n">
        <v>46367</v>
      </c>
      <c r="C16" s="9" t="n">
        <f aca="true">B16-TODAY()</f>
        <v>77</v>
      </c>
      <c r="D16" s="7" t="s">
        <v>89</v>
      </c>
      <c r="E16" s="7" t="s">
        <v>37</v>
      </c>
      <c r="F16" s="7" t="s">
        <v>90</v>
      </c>
    </row>
    <row r="17" customFormat="false" ht="15" hidden="false" customHeight="false" outlineLevel="0" collapsed="false">
      <c r="A17" s="7" t="s">
        <v>91</v>
      </c>
      <c r="B17" s="8" t="n">
        <v>46371</v>
      </c>
      <c r="C17" s="9" t="n">
        <f aca="true">B17-TODAY()</f>
        <v>81</v>
      </c>
      <c r="D17" s="7" t="s">
        <v>92</v>
      </c>
      <c r="E17" s="7" t="s">
        <v>45</v>
      </c>
      <c r="F17" s="7" t="s">
        <v>93</v>
      </c>
    </row>
    <row r="18" customFormat="false" ht="15" hidden="false" customHeight="false" outlineLevel="0" collapsed="false">
      <c r="A18" s="7" t="s">
        <v>94</v>
      </c>
      <c r="B18" s="8" t="n">
        <v>46373</v>
      </c>
      <c r="C18" s="9" t="n">
        <f aca="true">B18-TODAY()</f>
        <v>83</v>
      </c>
      <c r="D18" s="7" t="s">
        <v>95</v>
      </c>
      <c r="E18" s="7" t="s">
        <v>31</v>
      </c>
      <c r="F18" s="7" t="s">
        <v>96</v>
      </c>
    </row>
    <row r="19" customFormat="false" ht="15" hidden="false" customHeight="false" outlineLevel="0" collapsed="false">
      <c r="A19" s="10" t="s">
        <v>97</v>
      </c>
      <c r="B19" s="11" t="n">
        <v>46374</v>
      </c>
      <c r="C19" s="9" t="n">
        <f aca="true">B19-TODAY()</f>
        <v>84</v>
      </c>
      <c r="D19" s="10" t="s">
        <v>98</v>
      </c>
      <c r="E19" s="10" t="s">
        <v>31</v>
      </c>
      <c r="F19" s="10" t="s">
        <v>99</v>
      </c>
    </row>
    <row r="20" customFormat="false" ht="15" hidden="false" customHeight="false" outlineLevel="0" collapsed="false">
      <c r="A20" s="10" t="s">
        <v>100</v>
      </c>
      <c r="B20" s="11" t="n">
        <v>46389</v>
      </c>
      <c r="C20" s="9" t="n">
        <f aca="true">B20-TODAY()</f>
        <v>99</v>
      </c>
      <c r="D20" s="10" t="s">
        <v>101</v>
      </c>
      <c r="E20" s="10" t="s">
        <v>31</v>
      </c>
      <c r="F20" s="10" t="s">
        <v>102</v>
      </c>
    </row>
    <row r="21" customFormat="false" ht="15" hidden="false" customHeight="false" outlineLevel="0" collapsed="false">
      <c r="A21" s="7" t="s">
        <v>103</v>
      </c>
      <c r="B21" s="8" t="n">
        <v>46401</v>
      </c>
      <c r="C21" s="9" t="n">
        <f aca="true">B21-TODAY()</f>
        <v>111</v>
      </c>
      <c r="D21" s="7" t="s">
        <v>104</v>
      </c>
      <c r="E21" s="7" t="s">
        <v>105</v>
      </c>
      <c r="F21" s="7" t="s">
        <v>106</v>
      </c>
    </row>
    <row r="24" customFormat="false" ht="15" hidden="false" customHeight="false" outlineLevel="0" collapsed="false">
      <c r="A24" s="3" t="s">
        <v>107</v>
      </c>
    </row>
    <row r="25" customFormat="false" ht="15" hidden="false" customHeight="false" outlineLevel="0" collapsed="false">
      <c r="A25" s="6"/>
      <c r="B25" s="6" t="s">
        <v>108</v>
      </c>
      <c r="C25" s="6" t="s">
        <v>109</v>
      </c>
      <c r="D25" s="6" t="s">
        <v>110</v>
      </c>
    </row>
    <row r="26" customFormat="false" ht="15" hidden="false" customHeight="false" outlineLevel="0" collapsed="false">
      <c r="A26" s="12" t="s">
        <v>111</v>
      </c>
      <c r="B26" s="12" t="n">
        <f aca="false">COUNTIF('Pre-LOI Checklist'!O5:O31,A26)</f>
        <v>27</v>
      </c>
      <c r="C26" s="12" t="n">
        <f aca="false">COUNTIF('Post-LOI Checklist'!O5:O45,A26)</f>
        <v>41</v>
      </c>
      <c r="D26" s="12" t="n">
        <f aca="false">B26+C26</f>
        <v>68</v>
      </c>
    </row>
    <row r="27" customFormat="false" ht="15" hidden="false" customHeight="false" outlineLevel="0" collapsed="false">
      <c r="A27" s="12" t="s">
        <v>112</v>
      </c>
      <c r="B27" s="12" t="n">
        <f aca="false">COUNTIF('Pre-LOI Checklist'!O5:O31,A27)</f>
        <v>0</v>
      </c>
      <c r="C27" s="12" t="n">
        <f aca="false">COUNTIF('Post-LOI Checklist'!O5:O45,A27)</f>
        <v>0</v>
      </c>
      <c r="D27" s="12" t="n">
        <f aca="false">B27+C27</f>
        <v>0</v>
      </c>
    </row>
    <row r="28" customFormat="false" ht="15" hidden="false" customHeight="false" outlineLevel="0" collapsed="false">
      <c r="A28" s="12" t="s">
        <v>113</v>
      </c>
      <c r="B28" s="12" t="n">
        <f aca="false">COUNTIF('Pre-LOI Checklist'!O5:O31,A28)</f>
        <v>0</v>
      </c>
      <c r="C28" s="12" t="n">
        <f aca="false">COUNTIF('Post-LOI Checklist'!O5:O45,A28)</f>
        <v>0</v>
      </c>
      <c r="D28" s="12" t="n">
        <f aca="false">B28+C28</f>
        <v>0</v>
      </c>
    </row>
    <row r="29" customFormat="false" ht="15" hidden="false" customHeight="false" outlineLevel="0" collapsed="false">
      <c r="A29" s="12" t="s">
        <v>114</v>
      </c>
      <c r="B29" s="12" t="n">
        <f aca="false">COUNTIF('Pre-LOI Checklist'!O5:O31,A29)</f>
        <v>0</v>
      </c>
      <c r="C29" s="12" t="n">
        <f aca="false">COUNTIF('Post-LOI Checklist'!O5:O45,A29)</f>
        <v>0</v>
      </c>
      <c r="D29" s="12" t="n">
        <f aca="false">B29+C29</f>
        <v>0</v>
      </c>
    </row>
    <row r="30" customFormat="false" ht="15" hidden="false" customHeight="false" outlineLevel="0" collapsed="false">
      <c r="A30" s="12" t="s">
        <v>115</v>
      </c>
      <c r="B30" s="12" t="n">
        <f aca="false">COUNTIF('Pre-LOI Checklist'!O5:O31,A30)</f>
        <v>0</v>
      </c>
      <c r="C30" s="12" t="n">
        <f aca="false">COUNTIF('Post-LOI Checklist'!O5:O45,A30)</f>
        <v>0</v>
      </c>
      <c r="D30" s="12" t="n">
        <f aca="false">B30+C30</f>
        <v>0</v>
      </c>
    </row>
    <row r="31" customFormat="false" ht="15" hidden="false" customHeight="false" outlineLevel="0" collapsed="false">
      <c r="A31" s="13" t="s">
        <v>116</v>
      </c>
      <c r="B31" s="13" t="n">
        <f aca="false">SUM(B26:B30)</f>
        <v>27</v>
      </c>
      <c r="C31" s="13" t="n">
        <f aca="false">SUM(C26:C30)</f>
        <v>41</v>
      </c>
      <c r="D31" s="13" t="n">
        <f aca="false">B31+C31</f>
        <v>68</v>
      </c>
    </row>
    <row r="32" customFormat="false" ht="15" hidden="false" customHeight="false" outlineLevel="0" collapsed="false">
      <c r="A32" s="3" t="s">
        <v>117</v>
      </c>
      <c r="B32" s="14" t="n">
        <f aca="false">IF(B31=0,0,B28/B31)</f>
        <v>0</v>
      </c>
      <c r="C32" s="14" t="n">
        <f aca="false">IF(C31=0,0,C28/C31)</f>
        <v>0</v>
      </c>
      <c r="D32" s="14" t="n">
        <f aca="false">IF(D31=0,0,D28/D31)</f>
        <v>0</v>
      </c>
    </row>
    <row r="33" customFormat="false" ht="15" hidden="false" customHeight="false" outlineLevel="0" collapsed="false">
      <c r="A33" s="12" t="s">
        <v>118</v>
      </c>
      <c r="B33" s="12" t="n">
        <f aca="false">COUNTIFS('Pre-LOI Checklist'!E5:E31,"P1*",'Pre-LOI Checklist'!O5:O31,"&lt;&gt;Done")</f>
        <v>15</v>
      </c>
      <c r="C33" s="12" t="n">
        <f aca="false">COUNTIFS('Post-LOI Checklist'!E5:E45,"P1*",'Post-LOI Checklist'!O5:O45,"&lt;&gt;Done")</f>
        <v>18</v>
      </c>
      <c r="D33" s="12" t="n">
        <f aca="false">B33+C33</f>
        <v>33</v>
      </c>
    </row>
    <row r="34" customFormat="false" ht="15" hidden="false" customHeight="false" outlineLevel="0" collapsed="false">
      <c r="A34" s="12" t="s">
        <v>119</v>
      </c>
      <c r="B34" s="12" t="n">
        <f aca="true">COUNTIFS('Pre-LOI Checklist'!J5:J31,"&lt;"&amp;TODAY(),'Pre-LOI Checklist'!O5:O31,"&lt;&gt;Done")</f>
        <v>0</v>
      </c>
      <c r="C34" s="12" t="n">
        <f aca="true">COUNTIFS('Post-LOI Checklist'!J5:J45,"&lt;"&amp;TODAY(),'Post-LOI Checklist'!O5:O45,"&lt;&gt;Done")</f>
        <v>0</v>
      </c>
      <c r="D34" s="12" t="n">
        <f aca="false">B34+C34</f>
        <v>0</v>
      </c>
    </row>
  </sheetData>
  <conditionalFormatting sqref="C5:C21">
    <cfRule type="expression" priority="2" aboveAverage="0" equalAverage="0" bottom="0" percent="0" rank="0" text="" dxfId="0">
      <formula>C5&lt;0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1"/>
    <col collapsed="false" customWidth="true" hidden="false" outlineLevel="0" max="12" min="11" style="0" width="10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13"/>
    <col collapsed="false" customWidth="true" hidden="false" outlineLevel="0" max="16" min="16" style="0" width="32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35.05" hidden="false" customHeight="false" outlineLevel="0" collapsed="false">
      <c r="A4" s="6" t="s">
        <v>122</v>
      </c>
      <c r="B4" s="6" t="s">
        <v>123</v>
      </c>
      <c r="C4" s="6" t="s">
        <v>124</v>
      </c>
      <c r="D4" s="6" t="s">
        <v>125</v>
      </c>
      <c r="E4" s="6" t="s">
        <v>16</v>
      </c>
      <c r="F4" s="6" t="s">
        <v>23</v>
      </c>
      <c r="G4" s="6" t="s">
        <v>55</v>
      </c>
      <c r="H4" s="6" t="s">
        <v>126</v>
      </c>
      <c r="I4" s="6" t="s">
        <v>127</v>
      </c>
      <c r="J4" s="6" t="s">
        <v>128</v>
      </c>
      <c r="K4" s="6" t="s">
        <v>129</v>
      </c>
      <c r="L4" s="6" t="s">
        <v>130</v>
      </c>
      <c r="M4" s="6" t="s">
        <v>131</v>
      </c>
      <c r="N4" s="6" t="s">
        <v>14</v>
      </c>
      <c r="O4" s="6" t="s">
        <v>10</v>
      </c>
      <c r="P4" s="6" t="s">
        <v>132</v>
      </c>
    </row>
    <row r="5" customFormat="false" ht="35.05" hidden="false" customHeight="false" outlineLevel="0" collapsed="false">
      <c r="A5" s="15" t="s">
        <v>133</v>
      </c>
      <c r="B5" s="7" t="s">
        <v>134</v>
      </c>
      <c r="C5" s="7" t="s">
        <v>135</v>
      </c>
      <c r="D5" s="7" t="s">
        <v>136</v>
      </c>
      <c r="E5" s="15" t="s">
        <v>19</v>
      </c>
      <c r="F5" s="15" t="s">
        <v>28</v>
      </c>
      <c r="G5" s="7" t="s">
        <v>105</v>
      </c>
      <c r="H5" s="7" t="s">
        <v>31</v>
      </c>
      <c r="I5" s="16" t="n">
        <v>46290</v>
      </c>
      <c r="J5" s="16" t="n">
        <v>46294</v>
      </c>
      <c r="K5" s="15" t="n">
        <f aca="false">J5-I5+1</f>
        <v>5</v>
      </c>
      <c r="L5" s="9" t="n">
        <f aca="true">IF(O5="Done","",J5-TODAY())</f>
        <v>4</v>
      </c>
      <c r="M5" s="7"/>
      <c r="N5" s="15" t="s">
        <v>137</v>
      </c>
      <c r="O5" s="15" t="s">
        <v>111</v>
      </c>
      <c r="P5" s="7" t="s">
        <v>138</v>
      </c>
    </row>
    <row r="6" customFormat="false" ht="23.85" hidden="false" customHeight="false" outlineLevel="0" collapsed="false">
      <c r="A6" s="15" t="s">
        <v>58</v>
      </c>
      <c r="B6" s="7" t="s">
        <v>139</v>
      </c>
      <c r="C6" s="7" t="s">
        <v>140</v>
      </c>
      <c r="D6" s="7" t="s">
        <v>141</v>
      </c>
      <c r="E6" s="15" t="s">
        <v>17</v>
      </c>
      <c r="F6" s="15" t="s">
        <v>28</v>
      </c>
      <c r="G6" s="7" t="s">
        <v>31</v>
      </c>
      <c r="H6" s="7" t="s">
        <v>35</v>
      </c>
      <c r="I6" s="16" t="n">
        <v>46290</v>
      </c>
      <c r="J6" s="16" t="n">
        <v>46294</v>
      </c>
      <c r="K6" s="15" t="n">
        <f aca="false">J6-I6+1</f>
        <v>5</v>
      </c>
      <c r="L6" s="9" t="n">
        <f aca="true">IF(O6="Done","",J6-TODAY())</f>
        <v>4</v>
      </c>
      <c r="M6" s="7"/>
      <c r="N6" s="15" t="s">
        <v>142</v>
      </c>
      <c r="O6" s="15" t="s">
        <v>111</v>
      </c>
      <c r="P6" s="7" t="s">
        <v>143</v>
      </c>
    </row>
    <row r="7" customFormat="false" ht="35.05" hidden="false" customHeight="false" outlineLevel="0" collapsed="false">
      <c r="A7" s="15" t="s">
        <v>64</v>
      </c>
      <c r="B7" s="7" t="s">
        <v>144</v>
      </c>
      <c r="C7" s="7" t="s">
        <v>145</v>
      </c>
      <c r="D7" s="7" t="s">
        <v>146</v>
      </c>
      <c r="E7" s="15" t="s">
        <v>17</v>
      </c>
      <c r="F7" s="15" t="s">
        <v>26</v>
      </c>
      <c r="G7" s="7" t="s">
        <v>31</v>
      </c>
      <c r="H7" s="7" t="s">
        <v>147</v>
      </c>
      <c r="I7" s="16" t="n">
        <v>46290</v>
      </c>
      <c r="J7" s="16" t="n">
        <v>46297</v>
      </c>
      <c r="K7" s="15" t="n">
        <f aca="false">J7-I7+1</f>
        <v>8</v>
      </c>
      <c r="L7" s="9" t="n">
        <f aca="true">IF(O7="Done","",J7-TODAY())</f>
        <v>7</v>
      </c>
      <c r="M7" s="7"/>
      <c r="N7" s="15" t="s">
        <v>142</v>
      </c>
      <c r="O7" s="15" t="s">
        <v>111</v>
      </c>
      <c r="P7" s="7" t="s">
        <v>148</v>
      </c>
    </row>
    <row r="8" customFormat="false" ht="35.05" hidden="false" customHeight="false" outlineLevel="0" collapsed="false">
      <c r="A8" s="15" t="s">
        <v>149</v>
      </c>
      <c r="B8" s="7" t="s">
        <v>150</v>
      </c>
      <c r="C8" s="7" t="s">
        <v>151</v>
      </c>
      <c r="D8" s="7" t="s">
        <v>152</v>
      </c>
      <c r="E8" s="15" t="s">
        <v>17</v>
      </c>
      <c r="F8" s="15" t="s">
        <v>26</v>
      </c>
      <c r="G8" s="7" t="s">
        <v>31</v>
      </c>
      <c r="H8" s="7" t="s">
        <v>105</v>
      </c>
      <c r="I8" s="16" t="n">
        <v>46293</v>
      </c>
      <c r="J8" s="16" t="n">
        <v>46297</v>
      </c>
      <c r="K8" s="15" t="n">
        <f aca="false">J8-I8+1</f>
        <v>5</v>
      </c>
      <c r="L8" s="9" t="n">
        <f aca="true">IF(O8="Done","",J8-TODAY())</f>
        <v>7</v>
      </c>
      <c r="M8" s="7" t="s">
        <v>58</v>
      </c>
      <c r="N8" s="15" t="s">
        <v>142</v>
      </c>
      <c r="O8" s="15" t="s">
        <v>111</v>
      </c>
      <c r="P8" s="7" t="s">
        <v>153</v>
      </c>
    </row>
    <row r="9" customFormat="false" ht="23.85" hidden="false" customHeight="false" outlineLevel="0" collapsed="false">
      <c r="A9" s="15" t="s">
        <v>154</v>
      </c>
      <c r="B9" s="7" t="s">
        <v>139</v>
      </c>
      <c r="C9" s="7" t="s">
        <v>155</v>
      </c>
      <c r="D9" s="7" t="s">
        <v>156</v>
      </c>
      <c r="E9" s="15" t="s">
        <v>17</v>
      </c>
      <c r="F9" s="15" t="s">
        <v>26</v>
      </c>
      <c r="G9" s="7" t="s">
        <v>31</v>
      </c>
      <c r="H9" s="7" t="s">
        <v>105</v>
      </c>
      <c r="I9" s="16" t="n">
        <v>46293</v>
      </c>
      <c r="J9" s="16" t="n">
        <v>46302</v>
      </c>
      <c r="K9" s="15" t="n">
        <f aca="false">J9-I9+1</f>
        <v>10</v>
      </c>
      <c r="L9" s="9" t="n">
        <f aca="true">IF(O9="Done","",J9-TODAY())</f>
        <v>12</v>
      </c>
      <c r="M9" s="7"/>
      <c r="N9" s="15" t="s">
        <v>142</v>
      </c>
      <c r="O9" s="15" t="s">
        <v>111</v>
      </c>
      <c r="P9" s="7" t="s">
        <v>157</v>
      </c>
    </row>
    <row r="10" customFormat="false" ht="23.85" hidden="false" customHeight="false" outlineLevel="0" collapsed="false">
      <c r="A10" s="15" t="s">
        <v>158</v>
      </c>
      <c r="B10" s="7" t="s">
        <v>139</v>
      </c>
      <c r="C10" s="7" t="s">
        <v>159</v>
      </c>
      <c r="D10" s="7" t="s">
        <v>160</v>
      </c>
      <c r="E10" s="15" t="s">
        <v>19</v>
      </c>
      <c r="F10" s="15" t="s">
        <v>24</v>
      </c>
      <c r="G10" s="7" t="s">
        <v>31</v>
      </c>
      <c r="H10" s="7" t="s">
        <v>35</v>
      </c>
      <c r="I10" s="16" t="n">
        <v>46293</v>
      </c>
      <c r="J10" s="16" t="n">
        <v>46311</v>
      </c>
      <c r="K10" s="15" t="n">
        <f aca="false">J10-I10+1</f>
        <v>19</v>
      </c>
      <c r="L10" s="9" t="n">
        <f aca="true">IF(O10="Done","",J10-TODAY())</f>
        <v>21</v>
      </c>
      <c r="M10" s="7" t="s">
        <v>154</v>
      </c>
      <c r="N10" s="15" t="s">
        <v>137</v>
      </c>
      <c r="O10" s="15" t="s">
        <v>111</v>
      </c>
      <c r="P10" s="7" t="s">
        <v>161</v>
      </c>
    </row>
    <row r="11" customFormat="false" ht="23.85" hidden="false" customHeight="false" outlineLevel="0" collapsed="false">
      <c r="A11" s="15" t="s">
        <v>162</v>
      </c>
      <c r="B11" s="7" t="s">
        <v>144</v>
      </c>
      <c r="C11" s="7" t="s">
        <v>163</v>
      </c>
      <c r="D11" s="7" t="s">
        <v>164</v>
      </c>
      <c r="E11" s="15" t="s">
        <v>17</v>
      </c>
      <c r="F11" s="15" t="s">
        <v>26</v>
      </c>
      <c r="G11" s="7" t="s">
        <v>35</v>
      </c>
      <c r="H11" s="7" t="s">
        <v>41</v>
      </c>
      <c r="I11" s="16" t="n">
        <v>46293</v>
      </c>
      <c r="J11" s="16" t="n">
        <v>46304</v>
      </c>
      <c r="K11" s="15" t="n">
        <f aca="false">J11-I11+1</f>
        <v>12</v>
      </c>
      <c r="L11" s="9" t="n">
        <f aca="true">IF(O11="Done","",J11-TODAY())</f>
        <v>14</v>
      </c>
      <c r="M11" s="7"/>
      <c r="N11" s="15" t="s">
        <v>142</v>
      </c>
      <c r="O11" s="15" t="s">
        <v>111</v>
      </c>
      <c r="P11" s="7" t="s">
        <v>165</v>
      </c>
    </row>
    <row r="12" customFormat="false" ht="23.85" hidden="false" customHeight="false" outlineLevel="0" collapsed="false">
      <c r="A12" s="15" t="s">
        <v>166</v>
      </c>
      <c r="B12" s="7" t="s">
        <v>134</v>
      </c>
      <c r="C12" s="7" t="s">
        <v>167</v>
      </c>
      <c r="D12" s="7" t="s">
        <v>168</v>
      </c>
      <c r="E12" s="15" t="s">
        <v>19</v>
      </c>
      <c r="F12" s="15" t="s">
        <v>28</v>
      </c>
      <c r="G12" s="7" t="s">
        <v>35</v>
      </c>
      <c r="H12" s="7" t="s">
        <v>105</v>
      </c>
      <c r="I12" s="16" t="n">
        <v>46293</v>
      </c>
      <c r="J12" s="16" t="n">
        <v>46300</v>
      </c>
      <c r="K12" s="15" t="n">
        <f aca="false">J12-I12+1</f>
        <v>8</v>
      </c>
      <c r="L12" s="9" t="n">
        <f aca="true">IF(O12="Done","",J12-TODAY())</f>
        <v>10</v>
      </c>
      <c r="M12" s="7"/>
      <c r="N12" s="15" t="s">
        <v>137</v>
      </c>
      <c r="O12" s="15" t="s">
        <v>111</v>
      </c>
      <c r="P12" s="7" t="s">
        <v>169</v>
      </c>
    </row>
    <row r="13" customFormat="false" ht="23.85" hidden="false" customHeight="false" outlineLevel="0" collapsed="false">
      <c r="A13" s="15" t="s">
        <v>170</v>
      </c>
      <c r="B13" s="7" t="s">
        <v>134</v>
      </c>
      <c r="C13" s="7" t="s">
        <v>171</v>
      </c>
      <c r="D13" s="7" t="s">
        <v>172</v>
      </c>
      <c r="E13" s="15" t="s">
        <v>19</v>
      </c>
      <c r="F13" s="15" t="s">
        <v>26</v>
      </c>
      <c r="G13" s="7" t="s">
        <v>35</v>
      </c>
      <c r="H13" s="7" t="s">
        <v>105</v>
      </c>
      <c r="I13" s="16" t="n">
        <v>46293</v>
      </c>
      <c r="J13" s="16" t="n">
        <v>46302</v>
      </c>
      <c r="K13" s="15" t="n">
        <f aca="false">J13-I13+1</f>
        <v>10</v>
      </c>
      <c r="L13" s="9" t="n">
        <f aca="true">IF(O13="Done","",J13-TODAY())</f>
        <v>12</v>
      </c>
      <c r="M13" s="7"/>
      <c r="N13" s="15" t="s">
        <v>137</v>
      </c>
      <c r="O13" s="15" t="s">
        <v>111</v>
      </c>
      <c r="P13" s="7" t="s">
        <v>173</v>
      </c>
    </row>
    <row r="14" customFormat="false" ht="23.85" hidden="false" customHeight="false" outlineLevel="0" collapsed="false">
      <c r="A14" s="15" t="s">
        <v>174</v>
      </c>
      <c r="B14" s="7" t="s">
        <v>139</v>
      </c>
      <c r="C14" s="7" t="s">
        <v>175</v>
      </c>
      <c r="D14" s="7" t="s">
        <v>176</v>
      </c>
      <c r="E14" s="15" t="s">
        <v>19</v>
      </c>
      <c r="F14" s="15" t="s">
        <v>28</v>
      </c>
      <c r="G14" s="7" t="s">
        <v>37</v>
      </c>
      <c r="H14" s="7" t="s">
        <v>35</v>
      </c>
      <c r="I14" s="16" t="n">
        <v>46293</v>
      </c>
      <c r="J14" s="16" t="n">
        <v>46302</v>
      </c>
      <c r="K14" s="15" t="n">
        <f aca="false">J14-I14+1</f>
        <v>10</v>
      </c>
      <c r="L14" s="9" t="n">
        <f aca="true">IF(O14="Done","",J14-TODAY())</f>
        <v>12</v>
      </c>
      <c r="M14" s="7"/>
      <c r="N14" s="15" t="s">
        <v>137</v>
      </c>
      <c r="O14" s="15" t="s">
        <v>111</v>
      </c>
      <c r="P14" s="7" t="s">
        <v>177</v>
      </c>
    </row>
    <row r="15" customFormat="false" ht="23.85" hidden="false" customHeight="false" outlineLevel="0" collapsed="false">
      <c r="A15" s="15" t="s">
        <v>178</v>
      </c>
      <c r="B15" s="7" t="s">
        <v>139</v>
      </c>
      <c r="C15" s="7" t="s">
        <v>179</v>
      </c>
      <c r="D15" s="7" t="s">
        <v>180</v>
      </c>
      <c r="E15" s="15" t="s">
        <v>17</v>
      </c>
      <c r="F15" s="15" t="s">
        <v>26</v>
      </c>
      <c r="G15" s="7" t="s">
        <v>31</v>
      </c>
      <c r="H15" s="7" t="s">
        <v>181</v>
      </c>
      <c r="I15" s="16" t="n">
        <v>46294</v>
      </c>
      <c r="J15" s="16" t="n">
        <v>46304</v>
      </c>
      <c r="K15" s="15" t="n">
        <f aca="false">J15-I15+1</f>
        <v>11</v>
      </c>
      <c r="L15" s="9" t="n">
        <f aca="true">IF(O15="Done","",J15-TODAY())</f>
        <v>14</v>
      </c>
      <c r="M15" s="7" t="s">
        <v>58</v>
      </c>
      <c r="N15" s="15" t="s">
        <v>142</v>
      </c>
      <c r="O15" s="15" t="s">
        <v>111</v>
      </c>
      <c r="P15" s="7" t="s">
        <v>182</v>
      </c>
    </row>
    <row r="16" customFormat="false" ht="23.85" hidden="false" customHeight="false" outlineLevel="0" collapsed="false">
      <c r="A16" s="15" t="s">
        <v>61</v>
      </c>
      <c r="B16" s="7" t="s">
        <v>183</v>
      </c>
      <c r="C16" s="7" t="s">
        <v>60</v>
      </c>
      <c r="D16" s="7" t="s">
        <v>184</v>
      </c>
      <c r="E16" s="15" t="s">
        <v>17</v>
      </c>
      <c r="F16" s="15" t="s">
        <v>26</v>
      </c>
      <c r="G16" s="7" t="s">
        <v>31</v>
      </c>
      <c r="H16" s="7" t="s">
        <v>105</v>
      </c>
      <c r="I16" s="16" t="n">
        <v>46295</v>
      </c>
      <c r="J16" s="16" t="n">
        <v>46297</v>
      </c>
      <c r="K16" s="15" t="n">
        <f aca="false">J16-I16+1</f>
        <v>3</v>
      </c>
      <c r="L16" s="9" t="n">
        <f aca="true">IF(O16="Done","",J16-TODAY())</f>
        <v>7</v>
      </c>
      <c r="M16" s="7" t="s">
        <v>149</v>
      </c>
      <c r="N16" s="15" t="s">
        <v>142</v>
      </c>
      <c r="O16" s="15" t="s">
        <v>111</v>
      </c>
      <c r="P16" s="7" t="s">
        <v>185</v>
      </c>
    </row>
    <row r="17" customFormat="false" ht="23.85" hidden="false" customHeight="false" outlineLevel="0" collapsed="false">
      <c r="A17" s="15" t="s">
        <v>186</v>
      </c>
      <c r="B17" s="7" t="s">
        <v>183</v>
      </c>
      <c r="C17" s="7" t="s">
        <v>187</v>
      </c>
      <c r="D17" s="7" t="s">
        <v>188</v>
      </c>
      <c r="E17" s="15" t="s">
        <v>19</v>
      </c>
      <c r="F17" s="15" t="s">
        <v>28</v>
      </c>
      <c r="G17" s="7" t="s">
        <v>105</v>
      </c>
      <c r="H17" s="7" t="s">
        <v>39</v>
      </c>
      <c r="I17" s="16" t="n">
        <v>46295</v>
      </c>
      <c r="J17" s="16" t="n">
        <v>46297</v>
      </c>
      <c r="K17" s="15" t="n">
        <f aca="false">J17-I17+1</f>
        <v>3</v>
      </c>
      <c r="L17" s="9" t="n">
        <f aca="true">IF(O17="Done","",J17-TODAY())</f>
        <v>7</v>
      </c>
      <c r="M17" s="7" t="s">
        <v>64</v>
      </c>
      <c r="N17" s="15" t="s">
        <v>137</v>
      </c>
      <c r="O17" s="15" t="s">
        <v>111</v>
      </c>
      <c r="P17" s="7" t="s">
        <v>189</v>
      </c>
    </row>
    <row r="18" customFormat="false" ht="15" hidden="false" customHeight="false" outlineLevel="0" collapsed="false">
      <c r="A18" s="15" t="s">
        <v>190</v>
      </c>
      <c r="B18" s="7" t="s">
        <v>144</v>
      </c>
      <c r="C18" s="7" t="s">
        <v>191</v>
      </c>
      <c r="D18" s="7" t="s">
        <v>192</v>
      </c>
      <c r="E18" s="15" t="s">
        <v>17</v>
      </c>
      <c r="F18" s="15" t="s">
        <v>28</v>
      </c>
      <c r="G18" s="7" t="s">
        <v>45</v>
      </c>
      <c r="H18" s="7" t="s">
        <v>193</v>
      </c>
      <c r="I18" s="16" t="n">
        <v>46296</v>
      </c>
      <c r="J18" s="16" t="n">
        <v>46304</v>
      </c>
      <c r="K18" s="15" t="n">
        <f aca="false">J18-I18+1</f>
        <v>9</v>
      </c>
      <c r="L18" s="9" t="n">
        <f aca="true">IF(O18="Done","",J18-TODAY())</f>
        <v>14</v>
      </c>
      <c r="M18" s="7" t="s">
        <v>61</v>
      </c>
      <c r="N18" s="15" t="s">
        <v>137</v>
      </c>
      <c r="O18" s="15" t="s">
        <v>111</v>
      </c>
      <c r="P18" s="7" t="s">
        <v>194</v>
      </c>
    </row>
    <row r="19" customFormat="false" ht="23.85" hidden="false" customHeight="false" outlineLevel="0" collapsed="false">
      <c r="A19" s="15" t="s">
        <v>195</v>
      </c>
      <c r="B19" s="7" t="s">
        <v>196</v>
      </c>
      <c r="C19" s="7" t="s">
        <v>197</v>
      </c>
      <c r="D19" s="7" t="s">
        <v>198</v>
      </c>
      <c r="E19" s="15" t="s">
        <v>19</v>
      </c>
      <c r="F19" s="15" t="s">
        <v>26</v>
      </c>
      <c r="G19" s="7" t="s">
        <v>199</v>
      </c>
      <c r="H19" s="7" t="s">
        <v>31</v>
      </c>
      <c r="I19" s="16" t="n">
        <v>46293</v>
      </c>
      <c r="J19" s="16" t="n">
        <v>46304</v>
      </c>
      <c r="K19" s="15" t="n">
        <f aca="false">J19-I19+1</f>
        <v>12</v>
      </c>
      <c r="L19" s="9" t="n">
        <f aca="true">IF(O19="Done","",J19-TODAY())</f>
        <v>14</v>
      </c>
      <c r="M19" s="7"/>
      <c r="N19" s="15" t="s">
        <v>137</v>
      </c>
      <c r="O19" s="15" t="s">
        <v>111</v>
      </c>
      <c r="P19" s="7" t="s">
        <v>200</v>
      </c>
    </row>
    <row r="20" customFormat="false" ht="23.85" hidden="false" customHeight="false" outlineLevel="0" collapsed="false">
      <c r="A20" s="15" t="s">
        <v>201</v>
      </c>
      <c r="B20" s="7" t="s">
        <v>202</v>
      </c>
      <c r="C20" s="7" t="s">
        <v>203</v>
      </c>
      <c r="D20" s="7" t="s">
        <v>204</v>
      </c>
      <c r="E20" s="15" t="s">
        <v>21</v>
      </c>
      <c r="F20" s="15" t="s">
        <v>28</v>
      </c>
      <c r="G20" s="7" t="s">
        <v>31</v>
      </c>
      <c r="H20" s="7"/>
      <c r="I20" s="16" t="n">
        <v>46296</v>
      </c>
      <c r="J20" s="16" t="n">
        <v>46304</v>
      </c>
      <c r="K20" s="15" t="n">
        <f aca="false">J20-I20+1</f>
        <v>9</v>
      </c>
      <c r="L20" s="9" t="n">
        <f aca="true">IF(O20="Done","",J20-TODAY())</f>
        <v>14</v>
      </c>
      <c r="M20" s="7"/>
      <c r="N20" s="15" t="s">
        <v>137</v>
      </c>
      <c r="O20" s="15" t="s">
        <v>111</v>
      </c>
      <c r="P20" s="7" t="s">
        <v>205</v>
      </c>
    </row>
    <row r="21" customFormat="false" ht="35.05" hidden="false" customHeight="false" outlineLevel="0" collapsed="false">
      <c r="A21" s="15" t="s">
        <v>206</v>
      </c>
      <c r="B21" s="7" t="s">
        <v>139</v>
      </c>
      <c r="C21" s="7" t="s">
        <v>207</v>
      </c>
      <c r="D21" s="7" t="s">
        <v>208</v>
      </c>
      <c r="E21" s="15" t="s">
        <v>17</v>
      </c>
      <c r="F21" s="15" t="s">
        <v>26</v>
      </c>
      <c r="G21" s="7" t="s">
        <v>37</v>
      </c>
      <c r="H21" s="7" t="s">
        <v>105</v>
      </c>
      <c r="I21" s="16" t="n">
        <v>46296</v>
      </c>
      <c r="J21" s="16" t="n">
        <v>46304</v>
      </c>
      <c r="K21" s="15" t="n">
        <f aca="false">J21-I21+1</f>
        <v>9</v>
      </c>
      <c r="L21" s="9" t="n">
        <f aca="true">IF(O21="Done","",J21-TODAY())</f>
        <v>14</v>
      </c>
      <c r="M21" s="7" t="s">
        <v>154</v>
      </c>
      <c r="N21" s="15" t="s">
        <v>142</v>
      </c>
      <c r="O21" s="15" t="s">
        <v>111</v>
      </c>
      <c r="P21" s="7" t="s">
        <v>209</v>
      </c>
    </row>
    <row r="22" customFormat="false" ht="23.85" hidden="false" customHeight="false" outlineLevel="0" collapsed="false">
      <c r="A22" s="15" t="s">
        <v>210</v>
      </c>
      <c r="B22" s="7" t="s">
        <v>202</v>
      </c>
      <c r="C22" s="7" t="s">
        <v>211</v>
      </c>
      <c r="D22" s="7" t="s">
        <v>212</v>
      </c>
      <c r="E22" s="15" t="s">
        <v>19</v>
      </c>
      <c r="F22" s="15" t="s">
        <v>28</v>
      </c>
      <c r="G22" s="7" t="s">
        <v>37</v>
      </c>
      <c r="H22" s="7" t="s">
        <v>31</v>
      </c>
      <c r="I22" s="16" t="n">
        <v>46296</v>
      </c>
      <c r="J22" s="16" t="n">
        <v>46304</v>
      </c>
      <c r="K22" s="15" t="n">
        <f aca="false">J22-I22+1</f>
        <v>9</v>
      </c>
      <c r="L22" s="9" t="n">
        <f aca="true">IF(O22="Done","",J22-TODAY())</f>
        <v>14</v>
      </c>
      <c r="M22" s="7"/>
      <c r="N22" s="15" t="s">
        <v>137</v>
      </c>
      <c r="O22" s="15" t="s">
        <v>111</v>
      </c>
      <c r="P22" s="7" t="s">
        <v>213</v>
      </c>
    </row>
    <row r="23" customFormat="false" ht="23.85" hidden="false" customHeight="false" outlineLevel="0" collapsed="false">
      <c r="A23" s="15" t="s">
        <v>214</v>
      </c>
      <c r="B23" s="7" t="s">
        <v>215</v>
      </c>
      <c r="C23" s="7" t="s">
        <v>216</v>
      </c>
      <c r="D23" s="7" t="s">
        <v>217</v>
      </c>
      <c r="E23" s="15" t="s">
        <v>17</v>
      </c>
      <c r="F23" s="15" t="s">
        <v>28</v>
      </c>
      <c r="G23" s="7" t="s">
        <v>105</v>
      </c>
      <c r="H23" s="7"/>
      <c r="I23" s="16" t="n">
        <v>46297</v>
      </c>
      <c r="J23" s="16" t="n">
        <v>46301</v>
      </c>
      <c r="K23" s="15" t="n">
        <f aca="false">J23-I23+1</f>
        <v>5</v>
      </c>
      <c r="L23" s="9" t="n">
        <f aca="true">IF(O23="Done","",J23-TODAY())</f>
        <v>11</v>
      </c>
      <c r="M23" s="7" t="s">
        <v>149</v>
      </c>
      <c r="N23" s="15" t="s">
        <v>142</v>
      </c>
      <c r="O23" s="15" t="s">
        <v>111</v>
      </c>
      <c r="P23" s="7" t="s">
        <v>218</v>
      </c>
    </row>
    <row r="24" customFormat="false" ht="23.85" hidden="false" customHeight="false" outlineLevel="0" collapsed="false">
      <c r="A24" s="15" t="s">
        <v>219</v>
      </c>
      <c r="B24" s="7" t="s">
        <v>150</v>
      </c>
      <c r="C24" s="7" t="s">
        <v>220</v>
      </c>
      <c r="D24" s="7" t="s">
        <v>221</v>
      </c>
      <c r="E24" s="15" t="s">
        <v>19</v>
      </c>
      <c r="F24" s="15" t="s">
        <v>26</v>
      </c>
      <c r="G24" s="7" t="s">
        <v>105</v>
      </c>
      <c r="H24" s="7" t="s">
        <v>35</v>
      </c>
      <c r="I24" s="16" t="n">
        <v>46297</v>
      </c>
      <c r="J24" s="16" t="n">
        <v>46303</v>
      </c>
      <c r="K24" s="15" t="n">
        <f aca="false">J24-I24+1</f>
        <v>7</v>
      </c>
      <c r="L24" s="9" t="n">
        <f aca="true">IF(O24="Done","",J24-TODAY())</f>
        <v>13</v>
      </c>
      <c r="M24" s="7" t="s">
        <v>162</v>
      </c>
      <c r="N24" s="15" t="s">
        <v>137</v>
      </c>
      <c r="O24" s="15" t="s">
        <v>111</v>
      </c>
      <c r="P24" s="7" t="s">
        <v>222</v>
      </c>
    </row>
    <row r="25" customFormat="false" ht="23.85" hidden="false" customHeight="false" outlineLevel="0" collapsed="false">
      <c r="A25" s="15" t="s">
        <v>67</v>
      </c>
      <c r="B25" s="7" t="s">
        <v>215</v>
      </c>
      <c r="C25" s="7" t="s">
        <v>223</v>
      </c>
      <c r="D25" s="7" t="s">
        <v>224</v>
      </c>
      <c r="E25" s="15" t="s">
        <v>17</v>
      </c>
      <c r="F25" s="15" t="s">
        <v>26</v>
      </c>
      <c r="G25" s="7" t="s">
        <v>37</v>
      </c>
      <c r="H25" s="7" t="s">
        <v>105</v>
      </c>
      <c r="I25" s="16" t="n">
        <v>46301</v>
      </c>
      <c r="J25" s="16" t="n">
        <v>46304</v>
      </c>
      <c r="K25" s="15" t="n">
        <f aca="false">J25-I25+1</f>
        <v>4</v>
      </c>
      <c r="L25" s="9" t="n">
        <f aca="true">IF(O25="Done","",J25-TODAY())</f>
        <v>14</v>
      </c>
      <c r="M25" s="7" t="s">
        <v>214</v>
      </c>
      <c r="N25" s="15" t="s">
        <v>142</v>
      </c>
      <c r="O25" s="15" t="s">
        <v>111</v>
      </c>
      <c r="P25" s="7"/>
    </row>
    <row r="26" customFormat="false" ht="23.85" hidden="false" customHeight="false" outlineLevel="0" collapsed="false">
      <c r="A26" s="15" t="s">
        <v>225</v>
      </c>
      <c r="B26" s="7" t="s">
        <v>183</v>
      </c>
      <c r="C26" s="7" t="s">
        <v>226</v>
      </c>
      <c r="D26" s="7" t="s">
        <v>227</v>
      </c>
      <c r="E26" s="15" t="s">
        <v>19</v>
      </c>
      <c r="F26" s="15" t="s">
        <v>26</v>
      </c>
      <c r="G26" s="7" t="s">
        <v>35</v>
      </c>
      <c r="H26" s="7" t="s">
        <v>105</v>
      </c>
      <c r="I26" s="16" t="n">
        <v>46300</v>
      </c>
      <c r="J26" s="16" t="n">
        <v>46307</v>
      </c>
      <c r="K26" s="15" t="n">
        <f aca="false">J26-I26+1</f>
        <v>8</v>
      </c>
      <c r="L26" s="9" t="n">
        <f aca="true">IF(O26="Done","",J26-TODAY())</f>
        <v>17</v>
      </c>
      <c r="M26" s="7" t="s">
        <v>170</v>
      </c>
      <c r="N26" s="15" t="s">
        <v>137</v>
      </c>
      <c r="O26" s="15" t="s">
        <v>111</v>
      </c>
      <c r="P26" s="7" t="s">
        <v>228</v>
      </c>
    </row>
    <row r="27" customFormat="false" ht="15" hidden="false" customHeight="false" outlineLevel="0" collapsed="false">
      <c r="A27" s="15" t="s">
        <v>229</v>
      </c>
      <c r="B27" s="7" t="s">
        <v>215</v>
      </c>
      <c r="C27" s="7" t="s">
        <v>230</v>
      </c>
      <c r="D27" s="7" t="s">
        <v>231</v>
      </c>
      <c r="E27" s="15" t="s">
        <v>21</v>
      </c>
      <c r="F27" s="15" t="s">
        <v>28</v>
      </c>
      <c r="G27" s="7" t="s">
        <v>37</v>
      </c>
      <c r="H27" s="7"/>
      <c r="I27" s="16" t="n">
        <v>46300</v>
      </c>
      <c r="J27" s="16" t="n">
        <v>46307</v>
      </c>
      <c r="K27" s="15" t="n">
        <f aca="false">J27-I27+1</f>
        <v>8</v>
      </c>
      <c r="L27" s="9" t="n">
        <f aca="true">IF(O27="Done","",J27-TODAY())</f>
        <v>17</v>
      </c>
      <c r="M27" s="7"/>
      <c r="N27" s="15" t="s">
        <v>137</v>
      </c>
      <c r="O27" s="15" t="s">
        <v>111</v>
      </c>
      <c r="P27" s="7"/>
    </row>
    <row r="28" customFormat="false" ht="23.85" hidden="false" customHeight="false" outlineLevel="0" collapsed="false">
      <c r="A28" s="15" t="s">
        <v>73</v>
      </c>
      <c r="B28" s="7" t="s">
        <v>139</v>
      </c>
      <c r="C28" s="7" t="s">
        <v>232</v>
      </c>
      <c r="D28" s="7" t="s">
        <v>233</v>
      </c>
      <c r="E28" s="15" t="s">
        <v>17</v>
      </c>
      <c r="F28" s="15" t="s">
        <v>24</v>
      </c>
      <c r="G28" s="7" t="s">
        <v>31</v>
      </c>
      <c r="H28" s="7" t="s">
        <v>234</v>
      </c>
      <c r="I28" s="16" t="n">
        <v>46304</v>
      </c>
      <c r="J28" s="16" t="n">
        <v>46311</v>
      </c>
      <c r="K28" s="15" t="n">
        <f aca="false">J28-I28+1</f>
        <v>8</v>
      </c>
      <c r="L28" s="9" t="n">
        <f aca="true">IF(O28="Done","",J28-TODAY())</f>
        <v>21</v>
      </c>
      <c r="M28" s="7" t="s">
        <v>206</v>
      </c>
      <c r="N28" s="15" t="s">
        <v>142</v>
      </c>
      <c r="O28" s="15" t="s">
        <v>111</v>
      </c>
      <c r="P28" s="7"/>
    </row>
    <row r="29" customFormat="false" ht="15" hidden="false" customHeight="false" outlineLevel="0" collapsed="false">
      <c r="A29" s="15" t="s">
        <v>70</v>
      </c>
      <c r="B29" s="7" t="s">
        <v>215</v>
      </c>
      <c r="C29" s="7" t="s">
        <v>235</v>
      </c>
      <c r="D29" s="7" t="s">
        <v>236</v>
      </c>
      <c r="E29" s="15" t="s">
        <v>17</v>
      </c>
      <c r="F29" s="15" t="s">
        <v>28</v>
      </c>
      <c r="G29" s="7" t="s">
        <v>31</v>
      </c>
      <c r="H29" s="7" t="s">
        <v>105</v>
      </c>
      <c r="I29" s="16" t="n">
        <v>46304</v>
      </c>
      <c r="J29" s="16" t="n">
        <v>46304</v>
      </c>
      <c r="K29" s="15" t="n">
        <f aca="false">J29-I29+1</f>
        <v>1</v>
      </c>
      <c r="L29" s="9" t="n">
        <f aca="true">IF(O29="Done","",J29-TODAY())</f>
        <v>14</v>
      </c>
      <c r="M29" s="7" t="s">
        <v>67</v>
      </c>
      <c r="N29" s="15" t="s">
        <v>142</v>
      </c>
      <c r="O29" s="15" t="s">
        <v>111</v>
      </c>
      <c r="P29" s="7"/>
    </row>
    <row r="30" customFormat="false" ht="15" hidden="false" customHeight="false" outlineLevel="0" collapsed="false">
      <c r="A30" s="15" t="s">
        <v>237</v>
      </c>
      <c r="B30" s="7" t="s">
        <v>183</v>
      </c>
      <c r="C30" s="7" t="s">
        <v>238</v>
      </c>
      <c r="D30" s="7" t="s">
        <v>239</v>
      </c>
      <c r="E30" s="15" t="s">
        <v>17</v>
      </c>
      <c r="F30" s="15" t="s">
        <v>24</v>
      </c>
      <c r="G30" s="7" t="s">
        <v>45</v>
      </c>
      <c r="H30" s="7" t="s">
        <v>240</v>
      </c>
      <c r="I30" s="16" t="n">
        <v>46304</v>
      </c>
      <c r="J30" s="16" t="n">
        <v>46311</v>
      </c>
      <c r="K30" s="15" t="n">
        <f aca="false">J30-I30+1</f>
        <v>8</v>
      </c>
      <c r="L30" s="9" t="n">
        <f aca="true">IF(O30="Done","",J30-TODAY())</f>
        <v>21</v>
      </c>
      <c r="M30" s="7" t="s">
        <v>70</v>
      </c>
      <c r="N30" s="15" t="s">
        <v>142</v>
      </c>
      <c r="O30" s="15" t="s">
        <v>111</v>
      </c>
      <c r="P30" s="7" t="s">
        <v>241</v>
      </c>
    </row>
    <row r="31" customFormat="false" ht="23.85" hidden="false" customHeight="false" outlineLevel="0" collapsed="false">
      <c r="A31" s="17" t="s">
        <v>75</v>
      </c>
      <c r="B31" s="10" t="s">
        <v>51</v>
      </c>
      <c r="C31" s="10" t="s">
        <v>242</v>
      </c>
      <c r="D31" s="10" t="s">
        <v>243</v>
      </c>
      <c r="E31" s="17" t="s">
        <v>17</v>
      </c>
      <c r="F31" s="17" t="s">
        <v>26</v>
      </c>
      <c r="G31" s="10" t="s">
        <v>31</v>
      </c>
      <c r="H31" s="10" t="s">
        <v>45</v>
      </c>
      <c r="I31" s="18" t="n">
        <v>46311</v>
      </c>
      <c r="J31" s="18" t="n">
        <v>46311</v>
      </c>
      <c r="K31" s="17" t="n">
        <f aca="false">J31-I31+1</f>
        <v>1</v>
      </c>
      <c r="L31" s="19" t="n">
        <f aca="true">IF(O31="Done","",J31-TODAY())</f>
        <v>21</v>
      </c>
      <c r="M31" s="10" t="s">
        <v>244</v>
      </c>
      <c r="N31" s="17" t="s">
        <v>142</v>
      </c>
      <c r="O31" s="17" t="s">
        <v>111</v>
      </c>
      <c r="P31" s="10"/>
    </row>
  </sheetData>
  <autoFilter ref="A4:P31"/>
  <conditionalFormatting sqref="E5:E31">
    <cfRule type="expression" priority="2" aboveAverage="0" equalAverage="0" bottom="0" percent="0" rank="0" text="" dxfId="8">
      <formula>LEFT($E5,2)="P1"</formula>
    </cfRule>
    <cfRule type="expression" priority="3" aboveAverage="0" equalAverage="0" bottom="0" percent="0" rank="0" text="" dxfId="9">
      <formula>LEFT($E5,2)="P2"</formula>
    </cfRule>
    <cfRule type="expression" priority="4" aboveAverage="0" equalAverage="0" bottom="0" percent="0" rank="0" text="" dxfId="10">
      <formula>LEFT($E5,2)="P3"</formula>
    </cfRule>
  </conditionalFormatting>
  <conditionalFormatting sqref="O5:O31">
    <cfRule type="expression" priority="5" aboveAverage="0" equalAverage="0" bottom="0" percent="0" rank="0" text="" dxfId="11">
      <formula>$O5="Done"</formula>
    </cfRule>
    <cfRule type="expression" priority="6" aboveAverage="0" equalAverage="0" bottom="0" percent="0" rank="0" text="" dxfId="12">
      <formula>$O5="In progress"</formula>
    </cfRule>
    <cfRule type="expression" priority="7" aboveAverage="0" equalAverage="0" bottom="0" percent="0" rank="0" text="" dxfId="13">
      <formula>OR($O5="Blocked",$O5="At risk")</formula>
    </cfRule>
  </conditionalFormatting>
  <conditionalFormatting sqref="L5:L31">
    <cfRule type="expression" priority="8" aboveAverage="0" equalAverage="0" bottom="0" percent="0" rank="0" text="" dxfId="14">
      <formula>AND(ISNUMBER($L5),$L5&lt;0)</formula>
    </cfRule>
  </conditionalFormatting>
  <conditionalFormatting sqref="N5:N31">
    <cfRule type="expression" priority="9" aboveAverage="0" equalAverage="0" bottom="0" percent="0" rank="0" text="" dxfId="14">
      <formula>$N5="Y"</formula>
    </cfRule>
  </conditionalFormatting>
  <dataValidations count="4">
    <dataValidation allowBlank="true" errorStyle="stop" operator="between" showDropDown="false" showErrorMessage="false" showInputMessage="false" sqref="O5:O31" type="list">
      <formula1>"Not started,In progress,Done,Blocked,At risk"</formula1>
      <formula2>0</formula2>
    </dataValidation>
    <dataValidation allowBlank="false" errorStyle="stop" operator="between" showDropDown="false" showErrorMessage="false" showInputMessage="false" sqref="E5:E31" type="list">
      <formula1>"P1 - Critical,P2 - High,P3 - Medium"</formula1>
      <formula2>0</formula2>
    </dataValidation>
    <dataValidation allowBlank="false" errorStyle="stop" operator="between" showDropDown="false" showErrorMessage="false" showInputMessage="false" sqref="F5:F31" type="list">
      <formula1>"High,Medium,Low"</formula1>
      <formula2>0</formula2>
    </dataValidation>
    <dataValidation allowBlank="false" errorStyle="stop" operator="between" showDropDown="false" showErrorMessage="false" showInputMessage="false" sqref="N5:N3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10" min="9" style="0" width="11"/>
    <col collapsed="false" customWidth="true" hidden="false" outlineLevel="0" max="12" min="11" style="0" width="10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13"/>
    <col collapsed="false" customWidth="true" hidden="false" outlineLevel="0" max="16" min="16" style="0" width="32"/>
  </cols>
  <sheetData>
    <row r="1" customFormat="false" ht="17.3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121</v>
      </c>
    </row>
    <row r="4" customFormat="false" ht="35.05" hidden="false" customHeight="false" outlineLevel="0" collapsed="false">
      <c r="A4" s="6" t="s">
        <v>122</v>
      </c>
      <c r="B4" s="6" t="s">
        <v>123</v>
      </c>
      <c r="C4" s="6" t="s">
        <v>124</v>
      </c>
      <c r="D4" s="6" t="s">
        <v>125</v>
      </c>
      <c r="E4" s="6" t="s">
        <v>16</v>
      </c>
      <c r="F4" s="6" t="s">
        <v>23</v>
      </c>
      <c r="G4" s="6" t="s">
        <v>55</v>
      </c>
      <c r="H4" s="6" t="s">
        <v>126</v>
      </c>
      <c r="I4" s="6" t="s">
        <v>127</v>
      </c>
      <c r="J4" s="6" t="s">
        <v>128</v>
      </c>
      <c r="K4" s="6" t="s">
        <v>129</v>
      </c>
      <c r="L4" s="6" t="s">
        <v>130</v>
      </c>
      <c r="M4" s="6" t="s">
        <v>131</v>
      </c>
      <c r="N4" s="6" t="s">
        <v>14</v>
      </c>
      <c r="O4" s="6" t="s">
        <v>10</v>
      </c>
      <c r="P4" s="6" t="s">
        <v>132</v>
      </c>
    </row>
    <row r="5" customFormat="false" ht="23.85" hidden="false" customHeight="false" outlineLevel="0" collapsed="false">
      <c r="A5" s="15" t="s">
        <v>246</v>
      </c>
      <c r="B5" s="7" t="s">
        <v>247</v>
      </c>
      <c r="C5" s="7" t="s">
        <v>248</v>
      </c>
      <c r="D5" s="7" t="s">
        <v>249</v>
      </c>
      <c r="E5" s="15" t="s">
        <v>17</v>
      </c>
      <c r="F5" s="15" t="s">
        <v>28</v>
      </c>
      <c r="G5" s="7" t="s">
        <v>105</v>
      </c>
      <c r="H5" s="7" t="s">
        <v>250</v>
      </c>
      <c r="I5" s="16" t="n">
        <v>46314</v>
      </c>
      <c r="J5" s="16" t="n">
        <v>46316</v>
      </c>
      <c r="K5" s="15" t="n">
        <f aca="false">J5-I5+1</f>
        <v>3</v>
      </c>
      <c r="L5" s="9" t="n">
        <f aca="true">IF(O5="Done","",J5-TODAY())</f>
        <v>26</v>
      </c>
      <c r="M5" s="7" t="s">
        <v>75</v>
      </c>
      <c r="N5" s="15" t="s">
        <v>142</v>
      </c>
      <c r="O5" s="15" t="s">
        <v>111</v>
      </c>
      <c r="P5" s="7"/>
    </row>
    <row r="6" customFormat="false" ht="15" hidden="false" customHeight="false" outlineLevel="0" collapsed="false">
      <c r="A6" s="15" t="s">
        <v>78</v>
      </c>
      <c r="B6" s="7" t="s">
        <v>251</v>
      </c>
      <c r="C6" s="7" t="s">
        <v>252</v>
      </c>
      <c r="D6" s="7" t="s">
        <v>253</v>
      </c>
      <c r="E6" s="15" t="s">
        <v>17</v>
      </c>
      <c r="F6" s="15" t="s">
        <v>26</v>
      </c>
      <c r="G6" s="7" t="s">
        <v>45</v>
      </c>
      <c r="H6" s="7" t="s">
        <v>105</v>
      </c>
      <c r="I6" s="16" t="n">
        <v>46314</v>
      </c>
      <c r="J6" s="16" t="n">
        <v>46325</v>
      </c>
      <c r="K6" s="15" t="n">
        <f aca="false">J6-I6+1</f>
        <v>12</v>
      </c>
      <c r="L6" s="9" t="n">
        <f aca="true">IF(O6="Done","",J6-TODAY())</f>
        <v>35</v>
      </c>
      <c r="M6" s="7" t="s">
        <v>246</v>
      </c>
      <c r="N6" s="15" t="s">
        <v>142</v>
      </c>
      <c r="O6" s="15" t="s">
        <v>111</v>
      </c>
      <c r="P6" s="7"/>
    </row>
    <row r="7" customFormat="false" ht="23.85" hidden="false" customHeight="false" outlineLevel="0" collapsed="false">
      <c r="A7" s="15" t="s">
        <v>254</v>
      </c>
      <c r="B7" s="7" t="s">
        <v>144</v>
      </c>
      <c r="C7" s="7" t="s">
        <v>255</v>
      </c>
      <c r="D7" s="7" t="s">
        <v>256</v>
      </c>
      <c r="E7" s="15" t="s">
        <v>17</v>
      </c>
      <c r="F7" s="15" t="s">
        <v>24</v>
      </c>
      <c r="G7" s="7" t="s">
        <v>39</v>
      </c>
      <c r="H7" s="7" t="s">
        <v>257</v>
      </c>
      <c r="I7" s="16" t="n">
        <v>46314</v>
      </c>
      <c r="J7" s="16" t="n">
        <v>46339</v>
      </c>
      <c r="K7" s="15" t="n">
        <f aca="false">J7-I7+1</f>
        <v>26</v>
      </c>
      <c r="L7" s="9" t="n">
        <f aca="true">IF(O7="Done","",J7-TODAY())</f>
        <v>49</v>
      </c>
      <c r="M7" s="7" t="s">
        <v>64</v>
      </c>
      <c r="N7" s="15" t="s">
        <v>142</v>
      </c>
      <c r="O7" s="15" t="s">
        <v>111</v>
      </c>
      <c r="P7" s="7"/>
    </row>
    <row r="8" customFormat="false" ht="23.85" hidden="false" customHeight="false" outlineLevel="0" collapsed="false">
      <c r="A8" s="15" t="s">
        <v>258</v>
      </c>
      <c r="B8" s="7" t="s">
        <v>251</v>
      </c>
      <c r="C8" s="7" t="s">
        <v>259</v>
      </c>
      <c r="D8" s="7" t="s">
        <v>260</v>
      </c>
      <c r="E8" s="15" t="s">
        <v>19</v>
      </c>
      <c r="F8" s="15" t="s">
        <v>26</v>
      </c>
      <c r="G8" s="7" t="s">
        <v>39</v>
      </c>
      <c r="H8" s="7" t="s">
        <v>35</v>
      </c>
      <c r="I8" s="16" t="n">
        <v>46314</v>
      </c>
      <c r="J8" s="16" t="n">
        <v>46339</v>
      </c>
      <c r="K8" s="15" t="n">
        <f aca="false">J8-I8+1</f>
        <v>26</v>
      </c>
      <c r="L8" s="9" t="n">
        <f aca="true">IF(O8="Done","",J8-TODAY())</f>
        <v>49</v>
      </c>
      <c r="M8" s="7" t="s">
        <v>78</v>
      </c>
      <c r="N8" s="15" t="s">
        <v>137</v>
      </c>
      <c r="O8" s="15" t="s">
        <v>111</v>
      </c>
      <c r="P8" s="7"/>
    </row>
    <row r="9" customFormat="false" ht="23.85" hidden="false" customHeight="false" outlineLevel="0" collapsed="false">
      <c r="A9" s="15" t="s">
        <v>86</v>
      </c>
      <c r="B9" s="7" t="s">
        <v>139</v>
      </c>
      <c r="C9" s="7" t="s">
        <v>261</v>
      </c>
      <c r="D9" s="7" t="s">
        <v>262</v>
      </c>
      <c r="E9" s="15" t="s">
        <v>17</v>
      </c>
      <c r="F9" s="15" t="s">
        <v>26</v>
      </c>
      <c r="G9" s="7" t="s">
        <v>31</v>
      </c>
      <c r="H9" s="7" t="s">
        <v>181</v>
      </c>
      <c r="I9" s="16" t="n">
        <v>46314</v>
      </c>
      <c r="J9" s="16" t="n">
        <v>46356</v>
      </c>
      <c r="K9" s="15" t="n">
        <f aca="false">J9-I9+1</f>
        <v>43</v>
      </c>
      <c r="L9" s="9" t="n">
        <f aca="true">IF(O9="Done","",J9-TODAY())</f>
        <v>66</v>
      </c>
      <c r="M9" s="7" t="s">
        <v>178</v>
      </c>
      <c r="N9" s="15" t="s">
        <v>142</v>
      </c>
      <c r="O9" s="15" t="s">
        <v>111</v>
      </c>
      <c r="P9" s="7" t="s">
        <v>263</v>
      </c>
    </row>
    <row r="10" customFormat="false" ht="23.85" hidden="false" customHeight="false" outlineLevel="0" collapsed="false">
      <c r="A10" s="15" t="s">
        <v>264</v>
      </c>
      <c r="B10" s="7" t="s">
        <v>139</v>
      </c>
      <c r="C10" s="7" t="s">
        <v>265</v>
      </c>
      <c r="D10" s="7" t="s">
        <v>266</v>
      </c>
      <c r="E10" s="15" t="s">
        <v>19</v>
      </c>
      <c r="F10" s="15" t="s">
        <v>26</v>
      </c>
      <c r="G10" s="7" t="s">
        <v>35</v>
      </c>
      <c r="H10" s="7" t="s">
        <v>31</v>
      </c>
      <c r="I10" s="16" t="n">
        <v>46314</v>
      </c>
      <c r="J10" s="16" t="n">
        <v>46387</v>
      </c>
      <c r="K10" s="15" t="n">
        <f aca="false">J10-I10+1</f>
        <v>74</v>
      </c>
      <c r="L10" s="9" t="n">
        <f aca="true">IF(O10="Done","",J10-TODAY())</f>
        <v>97</v>
      </c>
      <c r="M10" s="7" t="s">
        <v>86</v>
      </c>
      <c r="N10" s="15" t="s">
        <v>137</v>
      </c>
      <c r="O10" s="15" t="s">
        <v>111</v>
      </c>
      <c r="P10" s="7" t="s">
        <v>267</v>
      </c>
    </row>
    <row r="11" customFormat="false" ht="23.85" hidden="false" customHeight="false" outlineLevel="0" collapsed="false">
      <c r="A11" s="15" t="s">
        <v>268</v>
      </c>
      <c r="B11" s="7" t="s">
        <v>139</v>
      </c>
      <c r="C11" s="7" t="s">
        <v>269</v>
      </c>
      <c r="D11" s="7" t="s">
        <v>270</v>
      </c>
      <c r="E11" s="15" t="s">
        <v>19</v>
      </c>
      <c r="F11" s="15" t="s">
        <v>24</v>
      </c>
      <c r="G11" s="7" t="s">
        <v>31</v>
      </c>
      <c r="H11" s="7" t="s">
        <v>181</v>
      </c>
      <c r="I11" s="16" t="n">
        <v>46314</v>
      </c>
      <c r="J11" s="16" t="n">
        <v>46367</v>
      </c>
      <c r="K11" s="15" t="n">
        <f aca="false">J11-I11+1</f>
        <v>54</v>
      </c>
      <c r="L11" s="9" t="n">
        <f aca="true">IF(O11="Done","",J11-TODAY())</f>
        <v>77</v>
      </c>
      <c r="M11" s="7" t="s">
        <v>158</v>
      </c>
      <c r="N11" s="15" t="s">
        <v>137</v>
      </c>
      <c r="O11" s="15" t="s">
        <v>111</v>
      </c>
      <c r="P11" s="7"/>
    </row>
    <row r="12" customFormat="false" ht="23.85" hidden="false" customHeight="false" outlineLevel="0" collapsed="false">
      <c r="A12" s="15" t="s">
        <v>271</v>
      </c>
      <c r="B12" s="7" t="s">
        <v>251</v>
      </c>
      <c r="C12" s="7" t="s">
        <v>272</v>
      </c>
      <c r="D12" s="7" t="s">
        <v>273</v>
      </c>
      <c r="E12" s="15" t="s">
        <v>19</v>
      </c>
      <c r="F12" s="15" t="s">
        <v>26</v>
      </c>
      <c r="G12" s="7" t="s">
        <v>45</v>
      </c>
      <c r="H12" s="7" t="s">
        <v>257</v>
      </c>
      <c r="I12" s="16" t="n">
        <v>46314</v>
      </c>
      <c r="J12" s="16" t="n">
        <v>46339</v>
      </c>
      <c r="K12" s="15" t="n">
        <f aca="false">J12-I12+1</f>
        <v>26</v>
      </c>
      <c r="L12" s="9" t="n">
        <f aca="true">IF(O12="Done","",J12-TODAY())</f>
        <v>49</v>
      </c>
      <c r="M12" s="7" t="s">
        <v>225</v>
      </c>
      <c r="N12" s="15" t="s">
        <v>137</v>
      </c>
      <c r="O12" s="15" t="s">
        <v>111</v>
      </c>
      <c r="P12" s="7"/>
    </row>
    <row r="13" customFormat="false" ht="23.85" hidden="false" customHeight="false" outlineLevel="0" collapsed="false">
      <c r="A13" s="15" t="s">
        <v>83</v>
      </c>
      <c r="B13" s="7" t="s">
        <v>251</v>
      </c>
      <c r="C13" s="7" t="s">
        <v>274</v>
      </c>
      <c r="D13" s="7" t="s">
        <v>275</v>
      </c>
      <c r="E13" s="15" t="s">
        <v>17</v>
      </c>
      <c r="F13" s="15" t="s">
        <v>24</v>
      </c>
      <c r="G13" s="7" t="s">
        <v>35</v>
      </c>
      <c r="H13" s="7" t="s">
        <v>105</v>
      </c>
      <c r="I13" s="16" t="n">
        <v>46321</v>
      </c>
      <c r="J13" s="16" t="n">
        <v>46346</v>
      </c>
      <c r="K13" s="15" t="n">
        <f aca="false">J13-I13+1</f>
        <v>26</v>
      </c>
      <c r="L13" s="9" t="n">
        <f aca="true">IF(O13="Done","",J13-TODAY())</f>
        <v>56</v>
      </c>
      <c r="M13" s="7" t="s">
        <v>78</v>
      </c>
      <c r="N13" s="15" t="s">
        <v>142</v>
      </c>
      <c r="O13" s="15" t="s">
        <v>111</v>
      </c>
      <c r="P13" s="7"/>
    </row>
    <row r="14" customFormat="false" ht="23.85" hidden="false" customHeight="false" outlineLevel="0" collapsed="false">
      <c r="A14" s="15" t="s">
        <v>276</v>
      </c>
      <c r="B14" s="7" t="s">
        <v>251</v>
      </c>
      <c r="C14" s="7" t="s">
        <v>277</v>
      </c>
      <c r="D14" s="7" t="s">
        <v>278</v>
      </c>
      <c r="E14" s="15" t="s">
        <v>19</v>
      </c>
      <c r="F14" s="15" t="s">
        <v>26</v>
      </c>
      <c r="G14" s="7" t="s">
        <v>105</v>
      </c>
      <c r="H14" s="7" t="s">
        <v>250</v>
      </c>
      <c r="I14" s="16" t="n">
        <v>46321</v>
      </c>
      <c r="J14" s="16" t="n">
        <v>46339</v>
      </c>
      <c r="K14" s="15" t="n">
        <f aca="false">J14-I14+1</f>
        <v>19</v>
      </c>
      <c r="L14" s="9" t="n">
        <f aca="true">IF(O14="Done","",J14-TODAY())</f>
        <v>49</v>
      </c>
      <c r="M14" s="7" t="s">
        <v>78</v>
      </c>
      <c r="N14" s="15" t="s">
        <v>137</v>
      </c>
      <c r="O14" s="15" t="s">
        <v>111</v>
      </c>
      <c r="P14" s="7"/>
    </row>
    <row r="15" customFormat="false" ht="23.85" hidden="false" customHeight="false" outlineLevel="0" collapsed="false">
      <c r="A15" s="15" t="s">
        <v>279</v>
      </c>
      <c r="B15" s="7" t="s">
        <v>251</v>
      </c>
      <c r="C15" s="7" t="s">
        <v>280</v>
      </c>
      <c r="D15" s="7" t="s">
        <v>281</v>
      </c>
      <c r="E15" s="15" t="s">
        <v>17</v>
      </c>
      <c r="F15" s="15" t="s">
        <v>24</v>
      </c>
      <c r="G15" s="7" t="s">
        <v>37</v>
      </c>
      <c r="H15" s="7" t="s">
        <v>282</v>
      </c>
      <c r="I15" s="16" t="n">
        <v>46321</v>
      </c>
      <c r="J15" s="16" t="n">
        <v>46351</v>
      </c>
      <c r="K15" s="15" t="n">
        <f aca="false">J15-I15+1</f>
        <v>31</v>
      </c>
      <c r="L15" s="9" t="n">
        <f aca="true">IF(O15="Done","",J15-TODAY())</f>
        <v>61</v>
      </c>
      <c r="M15" s="7" t="s">
        <v>78</v>
      </c>
      <c r="N15" s="15" t="s">
        <v>142</v>
      </c>
      <c r="O15" s="15" t="s">
        <v>111</v>
      </c>
      <c r="P15" s="7" t="s">
        <v>283</v>
      </c>
    </row>
    <row r="16" customFormat="false" ht="23.85" hidden="false" customHeight="false" outlineLevel="0" collapsed="false">
      <c r="A16" s="15" t="s">
        <v>284</v>
      </c>
      <c r="B16" s="7" t="s">
        <v>251</v>
      </c>
      <c r="C16" s="7" t="s">
        <v>285</v>
      </c>
      <c r="D16" s="7" t="s">
        <v>286</v>
      </c>
      <c r="E16" s="15" t="s">
        <v>19</v>
      </c>
      <c r="F16" s="15" t="s">
        <v>26</v>
      </c>
      <c r="G16" s="7" t="s">
        <v>105</v>
      </c>
      <c r="H16" s="7" t="s">
        <v>37</v>
      </c>
      <c r="I16" s="16" t="n">
        <v>46321</v>
      </c>
      <c r="J16" s="16" t="n">
        <v>46339</v>
      </c>
      <c r="K16" s="15" t="n">
        <f aca="false">J16-I16+1</f>
        <v>19</v>
      </c>
      <c r="L16" s="9" t="n">
        <f aca="true">IF(O16="Done","",J16-TODAY())</f>
        <v>49</v>
      </c>
      <c r="M16" s="7" t="s">
        <v>78</v>
      </c>
      <c r="N16" s="15" t="s">
        <v>137</v>
      </c>
      <c r="O16" s="15" t="s">
        <v>111</v>
      </c>
      <c r="P16" s="7"/>
    </row>
    <row r="17" customFormat="false" ht="23.85" hidden="false" customHeight="false" outlineLevel="0" collapsed="false">
      <c r="A17" s="15" t="s">
        <v>287</v>
      </c>
      <c r="B17" s="7" t="s">
        <v>251</v>
      </c>
      <c r="C17" s="7" t="s">
        <v>288</v>
      </c>
      <c r="D17" s="7" t="s">
        <v>289</v>
      </c>
      <c r="E17" s="15" t="s">
        <v>19</v>
      </c>
      <c r="F17" s="15" t="s">
        <v>26</v>
      </c>
      <c r="G17" s="7" t="s">
        <v>37</v>
      </c>
      <c r="H17" s="7" t="s">
        <v>45</v>
      </c>
      <c r="I17" s="16" t="n">
        <v>46321</v>
      </c>
      <c r="J17" s="16" t="n">
        <v>46339</v>
      </c>
      <c r="K17" s="15" t="n">
        <f aca="false">J17-I17+1</f>
        <v>19</v>
      </c>
      <c r="L17" s="9" t="n">
        <f aca="true">IF(O17="Done","",J17-TODAY())</f>
        <v>49</v>
      </c>
      <c r="M17" s="7" t="s">
        <v>78</v>
      </c>
      <c r="N17" s="15" t="s">
        <v>137</v>
      </c>
      <c r="O17" s="15" t="s">
        <v>111</v>
      </c>
      <c r="P17" s="7"/>
    </row>
    <row r="18" customFormat="false" ht="23.85" hidden="false" customHeight="false" outlineLevel="0" collapsed="false">
      <c r="A18" s="15" t="s">
        <v>290</v>
      </c>
      <c r="B18" s="7" t="s">
        <v>251</v>
      </c>
      <c r="C18" s="7" t="s">
        <v>291</v>
      </c>
      <c r="D18" s="7" t="s">
        <v>292</v>
      </c>
      <c r="E18" s="15" t="s">
        <v>19</v>
      </c>
      <c r="F18" s="15" t="s">
        <v>28</v>
      </c>
      <c r="G18" s="7" t="s">
        <v>105</v>
      </c>
      <c r="H18" s="7"/>
      <c r="I18" s="16" t="n">
        <v>46321</v>
      </c>
      <c r="J18" s="16" t="n">
        <v>46339</v>
      </c>
      <c r="K18" s="15" t="n">
        <f aca="false">J18-I18+1</f>
        <v>19</v>
      </c>
      <c r="L18" s="9" t="n">
        <f aca="true">IF(O18="Done","",J18-TODAY())</f>
        <v>49</v>
      </c>
      <c r="M18" s="7" t="s">
        <v>78</v>
      </c>
      <c r="N18" s="15" t="s">
        <v>137</v>
      </c>
      <c r="O18" s="15" t="s">
        <v>111</v>
      </c>
      <c r="P18" s="7"/>
    </row>
    <row r="19" customFormat="false" ht="23.85" hidden="false" customHeight="false" outlineLevel="0" collapsed="false">
      <c r="A19" s="15" t="s">
        <v>80</v>
      </c>
      <c r="B19" s="7" t="s">
        <v>215</v>
      </c>
      <c r="C19" s="7" t="s">
        <v>293</v>
      </c>
      <c r="D19" s="7" t="s">
        <v>294</v>
      </c>
      <c r="E19" s="15" t="s">
        <v>17</v>
      </c>
      <c r="F19" s="15" t="s">
        <v>24</v>
      </c>
      <c r="G19" s="7" t="s">
        <v>37</v>
      </c>
      <c r="H19" s="7" t="s">
        <v>105</v>
      </c>
      <c r="I19" s="16" t="n">
        <v>46321</v>
      </c>
      <c r="J19" s="16" t="n">
        <v>46339</v>
      </c>
      <c r="K19" s="15" t="n">
        <f aca="false">J19-I19+1</f>
        <v>19</v>
      </c>
      <c r="L19" s="9" t="n">
        <f aca="true">IF(O19="Done","",J19-TODAY())</f>
        <v>49</v>
      </c>
      <c r="M19" s="7" t="s">
        <v>75</v>
      </c>
      <c r="N19" s="15" t="s">
        <v>142</v>
      </c>
      <c r="O19" s="15" t="s">
        <v>111</v>
      </c>
      <c r="P19" s="7"/>
    </row>
    <row r="20" customFormat="false" ht="23.85" hidden="false" customHeight="false" outlineLevel="0" collapsed="false">
      <c r="A20" s="15" t="s">
        <v>295</v>
      </c>
      <c r="B20" s="7" t="s">
        <v>215</v>
      </c>
      <c r="C20" s="7" t="s">
        <v>296</v>
      </c>
      <c r="D20" s="7" t="s">
        <v>297</v>
      </c>
      <c r="E20" s="15" t="s">
        <v>17</v>
      </c>
      <c r="F20" s="15" t="s">
        <v>24</v>
      </c>
      <c r="G20" s="7" t="s">
        <v>37</v>
      </c>
      <c r="H20" s="7" t="s">
        <v>105</v>
      </c>
      <c r="I20" s="16" t="n">
        <v>46321</v>
      </c>
      <c r="J20" s="16" t="n">
        <v>46339</v>
      </c>
      <c r="K20" s="15" t="n">
        <f aca="false">J20-I20+1</f>
        <v>19</v>
      </c>
      <c r="L20" s="9" t="n">
        <f aca="true">IF(O20="Done","",J20-TODAY())</f>
        <v>49</v>
      </c>
      <c r="M20" s="7" t="s">
        <v>75</v>
      </c>
      <c r="N20" s="15" t="s">
        <v>142</v>
      </c>
      <c r="O20" s="15" t="s">
        <v>111</v>
      </c>
      <c r="P20" s="7" t="s">
        <v>298</v>
      </c>
    </row>
    <row r="21" customFormat="false" ht="23.85" hidden="false" customHeight="false" outlineLevel="0" collapsed="false">
      <c r="A21" s="15" t="s">
        <v>299</v>
      </c>
      <c r="B21" s="7" t="s">
        <v>215</v>
      </c>
      <c r="C21" s="7" t="s">
        <v>300</v>
      </c>
      <c r="D21" s="7" t="s">
        <v>301</v>
      </c>
      <c r="E21" s="15" t="s">
        <v>17</v>
      </c>
      <c r="F21" s="15" t="s">
        <v>26</v>
      </c>
      <c r="G21" s="7" t="s">
        <v>105</v>
      </c>
      <c r="H21" s="7" t="s">
        <v>302</v>
      </c>
      <c r="I21" s="16" t="n">
        <v>46328</v>
      </c>
      <c r="J21" s="16" t="n">
        <v>46346</v>
      </c>
      <c r="K21" s="15" t="n">
        <f aca="false">J21-I21+1</f>
        <v>19</v>
      </c>
      <c r="L21" s="9" t="n">
        <f aca="true">IF(O21="Done","",J21-TODAY())</f>
        <v>56</v>
      </c>
      <c r="M21" s="7" t="s">
        <v>295</v>
      </c>
      <c r="N21" s="15" t="s">
        <v>137</v>
      </c>
      <c r="O21" s="15" t="s">
        <v>111</v>
      </c>
      <c r="P21" s="7" t="s">
        <v>303</v>
      </c>
    </row>
    <row r="22" customFormat="false" ht="23.85" hidden="false" customHeight="false" outlineLevel="0" collapsed="false">
      <c r="A22" s="15" t="s">
        <v>304</v>
      </c>
      <c r="B22" s="7" t="s">
        <v>305</v>
      </c>
      <c r="C22" s="7" t="s">
        <v>306</v>
      </c>
      <c r="D22" s="7" t="s">
        <v>307</v>
      </c>
      <c r="E22" s="15" t="s">
        <v>19</v>
      </c>
      <c r="F22" s="15" t="s">
        <v>26</v>
      </c>
      <c r="G22" s="7" t="s">
        <v>308</v>
      </c>
      <c r="H22" s="7" t="s">
        <v>309</v>
      </c>
      <c r="I22" s="16" t="n">
        <v>46328</v>
      </c>
      <c r="J22" s="16" t="n">
        <v>46351</v>
      </c>
      <c r="K22" s="15" t="n">
        <f aca="false">J22-I22+1</f>
        <v>24</v>
      </c>
      <c r="L22" s="9" t="n">
        <f aca="true">IF(O22="Done","",J22-TODAY())</f>
        <v>61</v>
      </c>
      <c r="M22" s="7"/>
      <c r="N22" s="15" t="s">
        <v>137</v>
      </c>
      <c r="O22" s="15" t="s">
        <v>111</v>
      </c>
      <c r="P22" s="7"/>
    </row>
    <row r="23" customFormat="false" ht="23.85" hidden="false" customHeight="false" outlineLevel="0" collapsed="false">
      <c r="A23" s="15" t="s">
        <v>310</v>
      </c>
      <c r="B23" s="7" t="s">
        <v>215</v>
      </c>
      <c r="C23" s="7" t="s">
        <v>311</v>
      </c>
      <c r="D23" s="7" t="s">
        <v>312</v>
      </c>
      <c r="E23" s="15" t="s">
        <v>17</v>
      </c>
      <c r="F23" s="15" t="s">
        <v>26</v>
      </c>
      <c r="G23" s="7" t="s">
        <v>37</v>
      </c>
      <c r="H23" s="7" t="s">
        <v>31</v>
      </c>
      <c r="I23" s="16" t="n">
        <v>46328</v>
      </c>
      <c r="J23" s="16" t="n">
        <v>46351</v>
      </c>
      <c r="K23" s="15" t="n">
        <f aca="false">J23-I23+1</f>
        <v>24</v>
      </c>
      <c r="L23" s="9" t="n">
        <f aca="true">IF(O23="Done","",J23-TODAY())</f>
        <v>61</v>
      </c>
      <c r="M23" s="7" t="s">
        <v>75</v>
      </c>
      <c r="N23" s="15" t="s">
        <v>137</v>
      </c>
      <c r="O23" s="15" t="s">
        <v>111</v>
      </c>
      <c r="P23" s="7"/>
    </row>
    <row r="24" customFormat="false" ht="23.85" hidden="false" customHeight="false" outlineLevel="0" collapsed="false">
      <c r="A24" s="15" t="s">
        <v>313</v>
      </c>
      <c r="B24" s="7" t="s">
        <v>215</v>
      </c>
      <c r="C24" s="7" t="s">
        <v>314</v>
      </c>
      <c r="D24" s="7" t="s">
        <v>315</v>
      </c>
      <c r="E24" s="15" t="s">
        <v>21</v>
      </c>
      <c r="F24" s="15" t="s">
        <v>28</v>
      </c>
      <c r="G24" s="7" t="s">
        <v>37</v>
      </c>
      <c r="H24" s="7" t="s">
        <v>45</v>
      </c>
      <c r="I24" s="16" t="n">
        <v>46342</v>
      </c>
      <c r="J24" s="16" t="n">
        <v>46360</v>
      </c>
      <c r="K24" s="15" t="n">
        <f aca="false">J24-I24+1</f>
        <v>19</v>
      </c>
      <c r="L24" s="9" t="n">
        <f aca="true">IF(O24="Done","",J24-TODAY())</f>
        <v>70</v>
      </c>
      <c r="M24" s="7"/>
      <c r="N24" s="15" t="s">
        <v>137</v>
      </c>
      <c r="O24" s="15" t="s">
        <v>111</v>
      </c>
      <c r="P24" s="7" t="s">
        <v>316</v>
      </c>
    </row>
    <row r="25" customFormat="false" ht="23.85" hidden="false" customHeight="false" outlineLevel="0" collapsed="false">
      <c r="A25" s="15" t="s">
        <v>92</v>
      </c>
      <c r="B25" s="7" t="s">
        <v>144</v>
      </c>
      <c r="C25" s="7" t="s">
        <v>317</v>
      </c>
      <c r="D25" s="7" t="s">
        <v>318</v>
      </c>
      <c r="E25" s="15" t="s">
        <v>17</v>
      </c>
      <c r="F25" s="15" t="s">
        <v>26</v>
      </c>
      <c r="G25" s="7" t="s">
        <v>45</v>
      </c>
      <c r="H25" s="7" t="s">
        <v>319</v>
      </c>
      <c r="I25" s="16" t="n">
        <v>46342</v>
      </c>
      <c r="J25" s="16" t="n">
        <v>46371</v>
      </c>
      <c r="K25" s="15" t="n">
        <f aca="false">J25-I25+1</f>
        <v>30</v>
      </c>
      <c r="L25" s="9" t="n">
        <f aca="true">IF(O25="Done","",J25-TODAY())</f>
        <v>81</v>
      </c>
      <c r="M25" s="7" t="s">
        <v>254</v>
      </c>
      <c r="N25" s="15" t="s">
        <v>142</v>
      </c>
      <c r="O25" s="15" t="s">
        <v>111</v>
      </c>
      <c r="P25" s="7"/>
    </row>
    <row r="26" customFormat="false" ht="23.85" hidden="false" customHeight="false" outlineLevel="0" collapsed="false">
      <c r="A26" s="15" t="s">
        <v>320</v>
      </c>
      <c r="B26" s="7" t="s">
        <v>215</v>
      </c>
      <c r="C26" s="7" t="s">
        <v>321</v>
      </c>
      <c r="D26" s="7" t="s">
        <v>322</v>
      </c>
      <c r="E26" s="15" t="s">
        <v>17</v>
      </c>
      <c r="F26" s="15" t="s">
        <v>26</v>
      </c>
      <c r="G26" s="7" t="s">
        <v>45</v>
      </c>
      <c r="H26" s="7" t="s">
        <v>37</v>
      </c>
      <c r="I26" s="16" t="n">
        <v>46342</v>
      </c>
      <c r="J26" s="16" t="n">
        <v>46367</v>
      </c>
      <c r="K26" s="15" t="n">
        <f aca="false">J26-I26+1</f>
        <v>26</v>
      </c>
      <c r="L26" s="9" t="n">
        <f aca="true">IF(O26="Done","",J26-TODAY())</f>
        <v>77</v>
      </c>
      <c r="M26" s="7" t="s">
        <v>80</v>
      </c>
      <c r="N26" s="15" t="s">
        <v>142</v>
      </c>
      <c r="O26" s="15" t="s">
        <v>111</v>
      </c>
      <c r="P26" s="7"/>
    </row>
    <row r="27" customFormat="false" ht="23.85" hidden="false" customHeight="false" outlineLevel="0" collapsed="false">
      <c r="A27" s="15" t="s">
        <v>89</v>
      </c>
      <c r="B27" s="7" t="s">
        <v>215</v>
      </c>
      <c r="C27" s="7" t="s">
        <v>323</v>
      </c>
      <c r="D27" s="7" t="s">
        <v>324</v>
      </c>
      <c r="E27" s="15" t="s">
        <v>17</v>
      </c>
      <c r="F27" s="15" t="s">
        <v>24</v>
      </c>
      <c r="G27" s="7" t="s">
        <v>37</v>
      </c>
      <c r="H27" s="7" t="s">
        <v>325</v>
      </c>
      <c r="I27" s="16" t="n">
        <v>46342</v>
      </c>
      <c r="J27" s="16" t="n">
        <v>46367</v>
      </c>
      <c r="K27" s="15" t="n">
        <f aca="false">J27-I27+1</f>
        <v>26</v>
      </c>
      <c r="L27" s="9" t="n">
        <f aca="true">IF(O27="Done","",J27-TODAY())</f>
        <v>77</v>
      </c>
      <c r="M27" s="7" t="s">
        <v>326</v>
      </c>
      <c r="N27" s="15" t="s">
        <v>142</v>
      </c>
      <c r="O27" s="15" t="s">
        <v>111</v>
      </c>
      <c r="P27" s="7"/>
    </row>
    <row r="28" customFormat="false" ht="23.85" hidden="false" customHeight="false" outlineLevel="0" collapsed="false">
      <c r="A28" s="15" t="s">
        <v>327</v>
      </c>
      <c r="B28" s="7" t="s">
        <v>251</v>
      </c>
      <c r="C28" s="7" t="s">
        <v>328</v>
      </c>
      <c r="D28" s="7" t="s">
        <v>329</v>
      </c>
      <c r="E28" s="15" t="s">
        <v>19</v>
      </c>
      <c r="F28" s="15" t="s">
        <v>26</v>
      </c>
      <c r="G28" s="7" t="s">
        <v>45</v>
      </c>
      <c r="H28" s="7" t="s">
        <v>105</v>
      </c>
      <c r="I28" s="16" t="n">
        <v>46342</v>
      </c>
      <c r="J28" s="16" t="n">
        <v>46367</v>
      </c>
      <c r="K28" s="15" t="n">
        <f aca="false">J28-I28+1</f>
        <v>26</v>
      </c>
      <c r="L28" s="9" t="n">
        <f aca="true">IF(O28="Done","",J28-TODAY())</f>
        <v>77</v>
      </c>
      <c r="M28" s="7" t="s">
        <v>284</v>
      </c>
      <c r="N28" s="15" t="s">
        <v>137</v>
      </c>
      <c r="O28" s="15" t="s">
        <v>111</v>
      </c>
      <c r="P28" s="7"/>
    </row>
    <row r="29" customFormat="false" ht="23.85" hidden="false" customHeight="false" outlineLevel="0" collapsed="false">
      <c r="A29" s="15" t="s">
        <v>330</v>
      </c>
      <c r="B29" s="7" t="s">
        <v>144</v>
      </c>
      <c r="C29" s="7" t="s">
        <v>331</v>
      </c>
      <c r="D29" s="7" t="s">
        <v>332</v>
      </c>
      <c r="E29" s="15" t="s">
        <v>17</v>
      </c>
      <c r="F29" s="15" t="s">
        <v>26</v>
      </c>
      <c r="G29" s="7" t="s">
        <v>35</v>
      </c>
      <c r="H29" s="7" t="s">
        <v>333</v>
      </c>
      <c r="I29" s="16" t="n">
        <v>46342</v>
      </c>
      <c r="J29" s="16" t="n">
        <v>46374</v>
      </c>
      <c r="K29" s="15" t="n">
        <f aca="false">J29-I29+1</f>
        <v>33</v>
      </c>
      <c r="L29" s="9" t="n">
        <f aca="true">IF(O29="Done","",J29-TODAY())</f>
        <v>84</v>
      </c>
      <c r="M29" s="7" t="s">
        <v>162</v>
      </c>
      <c r="N29" s="15" t="s">
        <v>142</v>
      </c>
      <c r="O29" s="15" t="s">
        <v>111</v>
      </c>
      <c r="P29" s="7"/>
    </row>
    <row r="30" customFormat="false" ht="23.85" hidden="false" customHeight="false" outlineLevel="0" collapsed="false">
      <c r="A30" s="15" t="s">
        <v>334</v>
      </c>
      <c r="B30" s="7" t="s">
        <v>305</v>
      </c>
      <c r="C30" s="7" t="s">
        <v>335</v>
      </c>
      <c r="D30" s="7" t="s">
        <v>336</v>
      </c>
      <c r="E30" s="15" t="s">
        <v>19</v>
      </c>
      <c r="F30" s="15" t="s">
        <v>26</v>
      </c>
      <c r="G30" s="7" t="s">
        <v>105</v>
      </c>
      <c r="H30" s="7" t="s">
        <v>337</v>
      </c>
      <c r="I30" s="16" t="n">
        <v>46342</v>
      </c>
      <c r="J30" s="16" t="n">
        <v>46374</v>
      </c>
      <c r="K30" s="15" t="n">
        <f aca="false">J30-I30+1</f>
        <v>33</v>
      </c>
      <c r="L30" s="9" t="n">
        <f aca="true">IF(O30="Done","",J30-TODAY())</f>
        <v>84</v>
      </c>
      <c r="M30" s="7"/>
      <c r="N30" s="15" t="s">
        <v>137</v>
      </c>
      <c r="O30" s="15" t="s">
        <v>111</v>
      </c>
      <c r="P30" s="7"/>
    </row>
    <row r="31" customFormat="false" ht="23.85" hidden="false" customHeight="false" outlineLevel="0" collapsed="false">
      <c r="A31" s="15" t="s">
        <v>338</v>
      </c>
      <c r="B31" s="7" t="s">
        <v>215</v>
      </c>
      <c r="C31" s="7" t="s">
        <v>339</v>
      </c>
      <c r="D31" s="7" t="s">
        <v>340</v>
      </c>
      <c r="E31" s="15" t="s">
        <v>21</v>
      </c>
      <c r="F31" s="15" t="s">
        <v>28</v>
      </c>
      <c r="G31" s="7" t="s">
        <v>37</v>
      </c>
      <c r="H31" s="7"/>
      <c r="I31" s="16" t="n">
        <v>46349</v>
      </c>
      <c r="J31" s="16" t="n">
        <v>46367</v>
      </c>
      <c r="K31" s="15" t="n">
        <f aca="false">J31-I31+1</f>
        <v>19</v>
      </c>
      <c r="L31" s="9" t="n">
        <f aca="true">IF(O31="Done","",J31-TODAY())</f>
        <v>77</v>
      </c>
      <c r="M31" s="7"/>
      <c r="N31" s="15" t="s">
        <v>137</v>
      </c>
      <c r="O31" s="15" t="s">
        <v>111</v>
      </c>
      <c r="P31" s="7"/>
    </row>
    <row r="32" customFormat="false" ht="23.85" hidden="false" customHeight="false" outlineLevel="0" collapsed="false">
      <c r="A32" s="15" t="s">
        <v>341</v>
      </c>
      <c r="B32" s="7" t="s">
        <v>215</v>
      </c>
      <c r="C32" s="7" t="s">
        <v>342</v>
      </c>
      <c r="D32" s="7" t="s">
        <v>343</v>
      </c>
      <c r="E32" s="15" t="s">
        <v>19</v>
      </c>
      <c r="F32" s="15" t="s">
        <v>28</v>
      </c>
      <c r="G32" s="7" t="s">
        <v>37</v>
      </c>
      <c r="H32" s="7"/>
      <c r="I32" s="16" t="n">
        <v>46357</v>
      </c>
      <c r="J32" s="16" t="n">
        <v>46371</v>
      </c>
      <c r="K32" s="15" t="n">
        <f aca="false">J32-I32+1</f>
        <v>15</v>
      </c>
      <c r="L32" s="9" t="n">
        <f aca="true">IF(O32="Done","",J32-TODAY())</f>
        <v>81</v>
      </c>
      <c r="M32" s="7"/>
      <c r="N32" s="15" t="s">
        <v>137</v>
      </c>
      <c r="O32" s="15" t="s">
        <v>111</v>
      </c>
      <c r="P32" s="7" t="s">
        <v>344</v>
      </c>
    </row>
    <row r="33" customFormat="false" ht="23.85" hidden="false" customHeight="false" outlineLevel="0" collapsed="false">
      <c r="A33" s="15" t="s">
        <v>345</v>
      </c>
      <c r="B33" s="7" t="s">
        <v>202</v>
      </c>
      <c r="C33" s="7" t="s">
        <v>346</v>
      </c>
      <c r="D33" s="7" t="s">
        <v>347</v>
      </c>
      <c r="E33" s="15" t="s">
        <v>21</v>
      </c>
      <c r="F33" s="15" t="s">
        <v>28</v>
      </c>
      <c r="G33" s="7" t="s">
        <v>37</v>
      </c>
      <c r="H33" s="7" t="s">
        <v>35</v>
      </c>
      <c r="I33" s="16" t="n">
        <v>46357</v>
      </c>
      <c r="J33" s="16" t="n">
        <v>46374</v>
      </c>
      <c r="K33" s="15" t="n">
        <f aca="false">J33-I33+1</f>
        <v>18</v>
      </c>
      <c r="L33" s="9" t="n">
        <f aca="true">IF(O33="Done","",J33-TODAY())</f>
        <v>84</v>
      </c>
      <c r="M33" s="7" t="s">
        <v>330</v>
      </c>
      <c r="N33" s="15" t="s">
        <v>137</v>
      </c>
      <c r="O33" s="15" t="s">
        <v>111</v>
      </c>
      <c r="P33" s="7"/>
    </row>
    <row r="34" customFormat="false" ht="23.85" hidden="false" customHeight="false" outlineLevel="0" collapsed="false">
      <c r="A34" s="15" t="s">
        <v>348</v>
      </c>
      <c r="B34" s="7" t="s">
        <v>305</v>
      </c>
      <c r="C34" s="7" t="s">
        <v>349</v>
      </c>
      <c r="D34" s="7" t="s">
        <v>350</v>
      </c>
      <c r="E34" s="15" t="s">
        <v>19</v>
      </c>
      <c r="F34" s="15" t="s">
        <v>28</v>
      </c>
      <c r="G34" s="7" t="s">
        <v>45</v>
      </c>
      <c r="H34" s="7" t="s">
        <v>31</v>
      </c>
      <c r="I34" s="16" t="n">
        <v>46363</v>
      </c>
      <c r="J34" s="16" t="n">
        <v>46374</v>
      </c>
      <c r="K34" s="15" t="n">
        <f aca="false">J34-I34+1</f>
        <v>12</v>
      </c>
      <c r="L34" s="9" t="n">
        <f aca="true">IF(O34="Done","",J34-TODAY())</f>
        <v>84</v>
      </c>
      <c r="M34" s="7"/>
      <c r="N34" s="15" t="s">
        <v>137</v>
      </c>
      <c r="O34" s="15" t="s">
        <v>111</v>
      </c>
      <c r="P34" s="7"/>
    </row>
    <row r="35" customFormat="false" ht="23.85" hidden="false" customHeight="false" outlineLevel="0" collapsed="false">
      <c r="A35" s="15" t="s">
        <v>351</v>
      </c>
      <c r="B35" s="7" t="s">
        <v>352</v>
      </c>
      <c r="C35" s="7" t="s">
        <v>353</v>
      </c>
      <c r="D35" s="7" t="s">
        <v>354</v>
      </c>
      <c r="E35" s="15" t="s">
        <v>17</v>
      </c>
      <c r="F35" s="15" t="s">
        <v>28</v>
      </c>
      <c r="G35" s="7" t="s">
        <v>35</v>
      </c>
      <c r="H35" s="7" t="s">
        <v>37</v>
      </c>
      <c r="I35" s="16" t="n">
        <v>46363</v>
      </c>
      <c r="J35" s="16" t="n">
        <v>46373</v>
      </c>
      <c r="K35" s="15" t="n">
        <f aca="false">J35-I35+1</f>
        <v>11</v>
      </c>
      <c r="L35" s="9" t="n">
        <f aca="true">IF(O35="Done","",J35-TODAY())</f>
        <v>83</v>
      </c>
      <c r="M35" s="7"/>
      <c r="N35" s="15" t="s">
        <v>137</v>
      </c>
      <c r="O35" s="15" t="s">
        <v>111</v>
      </c>
      <c r="P35" s="7"/>
    </row>
    <row r="36" customFormat="false" ht="23.85" hidden="false" customHeight="false" outlineLevel="0" collapsed="false">
      <c r="A36" s="15" t="s">
        <v>355</v>
      </c>
      <c r="B36" s="7" t="s">
        <v>352</v>
      </c>
      <c r="C36" s="7" t="s">
        <v>356</v>
      </c>
      <c r="D36" s="7" t="s">
        <v>357</v>
      </c>
      <c r="E36" s="15" t="s">
        <v>19</v>
      </c>
      <c r="F36" s="15" t="s">
        <v>28</v>
      </c>
      <c r="G36" s="7" t="s">
        <v>37</v>
      </c>
      <c r="H36" s="7" t="s">
        <v>39</v>
      </c>
      <c r="I36" s="16" t="n">
        <v>46357</v>
      </c>
      <c r="J36" s="16" t="n">
        <v>46367</v>
      </c>
      <c r="K36" s="15" t="n">
        <f aca="false">J36-I36+1</f>
        <v>11</v>
      </c>
      <c r="L36" s="9" t="n">
        <f aca="true">IF(O36="Done","",J36-TODAY())</f>
        <v>77</v>
      </c>
      <c r="M36" s="7"/>
      <c r="N36" s="15" t="s">
        <v>137</v>
      </c>
      <c r="O36" s="15" t="s">
        <v>111</v>
      </c>
      <c r="P36" s="7"/>
    </row>
    <row r="37" customFormat="false" ht="23.85" hidden="false" customHeight="false" outlineLevel="0" collapsed="false">
      <c r="A37" s="15" t="s">
        <v>95</v>
      </c>
      <c r="B37" s="7" t="s">
        <v>202</v>
      </c>
      <c r="C37" s="7" t="s">
        <v>358</v>
      </c>
      <c r="D37" s="7" t="s">
        <v>359</v>
      </c>
      <c r="E37" s="15" t="s">
        <v>17</v>
      </c>
      <c r="F37" s="15" t="s">
        <v>28</v>
      </c>
      <c r="G37" s="7" t="s">
        <v>31</v>
      </c>
      <c r="H37" s="7" t="s">
        <v>37</v>
      </c>
      <c r="I37" s="16" t="n">
        <v>46370</v>
      </c>
      <c r="J37" s="16" t="n">
        <v>46373</v>
      </c>
      <c r="K37" s="15" t="n">
        <f aca="false">J37-I37+1</f>
        <v>4</v>
      </c>
      <c r="L37" s="9" t="n">
        <f aca="true">IF(O37="Done","",J37-TODAY())</f>
        <v>83</v>
      </c>
      <c r="M37" s="7" t="s">
        <v>89</v>
      </c>
      <c r="N37" s="15" t="s">
        <v>142</v>
      </c>
      <c r="O37" s="15" t="s">
        <v>111</v>
      </c>
      <c r="P37" s="7" t="s">
        <v>360</v>
      </c>
    </row>
    <row r="38" customFormat="false" ht="46.25" hidden="false" customHeight="false" outlineLevel="0" collapsed="false">
      <c r="A38" s="17" t="s">
        <v>98</v>
      </c>
      <c r="B38" s="10" t="s">
        <v>51</v>
      </c>
      <c r="C38" s="10" t="s">
        <v>361</v>
      </c>
      <c r="D38" s="10" t="s">
        <v>362</v>
      </c>
      <c r="E38" s="17" t="s">
        <v>17</v>
      </c>
      <c r="F38" s="17" t="s">
        <v>26</v>
      </c>
      <c r="G38" s="10" t="s">
        <v>31</v>
      </c>
      <c r="H38" s="10" t="s">
        <v>363</v>
      </c>
      <c r="I38" s="18" t="n">
        <v>46374</v>
      </c>
      <c r="J38" s="18" t="n">
        <v>46374</v>
      </c>
      <c r="K38" s="17" t="n">
        <f aca="false">J38-I38+1</f>
        <v>1</v>
      </c>
      <c r="L38" s="19" t="n">
        <f aca="true">IF(O38="Done","",J38-TODAY())</f>
        <v>84</v>
      </c>
      <c r="M38" s="10" t="s">
        <v>364</v>
      </c>
      <c r="N38" s="17" t="s">
        <v>142</v>
      </c>
      <c r="O38" s="17" t="s">
        <v>111</v>
      </c>
      <c r="P38" s="10"/>
    </row>
    <row r="39" customFormat="false" ht="23.85" hidden="false" customHeight="false" outlineLevel="0" collapsed="false">
      <c r="A39" s="15" t="s">
        <v>104</v>
      </c>
      <c r="B39" s="7" t="s">
        <v>352</v>
      </c>
      <c r="C39" s="7" t="s">
        <v>365</v>
      </c>
      <c r="D39" s="7" t="s">
        <v>366</v>
      </c>
      <c r="E39" s="15" t="s">
        <v>19</v>
      </c>
      <c r="F39" s="15" t="s">
        <v>28</v>
      </c>
      <c r="G39" s="7" t="s">
        <v>105</v>
      </c>
      <c r="H39" s="7"/>
      <c r="I39" s="16" t="n">
        <v>46374</v>
      </c>
      <c r="J39" s="16" t="n">
        <v>46401</v>
      </c>
      <c r="K39" s="15" t="n">
        <f aca="false">J39-I39+1</f>
        <v>28</v>
      </c>
      <c r="L39" s="9" t="n">
        <f aca="true">IF(O39="Done","",J39-TODAY())</f>
        <v>111</v>
      </c>
      <c r="M39" s="7"/>
      <c r="N39" s="15" t="s">
        <v>137</v>
      </c>
      <c r="O39" s="15" t="s">
        <v>111</v>
      </c>
      <c r="P39" s="7" t="s">
        <v>367</v>
      </c>
    </row>
    <row r="40" customFormat="false" ht="23.85" hidden="false" customHeight="false" outlineLevel="0" collapsed="false">
      <c r="A40" s="17" t="s">
        <v>101</v>
      </c>
      <c r="B40" s="10" t="s">
        <v>51</v>
      </c>
      <c r="C40" s="10" t="s">
        <v>368</v>
      </c>
      <c r="D40" s="10" t="s">
        <v>369</v>
      </c>
      <c r="E40" s="17" t="s">
        <v>17</v>
      </c>
      <c r="F40" s="17" t="s">
        <v>28</v>
      </c>
      <c r="G40" s="10" t="s">
        <v>31</v>
      </c>
      <c r="H40" s="10" t="s">
        <v>181</v>
      </c>
      <c r="I40" s="18" t="n">
        <v>46389</v>
      </c>
      <c r="J40" s="18" t="n">
        <v>46391</v>
      </c>
      <c r="K40" s="17" t="n">
        <f aca="false">J40-I40+1</f>
        <v>3</v>
      </c>
      <c r="L40" s="19" t="n">
        <f aca="true">IF(O40="Done","",J40-TODAY())</f>
        <v>101</v>
      </c>
      <c r="M40" s="10" t="s">
        <v>98</v>
      </c>
      <c r="N40" s="17" t="s">
        <v>142</v>
      </c>
      <c r="O40" s="17" t="s">
        <v>111</v>
      </c>
      <c r="P40" s="10"/>
    </row>
    <row r="41" customFormat="false" ht="15" hidden="false" customHeight="false" outlineLevel="0" collapsed="false">
      <c r="A41" s="15" t="s">
        <v>370</v>
      </c>
      <c r="B41" s="7" t="s">
        <v>371</v>
      </c>
      <c r="C41" s="7" t="s">
        <v>372</v>
      </c>
      <c r="D41" s="7" t="s">
        <v>373</v>
      </c>
      <c r="E41" s="15" t="s">
        <v>19</v>
      </c>
      <c r="F41" s="15" t="s">
        <v>28</v>
      </c>
      <c r="G41" s="7" t="s">
        <v>37</v>
      </c>
      <c r="H41" s="7" t="s">
        <v>35</v>
      </c>
      <c r="I41" s="16" t="n">
        <v>46391</v>
      </c>
      <c r="J41" s="16" t="n">
        <v>46402</v>
      </c>
      <c r="K41" s="15" t="n">
        <f aca="false">J41-I41+1</f>
        <v>12</v>
      </c>
      <c r="L41" s="9" t="n">
        <f aca="true">IF(O41="Done","",J41-TODAY())</f>
        <v>112</v>
      </c>
      <c r="M41" s="7" t="s">
        <v>101</v>
      </c>
      <c r="N41" s="15" t="s">
        <v>137</v>
      </c>
      <c r="O41" s="15" t="s">
        <v>111</v>
      </c>
      <c r="P41" s="7"/>
    </row>
    <row r="42" customFormat="false" ht="15" hidden="false" customHeight="false" outlineLevel="0" collapsed="false">
      <c r="A42" s="15" t="s">
        <v>374</v>
      </c>
      <c r="B42" s="7" t="s">
        <v>371</v>
      </c>
      <c r="C42" s="7" t="s">
        <v>375</v>
      </c>
      <c r="D42" s="7" t="s">
        <v>376</v>
      </c>
      <c r="E42" s="15" t="s">
        <v>19</v>
      </c>
      <c r="F42" s="15" t="s">
        <v>28</v>
      </c>
      <c r="G42" s="7" t="s">
        <v>45</v>
      </c>
      <c r="H42" s="7" t="s">
        <v>31</v>
      </c>
      <c r="I42" s="16" t="n">
        <v>46391</v>
      </c>
      <c r="J42" s="16" t="n">
        <v>46402</v>
      </c>
      <c r="K42" s="15" t="n">
        <f aca="false">J42-I42+1</f>
        <v>12</v>
      </c>
      <c r="L42" s="9" t="n">
        <f aca="true">IF(O42="Done","",J42-TODAY())</f>
        <v>112</v>
      </c>
      <c r="M42" s="7" t="s">
        <v>101</v>
      </c>
      <c r="N42" s="15" t="s">
        <v>137</v>
      </c>
      <c r="O42" s="15" t="s">
        <v>111</v>
      </c>
      <c r="P42" s="7"/>
    </row>
    <row r="43" customFormat="false" ht="23.85" hidden="false" customHeight="false" outlineLevel="0" collapsed="false">
      <c r="A43" s="15" t="s">
        <v>377</v>
      </c>
      <c r="B43" s="7" t="s">
        <v>371</v>
      </c>
      <c r="C43" s="7" t="s">
        <v>378</v>
      </c>
      <c r="D43" s="7" t="s">
        <v>379</v>
      </c>
      <c r="E43" s="15" t="s">
        <v>21</v>
      </c>
      <c r="F43" s="15" t="s">
        <v>26</v>
      </c>
      <c r="G43" s="7" t="s">
        <v>35</v>
      </c>
      <c r="H43" s="7"/>
      <c r="I43" s="16" t="n">
        <v>46391</v>
      </c>
      <c r="J43" s="16" t="n">
        <v>46477</v>
      </c>
      <c r="K43" s="15" t="n">
        <f aca="false">J43-I43+1</f>
        <v>87</v>
      </c>
      <c r="L43" s="9" t="n">
        <f aca="true">IF(O43="Done","",J43-TODAY())</f>
        <v>187</v>
      </c>
      <c r="M43" s="7" t="s">
        <v>101</v>
      </c>
      <c r="N43" s="15" t="s">
        <v>137</v>
      </c>
      <c r="O43" s="15" t="s">
        <v>111</v>
      </c>
      <c r="P43" s="7"/>
    </row>
    <row r="44" customFormat="false" ht="23.85" hidden="false" customHeight="false" outlineLevel="0" collapsed="false">
      <c r="A44" s="15" t="s">
        <v>380</v>
      </c>
      <c r="B44" s="7" t="s">
        <v>371</v>
      </c>
      <c r="C44" s="7" t="s">
        <v>381</v>
      </c>
      <c r="D44" s="7" t="s">
        <v>382</v>
      </c>
      <c r="E44" s="15" t="s">
        <v>21</v>
      </c>
      <c r="F44" s="15" t="s">
        <v>28</v>
      </c>
      <c r="G44" s="7" t="s">
        <v>35</v>
      </c>
      <c r="H44" s="7" t="s">
        <v>39</v>
      </c>
      <c r="I44" s="16" t="n">
        <v>46391</v>
      </c>
      <c r="J44" s="16" t="n">
        <v>46492</v>
      </c>
      <c r="K44" s="15" t="n">
        <f aca="false">J44-I44+1</f>
        <v>102</v>
      </c>
      <c r="L44" s="9" t="n">
        <f aca="true">IF(O44="Done","",J44-TODAY())</f>
        <v>202</v>
      </c>
      <c r="M44" s="7" t="s">
        <v>101</v>
      </c>
      <c r="N44" s="15" t="s">
        <v>137</v>
      </c>
      <c r="O44" s="15" t="s">
        <v>111</v>
      </c>
      <c r="P44" s="7"/>
    </row>
    <row r="45" customFormat="false" ht="23.85" hidden="false" customHeight="false" outlineLevel="0" collapsed="false">
      <c r="A45" s="15" t="s">
        <v>383</v>
      </c>
      <c r="B45" s="7" t="s">
        <v>371</v>
      </c>
      <c r="C45" s="7" t="s">
        <v>384</v>
      </c>
      <c r="D45" s="7" t="s">
        <v>385</v>
      </c>
      <c r="E45" s="15" t="s">
        <v>21</v>
      </c>
      <c r="F45" s="15" t="s">
        <v>26</v>
      </c>
      <c r="G45" s="7" t="s">
        <v>308</v>
      </c>
      <c r="H45" s="7" t="s">
        <v>386</v>
      </c>
      <c r="I45" s="16" t="n">
        <v>46447</v>
      </c>
      <c r="J45" s="16" t="n">
        <v>46477</v>
      </c>
      <c r="K45" s="15" t="n">
        <f aca="false">J45-I45+1</f>
        <v>31</v>
      </c>
      <c r="L45" s="9" t="n">
        <f aca="true">IF(O45="Done","",J45-TODAY())</f>
        <v>187</v>
      </c>
      <c r="M45" s="7" t="s">
        <v>304</v>
      </c>
      <c r="N45" s="15" t="s">
        <v>137</v>
      </c>
      <c r="O45" s="15" t="s">
        <v>111</v>
      </c>
      <c r="P45" s="7"/>
    </row>
  </sheetData>
  <autoFilter ref="A4:P45"/>
  <conditionalFormatting sqref="E5:E45">
    <cfRule type="expression" priority="2" aboveAverage="0" equalAverage="0" bottom="0" percent="0" rank="0" text="" dxfId="8">
      <formula>LEFT($E5,2)="P1"</formula>
    </cfRule>
    <cfRule type="expression" priority="3" aboveAverage="0" equalAverage="0" bottom="0" percent="0" rank="0" text="" dxfId="9">
      <formula>LEFT($E5,2)="P2"</formula>
    </cfRule>
    <cfRule type="expression" priority="4" aboveAverage="0" equalAverage="0" bottom="0" percent="0" rank="0" text="" dxfId="10">
      <formula>LEFT($E5,2)="P3"</formula>
    </cfRule>
  </conditionalFormatting>
  <conditionalFormatting sqref="O5:O45">
    <cfRule type="expression" priority="5" aboveAverage="0" equalAverage="0" bottom="0" percent="0" rank="0" text="" dxfId="11">
      <formula>$O5="Done"</formula>
    </cfRule>
    <cfRule type="expression" priority="6" aboveAverage="0" equalAverage="0" bottom="0" percent="0" rank="0" text="" dxfId="12">
      <formula>$O5="In progress"</formula>
    </cfRule>
    <cfRule type="expression" priority="7" aboveAverage="0" equalAverage="0" bottom="0" percent="0" rank="0" text="" dxfId="13">
      <formula>OR($O5="Blocked",$O5="At risk")</formula>
    </cfRule>
  </conditionalFormatting>
  <conditionalFormatting sqref="L5:L45">
    <cfRule type="expression" priority="8" aboveAverage="0" equalAverage="0" bottom="0" percent="0" rank="0" text="" dxfId="14">
      <formula>AND(ISNUMBER($L5),$L5&lt;0)</formula>
    </cfRule>
  </conditionalFormatting>
  <conditionalFormatting sqref="N5:N45">
    <cfRule type="expression" priority="9" aboveAverage="0" equalAverage="0" bottom="0" percent="0" rank="0" text="" dxfId="14">
      <formula>$N5="Y"</formula>
    </cfRule>
  </conditionalFormatting>
  <dataValidations count="4">
    <dataValidation allowBlank="true" errorStyle="stop" operator="between" showDropDown="false" showErrorMessage="false" showInputMessage="false" sqref="O5:O45" type="list">
      <formula1>"Not started,In progress,Done,Blocked,At risk"</formula1>
      <formula2>0</formula2>
    </dataValidation>
    <dataValidation allowBlank="false" errorStyle="stop" operator="between" showDropDown="false" showErrorMessage="false" showInputMessage="false" sqref="E5:E45" type="list">
      <formula1>"P1 - Critical,P2 - High,P3 - Medium"</formula1>
      <formula2>0</formula2>
    </dataValidation>
    <dataValidation allowBlank="false" errorStyle="stop" operator="between" showDropDown="false" showErrorMessage="false" showInputMessage="false" sqref="F5:F45" type="list">
      <formula1>"High,Medium,Low"</formula1>
      <formula2>0</formula2>
    </dataValidation>
    <dataValidation allowBlank="false" errorStyle="stop" operator="between" showDropDown="false" showErrorMessage="false" showInputMessage="false" sqref="N5:N4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37" min="8" style="0" width="3.61"/>
  </cols>
  <sheetData>
    <row r="1" customFormat="false" ht="17.35" hidden="false" customHeight="false" outlineLevel="0" collapsed="false">
      <c r="A1" s="1" t="s">
        <v>387</v>
      </c>
    </row>
    <row r="2" customFormat="false" ht="15" hidden="false" customHeight="false" outlineLevel="0" collapsed="false">
      <c r="A2" s="2" t="s">
        <v>388</v>
      </c>
    </row>
    <row r="4" customFormat="false" ht="48" hidden="false" customHeight="true" outlineLevel="0" collapsed="false">
      <c r="A4" s="6" t="s">
        <v>122</v>
      </c>
      <c r="B4" s="6" t="s">
        <v>124</v>
      </c>
      <c r="C4" s="6" t="s">
        <v>55</v>
      </c>
      <c r="D4" s="6" t="s">
        <v>16</v>
      </c>
      <c r="E4" s="6" t="s">
        <v>127</v>
      </c>
      <c r="F4" s="6" t="s">
        <v>128</v>
      </c>
      <c r="G4" s="6" t="s">
        <v>10</v>
      </c>
      <c r="H4" s="20" t="n">
        <v>46286</v>
      </c>
      <c r="I4" s="20" t="n">
        <v>46293</v>
      </c>
      <c r="J4" s="20" t="n">
        <v>46300</v>
      </c>
      <c r="K4" s="21" t="n">
        <v>46307</v>
      </c>
      <c r="L4" s="20" t="n">
        <v>46314</v>
      </c>
      <c r="M4" s="20" t="n">
        <v>46321</v>
      </c>
      <c r="N4" s="20" t="n">
        <v>46328</v>
      </c>
      <c r="O4" s="20" t="n">
        <v>46335</v>
      </c>
      <c r="P4" s="20" t="n">
        <v>46342</v>
      </c>
      <c r="Q4" s="20" t="n">
        <v>46349</v>
      </c>
      <c r="R4" s="20" t="n">
        <v>46356</v>
      </c>
      <c r="S4" s="20" t="n">
        <v>46363</v>
      </c>
      <c r="T4" s="21" t="n">
        <v>46370</v>
      </c>
      <c r="U4" s="20" t="n">
        <v>46377</v>
      </c>
      <c r="V4" s="21" t="n">
        <v>46384</v>
      </c>
      <c r="W4" s="20" t="n">
        <v>46391</v>
      </c>
      <c r="X4" s="20" t="n">
        <v>46398</v>
      </c>
      <c r="Y4" s="20" t="n">
        <v>46405</v>
      </c>
      <c r="Z4" s="20" t="n">
        <v>46412</v>
      </c>
      <c r="AA4" s="20" t="n">
        <v>46419</v>
      </c>
      <c r="AB4" s="20" t="n">
        <v>46426</v>
      </c>
      <c r="AC4" s="20" t="n">
        <v>46433</v>
      </c>
      <c r="AD4" s="20" t="n">
        <v>46440</v>
      </c>
      <c r="AE4" s="20" t="n">
        <v>46447</v>
      </c>
      <c r="AF4" s="20" t="n">
        <v>46454</v>
      </c>
      <c r="AG4" s="20" t="n">
        <v>46461</v>
      </c>
      <c r="AH4" s="20" t="n">
        <v>46468</v>
      </c>
      <c r="AI4" s="20" t="n">
        <v>46475</v>
      </c>
      <c r="AJ4" s="20" t="n">
        <v>46482</v>
      </c>
      <c r="AK4" s="20" t="n">
        <v>46489</v>
      </c>
    </row>
    <row r="5" customFormat="false" ht="15" hidden="false" customHeight="false" outlineLevel="0" collapsed="false">
      <c r="A5" s="22" t="s">
        <v>389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customFormat="false" ht="15" hidden="false" customHeight="false" outlineLevel="0" collapsed="false">
      <c r="A6" s="24" t="str">
        <f aca="false">'Pre-LOI Checklist'!A5</f>
        <v>PRE-01</v>
      </c>
      <c r="B6" s="25" t="str">
        <f aca="false">'Pre-LOI Checklist'!C5</f>
        <v>Request missing Topkey items</v>
      </c>
      <c r="C6" s="24" t="str">
        <f aca="false">'Pre-LOI Checklist'!G5</f>
        <v>Frank</v>
      </c>
      <c r="D6" s="24" t="str">
        <f aca="false">'Pre-LOI Checklist'!E5</f>
        <v>P2 - High</v>
      </c>
      <c r="E6" s="26" t="n">
        <f aca="false">'Pre-LOI Checklist'!I5</f>
        <v>46290</v>
      </c>
      <c r="F6" s="26" t="n">
        <f aca="false">'Pre-LOI Checklist'!J5</f>
        <v>46294</v>
      </c>
      <c r="G6" s="24" t="str">
        <f aca="false">'Pre-LOI Checklist'!O5</f>
        <v>Not started</v>
      </c>
      <c r="H6" s="27" t="str">
        <f aca="false">IF(AND($E6&lt;=H$4+6,$F6&gt;=H$4),IF($E6=$F6,"◆","■"),"")</f>
        <v>■</v>
      </c>
      <c r="I6" s="27" t="str">
        <f aca="false">IF(AND($E6&lt;=I$4+6,$F6&gt;=I$4),IF($E6=$F6,"◆","■"),"")</f>
        <v>■</v>
      </c>
      <c r="J6" s="27" t="str">
        <f aca="false">IF(AND($E6&lt;=J$4+6,$F6&gt;=J$4),IF($E6=$F6,"◆","■"),"")</f>
        <v/>
      </c>
      <c r="K6" s="27" t="str">
        <f aca="false">IF(AND($E6&lt;=K$4+6,$F6&gt;=K$4),IF($E6=$F6,"◆","■"),"")</f>
        <v/>
      </c>
      <c r="L6" s="27" t="str">
        <f aca="false">IF(AND($E6&lt;=L$4+6,$F6&gt;=L$4),IF($E6=$F6,"◆","■"),"")</f>
        <v/>
      </c>
      <c r="M6" s="27" t="str">
        <f aca="false">IF(AND($E6&lt;=M$4+6,$F6&gt;=M$4),IF($E6=$F6,"◆","■"),"")</f>
        <v/>
      </c>
      <c r="N6" s="27" t="str">
        <f aca="false">IF(AND($E6&lt;=N$4+6,$F6&gt;=N$4),IF($E6=$F6,"◆","■"),"")</f>
        <v/>
      </c>
      <c r="O6" s="27" t="str">
        <f aca="false">IF(AND($E6&lt;=O$4+6,$F6&gt;=O$4),IF($E6=$F6,"◆","■"),"")</f>
        <v/>
      </c>
      <c r="P6" s="27" t="str">
        <f aca="false">IF(AND($E6&lt;=P$4+6,$F6&gt;=P$4),IF($E6=$F6,"◆","■"),"")</f>
        <v/>
      </c>
      <c r="Q6" s="27" t="str">
        <f aca="false">IF(AND($E6&lt;=Q$4+6,$F6&gt;=Q$4),IF($E6=$F6,"◆","■"),"")</f>
        <v/>
      </c>
      <c r="R6" s="27" t="str">
        <f aca="false">IF(AND($E6&lt;=R$4+6,$F6&gt;=R$4),IF($E6=$F6,"◆","■"),"")</f>
        <v/>
      </c>
      <c r="S6" s="27" t="str">
        <f aca="false">IF(AND($E6&lt;=S$4+6,$F6&gt;=S$4),IF($E6=$F6,"◆","■"),"")</f>
        <v/>
      </c>
      <c r="T6" s="27" t="str">
        <f aca="false">IF(AND($E6&lt;=T$4+6,$F6&gt;=T$4),IF($E6=$F6,"◆","■"),"")</f>
        <v/>
      </c>
      <c r="U6" s="27" t="str">
        <f aca="false">IF(AND($E6&lt;=U$4+6,$F6&gt;=U$4),IF($E6=$F6,"◆","■"),"")</f>
        <v/>
      </c>
      <c r="V6" s="27" t="str">
        <f aca="false">IF(AND($E6&lt;=V$4+6,$F6&gt;=V$4),IF($E6=$F6,"◆","■"),"")</f>
        <v/>
      </c>
      <c r="W6" s="27" t="str">
        <f aca="false">IF(AND($E6&lt;=W$4+6,$F6&gt;=W$4),IF($E6=$F6,"◆","■"),"")</f>
        <v/>
      </c>
      <c r="X6" s="27" t="str">
        <f aca="false">IF(AND($E6&lt;=X$4+6,$F6&gt;=X$4),IF($E6=$F6,"◆","■"),"")</f>
        <v/>
      </c>
      <c r="Y6" s="27" t="str">
        <f aca="false">IF(AND($E6&lt;=Y$4+6,$F6&gt;=Y$4),IF($E6=$F6,"◆","■"),"")</f>
        <v/>
      </c>
      <c r="Z6" s="27" t="str">
        <f aca="false">IF(AND($E6&lt;=Z$4+6,$F6&gt;=Z$4),IF($E6=$F6,"◆","■"),"")</f>
        <v/>
      </c>
      <c r="AA6" s="27" t="str">
        <f aca="false">IF(AND($E6&lt;=AA$4+6,$F6&gt;=AA$4),IF($E6=$F6,"◆","■"),"")</f>
        <v/>
      </c>
      <c r="AB6" s="27" t="str">
        <f aca="false">IF(AND($E6&lt;=AB$4+6,$F6&gt;=AB$4),IF($E6=$F6,"◆","■"),"")</f>
        <v/>
      </c>
      <c r="AC6" s="27" t="str">
        <f aca="false">IF(AND($E6&lt;=AC$4+6,$F6&gt;=AC$4),IF($E6=$F6,"◆","■"),"")</f>
        <v/>
      </c>
      <c r="AD6" s="27" t="str">
        <f aca="false">IF(AND($E6&lt;=AD$4+6,$F6&gt;=AD$4),IF($E6=$F6,"◆","■"),"")</f>
        <v/>
      </c>
      <c r="AE6" s="27" t="str">
        <f aca="false">IF(AND($E6&lt;=AE$4+6,$F6&gt;=AE$4),IF($E6=$F6,"◆","■"),"")</f>
        <v/>
      </c>
      <c r="AF6" s="27" t="str">
        <f aca="false">IF(AND($E6&lt;=AF$4+6,$F6&gt;=AF$4),IF($E6=$F6,"◆","■"),"")</f>
        <v/>
      </c>
      <c r="AG6" s="27" t="str">
        <f aca="false">IF(AND($E6&lt;=AG$4+6,$F6&gt;=AG$4),IF($E6=$F6,"◆","■"),"")</f>
        <v/>
      </c>
      <c r="AH6" s="27" t="str">
        <f aca="false">IF(AND($E6&lt;=AH$4+6,$F6&gt;=AH$4),IF($E6=$F6,"◆","■"),"")</f>
        <v/>
      </c>
      <c r="AI6" s="27" t="str">
        <f aca="false">IF(AND($E6&lt;=AI$4+6,$F6&gt;=AI$4),IF($E6=$F6,"◆","■"),"")</f>
        <v/>
      </c>
      <c r="AJ6" s="27" t="str">
        <f aca="false">IF(AND($E6&lt;=AJ$4+6,$F6&gt;=AJ$4),IF($E6=$F6,"◆","■"),"")</f>
        <v/>
      </c>
      <c r="AK6" s="27" t="str">
        <f aca="false">IF(AND($E6&lt;=AK$4+6,$F6&gt;=AK$4),IF($E6=$F6,"◆","■"),"")</f>
        <v/>
      </c>
    </row>
    <row r="7" customFormat="false" ht="15" hidden="false" customHeight="false" outlineLevel="0" collapsed="false">
      <c r="A7" s="24" t="str">
        <f aca="false">'Pre-LOI Checklist'!A6</f>
        <v>PRE-02</v>
      </c>
      <c r="B7" s="25" t="str">
        <f aca="false">'Pre-LOI Checklist'!C6</f>
        <v>Confirm Thread Bank line status after Aug 26, 2026 maturity</v>
      </c>
      <c r="C7" s="24" t="str">
        <f aca="false">'Pre-LOI Checklist'!G6</f>
        <v>Jon</v>
      </c>
      <c r="D7" s="24" t="str">
        <f aca="false">'Pre-LOI Checklist'!E6</f>
        <v>P1 - Critical</v>
      </c>
      <c r="E7" s="26" t="n">
        <f aca="false">'Pre-LOI Checklist'!I6</f>
        <v>46290</v>
      </c>
      <c r="F7" s="26" t="n">
        <f aca="false">'Pre-LOI Checklist'!J6</f>
        <v>46294</v>
      </c>
      <c r="G7" s="24" t="str">
        <f aca="false">'Pre-LOI Checklist'!O6</f>
        <v>Not started</v>
      </c>
      <c r="H7" s="27" t="str">
        <f aca="false">IF(AND($E7&lt;=H$4+6,$F7&gt;=H$4),IF($E7=$F7,"◆","■"),"")</f>
        <v>■</v>
      </c>
      <c r="I7" s="27" t="str">
        <f aca="false">IF(AND($E7&lt;=I$4+6,$F7&gt;=I$4),IF($E7=$F7,"◆","■"),"")</f>
        <v>■</v>
      </c>
      <c r="J7" s="27" t="str">
        <f aca="false">IF(AND($E7&lt;=J$4+6,$F7&gt;=J$4),IF($E7=$F7,"◆","■"),"")</f>
        <v/>
      </c>
      <c r="K7" s="27" t="str">
        <f aca="false">IF(AND($E7&lt;=K$4+6,$F7&gt;=K$4),IF($E7=$F7,"◆","■"),"")</f>
        <v/>
      </c>
      <c r="L7" s="27" t="str">
        <f aca="false">IF(AND($E7&lt;=L$4+6,$F7&gt;=L$4),IF($E7=$F7,"◆","■"),"")</f>
        <v/>
      </c>
      <c r="M7" s="27" t="str">
        <f aca="false">IF(AND($E7&lt;=M$4+6,$F7&gt;=M$4),IF($E7=$F7,"◆","■"),"")</f>
        <v/>
      </c>
      <c r="N7" s="27" t="str">
        <f aca="false">IF(AND($E7&lt;=N$4+6,$F7&gt;=N$4),IF($E7=$F7,"◆","■"),"")</f>
        <v/>
      </c>
      <c r="O7" s="27" t="str">
        <f aca="false">IF(AND($E7&lt;=O$4+6,$F7&gt;=O$4),IF($E7=$F7,"◆","■"),"")</f>
        <v/>
      </c>
      <c r="P7" s="27" t="str">
        <f aca="false">IF(AND($E7&lt;=P$4+6,$F7&gt;=P$4),IF($E7=$F7,"◆","■"),"")</f>
        <v/>
      </c>
      <c r="Q7" s="27" t="str">
        <f aca="false">IF(AND($E7&lt;=Q$4+6,$F7&gt;=Q$4),IF($E7=$F7,"◆","■"),"")</f>
        <v/>
      </c>
      <c r="R7" s="27" t="str">
        <f aca="false">IF(AND($E7&lt;=R$4+6,$F7&gt;=R$4),IF($E7=$F7,"◆","■"),"")</f>
        <v/>
      </c>
      <c r="S7" s="27" t="str">
        <f aca="false">IF(AND($E7&lt;=S$4+6,$F7&gt;=S$4),IF($E7=$F7,"◆","■"),"")</f>
        <v/>
      </c>
      <c r="T7" s="27" t="str">
        <f aca="false">IF(AND($E7&lt;=T$4+6,$F7&gt;=T$4),IF($E7=$F7,"◆","■"),"")</f>
        <v/>
      </c>
      <c r="U7" s="27" t="str">
        <f aca="false">IF(AND($E7&lt;=U$4+6,$F7&gt;=U$4),IF($E7=$F7,"◆","■"),"")</f>
        <v/>
      </c>
      <c r="V7" s="27" t="str">
        <f aca="false">IF(AND($E7&lt;=V$4+6,$F7&gt;=V$4),IF($E7=$F7,"◆","■"),"")</f>
        <v/>
      </c>
      <c r="W7" s="27" t="str">
        <f aca="false">IF(AND($E7&lt;=W$4+6,$F7&gt;=W$4),IF($E7=$F7,"◆","■"),"")</f>
        <v/>
      </c>
      <c r="X7" s="27" t="str">
        <f aca="false">IF(AND($E7&lt;=X$4+6,$F7&gt;=X$4),IF($E7=$F7,"◆","■"),"")</f>
        <v/>
      </c>
      <c r="Y7" s="27" t="str">
        <f aca="false">IF(AND($E7&lt;=Y$4+6,$F7&gt;=Y$4),IF($E7=$F7,"◆","■"),"")</f>
        <v/>
      </c>
      <c r="Z7" s="27" t="str">
        <f aca="false">IF(AND($E7&lt;=Z$4+6,$F7&gt;=Z$4),IF($E7=$F7,"◆","■"),"")</f>
        <v/>
      </c>
      <c r="AA7" s="27" t="str">
        <f aca="false">IF(AND($E7&lt;=AA$4+6,$F7&gt;=AA$4),IF($E7=$F7,"◆","■"),"")</f>
        <v/>
      </c>
      <c r="AB7" s="27" t="str">
        <f aca="false">IF(AND($E7&lt;=AB$4+6,$F7&gt;=AB$4),IF($E7=$F7,"◆","■"),"")</f>
        <v/>
      </c>
      <c r="AC7" s="27" t="str">
        <f aca="false">IF(AND($E7&lt;=AC$4+6,$F7&gt;=AC$4),IF($E7=$F7,"◆","■"),"")</f>
        <v/>
      </c>
      <c r="AD7" s="27" t="str">
        <f aca="false">IF(AND($E7&lt;=AD$4+6,$F7&gt;=AD$4),IF($E7=$F7,"◆","■"),"")</f>
        <v/>
      </c>
      <c r="AE7" s="27" t="str">
        <f aca="false">IF(AND($E7&lt;=AE$4+6,$F7&gt;=AE$4),IF($E7=$F7,"◆","■"),"")</f>
        <v/>
      </c>
      <c r="AF7" s="27" t="str">
        <f aca="false">IF(AND($E7&lt;=AF$4+6,$F7&gt;=AF$4),IF($E7=$F7,"◆","■"),"")</f>
        <v/>
      </c>
      <c r="AG7" s="27" t="str">
        <f aca="false">IF(AND($E7&lt;=AG$4+6,$F7&gt;=AG$4),IF($E7=$F7,"◆","■"),"")</f>
        <v/>
      </c>
      <c r="AH7" s="27" t="str">
        <f aca="false">IF(AND($E7&lt;=AH$4+6,$F7&gt;=AH$4),IF($E7=$F7,"◆","■"),"")</f>
        <v/>
      </c>
      <c r="AI7" s="27" t="str">
        <f aca="false">IF(AND($E7&lt;=AI$4+6,$F7&gt;=AI$4),IF($E7=$F7,"◆","■"),"")</f>
        <v/>
      </c>
      <c r="AJ7" s="27" t="str">
        <f aca="false">IF(AND($E7&lt;=AJ$4+6,$F7&gt;=AJ$4),IF($E7=$F7,"◆","■"),"")</f>
        <v/>
      </c>
      <c r="AK7" s="27" t="str">
        <f aca="false">IF(AND($E7&lt;=AK$4+6,$F7&gt;=AK$4),IF($E7=$F7,"◆","■"),"")</f>
        <v/>
      </c>
    </row>
    <row r="8" customFormat="false" ht="15" hidden="false" customHeight="false" outlineLevel="0" collapsed="false">
      <c r="A8" s="24" t="str">
        <f aca="false">'Pre-LOI Checklist'!A7</f>
        <v>PRE-03</v>
      </c>
      <c r="B8" s="25" t="str">
        <f aca="false">'Pre-LOI Checklist'!C7</f>
        <v>Engage joint tax counsel (NH experience)</v>
      </c>
      <c r="C8" s="24" t="str">
        <f aca="false">'Pre-LOI Checklist'!G7</f>
        <v>Jon</v>
      </c>
      <c r="D8" s="24" t="str">
        <f aca="false">'Pre-LOI Checklist'!E7</f>
        <v>P1 - Critical</v>
      </c>
      <c r="E8" s="26" t="n">
        <f aca="false">'Pre-LOI Checklist'!I7</f>
        <v>46290</v>
      </c>
      <c r="F8" s="26" t="n">
        <f aca="false">'Pre-LOI Checklist'!J7</f>
        <v>46297</v>
      </c>
      <c r="G8" s="24" t="str">
        <f aca="false">'Pre-LOI Checklist'!O7</f>
        <v>Not started</v>
      </c>
      <c r="H8" s="27" t="str">
        <f aca="false">IF(AND($E8&lt;=H$4+6,$F8&gt;=H$4),IF($E8=$F8,"◆","■"),"")</f>
        <v>■</v>
      </c>
      <c r="I8" s="27" t="str">
        <f aca="false">IF(AND($E8&lt;=I$4+6,$F8&gt;=I$4),IF($E8=$F8,"◆","■"),"")</f>
        <v>■</v>
      </c>
      <c r="J8" s="27" t="str">
        <f aca="false">IF(AND($E8&lt;=J$4+6,$F8&gt;=J$4),IF($E8=$F8,"◆","■"),"")</f>
        <v/>
      </c>
      <c r="K8" s="27" t="str">
        <f aca="false">IF(AND($E8&lt;=K$4+6,$F8&gt;=K$4),IF($E8=$F8,"◆","■"),"")</f>
        <v/>
      </c>
      <c r="L8" s="27" t="str">
        <f aca="false">IF(AND($E8&lt;=L$4+6,$F8&gt;=L$4),IF($E8=$F8,"◆","■"),"")</f>
        <v/>
      </c>
      <c r="M8" s="27" t="str">
        <f aca="false">IF(AND($E8&lt;=M$4+6,$F8&gt;=M$4),IF($E8=$F8,"◆","■"),"")</f>
        <v/>
      </c>
      <c r="N8" s="27" t="str">
        <f aca="false">IF(AND($E8&lt;=N$4+6,$F8&gt;=N$4),IF($E8=$F8,"◆","■"),"")</f>
        <v/>
      </c>
      <c r="O8" s="27" t="str">
        <f aca="false">IF(AND($E8&lt;=O$4+6,$F8&gt;=O$4),IF($E8=$F8,"◆","■"),"")</f>
        <v/>
      </c>
      <c r="P8" s="27" t="str">
        <f aca="false">IF(AND($E8&lt;=P$4+6,$F8&gt;=P$4),IF($E8=$F8,"◆","■"),"")</f>
        <v/>
      </c>
      <c r="Q8" s="27" t="str">
        <f aca="false">IF(AND($E8&lt;=Q$4+6,$F8&gt;=Q$4),IF($E8=$F8,"◆","■"),"")</f>
        <v/>
      </c>
      <c r="R8" s="27" t="str">
        <f aca="false">IF(AND($E8&lt;=R$4+6,$F8&gt;=R$4),IF($E8=$F8,"◆","■"),"")</f>
        <v/>
      </c>
      <c r="S8" s="27" t="str">
        <f aca="false">IF(AND($E8&lt;=S$4+6,$F8&gt;=S$4),IF($E8=$F8,"◆","■"),"")</f>
        <v/>
      </c>
      <c r="T8" s="27" t="str">
        <f aca="false">IF(AND($E8&lt;=T$4+6,$F8&gt;=T$4),IF($E8=$F8,"◆","■"),"")</f>
        <v/>
      </c>
      <c r="U8" s="27" t="str">
        <f aca="false">IF(AND($E8&lt;=U$4+6,$F8&gt;=U$4),IF($E8=$F8,"◆","■"),"")</f>
        <v/>
      </c>
      <c r="V8" s="27" t="str">
        <f aca="false">IF(AND($E8&lt;=V$4+6,$F8&gt;=V$4),IF($E8=$F8,"◆","■"),"")</f>
        <v/>
      </c>
      <c r="W8" s="27" t="str">
        <f aca="false">IF(AND($E8&lt;=W$4+6,$F8&gt;=W$4),IF($E8=$F8,"◆","■"),"")</f>
        <v/>
      </c>
      <c r="X8" s="27" t="str">
        <f aca="false">IF(AND($E8&lt;=X$4+6,$F8&gt;=X$4),IF($E8=$F8,"◆","■"),"")</f>
        <v/>
      </c>
      <c r="Y8" s="27" t="str">
        <f aca="false">IF(AND($E8&lt;=Y$4+6,$F8&gt;=Y$4),IF($E8=$F8,"◆","■"),"")</f>
        <v/>
      </c>
      <c r="Z8" s="27" t="str">
        <f aca="false">IF(AND($E8&lt;=Z$4+6,$F8&gt;=Z$4),IF($E8=$F8,"◆","■"),"")</f>
        <v/>
      </c>
      <c r="AA8" s="27" t="str">
        <f aca="false">IF(AND($E8&lt;=AA$4+6,$F8&gt;=AA$4),IF($E8=$F8,"◆","■"),"")</f>
        <v/>
      </c>
      <c r="AB8" s="27" t="str">
        <f aca="false">IF(AND($E8&lt;=AB$4+6,$F8&gt;=AB$4),IF($E8=$F8,"◆","■"),"")</f>
        <v/>
      </c>
      <c r="AC8" s="27" t="str">
        <f aca="false">IF(AND($E8&lt;=AC$4+6,$F8&gt;=AC$4),IF($E8=$F8,"◆","■"),"")</f>
        <v/>
      </c>
      <c r="AD8" s="27" t="str">
        <f aca="false">IF(AND($E8&lt;=AD$4+6,$F8&gt;=AD$4),IF($E8=$F8,"◆","■"),"")</f>
        <v/>
      </c>
      <c r="AE8" s="27" t="str">
        <f aca="false">IF(AND($E8&lt;=AE$4+6,$F8&gt;=AE$4),IF($E8=$F8,"◆","■"),"")</f>
        <v/>
      </c>
      <c r="AF8" s="27" t="str">
        <f aca="false">IF(AND($E8&lt;=AF$4+6,$F8&gt;=AF$4),IF($E8=$F8,"◆","■"),"")</f>
        <v/>
      </c>
      <c r="AG8" s="27" t="str">
        <f aca="false">IF(AND($E8&lt;=AG$4+6,$F8&gt;=AG$4),IF($E8=$F8,"◆","■"),"")</f>
        <v/>
      </c>
      <c r="AH8" s="27" t="str">
        <f aca="false">IF(AND($E8&lt;=AH$4+6,$F8&gt;=AH$4),IF($E8=$F8,"◆","■"),"")</f>
        <v/>
      </c>
      <c r="AI8" s="27" t="str">
        <f aca="false">IF(AND($E8&lt;=AI$4+6,$F8&gt;=AI$4),IF($E8=$F8,"◆","■"),"")</f>
        <v/>
      </c>
      <c r="AJ8" s="27" t="str">
        <f aca="false">IF(AND($E8&lt;=AJ$4+6,$F8&gt;=AJ$4),IF($E8=$F8,"◆","■"),"")</f>
        <v/>
      </c>
      <c r="AK8" s="27" t="str">
        <f aca="false">IF(AND($E8&lt;=AK$4+6,$F8&gt;=AK$4),IF($E8=$F8,"◆","■"),"")</f>
        <v/>
      </c>
    </row>
    <row r="9" customFormat="false" ht="15" hidden="false" customHeight="false" outlineLevel="0" collapsed="false">
      <c r="A9" s="24" t="str">
        <f aca="false">'Pre-LOI Checklist'!A8</f>
        <v>PRE-04</v>
      </c>
      <c r="B9" s="25" t="str">
        <f aca="false">'Pre-LOI Checklist'!C8</f>
        <v>Jon decides open terms</v>
      </c>
      <c r="C9" s="24" t="str">
        <f aca="false">'Pre-LOI Checklist'!G8</f>
        <v>Jon</v>
      </c>
      <c r="D9" s="24" t="str">
        <f aca="false">'Pre-LOI Checklist'!E8</f>
        <v>P1 - Critical</v>
      </c>
      <c r="E9" s="26" t="n">
        <f aca="false">'Pre-LOI Checklist'!I8</f>
        <v>46293</v>
      </c>
      <c r="F9" s="26" t="n">
        <f aca="false">'Pre-LOI Checklist'!J8</f>
        <v>46297</v>
      </c>
      <c r="G9" s="24" t="str">
        <f aca="false">'Pre-LOI Checklist'!O8</f>
        <v>Not started</v>
      </c>
      <c r="H9" s="27" t="str">
        <f aca="false">IF(AND($E9&lt;=H$4+6,$F9&gt;=H$4),IF($E9=$F9,"◆","■"),"")</f>
        <v/>
      </c>
      <c r="I9" s="27" t="str">
        <f aca="false">IF(AND($E9&lt;=I$4+6,$F9&gt;=I$4),IF($E9=$F9,"◆","■"),"")</f>
        <v>■</v>
      </c>
      <c r="J9" s="27" t="str">
        <f aca="false">IF(AND($E9&lt;=J$4+6,$F9&gt;=J$4),IF($E9=$F9,"◆","■"),"")</f>
        <v/>
      </c>
      <c r="K9" s="27" t="str">
        <f aca="false">IF(AND($E9&lt;=K$4+6,$F9&gt;=K$4),IF($E9=$F9,"◆","■"),"")</f>
        <v/>
      </c>
      <c r="L9" s="27" t="str">
        <f aca="false">IF(AND($E9&lt;=L$4+6,$F9&gt;=L$4),IF($E9=$F9,"◆","■"),"")</f>
        <v/>
      </c>
      <c r="M9" s="27" t="str">
        <f aca="false">IF(AND($E9&lt;=M$4+6,$F9&gt;=M$4),IF($E9=$F9,"◆","■"),"")</f>
        <v/>
      </c>
      <c r="N9" s="27" t="str">
        <f aca="false">IF(AND($E9&lt;=N$4+6,$F9&gt;=N$4),IF($E9=$F9,"◆","■"),"")</f>
        <v/>
      </c>
      <c r="O9" s="27" t="str">
        <f aca="false">IF(AND($E9&lt;=O$4+6,$F9&gt;=O$4),IF($E9=$F9,"◆","■"),"")</f>
        <v/>
      </c>
      <c r="P9" s="27" t="str">
        <f aca="false">IF(AND($E9&lt;=P$4+6,$F9&gt;=P$4),IF($E9=$F9,"◆","■"),"")</f>
        <v/>
      </c>
      <c r="Q9" s="27" t="str">
        <f aca="false">IF(AND($E9&lt;=Q$4+6,$F9&gt;=Q$4),IF($E9=$F9,"◆","■"),"")</f>
        <v/>
      </c>
      <c r="R9" s="27" t="str">
        <f aca="false">IF(AND($E9&lt;=R$4+6,$F9&gt;=R$4),IF($E9=$F9,"◆","■"),"")</f>
        <v/>
      </c>
      <c r="S9" s="27" t="str">
        <f aca="false">IF(AND($E9&lt;=S$4+6,$F9&gt;=S$4),IF($E9=$F9,"◆","■"),"")</f>
        <v/>
      </c>
      <c r="T9" s="27" t="str">
        <f aca="false">IF(AND($E9&lt;=T$4+6,$F9&gt;=T$4),IF($E9=$F9,"◆","■"),"")</f>
        <v/>
      </c>
      <c r="U9" s="27" t="str">
        <f aca="false">IF(AND($E9&lt;=U$4+6,$F9&gt;=U$4),IF($E9=$F9,"◆","■"),"")</f>
        <v/>
      </c>
      <c r="V9" s="27" t="str">
        <f aca="false">IF(AND($E9&lt;=V$4+6,$F9&gt;=V$4),IF($E9=$F9,"◆","■"),"")</f>
        <v/>
      </c>
      <c r="W9" s="27" t="str">
        <f aca="false">IF(AND($E9&lt;=W$4+6,$F9&gt;=W$4),IF($E9=$F9,"◆","■"),"")</f>
        <v/>
      </c>
      <c r="X9" s="27" t="str">
        <f aca="false">IF(AND($E9&lt;=X$4+6,$F9&gt;=X$4),IF($E9=$F9,"◆","■"),"")</f>
        <v/>
      </c>
      <c r="Y9" s="27" t="str">
        <f aca="false">IF(AND($E9&lt;=Y$4+6,$F9&gt;=Y$4),IF($E9=$F9,"◆","■"),"")</f>
        <v/>
      </c>
      <c r="Z9" s="27" t="str">
        <f aca="false">IF(AND($E9&lt;=Z$4+6,$F9&gt;=Z$4),IF($E9=$F9,"◆","■"),"")</f>
        <v/>
      </c>
      <c r="AA9" s="27" t="str">
        <f aca="false">IF(AND($E9&lt;=AA$4+6,$F9&gt;=AA$4),IF($E9=$F9,"◆","■"),"")</f>
        <v/>
      </c>
      <c r="AB9" s="27" t="str">
        <f aca="false">IF(AND($E9&lt;=AB$4+6,$F9&gt;=AB$4),IF($E9=$F9,"◆","■"),"")</f>
        <v/>
      </c>
      <c r="AC9" s="27" t="str">
        <f aca="false">IF(AND($E9&lt;=AC$4+6,$F9&gt;=AC$4),IF($E9=$F9,"◆","■"),"")</f>
        <v/>
      </c>
      <c r="AD9" s="27" t="str">
        <f aca="false">IF(AND($E9&lt;=AD$4+6,$F9&gt;=AD$4),IF($E9=$F9,"◆","■"),"")</f>
        <v/>
      </c>
      <c r="AE9" s="27" t="str">
        <f aca="false">IF(AND($E9&lt;=AE$4+6,$F9&gt;=AE$4),IF($E9=$F9,"◆","■"),"")</f>
        <v/>
      </c>
      <c r="AF9" s="27" t="str">
        <f aca="false">IF(AND($E9&lt;=AF$4+6,$F9&gt;=AF$4),IF($E9=$F9,"◆","■"),"")</f>
        <v/>
      </c>
      <c r="AG9" s="27" t="str">
        <f aca="false">IF(AND($E9&lt;=AG$4+6,$F9&gt;=AG$4),IF($E9=$F9,"◆","■"),"")</f>
        <v/>
      </c>
      <c r="AH9" s="27" t="str">
        <f aca="false">IF(AND($E9&lt;=AH$4+6,$F9&gt;=AH$4),IF($E9=$F9,"◆","■"),"")</f>
        <v/>
      </c>
      <c r="AI9" s="27" t="str">
        <f aca="false">IF(AND($E9&lt;=AI$4+6,$F9&gt;=AI$4),IF($E9=$F9,"◆","■"),"")</f>
        <v/>
      </c>
      <c r="AJ9" s="27" t="str">
        <f aca="false">IF(AND($E9&lt;=AJ$4+6,$F9&gt;=AJ$4),IF($E9=$F9,"◆","■"),"")</f>
        <v/>
      </c>
      <c r="AK9" s="27" t="str">
        <f aca="false">IF(AND($E9&lt;=AK$4+6,$F9&gt;=AK$4),IF($E9=$F9,"◆","■"),"")</f>
        <v/>
      </c>
    </row>
    <row r="10" customFormat="false" ht="15" hidden="false" customHeight="false" outlineLevel="0" collapsed="false">
      <c r="A10" s="24" t="str">
        <f aca="false">'Pre-LOI Checklist'!A9</f>
        <v>PRE-05</v>
      </c>
      <c r="B10" s="25" t="str">
        <f aca="false">'Pre-LOI Checklist'!C9</f>
        <v>Brief new Felicis partner and a16z (YC ES20 as backup)</v>
      </c>
      <c r="C10" s="24" t="str">
        <f aca="false">'Pre-LOI Checklist'!G9</f>
        <v>Jon</v>
      </c>
      <c r="D10" s="24" t="str">
        <f aca="false">'Pre-LOI Checklist'!E9</f>
        <v>P1 - Critical</v>
      </c>
      <c r="E10" s="26" t="n">
        <f aca="false">'Pre-LOI Checklist'!I9</f>
        <v>46293</v>
      </c>
      <c r="F10" s="26" t="n">
        <f aca="false">'Pre-LOI Checklist'!J9</f>
        <v>46302</v>
      </c>
      <c r="G10" s="24" t="str">
        <f aca="false">'Pre-LOI Checklist'!O9</f>
        <v>Not started</v>
      </c>
      <c r="H10" s="27" t="str">
        <f aca="false">IF(AND($E10&lt;=H$4+6,$F10&gt;=H$4),IF($E10=$F10,"◆","■"),"")</f>
        <v/>
      </c>
      <c r="I10" s="27" t="str">
        <f aca="false">IF(AND($E10&lt;=I$4+6,$F10&gt;=I$4),IF($E10=$F10,"◆","■"),"")</f>
        <v>■</v>
      </c>
      <c r="J10" s="27" t="str">
        <f aca="false">IF(AND($E10&lt;=J$4+6,$F10&gt;=J$4),IF($E10=$F10,"◆","■"),"")</f>
        <v>■</v>
      </c>
      <c r="K10" s="27" t="str">
        <f aca="false">IF(AND($E10&lt;=K$4+6,$F10&gt;=K$4),IF($E10=$F10,"◆","■"),"")</f>
        <v/>
      </c>
      <c r="L10" s="27" t="str">
        <f aca="false">IF(AND($E10&lt;=L$4+6,$F10&gt;=L$4),IF($E10=$F10,"◆","■"),"")</f>
        <v/>
      </c>
      <c r="M10" s="27" t="str">
        <f aca="false">IF(AND($E10&lt;=M$4+6,$F10&gt;=M$4),IF($E10=$F10,"◆","■"),"")</f>
        <v/>
      </c>
      <c r="N10" s="27" t="str">
        <f aca="false">IF(AND($E10&lt;=N$4+6,$F10&gt;=N$4),IF($E10=$F10,"◆","■"),"")</f>
        <v/>
      </c>
      <c r="O10" s="27" t="str">
        <f aca="false">IF(AND($E10&lt;=O$4+6,$F10&gt;=O$4),IF($E10=$F10,"◆","■"),"")</f>
        <v/>
      </c>
      <c r="P10" s="27" t="str">
        <f aca="false">IF(AND($E10&lt;=P$4+6,$F10&gt;=P$4),IF($E10=$F10,"◆","■"),"")</f>
        <v/>
      </c>
      <c r="Q10" s="27" t="str">
        <f aca="false">IF(AND($E10&lt;=Q$4+6,$F10&gt;=Q$4),IF($E10=$F10,"◆","■"),"")</f>
        <v/>
      </c>
      <c r="R10" s="27" t="str">
        <f aca="false">IF(AND($E10&lt;=R$4+6,$F10&gt;=R$4),IF($E10=$F10,"◆","■"),"")</f>
        <v/>
      </c>
      <c r="S10" s="27" t="str">
        <f aca="false">IF(AND($E10&lt;=S$4+6,$F10&gt;=S$4),IF($E10=$F10,"◆","■"),"")</f>
        <v/>
      </c>
      <c r="T10" s="27" t="str">
        <f aca="false">IF(AND($E10&lt;=T$4+6,$F10&gt;=T$4),IF($E10=$F10,"◆","■"),"")</f>
        <v/>
      </c>
      <c r="U10" s="27" t="str">
        <f aca="false">IF(AND($E10&lt;=U$4+6,$F10&gt;=U$4),IF($E10=$F10,"◆","■"),"")</f>
        <v/>
      </c>
      <c r="V10" s="27" t="str">
        <f aca="false">IF(AND($E10&lt;=V$4+6,$F10&gt;=V$4),IF($E10=$F10,"◆","■"),"")</f>
        <v/>
      </c>
      <c r="W10" s="27" t="str">
        <f aca="false">IF(AND($E10&lt;=W$4+6,$F10&gt;=W$4),IF($E10=$F10,"◆","■"),"")</f>
        <v/>
      </c>
      <c r="X10" s="27" t="str">
        <f aca="false">IF(AND($E10&lt;=X$4+6,$F10&gt;=X$4),IF($E10=$F10,"◆","■"),"")</f>
        <v/>
      </c>
      <c r="Y10" s="27" t="str">
        <f aca="false">IF(AND($E10&lt;=Y$4+6,$F10&gt;=Y$4),IF($E10=$F10,"◆","■"),"")</f>
        <v/>
      </c>
      <c r="Z10" s="27" t="str">
        <f aca="false">IF(AND($E10&lt;=Z$4+6,$F10&gt;=Z$4),IF($E10=$F10,"◆","■"),"")</f>
        <v/>
      </c>
      <c r="AA10" s="27" t="str">
        <f aca="false">IF(AND($E10&lt;=AA$4+6,$F10&gt;=AA$4),IF($E10=$F10,"◆","■"),"")</f>
        <v/>
      </c>
      <c r="AB10" s="27" t="str">
        <f aca="false">IF(AND($E10&lt;=AB$4+6,$F10&gt;=AB$4),IF($E10=$F10,"◆","■"),"")</f>
        <v/>
      </c>
      <c r="AC10" s="27" t="str">
        <f aca="false">IF(AND($E10&lt;=AC$4+6,$F10&gt;=AC$4),IF($E10=$F10,"◆","■"),"")</f>
        <v/>
      </c>
      <c r="AD10" s="27" t="str">
        <f aca="false">IF(AND($E10&lt;=AD$4+6,$F10&gt;=AD$4),IF($E10=$F10,"◆","■"),"")</f>
        <v/>
      </c>
      <c r="AE10" s="27" t="str">
        <f aca="false">IF(AND($E10&lt;=AE$4+6,$F10&gt;=AE$4),IF($E10=$F10,"◆","■"),"")</f>
        <v/>
      </c>
      <c r="AF10" s="27" t="str">
        <f aca="false">IF(AND($E10&lt;=AF$4+6,$F10&gt;=AF$4),IF($E10=$F10,"◆","■"),"")</f>
        <v/>
      </c>
      <c r="AG10" s="27" t="str">
        <f aca="false">IF(AND($E10&lt;=AG$4+6,$F10&gt;=AG$4),IF($E10=$F10,"◆","■"),"")</f>
        <v/>
      </c>
      <c r="AH10" s="27" t="str">
        <f aca="false">IF(AND($E10&lt;=AH$4+6,$F10&gt;=AH$4),IF($E10=$F10,"◆","■"),"")</f>
        <v/>
      </c>
      <c r="AI10" s="27" t="str">
        <f aca="false">IF(AND($E10&lt;=AI$4+6,$F10&gt;=AI$4),IF($E10=$F10,"◆","■"),"")</f>
        <v/>
      </c>
      <c r="AJ10" s="27" t="str">
        <f aca="false">IF(AND($E10&lt;=AJ$4+6,$F10&gt;=AJ$4),IF($E10=$F10,"◆","■"),"")</f>
        <v/>
      </c>
      <c r="AK10" s="27" t="str">
        <f aca="false">IF(AND($E10&lt;=AK$4+6,$F10&gt;=AK$4),IF($E10=$F10,"◆","■"),"")</f>
        <v/>
      </c>
    </row>
    <row r="11" customFormat="false" ht="15" hidden="false" customHeight="false" outlineLevel="0" collapsed="false">
      <c r="A11" s="24" t="str">
        <f aca="false">'Pre-LOI Checklist'!A10</f>
        <v>PRE-06</v>
      </c>
      <c r="B11" s="25" t="str">
        <f aca="false">'Pre-LOI Checklist'!C10</f>
        <v>Explore insider bridge SAFE ($1–2M)</v>
      </c>
      <c r="C11" s="24" t="str">
        <f aca="false">'Pre-LOI Checklist'!G10</f>
        <v>Jon</v>
      </c>
      <c r="D11" s="24" t="str">
        <f aca="false">'Pre-LOI Checklist'!E10</f>
        <v>P2 - High</v>
      </c>
      <c r="E11" s="26" t="n">
        <f aca="false">'Pre-LOI Checklist'!I10</f>
        <v>46293</v>
      </c>
      <c r="F11" s="26" t="n">
        <f aca="false">'Pre-LOI Checklist'!J10</f>
        <v>46311</v>
      </c>
      <c r="G11" s="24" t="str">
        <f aca="false">'Pre-LOI Checklist'!O10</f>
        <v>Not started</v>
      </c>
      <c r="H11" s="27" t="str">
        <f aca="false">IF(AND($E11&lt;=H$4+6,$F11&gt;=H$4),IF($E11=$F11,"◆","■"),"")</f>
        <v/>
      </c>
      <c r="I11" s="27" t="str">
        <f aca="false">IF(AND($E11&lt;=I$4+6,$F11&gt;=I$4),IF($E11=$F11,"◆","■"),"")</f>
        <v>■</v>
      </c>
      <c r="J11" s="27" t="str">
        <f aca="false">IF(AND($E11&lt;=J$4+6,$F11&gt;=J$4),IF($E11=$F11,"◆","■"),"")</f>
        <v>■</v>
      </c>
      <c r="K11" s="27" t="str">
        <f aca="false">IF(AND($E11&lt;=K$4+6,$F11&gt;=K$4),IF($E11=$F11,"◆","■"),"")</f>
        <v>■</v>
      </c>
      <c r="L11" s="27" t="str">
        <f aca="false">IF(AND($E11&lt;=L$4+6,$F11&gt;=L$4),IF($E11=$F11,"◆","■"),"")</f>
        <v/>
      </c>
      <c r="M11" s="27" t="str">
        <f aca="false">IF(AND($E11&lt;=M$4+6,$F11&gt;=M$4),IF($E11=$F11,"◆","■"),"")</f>
        <v/>
      </c>
      <c r="N11" s="27" t="str">
        <f aca="false">IF(AND($E11&lt;=N$4+6,$F11&gt;=N$4),IF($E11=$F11,"◆","■"),"")</f>
        <v/>
      </c>
      <c r="O11" s="27" t="str">
        <f aca="false">IF(AND($E11&lt;=O$4+6,$F11&gt;=O$4),IF($E11=$F11,"◆","■"),"")</f>
        <v/>
      </c>
      <c r="P11" s="27" t="str">
        <f aca="false">IF(AND($E11&lt;=P$4+6,$F11&gt;=P$4),IF($E11=$F11,"◆","■"),"")</f>
        <v/>
      </c>
      <c r="Q11" s="27" t="str">
        <f aca="false">IF(AND($E11&lt;=Q$4+6,$F11&gt;=Q$4),IF($E11=$F11,"◆","■"),"")</f>
        <v/>
      </c>
      <c r="R11" s="27" t="str">
        <f aca="false">IF(AND($E11&lt;=R$4+6,$F11&gt;=R$4),IF($E11=$F11,"◆","■"),"")</f>
        <v/>
      </c>
      <c r="S11" s="27" t="str">
        <f aca="false">IF(AND($E11&lt;=S$4+6,$F11&gt;=S$4),IF($E11=$F11,"◆","■"),"")</f>
        <v/>
      </c>
      <c r="T11" s="27" t="str">
        <f aca="false">IF(AND($E11&lt;=T$4+6,$F11&gt;=T$4),IF($E11=$F11,"◆","■"),"")</f>
        <v/>
      </c>
      <c r="U11" s="27" t="str">
        <f aca="false">IF(AND($E11&lt;=U$4+6,$F11&gt;=U$4),IF($E11=$F11,"◆","■"),"")</f>
        <v/>
      </c>
      <c r="V11" s="27" t="str">
        <f aca="false">IF(AND($E11&lt;=V$4+6,$F11&gt;=V$4),IF($E11=$F11,"◆","■"),"")</f>
        <v/>
      </c>
      <c r="W11" s="27" t="str">
        <f aca="false">IF(AND($E11&lt;=W$4+6,$F11&gt;=W$4),IF($E11=$F11,"◆","■"),"")</f>
        <v/>
      </c>
      <c r="X11" s="27" t="str">
        <f aca="false">IF(AND($E11&lt;=X$4+6,$F11&gt;=X$4),IF($E11=$F11,"◆","■"),"")</f>
        <v/>
      </c>
      <c r="Y11" s="27" t="str">
        <f aca="false">IF(AND($E11&lt;=Y$4+6,$F11&gt;=Y$4),IF($E11=$F11,"◆","■"),"")</f>
        <v/>
      </c>
      <c r="Z11" s="27" t="str">
        <f aca="false">IF(AND($E11&lt;=Z$4+6,$F11&gt;=Z$4),IF($E11=$F11,"◆","■"),"")</f>
        <v/>
      </c>
      <c r="AA11" s="27" t="str">
        <f aca="false">IF(AND($E11&lt;=AA$4+6,$F11&gt;=AA$4),IF($E11=$F11,"◆","■"),"")</f>
        <v/>
      </c>
      <c r="AB11" s="27" t="str">
        <f aca="false">IF(AND($E11&lt;=AB$4+6,$F11&gt;=AB$4),IF($E11=$F11,"◆","■"),"")</f>
        <v/>
      </c>
      <c r="AC11" s="27" t="str">
        <f aca="false">IF(AND($E11&lt;=AC$4+6,$F11&gt;=AC$4),IF($E11=$F11,"◆","■"),"")</f>
        <v/>
      </c>
      <c r="AD11" s="27" t="str">
        <f aca="false">IF(AND($E11&lt;=AD$4+6,$F11&gt;=AD$4),IF($E11=$F11,"◆","■"),"")</f>
        <v/>
      </c>
      <c r="AE11" s="27" t="str">
        <f aca="false">IF(AND($E11&lt;=AE$4+6,$F11&gt;=AE$4),IF($E11=$F11,"◆","■"),"")</f>
        <v/>
      </c>
      <c r="AF11" s="27" t="str">
        <f aca="false">IF(AND($E11&lt;=AF$4+6,$F11&gt;=AF$4),IF($E11=$F11,"◆","■"),"")</f>
        <v/>
      </c>
      <c r="AG11" s="27" t="str">
        <f aca="false">IF(AND($E11&lt;=AG$4+6,$F11&gt;=AG$4),IF($E11=$F11,"◆","■"),"")</f>
        <v/>
      </c>
      <c r="AH11" s="27" t="str">
        <f aca="false">IF(AND($E11&lt;=AH$4+6,$F11&gt;=AH$4),IF($E11=$F11,"◆","■"),"")</f>
        <v/>
      </c>
      <c r="AI11" s="27" t="str">
        <f aca="false">IF(AND($E11&lt;=AI$4+6,$F11&gt;=AI$4),IF($E11=$F11,"◆","■"),"")</f>
        <v/>
      </c>
      <c r="AJ11" s="27" t="str">
        <f aca="false">IF(AND($E11&lt;=AJ$4+6,$F11&gt;=AJ$4),IF($E11=$F11,"◆","■"),"")</f>
        <v/>
      </c>
      <c r="AK11" s="27" t="str">
        <f aca="false">IF(AND($E11&lt;=AK$4+6,$F11&gt;=AK$4),IF($E11=$F11,"◆","■"),"")</f>
        <v/>
      </c>
    </row>
    <row r="12" customFormat="false" ht="15" hidden="false" customHeight="false" outlineLevel="0" collapsed="false">
      <c r="A12" s="24" t="str">
        <f aca="false">'Pre-LOI Checklist'!A11</f>
        <v>PRE-07</v>
      </c>
      <c r="B12" s="25" t="str">
        <f aca="false">'Pre-LOI Checklist'!C11</f>
        <v>Confirm current 409A and engage appraiser</v>
      </c>
      <c r="C12" s="24" t="str">
        <f aca="false">'Pre-LOI Checklist'!G11</f>
        <v>Josh</v>
      </c>
      <c r="D12" s="24" t="str">
        <f aca="false">'Pre-LOI Checklist'!E11</f>
        <v>P1 - Critical</v>
      </c>
      <c r="E12" s="26" t="n">
        <f aca="false">'Pre-LOI Checklist'!I11</f>
        <v>46293</v>
      </c>
      <c r="F12" s="26" t="n">
        <f aca="false">'Pre-LOI Checklist'!J11</f>
        <v>46304</v>
      </c>
      <c r="G12" s="24" t="str">
        <f aca="false">'Pre-LOI Checklist'!O11</f>
        <v>Not started</v>
      </c>
      <c r="H12" s="27" t="str">
        <f aca="false">IF(AND($E12&lt;=H$4+6,$F12&gt;=H$4),IF($E12=$F12,"◆","■"),"")</f>
        <v/>
      </c>
      <c r="I12" s="27" t="str">
        <f aca="false">IF(AND($E12&lt;=I$4+6,$F12&gt;=I$4),IF($E12=$F12,"◆","■"),"")</f>
        <v>■</v>
      </c>
      <c r="J12" s="27" t="str">
        <f aca="false">IF(AND($E12&lt;=J$4+6,$F12&gt;=J$4),IF($E12=$F12,"◆","■"),"")</f>
        <v>■</v>
      </c>
      <c r="K12" s="27" t="str">
        <f aca="false">IF(AND($E12&lt;=K$4+6,$F12&gt;=K$4),IF($E12=$F12,"◆","■"),"")</f>
        <v/>
      </c>
      <c r="L12" s="27" t="str">
        <f aca="false">IF(AND($E12&lt;=L$4+6,$F12&gt;=L$4),IF($E12=$F12,"◆","■"),"")</f>
        <v/>
      </c>
      <c r="M12" s="27" t="str">
        <f aca="false">IF(AND($E12&lt;=M$4+6,$F12&gt;=M$4),IF($E12=$F12,"◆","■"),"")</f>
        <v/>
      </c>
      <c r="N12" s="27" t="str">
        <f aca="false">IF(AND($E12&lt;=N$4+6,$F12&gt;=N$4),IF($E12=$F12,"◆","■"),"")</f>
        <v/>
      </c>
      <c r="O12" s="27" t="str">
        <f aca="false">IF(AND($E12&lt;=O$4+6,$F12&gt;=O$4),IF($E12=$F12,"◆","■"),"")</f>
        <v/>
      </c>
      <c r="P12" s="27" t="str">
        <f aca="false">IF(AND($E12&lt;=P$4+6,$F12&gt;=P$4),IF($E12=$F12,"◆","■"),"")</f>
        <v/>
      </c>
      <c r="Q12" s="27" t="str">
        <f aca="false">IF(AND($E12&lt;=Q$4+6,$F12&gt;=Q$4),IF($E12=$F12,"◆","■"),"")</f>
        <v/>
      </c>
      <c r="R12" s="27" t="str">
        <f aca="false">IF(AND($E12&lt;=R$4+6,$F12&gt;=R$4),IF($E12=$F12,"◆","■"),"")</f>
        <v/>
      </c>
      <c r="S12" s="27" t="str">
        <f aca="false">IF(AND($E12&lt;=S$4+6,$F12&gt;=S$4),IF($E12=$F12,"◆","■"),"")</f>
        <v/>
      </c>
      <c r="T12" s="27" t="str">
        <f aca="false">IF(AND($E12&lt;=T$4+6,$F12&gt;=T$4),IF($E12=$F12,"◆","■"),"")</f>
        <v/>
      </c>
      <c r="U12" s="27" t="str">
        <f aca="false">IF(AND($E12&lt;=U$4+6,$F12&gt;=U$4),IF($E12=$F12,"◆","■"),"")</f>
        <v/>
      </c>
      <c r="V12" s="27" t="str">
        <f aca="false">IF(AND($E12&lt;=V$4+6,$F12&gt;=V$4),IF($E12=$F12,"◆","■"),"")</f>
        <v/>
      </c>
      <c r="W12" s="27" t="str">
        <f aca="false">IF(AND($E12&lt;=W$4+6,$F12&gt;=W$4),IF($E12=$F12,"◆","■"),"")</f>
        <v/>
      </c>
      <c r="X12" s="27" t="str">
        <f aca="false">IF(AND($E12&lt;=X$4+6,$F12&gt;=X$4),IF($E12=$F12,"◆","■"),"")</f>
        <v/>
      </c>
      <c r="Y12" s="27" t="str">
        <f aca="false">IF(AND($E12&lt;=Y$4+6,$F12&gt;=Y$4),IF($E12=$F12,"◆","■"),"")</f>
        <v/>
      </c>
      <c r="Z12" s="27" t="str">
        <f aca="false">IF(AND($E12&lt;=Z$4+6,$F12&gt;=Z$4),IF($E12=$F12,"◆","■"),"")</f>
        <v/>
      </c>
      <c r="AA12" s="27" t="str">
        <f aca="false">IF(AND($E12&lt;=AA$4+6,$F12&gt;=AA$4),IF($E12=$F12,"◆","■"),"")</f>
        <v/>
      </c>
      <c r="AB12" s="27" t="str">
        <f aca="false">IF(AND($E12&lt;=AB$4+6,$F12&gt;=AB$4),IF($E12=$F12,"◆","■"),"")</f>
        <v/>
      </c>
      <c r="AC12" s="27" t="str">
        <f aca="false">IF(AND($E12&lt;=AC$4+6,$F12&gt;=AC$4),IF($E12=$F12,"◆","■"),"")</f>
        <v/>
      </c>
      <c r="AD12" s="27" t="str">
        <f aca="false">IF(AND($E12&lt;=AD$4+6,$F12&gt;=AD$4),IF($E12=$F12,"◆","■"),"")</f>
        <v/>
      </c>
      <c r="AE12" s="27" t="str">
        <f aca="false">IF(AND($E12&lt;=AE$4+6,$F12&gt;=AE$4),IF($E12=$F12,"◆","■"),"")</f>
        <v/>
      </c>
      <c r="AF12" s="27" t="str">
        <f aca="false">IF(AND($E12&lt;=AF$4+6,$F12&gt;=AF$4),IF($E12=$F12,"◆","■"),"")</f>
        <v/>
      </c>
      <c r="AG12" s="27" t="str">
        <f aca="false">IF(AND($E12&lt;=AG$4+6,$F12&gt;=AG$4),IF($E12=$F12,"◆","■"),"")</f>
        <v/>
      </c>
      <c r="AH12" s="27" t="str">
        <f aca="false">IF(AND($E12&lt;=AH$4+6,$F12&gt;=AH$4),IF($E12=$F12,"◆","■"),"")</f>
        <v/>
      </c>
      <c r="AI12" s="27" t="str">
        <f aca="false">IF(AND($E12&lt;=AI$4+6,$F12&gt;=AI$4),IF($E12=$F12,"◆","■"),"")</f>
        <v/>
      </c>
      <c r="AJ12" s="27" t="str">
        <f aca="false">IF(AND($E12&lt;=AJ$4+6,$F12&gt;=AJ$4),IF($E12=$F12,"◆","■"),"")</f>
        <v/>
      </c>
      <c r="AK12" s="27" t="str">
        <f aca="false">IF(AND($E12&lt;=AK$4+6,$F12&gt;=AK$4),IF($E12=$F12,"◆","■"),"")</f>
        <v/>
      </c>
    </row>
    <row r="13" customFormat="false" ht="15" hidden="false" customHeight="false" outlineLevel="0" collapsed="false">
      <c r="A13" s="24" t="str">
        <f aca="false">'Pre-LOI Checklist'!A12</f>
        <v>PRE-08</v>
      </c>
      <c r="B13" s="25" t="str">
        <f aca="false">'Pre-LOI Checklist'!C12</f>
        <v>Pro forma SAFE-conversion cap table</v>
      </c>
      <c r="C13" s="24" t="str">
        <f aca="false">'Pre-LOI Checklist'!G12</f>
        <v>Josh</v>
      </c>
      <c r="D13" s="24" t="str">
        <f aca="false">'Pre-LOI Checklist'!E12</f>
        <v>P2 - High</v>
      </c>
      <c r="E13" s="26" t="n">
        <f aca="false">'Pre-LOI Checklist'!I12</f>
        <v>46293</v>
      </c>
      <c r="F13" s="26" t="n">
        <f aca="false">'Pre-LOI Checklist'!J12</f>
        <v>46300</v>
      </c>
      <c r="G13" s="24" t="str">
        <f aca="false">'Pre-LOI Checklist'!O12</f>
        <v>Not started</v>
      </c>
      <c r="H13" s="27" t="str">
        <f aca="false">IF(AND($E13&lt;=H$4+6,$F13&gt;=H$4),IF($E13=$F13,"◆","■"),"")</f>
        <v/>
      </c>
      <c r="I13" s="27" t="str">
        <f aca="false">IF(AND($E13&lt;=I$4+6,$F13&gt;=I$4),IF($E13=$F13,"◆","■"),"")</f>
        <v>■</v>
      </c>
      <c r="J13" s="27" t="str">
        <f aca="false">IF(AND($E13&lt;=J$4+6,$F13&gt;=J$4),IF($E13=$F13,"◆","■"),"")</f>
        <v>■</v>
      </c>
      <c r="K13" s="27" t="str">
        <f aca="false">IF(AND($E13&lt;=K$4+6,$F13&gt;=K$4),IF($E13=$F13,"◆","■"),"")</f>
        <v/>
      </c>
      <c r="L13" s="27" t="str">
        <f aca="false">IF(AND($E13&lt;=L$4+6,$F13&gt;=L$4),IF($E13=$F13,"◆","■"),"")</f>
        <v/>
      </c>
      <c r="M13" s="27" t="str">
        <f aca="false">IF(AND($E13&lt;=M$4+6,$F13&gt;=M$4),IF($E13=$F13,"◆","■"),"")</f>
        <v/>
      </c>
      <c r="N13" s="27" t="str">
        <f aca="false">IF(AND($E13&lt;=N$4+6,$F13&gt;=N$4),IF($E13=$F13,"◆","■"),"")</f>
        <v/>
      </c>
      <c r="O13" s="27" t="str">
        <f aca="false">IF(AND($E13&lt;=O$4+6,$F13&gt;=O$4),IF($E13=$F13,"◆","■"),"")</f>
        <v/>
      </c>
      <c r="P13" s="27" t="str">
        <f aca="false">IF(AND($E13&lt;=P$4+6,$F13&gt;=P$4),IF($E13=$F13,"◆","■"),"")</f>
        <v/>
      </c>
      <c r="Q13" s="27" t="str">
        <f aca="false">IF(AND($E13&lt;=Q$4+6,$F13&gt;=Q$4),IF($E13=$F13,"◆","■"),"")</f>
        <v/>
      </c>
      <c r="R13" s="27" t="str">
        <f aca="false">IF(AND($E13&lt;=R$4+6,$F13&gt;=R$4),IF($E13=$F13,"◆","■"),"")</f>
        <v/>
      </c>
      <c r="S13" s="27" t="str">
        <f aca="false">IF(AND($E13&lt;=S$4+6,$F13&gt;=S$4),IF($E13=$F13,"◆","■"),"")</f>
        <v/>
      </c>
      <c r="T13" s="27" t="str">
        <f aca="false">IF(AND($E13&lt;=T$4+6,$F13&gt;=T$4),IF($E13=$F13,"◆","■"),"")</f>
        <v/>
      </c>
      <c r="U13" s="27" t="str">
        <f aca="false">IF(AND($E13&lt;=U$4+6,$F13&gt;=U$4),IF($E13=$F13,"◆","■"),"")</f>
        <v/>
      </c>
      <c r="V13" s="27" t="str">
        <f aca="false">IF(AND($E13&lt;=V$4+6,$F13&gt;=V$4),IF($E13=$F13,"◆","■"),"")</f>
        <v/>
      </c>
      <c r="W13" s="27" t="str">
        <f aca="false">IF(AND($E13&lt;=W$4+6,$F13&gt;=W$4),IF($E13=$F13,"◆","■"),"")</f>
        <v/>
      </c>
      <c r="X13" s="27" t="str">
        <f aca="false">IF(AND($E13&lt;=X$4+6,$F13&gt;=X$4),IF($E13=$F13,"◆","■"),"")</f>
        <v/>
      </c>
      <c r="Y13" s="27" t="str">
        <f aca="false">IF(AND($E13&lt;=Y$4+6,$F13&gt;=Y$4),IF($E13=$F13,"◆","■"),"")</f>
        <v/>
      </c>
      <c r="Z13" s="27" t="str">
        <f aca="false">IF(AND($E13&lt;=Z$4+6,$F13&gt;=Z$4),IF($E13=$F13,"◆","■"),"")</f>
        <v/>
      </c>
      <c r="AA13" s="27" t="str">
        <f aca="false">IF(AND($E13&lt;=AA$4+6,$F13&gt;=AA$4),IF($E13=$F13,"◆","■"),"")</f>
        <v/>
      </c>
      <c r="AB13" s="27" t="str">
        <f aca="false">IF(AND($E13&lt;=AB$4+6,$F13&gt;=AB$4),IF($E13=$F13,"◆","■"),"")</f>
        <v/>
      </c>
      <c r="AC13" s="27" t="str">
        <f aca="false">IF(AND($E13&lt;=AC$4+6,$F13&gt;=AC$4),IF($E13=$F13,"◆","■"),"")</f>
        <v/>
      </c>
      <c r="AD13" s="27" t="str">
        <f aca="false">IF(AND($E13&lt;=AD$4+6,$F13&gt;=AD$4),IF($E13=$F13,"◆","■"),"")</f>
        <v/>
      </c>
      <c r="AE13" s="27" t="str">
        <f aca="false">IF(AND($E13&lt;=AE$4+6,$F13&gt;=AE$4),IF($E13=$F13,"◆","■"),"")</f>
        <v/>
      </c>
      <c r="AF13" s="27" t="str">
        <f aca="false">IF(AND($E13&lt;=AF$4+6,$F13&gt;=AF$4),IF($E13=$F13,"◆","■"),"")</f>
        <v/>
      </c>
      <c r="AG13" s="27" t="str">
        <f aca="false">IF(AND($E13&lt;=AG$4+6,$F13&gt;=AG$4),IF($E13=$F13,"◆","■"),"")</f>
        <v/>
      </c>
      <c r="AH13" s="27" t="str">
        <f aca="false">IF(AND($E13&lt;=AH$4+6,$F13&gt;=AH$4),IF($E13=$F13,"◆","■"),"")</f>
        <v/>
      </c>
      <c r="AI13" s="27" t="str">
        <f aca="false">IF(AND($E13&lt;=AI$4+6,$F13&gt;=AI$4),IF($E13=$F13,"◆","■"),"")</f>
        <v/>
      </c>
      <c r="AJ13" s="27" t="str">
        <f aca="false">IF(AND($E13&lt;=AJ$4+6,$F13&gt;=AJ$4),IF($E13=$F13,"◆","■"),"")</f>
        <v/>
      </c>
      <c r="AK13" s="27" t="str">
        <f aca="false">IF(AND($E13&lt;=AK$4+6,$F13&gt;=AK$4),IF($E13=$F13,"◆","■"),"")</f>
        <v/>
      </c>
    </row>
    <row r="14" customFormat="false" ht="15" hidden="false" customHeight="false" outlineLevel="0" collapsed="false">
      <c r="A14" s="24" t="str">
        <f aca="false">'Pre-LOI Checklist'!A13</f>
        <v>PRE-09</v>
      </c>
      <c r="B14" s="25" t="str">
        <f aca="false">'Pre-LOI Checklist'!C13</f>
        <v>ARR bridge</v>
      </c>
      <c r="C14" s="24" t="str">
        <f aca="false">'Pre-LOI Checklist'!G13</f>
        <v>Josh</v>
      </c>
      <c r="D14" s="24" t="str">
        <f aca="false">'Pre-LOI Checklist'!E13</f>
        <v>P2 - High</v>
      </c>
      <c r="E14" s="26" t="n">
        <f aca="false">'Pre-LOI Checklist'!I13</f>
        <v>46293</v>
      </c>
      <c r="F14" s="26" t="n">
        <f aca="false">'Pre-LOI Checklist'!J13</f>
        <v>46302</v>
      </c>
      <c r="G14" s="24" t="str">
        <f aca="false">'Pre-LOI Checklist'!O13</f>
        <v>Not started</v>
      </c>
      <c r="H14" s="27" t="str">
        <f aca="false">IF(AND($E14&lt;=H$4+6,$F14&gt;=H$4),IF($E14=$F14,"◆","■"),"")</f>
        <v/>
      </c>
      <c r="I14" s="27" t="str">
        <f aca="false">IF(AND($E14&lt;=I$4+6,$F14&gt;=I$4),IF($E14=$F14,"◆","■"),"")</f>
        <v>■</v>
      </c>
      <c r="J14" s="27" t="str">
        <f aca="false">IF(AND($E14&lt;=J$4+6,$F14&gt;=J$4),IF($E14=$F14,"◆","■"),"")</f>
        <v>■</v>
      </c>
      <c r="K14" s="27" t="str">
        <f aca="false">IF(AND($E14&lt;=K$4+6,$F14&gt;=K$4),IF($E14=$F14,"◆","■"),"")</f>
        <v/>
      </c>
      <c r="L14" s="27" t="str">
        <f aca="false">IF(AND($E14&lt;=L$4+6,$F14&gt;=L$4),IF($E14=$F14,"◆","■"),"")</f>
        <v/>
      </c>
      <c r="M14" s="27" t="str">
        <f aca="false">IF(AND($E14&lt;=M$4+6,$F14&gt;=M$4),IF($E14=$F14,"◆","■"),"")</f>
        <v/>
      </c>
      <c r="N14" s="27" t="str">
        <f aca="false">IF(AND($E14&lt;=N$4+6,$F14&gt;=N$4),IF($E14=$F14,"◆","■"),"")</f>
        <v/>
      </c>
      <c r="O14" s="27" t="str">
        <f aca="false">IF(AND($E14&lt;=O$4+6,$F14&gt;=O$4),IF($E14=$F14,"◆","■"),"")</f>
        <v/>
      </c>
      <c r="P14" s="27" t="str">
        <f aca="false">IF(AND($E14&lt;=P$4+6,$F14&gt;=P$4),IF($E14=$F14,"◆","■"),"")</f>
        <v/>
      </c>
      <c r="Q14" s="27" t="str">
        <f aca="false">IF(AND($E14&lt;=Q$4+6,$F14&gt;=Q$4),IF($E14=$F14,"◆","■"),"")</f>
        <v/>
      </c>
      <c r="R14" s="27" t="str">
        <f aca="false">IF(AND($E14&lt;=R$4+6,$F14&gt;=R$4),IF($E14=$F14,"◆","■"),"")</f>
        <v/>
      </c>
      <c r="S14" s="27" t="str">
        <f aca="false">IF(AND($E14&lt;=S$4+6,$F14&gt;=S$4),IF($E14=$F14,"◆","■"),"")</f>
        <v/>
      </c>
      <c r="T14" s="27" t="str">
        <f aca="false">IF(AND($E14&lt;=T$4+6,$F14&gt;=T$4),IF($E14=$F14,"◆","■"),"")</f>
        <v/>
      </c>
      <c r="U14" s="27" t="str">
        <f aca="false">IF(AND($E14&lt;=U$4+6,$F14&gt;=U$4),IF($E14=$F14,"◆","■"),"")</f>
        <v/>
      </c>
      <c r="V14" s="27" t="str">
        <f aca="false">IF(AND($E14&lt;=V$4+6,$F14&gt;=V$4),IF($E14=$F14,"◆","■"),"")</f>
        <v/>
      </c>
      <c r="W14" s="27" t="str">
        <f aca="false">IF(AND($E14&lt;=W$4+6,$F14&gt;=W$4),IF($E14=$F14,"◆","■"),"")</f>
        <v/>
      </c>
      <c r="X14" s="27" t="str">
        <f aca="false">IF(AND($E14&lt;=X$4+6,$F14&gt;=X$4),IF($E14=$F14,"◆","■"),"")</f>
        <v/>
      </c>
      <c r="Y14" s="27" t="str">
        <f aca="false">IF(AND($E14&lt;=Y$4+6,$F14&gt;=Y$4),IF($E14=$F14,"◆","■"),"")</f>
        <v/>
      </c>
      <c r="Z14" s="27" t="str">
        <f aca="false">IF(AND($E14&lt;=Z$4+6,$F14&gt;=Z$4),IF($E14=$F14,"◆","■"),"")</f>
        <v/>
      </c>
      <c r="AA14" s="27" t="str">
        <f aca="false">IF(AND($E14&lt;=AA$4+6,$F14&gt;=AA$4),IF($E14=$F14,"◆","■"),"")</f>
        <v/>
      </c>
      <c r="AB14" s="27" t="str">
        <f aca="false">IF(AND($E14&lt;=AB$4+6,$F14&gt;=AB$4),IF($E14=$F14,"◆","■"),"")</f>
        <v/>
      </c>
      <c r="AC14" s="27" t="str">
        <f aca="false">IF(AND($E14&lt;=AC$4+6,$F14&gt;=AC$4),IF($E14=$F14,"◆","■"),"")</f>
        <v/>
      </c>
      <c r="AD14" s="27" t="str">
        <f aca="false">IF(AND($E14&lt;=AD$4+6,$F14&gt;=AD$4),IF($E14=$F14,"◆","■"),"")</f>
        <v/>
      </c>
      <c r="AE14" s="27" t="str">
        <f aca="false">IF(AND($E14&lt;=AE$4+6,$F14&gt;=AE$4),IF($E14=$F14,"◆","■"),"")</f>
        <v/>
      </c>
      <c r="AF14" s="27" t="str">
        <f aca="false">IF(AND($E14&lt;=AF$4+6,$F14&gt;=AF$4),IF($E14=$F14,"◆","■"),"")</f>
        <v/>
      </c>
      <c r="AG14" s="27" t="str">
        <f aca="false">IF(AND($E14&lt;=AG$4+6,$F14&gt;=AG$4),IF($E14=$F14,"◆","■"),"")</f>
        <v/>
      </c>
      <c r="AH14" s="27" t="str">
        <f aca="false">IF(AND($E14&lt;=AH$4+6,$F14&gt;=AH$4),IF($E14=$F14,"◆","■"),"")</f>
        <v/>
      </c>
      <c r="AI14" s="27" t="str">
        <f aca="false">IF(AND($E14&lt;=AI$4+6,$F14&gt;=AI$4),IF($E14=$F14,"◆","■"),"")</f>
        <v/>
      </c>
      <c r="AJ14" s="27" t="str">
        <f aca="false">IF(AND($E14&lt;=AJ$4+6,$F14&gt;=AJ$4),IF($E14=$F14,"◆","■"),"")</f>
        <v/>
      </c>
      <c r="AK14" s="27" t="str">
        <f aca="false">IF(AND($E14&lt;=AK$4+6,$F14&gt;=AK$4),IF($E14=$F14,"◆","■"),"")</f>
        <v/>
      </c>
    </row>
    <row r="15" customFormat="false" ht="15" hidden="false" customHeight="false" outlineLevel="0" collapsed="false">
      <c r="A15" s="24" t="str">
        <f aca="false">'Pre-LOI Checklist'!A14</f>
        <v>PRE-10</v>
      </c>
      <c r="B15" s="25" t="str">
        <f aca="false">'Pre-LOI Checklist'!C14</f>
        <v>Fix Kindergarten SAFE cap wording; confirm Burkland SAFE</v>
      </c>
      <c r="C15" s="24" t="str">
        <f aca="false">'Pre-LOI Checklist'!G14</f>
        <v>Corey</v>
      </c>
      <c r="D15" s="24" t="str">
        <f aca="false">'Pre-LOI Checklist'!E14</f>
        <v>P2 - High</v>
      </c>
      <c r="E15" s="26" t="n">
        <f aca="false">'Pre-LOI Checklist'!I14</f>
        <v>46293</v>
      </c>
      <c r="F15" s="26" t="n">
        <f aca="false">'Pre-LOI Checklist'!J14</f>
        <v>46302</v>
      </c>
      <c r="G15" s="24" t="str">
        <f aca="false">'Pre-LOI Checklist'!O14</f>
        <v>Not started</v>
      </c>
      <c r="H15" s="27" t="str">
        <f aca="false">IF(AND($E15&lt;=H$4+6,$F15&gt;=H$4),IF($E15=$F15,"◆","■"),"")</f>
        <v/>
      </c>
      <c r="I15" s="27" t="str">
        <f aca="false">IF(AND($E15&lt;=I$4+6,$F15&gt;=I$4),IF($E15=$F15,"◆","■"),"")</f>
        <v>■</v>
      </c>
      <c r="J15" s="27" t="str">
        <f aca="false">IF(AND($E15&lt;=J$4+6,$F15&gt;=J$4),IF($E15=$F15,"◆","■"),"")</f>
        <v>■</v>
      </c>
      <c r="K15" s="27" t="str">
        <f aca="false">IF(AND($E15&lt;=K$4+6,$F15&gt;=K$4),IF($E15=$F15,"◆","■"),"")</f>
        <v/>
      </c>
      <c r="L15" s="27" t="str">
        <f aca="false">IF(AND($E15&lt;=L$4+6,$F15&gt;=L$4),IF($E15=$F15,"◆","■"),"")</f>
        <v/>
      </c>
      <c r="M15" s="27" t="str">
        <f aca="false">IF(AND($E15&lt;=M$4+6,$F15&gt;=M$4),IF($E15=$F15,"◆","■"),"")</f>
        <v/>
      </c>
      <c r="N15" s="27" t="str">
        <f aca="false">IF(AND($E15&lt;=N$4+6,$F15&gt;=N$4),IF($E15=$F15,"◆","■"),"")</f>
        <v/>
      </c>
      <c r="O15" s="27" t="str">
        <f aca="false">IF(AND($E15&lt;=O$4+6,$F15&gt;=O$4),IF($E15=$F15,"◆","■"),"")</f>
        <v/>
      </c>
      <c r="P15" s="27" t="str">
        <f aca="false">IF(AND($E15&lt;=P$4+6,$F15&gt;=P$4),IF($E15=$F15,"◆","■"),"")</f>
        <v/>
      </c>
      <c r="Q15" s="27" t="str">
        <f aca="false">IF(AND($E15&lt;=Q$4+6,$F15&gt;=Q$4),IF($E15=$F15,"◆","■"),"")</f>
        <v/>
      </c>
      <c r="R15" s="27" t="str">
        <f aca="false">IF(AND($E15&lt;=R$4+6,$F15&gt;=R$4),IF($E15=$F15,"◆","■"),"")</f>
        <v/>
      </c>
      <c r="S15" s="27" t="str">
        <f aca="false">IF(AND($E15&lt;=S$4+6,$F15&gt;=S$4),IF($E15=$F15,"◆","■"),"")</f>
        <v/>
      </c>
      <c r="T15" s="27" t="str">
        <f aca="false">IF(AND($E15&lt;=T$4+6,$F15&gt;=T$4),IF($E15=$F15,"◆","■"),"")</f>
        <v/>
      </c>
      <c r="U15" s="27" t="str">
        <f aca="false">IF(AND($E15&lt;=U$4+6,$F15&gt;=U$4),IF($E15=$F15,"◆","■"),"")</f>
        <v/>
      </c>
      <c r="V15" s="27" t="str">
        <f aca="false">IF(AND($E15&lt;=V$4+6,$F15&gt;=V$4),IF($E15=$F15,"◆","■"),"")</f>
        <v/>
      </c>
      <c r="W15" s="27" t="str">
        <f aca="false">IF(AND($E15&lt;=W$4+6,$F15&gt;=W$4),IF($E15=$F15,"◆","■"),"")</f>
        <v/>
      </c>
      <c r="X15" s="27" t="str">
        <f aca="false">IF(AND($E15&lt;=X$4+6,$F15&gt;=X$4),IF($E15=$F15,"◆","■"),"")</f>
        <v/>
      </c>
      <c r="Y15" s="27" t="str">
        <f aca="false">IF(AND($E15&lt;=Y$4+6,$F15&gt;=Y$4),IF($E15=$F15,"◆","■"),"")</f>
        <v/>
      </c>
      <c r="Z15" s="27" t="str">
        <f aca="false">IF(AND($E15&lt;=Z$4+6,$F15&gt;=Z$4),IF($E15=$F15,"◆","■"),"")</f>
        <v/>
      </c>
      <c r="AA15" s="27" t="str">
        <f aca="false">IF(AND($E15&lt;=AA$4+6,$F15&gt;=AA$4),IF($E15=$F15,"◆","■"),"")</f>
        <v/>
      </c>
      <c r="AB15" s="27" t="str">
        <f aca="false">IF(AND($E15&lt;=AB$4+6,$F15&gt;=AB$4),IF($E15=$F15,"◆","■"),"")</f>
        <v/>
      </c>
      <c r="AC15" s="27" t="str">
        <f aca="false">IF(AND($E15&lt;=AC$4+6,$F15&gt;=AC$4),IF($E15=$F15,"◆","■"),"")</f>
        <v/>
      </c>
      <c r="AD15" s="27" t="str">
        <f aca="false">IF(AND($E15&lt;=AD$4+6,$F15&gt;=AD$4),IF($E15=$F15,"◆","■"),"")</f>
        <v/>
      </c>
      <c r="AE15" s="27" t="str">
        <f aca="false">IF(AND($E15&lt;=AE$4+6,$F15&gt;=AE$4),IF($E15=$F15,"◆","■"),"")</f>
        <v/>
      </c>
      <c r="AF15" s="27" t="str">
        <f aca="false">IF(AND($E15&lt;=AF$4+6,$F15&gt;=AF$4),IF($E15=$F15,"◆","■"),"")</f>
        <v/>
      </c>
      <c r="AG15" s="27" t="str">
        <f aca="false">IF(AND($E15&lt;=AG$4+6,$F15&gt;=AG$4),IF($E15=$F15,"◆","■"),"")</f>
        <v/>
      </c>
      <c r="AH15" s="27" t="str">
        <f aca="false">IF(AND($E15&lt;=AH$4+6,$F15&gt;=AH$4),IF($E15=$F15,"◆","■"),"")</f>
        <v/>
      </c>
      <c r="AI15" s="27" t="str">
        <f aca="false">IF(AND($E15&lt;=AI$4+6,$F15&gt;=AI$4),IF($E15=$F15,"◆","■"),"")</f>
        <v/>
      </c>
      <c r="AJ15" s="27" t="str">
        <f aca="false">IF(AND($E15&lt;=AJ$4+6,$F15&gt;=AJ$4),IF($E15=$F15,"◆","■"),"")</f>
        <v/>
      </c>
      <c r="AK15" s="27" t="str">
        <f aca="false">IF(AND($E15&lt;=AK$4+6,$F15&gt;=AK$4),IF($E15=$F15,"◆","■"),"")</f>
        <v/>
      </c>
    </row>
    <row r="16" customFormat="false" ht="15" hidden="false" customHeight="false" outlineLevel="0" collapsed="false">
      <c r="A16" s="24" t="str">
        <f aca="false">'Pre-LOI Checklist'!A15</f>
        <v>PRE-11</v>
      </c>
      <c r="B16" s="25" t="str">
        <f aca="false">'Pre-LOI Checklist'!C15</f>
        <v>Thread decision and next action</v>
      </c>
      <c r="C16" s="24" t="str">
        <f aca="false">'Pre-LOI Checklist'!G15</f>
        <v>Jon</v>
      </c>
      <c r="D16" s="24" t="str">
        <f aca="false">'Pre-LOI Checklist'!E15</f>
        <v>P1 - Critical</v>
      </c>
      <c r="E16" s="26" t="n">
        <f aca="false">'Pre-LOI Checklist'!I15</f>
        <v>46294</v>
      </c>
      <c r="F16" s="26" t="n">
        <f aca="false">'Pre-LOI Checklist'!J15</f>
        <v>46304</v>
      </c>
      <c r="G16" s="24" t="str">
        <f aca="false">'Pre-LOI Checklist'!O15</f>
        <v>Not started</v>
      </c>
      <c r="H16" s="27" t="str">
        <f aca="false">IF(AND($E16&lt;=H$4+6,$F16&gt;=H$4),IF($E16=$F16,"◆","■"),"")</f>
        <v/>
      </c>
      <c r="I16" s="27" t="str">
        <f aca="false">IF(AND($E16&lt;=I$4+6,$F16&gt;=I$4),IF($E16=$F16,"◆","■"),"")</f>
        <v>■</v>
      </c>
      <c r="J16" s="27" t="str">
        <f aca="false">IF(AND($E16&lt;=J$4+6,$F16&gt;=J$4),IF($E16=$F16,"◆","■"),"")</f>
        <v>■</v>
      </c>
      <c r="K16" s="27" t="str">
        <f aca="false">IF(AND($E16&lt;=K$4+6,$F16&gt;=K$4),IF($E16=$F16,"◆","■"),"")</f>
        <v/>
      </c>
      <c r="L16" s="27" t="str">
        <f aca="false">IF(AND($E16&lt;=L$4+6,$F16&gt;=L$4),IF($E16=$F16,"◆","■"),"")</f>
        <v/>
      </c>
      <c r="M16" s="27" t="str">
        <f aca="false">IF(AND($E16&lt;=M$4+6,$F16&gt;=M$4),IF($E16=$F16,"◆","■"),"")</f>
        <v/>
      </c>
      <c r="N16" s="27" t="str">
        <f aca="false">IF(AND($E16&lt;=N$4+6,$F16&gt;=N$4),IF($E16=$F16,"◆","■"),"")</f>
        <v/>
      </c>
      <c r="O16" s="27" t="str">
        <f aca="false">IF(AND($E16&lt;=O$4+6,$F16&gt;=O$4),IF($E16=$F16,"◆","■"),"")</f>
        <v/>
      </c>
      <c r="P16" s="27" t="str">
        <f aca="false">IF(AND($E16&lt;=P$4+6,$F16&gt;=P$4),IF($E16=$F16,"◆","■"),"")</f>
        <v/>
      </c>
      <c r="Q16" s="27" t="str">
        <f aca="false">IF(AND($E16&lt;=Q$4+6,$F16&gt;=Q$4),IF($E16=$F16,"◆","■"),"")</f>
        <v/>
      </c>
      <c r="R16" s="27" t="str">
        <f aca="false">IF(AND($E16&lt;=R$4+6,$F16&gt;=R$4),IF($E16=$F16,"◆","■"),"")</f>
        <v/>
      </c>
      <c r="S16" s="27" t="str">
        <f aca="false">IF(AND($E16&lt;=S$4+6,$F16&gt;=S$4),IF($E16=$F16,"◆","■"),"")</f>
        <v/>
      </c>
      <c r="T16" s="27" t="str">
        <f aca="false">IF(AND($E16&lt;=T$4+6,$F16&gt;=T$4),IF($E16=$F16,"◆","■"),"")</f>
        <v/>
      </c>
      <c r="U16" s="27" t="str">
        <f aca="false">IF(AND($E16&lt;=U$4+6,$F16&gt;=U$4),IF($E16=$F16,"◆","■"),"")</f>
        <v/>
      </c>
      <c r="V16" s="27" t="str">
        <f aca="false">IF(AND($E16&lt;=V$4+6,$F16&gt;=V$4),IF($E16=$F16,"◆","■"),"")</f>
        <v/>
      </c>
      <c r="W16" s="27" t="str">
        <f aca="false">IF(AND($E16&lt;=W$4+6,$F16&gt;=W$4),IF($E16=$F16,"◆","■"),"")</f>
        <v/>
      </c>
      <c r="X16" s="27" t="str">
        <f aca="false">IF(AND($E16&lt;=X$4+6,$F16&gt;=X$4),IF($E16=$F16,"◆","■"),"")</f>
        <v/>
      </c>
      <c r="Y16" s="27" t="str">
        <f aca="false">IF(AND($E16&lt;=Y$4+6,$F16&gt;=Y$4),IF($E16=$F16,"◆","■"),"")</f>
        <v/>
      </c>
      <c r="Z16" s="27" t="str">
        <f aca="false">IF(AND($E16&lt;=Z$4+6,$F16&gt;=Z$4),IF($E16=$F16,"◆","■"),"")</f>
        <v/>
      </c>
      <c r="AA16" s="27" t="str">
        <f aca="false">IF(AND($E16&lt;=AA$4+6,$F16&gt;=AA$4),IF($E16=$F16,"◆","■"),"")</f>
        <v/>
      </c>
      <c r="AB16" s="27" t="str">
        <f aca="false">IF(AND($E16&lt;=AB$4+6,$F16&gt;=AB$4),IF($E16=$F16,"◆","■"),"")</f>
        <v/>
      </c>
      <c r="AC16" s="27" t="str">
        <f aca="false">IF(AND($E16&lt;=AC$4+6,$F16&gt;=AC$4),IF($E16=$F16,"◆","■"),"")</f>
        <v/>
      </c>
      <c r="AD16" s="27" t="str">
        <f aca="false">IF(AND($E16&lt;=AD$4+6,$F16&gt;=AD$4),IF($E16=$F16,"◆","■"),"")</f>
        <v/>
      </c>
      <c r="AE16" s="27" t="str">
        <f aca="false">IF(AND($E16&lt;=AE$4+6,$F16&gt;=AE$4),IF($E16=$F16,"◆","■"),"")</f>
        <v/>
      </c>
      <c r="AF16" s="27" t="str">
        <f aca="false">IF(AND($E16&lt;=AF$4+6,$F16&gt;=AF$4),IF($E16=$F16,"◆","■"),"")</f>
        <v/>
      </c>
      <c r="AG16" s="27" t="str">
        <f aca="false">IF(AND($E16&lt;=AG$4+6,$F16&gt;=AG$4),IF($E16=$F16,"◆","■"),"")</f>
        <v/>
      </c>
      <c r="AH16" s="27" t="str">
        <f aca="false">IF(AND($E16&lt;=AH$4+6,$F16&gt;=AH$4),IF($E16=$F16,"◆","■"),"")</f>
        <v/>
      </c>
      <c r="AI16" s="27" t="str">
        <f aca="false">IF(AND($E16&lt;=AI$4+6,$F16&gt;=AI$4),IF($E16=$F16,"◆","■"),"")</f>
        <v/>
      </c>
      <c r="AJ16" s="27" t="str">
        <f aca="false">IF(AND($E16&lt;=AJ$4+6,$F16&gt;=AJ$4),IF($E16=$F16,"◆","■"),"")</f>
        <v/>
      </c>
      <c r="AK16" s="27" t="str">
        <f aca="false">IF(AND($E16&lt;=AK$4+6,$F16&gt;=AK$4),IF($E16=$F16,"◆","■"),"")</f>
        <v/>
      </c>
    </row>
    <row r="17" customFormat="false" ht="15" hidden="false" customHeight="false" outlineLevel="0" collapsed="false">
      <c r="A17" s="24" t="str">
        <f aca="false">'Pre-LOI Checklist'!A16</f>
        <v>PRE-12</v>
      </c>
      <c r="B17" s="25" t="str">
        <f aca="false">'Pre-LOI Checklist'!C16</f>
        <v>Walk-through call with Ben</v>
      </c>
      <c r="C17" s="24" t="str">
        <f aca="false">'Pre-LOI Checklist'!G16</f>
        <v>Jon</v>
      </c>
      <c r="D17" s="24" t="str">
        <f aca="false">'Pre-LOI Checklist'!E16</f>
        <v>P1 - Critical</v>
      </c>
      <c r="E17" s="26" t="n">
        <f aca="false">'Pre-LOI Checklist'!I16</f>
        <v>46295</v>
      </c>
      <c r="F17" s="26" t="n">
        <f aca="false">'Pre-LOI Checklist'!J16</f>
        <v>46297</v>
      </c>
      <c r="G17" s="24" t="str">
        <f aca="false">'Pre-LOI Checklist'!O16</f>
        <v>Not started</v>
      </c>
      <c r="H17" s="27" t="str">
        <f aca="false">IF(AND($E17&lt;=H$4+6,$F17&gt;=H$4),IF($E17=$F17,"◆","■"),"")</f>
        <v/>
      </c>
      <c r="I17" s="27" t="str">
        <f aca="false">IF(AND($E17&lt;=I$4+6,$F17&gt;=I$4),IF($E17=$F17,"◆","■"),"")</f>
        <v>■</v>
      </c>
      <c r="J17" s="27" t="str">
        <f aca="false">IF(AND($E17&lt;=J$4+6,$F17&gt;=J$4),IF($E17=$F17,"◆","■"),"")</f>
        <v/>
      </c>
      <c r="K17" s="27" t="str">
        <f aca="false">IF(AND($E17&lt;=K$4+6,$F17&gt;=K$4),IF($E17=$F17,"◆","■"),"")</f>
        <v/>
      </c>
      <c r="L17" s="27" t="str">
        <f aca="false">IF(AND($E17&lt;=L$4+6,$F17&gt;=L$4),IF($E17=$F17,"◆","■"),"")</f>
        <v/>
      </c>
      <c r="M17" s="27" t="str">
        <f aca="false">IF(AND($E17&lt;=M$4+6,$F17&gt;=M$4),IF($E17=$F17,"◆","■"),"")</f>
        <v/>
      </c>
      <c r="N17" s="27" t="str">
        <f aca="false">IF(AND($E17&lt;=N$4+6,$F17&gt;=N$4),IF($E17=$F17,"◆","■"),"")</f>
        <v/>
      </c>
      <c r="O17" s="27" t="str">
        <f aca="false">IF(AND($E17&lt;=O$4+6,$F17&gt;=O$4),IF($E17=$F17,"◆","■"),"")</f>
        <v/>
      </c>
      <c r="P17" s="27" t="str">
        <f aca="false">IF(AND($E17&lt;=P$4+6,$F17&gt;=P$4),IF($E17=$F17,"◆","■"),"")</f>
        <v/>
      </c>
      <c r="Q17" s="27" t="str">
        <f aca="false">IF(AND($E17&lt;=Q$4+6,$F17&gt;=Q$4),IF($E17=$F17,"◆","■"),"")</f>
        <v/>
      </c>
      <c r="R17" s="27" t="str">
        <f aca="false">IF(AND($E17&lt;=R$4+6,$F17&gt;=R$4),IF($E17=$F17,"◆","■"),"")</f>
        <v/>
      </c>
      <c r="S17" s="27" t="str">
        <f aca="false">IF(AND($E17&lt;=S$4+6,$F17&gt;=S$4),IF($E17=$F17,"◆","■"),"")</f>
        <v/>
      </c>
      <c r="T17" s="27" t="str">
        <f aca="false">IF(AND($E17&lt;=T$4+6,$F17&gt;=T$4),IF($E17=$F17,"◆","■"),"")</f>
        <v/>
      </c>
      <c r="U17" s="27" t="str">
        <f aca="false">IF(AND($E17&lt;=U$4+6,$F17&gt;=U$4),IF($E17=$F17,"◆","■"),"")</f>
        <v/>
      </c>
      <c r="V17" s="27" t="str">
        <f aca="false">IF(AND($E17&lt;=V$4+6,$F17&gt;=V$4),IF($E17=$F17,"◆","■"),"")</f>
        <v/>
      </c>
      <c r="W17" s="27" t="str">
        <f aca="false">IF(AND($E17&lt;=W$4+6,$F17&gt;=W$4),IF($E17=$F17,"◆","■"),"")</f>
        <v/>
      </c>
      <c r="X17" s="27" t="str">
        <f aca="false">IF(AND($E17&lt;=X$4+6,$F17&gt;=X$4),IF($E17=$F17,"◆","■"),"")</f>
        <v/>
      </c>
      <c r="Y17" s="27" t="str">
        <f aca="false">IF(AND($E17&lt;=Y$4+6,$F17&gt;=Y$4),IF($E17=$F17,"◆","■"),"")</f>
        <v/>
      </c>
      <c r="Z17" s="27" t="str">
        <f aca="false">IF(AND($E17&lt;=Z$4+6,$F17&gt;=Z$4),IF($E17=$F17,"◆","■"),"")</f>
        <v/>
      </c>
      <c r="AA17" s="27" t="str">
        <f aca="false">IF(AND($E17&lt;=AA$4+6,$F17&gt;=AA$4),IF($E17=$F17,"◆","■"),"")</f>
        <v/>
      </c>
      <c r="AB17" s="27" t="str">
        <f aca="false">IF(AND($E17&lt;=AB$4+6,$F17&gt;=AB$4),IF($E17=$F17,"◆","■"),"")</f>
        <v/>
      </c>
      <c r="AC17" s="27" t="str">
        <f aca="false">IF(AND($E17&lt;=AC$4+6,$F17&gt;=AC$4),IF($E17=$F17,"◆","■"),"")</f>
        <v/>
      </c>
      <c r="AD17" s="27" t="str">
        <f aca="false">IF(AND($E17&lt;=AD$4+6,$F17&gt;=AD$4),IF($E17=$F17,"◆","■"),"")</f>
        <v/>
      </c>
      <c r="AE17" s="27" t="str">
        <f aca="false">IF(AND($E17&lt;=AE$4+6,$F17&gt;=AE$4),IF($E17=$F17,"◆","■"),"")</f>
        <v/>
      </c>
      <c r="AF17" s="27" t="str">
        <f aca="false">IF(AND($E17&lt;=AF$4+6,$F17&gt;=AF$4),IF($E17=$F17,"◆","■"),"")</f>
        <v/>
      </c>
      <c r="AG17" s="27" t="str">
        <f aca="false">IF(AND($E17&lt;=AG$4+6,$F17&gt;=AG$4),IF($E17=$F17,"◆","■"),"")</f>
        <v/>
      </c>
      <c r="AH17" s="27" t="str">
        <f aca="false">IF(AND($E17&lt;=AH$4+6,$F17&gt;=AH$4),IF($E17=$F17,"◆","■"),"")</f>
        <v/>
      </c>
      <c r="AI17" s="27" t="str">
        <f aca="false">IF(AND($E17&lt;=AI$4+6,$F17&gt;=AI$4),IF($E17=$F17,"◆","■"),"")</f>
        <v/>
      </c>
      <c r="AJ17" s="27" t="str">
        <f aca="false">IF(AND($E17&lt;=AJ$4+6,$F17&gt;=AJ$4),IF($E17=$F17,"◆","■"),"")</f>
        <v/>
      </c>
      <c r="AK17" s="27" t="str">
        <f aca="false">IF(AND($E17&lt;=AK$4+6,$F17&gt;=AK$4),IF($E17=$F17,"◆","■"),"")</f>
        <v/>
      </c>
    </row>
    <row r="18" customFormat="false" ht="15" hidden="false" customHeight="false" outlineLevel="0" collapsed="false">
      <c r="A18" s="24" t="str">
        <f aca="false">'Pre-LOI Checklist'!A17</f>
        <v>PRE-13</v>
      </c>
      <c r="B18" s="25" t="str">
        <f aca="false">'Pre-LOI Checklist'!C17</f>
        <v>Send Ben tax questions and document request</v>
      </c>
      <c r="C18" s="24" t="str">
        <f aca="false">'Pre-LOI Checklist'!G17</f>
        <v>Frank</v>
      </c>
      <c r="D18" s="24" t="str">
        <f aca="false">'Pre-LOI Checklist'!E17</f>
        <v>P2 - High</v>
      </c>
      <c r="E18" s="26" t="n">
        <f aca="false">'Pre-LOI Checklist'!I17</f>
        <v>46295</v>
      </c>
      <c r="F18" s="26" t="n">
        <f aca="false">'Pre-LOI Checklist'!J17</f>
        <v>46297</v>
      </c>
      <c r="G18" s="24" t="str">
        <f aca="false">'Pre-LOI Checklist'!O17</f>
        <v>Not started</v>
      </c>
      <c r="H18" s="27" t="str">
        <f aca="false">IF(AND($E18&lt;=H$4+6,$F18&gt;=H$4),IF($E18=$F18,"◆","■"),"")</f>
        <v/>
      </c>
      <c r="I18" s="27" t="str">
        <f aca="false">IF(AND($E18&lt;=I$4+6,$F18&gt;=I$4),IF($E18=$F18,"◆","■"),"")</f>
        <v>■</v>
      </c>
      <c r="J18" s="27" t="str">
        <f aca="false">IF(AND($E18&lt;=J$4+6,$F18&gt;=J$4),IF($E18=$F18,"◆","■"),"")</f>
        <v/>
      </c>
      <c r="K18" s="27" t="str">
        <f aca="false">IF(AND($E18&lt;=K$4+6,$F18&gt;=K$4),IF($E18=$F18,"◆","■"),"")</f>
        <v/>
      </c>
      <c r="L18" s="27" t="str">
        <f aca="false">IF(AND($E18&lt;=L$4+6,$F18&gt;=L$4),IF($E18=$F18,"◆","■"),"")</f>
        <v/>
      </c>
      <c r="M18" s="27" t="str">
        <f aca="false">IF(AND($E18&lt;=M$4+6,$F18&gt;=M$4),IF($E18=$F18,"◆","■"),"")</f>
        <v/>
      </c>
      <c r="N18" s="27" t="str">
        <f aca="false">IF(AND($E18&lt;=N$4+6,$F18&gt;=N$4),IF($E18=$F18,"◆","■"),"")</f>
        <v/>
      </c>
      <c r="O18" s="27" t="str">
        <f aca="false">IF(AND($E18&lt;=O$4+6,$F18&gt;=O$4),IF($E18=$F18,"◆","■"),"")</f>
        <v/>
      </c>
      <c r="P18" s="27" t="str">
        <f aca="false">IF(AND($E18&lt;=P$4+6,$F18&gt;=P$4),IF($E18=$F18,"◆","■"),"")</f>
        <v/>
      </c>
      <c r="Q18" s="27" t="str">
        <f aca="false">IF(AND($E18&lt;=Q$4+6,$F18&gt;=Q$4),IF($E18=$F18,"◆","■"),"")</f>
        <v/>
      </c>
      <c r="R18" s="27" t="str">
        <f aca="false">IF(AND($E18&lt;=R$4+6,$F18&gt;=R$4),IF($E18=$F18,"◆","■"),"")</f>
        <v/>
      </c>
      <c r="S18" s="27" t="str">
        <f aca="false">IF(AND($E18&lt;=S$4+6,$F18&gt;=S$4),IF($E18=$F18,"◆","■"),"")</f>
        <v/>
      </c>
      <c r="T18" s="27" t="str">
        <f aca="false">IF(AND($E18&lt;=T$4+6,$F18&gt;=T$4),IF($E18=$F18,"◆","■"),"")</f>
        <v/>
      </c>
      <c r="U18" s="27" t="str">
        <f aca="false">IF(AND($E18&lt;=U$4+6,$F18&gt;=U$4),IF($E18=$F18,"◆","■"),"")</f>
        <v/>
      </c>
      <c r="V18" s="27" t="str">
        <f aca="false">IF(AND($E18&lt;=V$4+6,$F18&gt;=V$4),IF($E18=$F18,"◆","■"),"")</f>
        <v/>
      </c>
      <c r="W18" s="27" t="str">
        <f aca="false">IF(AND($E18&lt;=W$4+6,$F18&gt;=W$4),IF($E18=$F18,"◆","■"),"")</f>
        <v/>
      </c>
      <c r="X18" s="27" t="str">
        <f aca="false">IF(AND($E18&lt;=X$4+6,$F18&gt;=X$4),IF($E18=$F18,"◆","■"),"")</f>
        <v/>
      </c>
      <c r="Y18" s="27" t="str">
        <f aca="false">IF(AND($E18&lt;=Y$4+6,$F18&gt;=Y$4),IF($E18=$F18,"◆","■"),"")</f>
        <v/>
      </c>
      <c r="Z18" s="27" t="str">
        <f aca="false">IF(AND($E18&lt;=Z$4+6,$F18&gt;=Z$4),IF($E18=$F18,"◆","■"),"")</f>
        <v/>
      </c>
      <c r="AA18" s="27" t="str">
        <f aca="false">IF(AND($E18&lt;=AA$4+6,$F18&gt;=AA$4),IF($E18=$F18,"◆","■"),"")</f>
        <v/>
      </c>
      <c r="AB18" s="27" t="str">
        <f aca="false">IF(AND($E18&lt;=AB$4+6,$F18&gt;=AB$4),IF($E18=$F18,"◆","■"),"")</f>
        <v/>
      </c>
      <c r="AC18" s="27" t="str">
        <f aca="false">IF(AND($E18&lt;=AC$4+6,$F18&gt;=AC$4),IF($E18=$F18,"◆","■"),"")</f>
        <v/>
      </c>
      <c r="AD18" s="27" t="str">
        <f aca="false">IF(AND($E18&lt;=AD$4+6,$F18&gt;=AD$4),IF($E18=$F18,"◆","■"),"")</f>
        <v/>
      </c>
      <c r="AE18" s="27" t="str">
        <f aca="false">IF(AND($E18&lt;=AE$4+6,$F18&gt;=AE$4),IF($E18=$F18,"◆","■"),"")</f>
        <v/>
      </c>
      <c r="AF18" s="27" t="str">
        <f aca="false">IF(AND($E18&lt;=AF$4+6,$F18&gt;=AF$4),IF($E18=$F18,"◆","■"),"")</f>
        <v/>
      </c>
      <c r="AG18" s="27" t="str">
        <f aca="false">IF(AND($E18&lt;=AG$4+6,$F18&gt;=AG$4),IF($E18=$F18,"◆","■"),"")</f>
        <v/>
      </c>
      <c r="AH18" s="27" t="str">
        <f aca="false">IF(AND($E18&lt;=AH$4+6,$F18&gt;=AH$4),IF($E18=$F18,"◆","■"),"")</f>
        <v/>
      </c>
      <c r="AI18" s="27" t="str">
        <f aca="false">IF(AND($E18&lt;=AI$4+6,$F18&gt;=AI$4),IF($E18=$F18,"◆","■"),"")</f>
        <v/>
      </c>
      <c r="AJ18" s="27" t="str">
        <f aca="false">IF(AND($E18&lt;=AJ$4+6,$F18&gt;=AJ$4),IF($E18=$F18,"◆","■"),"")</f>
        <v/>
      </c>
      <c r="AK18" s="27" t="str">
        <f aca="false">IF(AND($E18&lt;=AK$4+6,$F18&gt;=AK$4),IF($E18=$F18,"◆","■"),"")</f>
        <v/>
      </c>
    </row>
    <row r="19" customFormat="false" ht="15" hidden="false" customHeight="false" outlineLevel="0" collapsed="false">
      <c r="A19" s="24" t="str">
        <f aca="false">'Pre-LOI Checklist'!A18</f>
        <v>PRE-14</v>
      </c>
      <c r="B19" s="25" t="str">
        <f aca="false">'Pre-LOI Checklist'!C18</f>
        <v>Confirm Ben's residency plan</v>
      </c>
      <c r="C19" s="24" t="str">
        <f aca="false">'Pre-LOI Checklist'!G18</f>
        <v>Ben</v>
      </c>
      <c r="D19" s="24" t="str">
        <f aca="false">'Pre-LOI Checklist'!E18</f>
        <v>P1 - Critical</v>
      </c>
      <c r="E19" s="26" t="n">
        <f aca="false">'Pre-LOI Checklist'!I18</f>
        <v>46296</v>
      </c>
      <c r="F19" s="26" t="n">
        <f aca="false">'Pre-LOI Checklist'!J18</f>
        <v>46304</v>
      </c>
      <c r="G19" s="24" t="str">
        <f aca="false">'Pre-LOI Checklist'!O18</f>
        <v>Not started</v>
      </c>
      <c r="H19" s="27" t="str">
        <f aca="false">IF(AND($E19&lt;=H$4+6,$F19&gt;=H$4),IF($E19=$F19,"◆","■"),"")</f>
        <v/>
      </c>
      <c r="I19" s="27" t="str">
        <f aca="false">IF(AND($E19&lt;=I$4+6,$F19&gt;=I$4),IF($E19=$F19,"◆","■"),"")</f>
        <v>■</v>
      </c>
      <c r="J19" s="27" t="str">
        <f aca="false">IF(AND($E19&lt;=J$4+6,$F19&gt;=J$4),IF($E19=$F19,"◆","■"),"")</f>
        <v>■</v>
      </c>
      <c r="K19" s="27" t="str">
        <f aca="false">IF(AND($E19&lt;=K$4+6,$F19&gt;=K$4),IF($E19=$F19,"◆","■"),"")</f>
        <v/>
      </c>
      <c r="L19" s="27" t="str">
        <f aca="false">IF(AND($E19&lt;=L$4+6,$F19&gt;=L$4),IF($E19=$F19,"◆","■"),"")</f>
        <v/>
      </c>
      <c r="M19" s="27" t="str">
        <f aca="false">IF(AND($E19&lt;=M$4+6,$F19&gt;=M$4),IF($E19=$F19,"◆","■"),"")</f>
        <v/>
      </c>
      <c r="N19" s="27" t="str">
        <f aca="false">IF(AND($E19&lt;=N$4+6,$F19&gt;=N$4),IF($E19=$F19,"◆","■"),"")</f>
        <v/>
      </c>
      <c r="O19" s="27" t="str">
        <f aca="false">IF(AND($E19&lt;=O$4+6,$F19&gt;=O$4),IF($E19=$F19,"◆","■"),"")</f>
        <v/>
      </c>
      <c r="P19" s="27" t="str">
        <f aca="false">IF(AND($E19&lt;=P$4+6,$F19&gt;=P$4),IF($E19=$F19,"◆","■"),"")</f>
        <v/>
      </c>
      <c r="Q19" s="27" t="str">
        <f aca="false">IF(AND($E19&lt;=Q$4+6,$F19&gt;=Q$4),IF($E19=$F19,"◆","■"),"")</f>
        <v/>
      </c>
      <c r="R19" s="27" t="str">
        <f aca="false">IF(AND($E19&lt;=R$4+6,$F19&gt;=R$4),IF($E19=$F19,"◆","■"),"")</f>
        <v/>
      </c>
      <c r="S19" s="27" t="str">
        <f aca="false">IF(AND($E19&lt;=S$4+6,$F19&gt;=S$4),IF($E19=$F19,"◆","■"),"")</f>
        <v/>
      </c>
      <c r="T19" s="27" t="str">
        <f aca="false">IF(AND($E19&lt;=T$4+6,$F19&gt;=T$4),IF($E19=$F19,"◆","■"),"")</f>
        <v/>
      </c>
      <c r="U19" s="27" t="str">
        <f aca="false">IF(AND($E19&lt;=U$4+6,$F19&gt;=U$4),IF($E19=$F19,"◆","■"),"")</f>
        <v/>
      </c>
      <c r="V19" s="27" t="str">
        <f aca="false">IF(AND($E19&lt;=V$4+6,$F19&gt;=V$4),IF($E19=$F19,"◆","■"),"")</f>
        <v/>
      </c>
      <c r="W19" s="27" t="str">
        <f aca="false">IF(AND($E19&lt;=W$4+6,$F19&gt;=W$4),IF($E19=$F19,"◆","■"),"")</f>
        <v/>
      </c>
      <c r="X19" s="27" t="str">
        <f aca="false">IF(AND($E19&lt;=X$4+6,$F19&gt;=X$4),IF($E19=$F19,"◆","■"),"")</f>
        <v/>
      </c>
      <c r="Y19" s="27" t="str">
        <f aca="false">IF(AND($E19&lt;=Y$4+6,$F19&gt;=Y$4),IF($E19=$F19,"◆","■"),"")</f>
        <v/>
      </c>
      <c r="Z19" s="27" t="str">
        <f aca="false">IF(AND($E19&lt;=Z$4+6,$F19&gt;=Z$4),IF($E19=$F19,"◆","■"),"")</f>
        <v/>
      </c>
      <c r="AA19" s="27" t="str">
        <f aca="false">IF(AND($E19&lt;=AA$4+6,$F19&gt;=AA$4),IF($E19=$F19,"◆","■"),"")</f>
        <v/>
      </c>
      <c r="AB19" s="27" t="str">
        <f aca="false">IF(AND($E19&lt;=AB$4+6,$F19&gt;=AB$4),IF($E19=$F19,"◆","■"),"")</f>
        <v/>
      </c>
      <c r="AC19" s="27" t="str">
        <f aca="false">IF(AND($E19&lt;=AC$4+6,$F19&gt;=AC$4),IF($E19=$F19,"◆","■"),"")</f>
        <v/>
      </c>
      <c r="AD19" s="27" t="str">
        <f aca="false">IF(AND($E19&lt;=AD$4+6,$F19&gt;=AD$4),IF($E19=$F19,"◆","■"),"")</f>
        <v/>
      </c>
      <c r="AE19" s="27" t="str">
        <f aca="false">IF(AND($E19&lt;=AE$4+6,$F19&gt;=AE$4),IF($E19=$F19,"◆","■"),"")</f>
        <v/>
      </c>
      <c r="AF19" s="27" t="str">
        <f aca="false">IF(AND($E19&lt;=AF$4+6,$F19&gt;=AF$4),IF($E19=$F19,"◆","■"),"")</f>
        <v/>
      </c>
      <c r="AG19" s="27" t="str">
        <f aca="false">IF(AND($E19&lt;=AG$4+6,$F19&gt;=AG$4),IF($E19=$F19,"◆","■"),"")</f>
        <v/>
      </c>
      <c r="AH19" s="27" t="str">
        <f aca="false">IF(AND($E19&lt;=AH$4+6,$F19&gt;=AH$4),IF($E19=$F19,"◆","■"),"")</f>
        <v/>
      </c>
      <c r="AI19" s="27" t="str">
        <f aca="false">IF(AND($E19&lt;=AI$4+6,$F19&gt;=AI$4),IF($E19=$F19,"◆","■"),"")</f>
        <v/>
      </c>
      <c r="AJ19" s="27" t="str">
        <f aca="false">IF(AND($E19&lt;=AJ$4+6,$F19&gt;=AJ$4),IF($E19=$F19,"◆","■"),"")</f>
        <v/>
      </c>
      <c r="AK19" s="27" t="str">
        <f aca="false">IF(AND($E19&lt;=AK$4+6,$F19&gt;=AK$4),IF($E19=$F19,"◆","■"),"")</f>
        <v/>
      </c>
    </row>
    <row r="20" customFormat="false" ht="15" hidden="false" customHeight="false" outlineLevel="0" collapsed="false">
      <c r="A20" s="24" t="str">
        <f aca="false">'Pre-LOI Checklist'!A19</f>
        <v>PRE-15</v>
      </c>
      <c r="B20" s="25" t="str">
        <f aca="false">'Pre-LOI Checklist'!C19</f>
        <v>Amanda / partner bookkeeping firm transition plan</v>
      </c>
      <c r="C20" s="24" t="str">
        <f aca="false">'Pre-LOI Checklist'!G19</f>
        <v>Darren</v>
      </c>
      <c r="D20" s="24" t="str">
        <f aca="false">'Pre-LOI Checklist'!E19</f>
        <v>P2 - High</v>
      </c>
      <c r="E20" s="26" t="n">
        <f aca="false">'Pre-LOI Checklist'!I19</f>
        <v>46293</v>
      </c>
      <c r="F20" s="26" t="n">
        <f aca="false">'Pre-LOI Checklist'!J19</f>
        <v>46304</v>
      </c>
      <c r="G20" s="24" t="str">
        <f aca="false">'Pre-LOI Checklist'!O19</f>
        <v>Not started</v>
      </c>
      <c r="H20" s="27" t="str">
        <f aca="false">IF(AND($E20&lt;=H$4+6,$F20&gt;=H$4),IF($E20=$F20,"◆","■"),"")</f>
        <v/>
      </c>
      <c r="I20" s="27" t="str">
        <f aca="false">IF(AND($E20&lt;=I$4+6,$F20&gt;=I$4),IF($E20=$F20,"◆","■"),"")</f>
        <v>■</v>
      </c>
      <c r="J20" s="27" t="str">
        <f aca="false">IF(AND($E20&lt;=J$4+6,$F20&gt;=J$4),IF($E20=$F20,"◆","■"),"")</f>
        <v>■</v>
      </c>
      <c r="K20" s="27" t="str">
        <f aca="false">IF(AND($E20&lt;=K$4+6,$F20&gt;=K$4),IF($E20=$F20,"◆","■"),"")</f>
        <v/>
      </c>
      <c r="L20" s="27" t="str">
        <f aca="false">IF(AND($E20&lt;=L$4+6,$F20&gt;=L$4),IF($E20=$F20,"◆","■"),"")</f>
        <v/>
      </c>
      <c r="M20" s="27" t="str">
        <f aca="false">IF(AND($E20&lt;=M$4+6,$F20&gt;=M$4),IF($E20=$F20,"◆","■"),"")</f>
        <v/>
      </c>
      <c r="N20" s="27" t="str">
        <f aca="false">IF(AND($E20&lt;=N$4+6,$F20&gt;=N$4),IF($E20=$F20,"◆","■"),"")</f>
        <v/>
      </c>
      <c r="O20" s="27" t="str">
        <f aca="false">IF(AND($E20&lt;=O$4+6,$F20&gt;=O$4),IF($E20=$F20,"◆","■"),"")</f>
        <v/>
      </c>
      <c r="P20" s="27" t="str">
        <f aca="false">IF(AND($E20&lt;=P$4+6,$F20&gt;=P$4),IF($E20=$F20,"◆","■"),"")</f>
        <v/>
      </c>
      <c r="Q20" s="27" t="str">
        <f aca="false">IF(AND($E20&lt;=Q$4+6,$F20&gt;=Q$4),IF($E20=$F20,"◆","■"),"")</f>
        <v/>
      </c>
      <c r="R20" s="27" t="str">
        <f aca="false">IF(AND($E20&lt;=R$4+6,$F20&gt;=R$4),IF($E20=$F20,"◆","■"),"")</f>
        <v/>
      </c>
      <c r="S20" s="27" t="str">
        <f aca="false">IF(AND($E20&lt;=S$4+6,$F20&gt;=S$4),IF($E20=$F20,"◆","■"),"")</f>
        <v/>
      </c>
      <c r="T20" s="27" t="str">
        <f aca="false">IF(AND($E20&lt;=T$4+6,$F20&gt;=T$4),IF($E20=$F20,"◆","■"),"")</f>
        <v/>
      </c>
      <c r="U20" s="27" t="str">
        <f aca="false">IF(AND($E20&lt;=U$4+6,$F20&gt;=U$4),IF($E20=$F20,"◆","■"),"")</f>
        <v/>
      </c>
      <c r="V20" s="27" t="str">
        <f aca="false">IF(AND($E20&lt;=V$4+6,$F20&gt;=V$4),IF($E20=$F20,"◆","■"),"")</f>
        <v/>
      </c>
      <c r="W20" s="27" t="str">
        <f aca="false">IF(AND($E20&lt;=W$4+6,$F20&gt;=W$4),IF($E20=$F20,"◆","■"),"")</f>
        <v/>
      </c>
      <c r="X20" s="27" t="str">
        <f aca="false">IF(AND($E20&lt;=X$4+6,$F20&gt;=X$4),IF($E20=$F20,"◆","■"),"")</f>
        <v/>
      </c>
      <c r="Y20" s="27" t="str">
        <f aca="false">IF(AND($E20&lt;=Y$4+6,$F20&gt;=Y$4),IF($E20=$F20,"◆","■"),"")</f>
        <v/>
      </c>
      <c r="Z20" s="27" t="str">
        <f aca="false">IF(AND($E20&lt;=Z$4+6,$F20&gt;=Z$4),IF($E20=$F20,"◆","■"),"")</f>
        <v/>
      </c>
      <c r="AA20" s="27" t="str">
        <f aca="false">IF(AND($E20&lt;=AA$4+6,$F20&gt;=AA$4),IF($E20=$F20,"◆","■"),"")</f>
        <v/>
      </c>
      <c r="AB20" s="27" t="str">
        <f aca="false">IF(AND($E20&lt;=AB$4+6,$F20&gt;=AB$4),IF($E20=$F20,"◆","■"),"")</f>
        <v/>
      </c>
      <c r="AC20" s="27" t="str">
        <f aca="false">IF(AND($E20&lt;=AC$4+6,$F20&gt;=AC$4),IF($E20=$F20,"◆","■"),"")</f>
        <v/>
      </c>
      <c r="AD20" s="27" t="str">
        <f aca="false">IF(AND($E20&lt;=AD$4+6,$F20&gt;=AD$4),IF($E20=$F20,"◆","■"),"")</f>
        <v/>
      </c>
      <c r="AE20" s="27" t="str">
        <f aca="false">IF(AND($E20&lt;=AE$4+6,$F20&gt;=AE$4),IF($E20=$F20,"◆","■"),"")</f>
        <v/>
      </c>
      <c r="AF20" s="27" t="str">
        <f aca="false">IF(AND($E20&lt;=AF$4+6,$F20&gt;=AF$4),IF($E20=$F20,"◆","■"),"")</f>
        <v/>
      </c>
      <c r="AG20" s="27" t="str">
        <f aca="false">IF(AND($E20&lt;=AG$4+6,$F20&gt;=AG$4),IF($E20=$F20,"◆","■"),"")</f>
        <v/>
      </c>
      <c r="AH20" s="27" t="str">
        <f aca="false">IF(AND($E20&lt;=AH$4+6,$F20&gt;=AH$4),IF($E20=$F20,"◆","■"),"")</f>
        <v/>
      </c>
      <c r="AI20" s="27" t="str">
        <f aca="false">IF(AND($E20&lt;=AI$4+6,$F20&gt;=AI$4),IF($E20=$F20,"◆","■"),"")</f>
        <v/>
      </c>
      <c r="AJ20" s="27" t="str">
        <f aca="false">IF(AND($E20&lt;=AJ$4+6,$F20&gt;=AJ$4),IF($E20=$F20,"◆","■"),"")</f>
        <v/>
      </c>
      <c r="AK20" s="27" t="str">
        <f aca="false">IF(AND($E20&lt;=AK$4+6,$F20&gt;=AK$4),IF($E20=$F20,"◆","■"),"")</f>
        <v/>
      </c>
    </row>
    <row r="21" customFormat="false" ht="15" hidden="false" customHeight="false" outlineLevel="0" collapsed="false">
      <c r="A21" s="24" t="str">
        <f aca="false">'Pre-LOI Checklist'!A20</f>
        <v>PRE-16</v>
      </c>
      <c r="B21" s="25" t="str">
        <f aca="false">'Pre-LOI Checklist'!C20</f>
        <v>Inform co-founder Bryan Beshore</v>
      </c>
      <c r="C21" s="24" t="str">
        <f aca="false">'Pre-LOI Checklist'!G20</f>
        <v>Jon</v>
      </c>
      <c r="D21" s="24" t="str">
        <f aca="false">'Pre-LOI Checklist'!E20</f>
        <v>P3 - Medium</v>
      </c>
      <c r="E21" s="26" t="n">
        <f aca="false">'Pre-LOI Checklist'!I20</f>
        <v>46296</v>
      </c>
      <c r="F21" s="26" t="n">
        <f aca="false">'Pre-LOI Checklist'!J20</f>
        <v>46304</v>
      </c>
      <c r="G21" s="24" t="str">
        <f aca="false">'Pre-LOI Checklist'!O20</f>
        <v>Not started</v>
      </c>
      <c r="H21" s="27" t="str">
        <f aca="false">IF(AND($E21&lt;=H$4+6,$F21&gt;=H$4),IF($E21=$F21,"◆","■"),"")</f>
        <v/>
      </c>
      <c r="I21" s="27" t="str">
        <f aca="false">IF(AND($E21&lt;=I$4+6,$F21&gt;=I$4),IF($E21=$F21,"◆","■"),"")</f>
        <v>■</v>
      </c>
      <c r="J21" s="27" t="str">
        <f aca="false">IF(AND($E21&lt;=J$4+6,$F21&gt;=J$4),IF($E21=$F21,"◆","■"),"")</f>
        <v>■</v>
      </c>
      <c r="K21" s="27" t="str">
        <f aca="false">IF(AND($E21&lt;=K$4+6,$F21&gt;=K$4),IF($E21=$F21,"◆","■"),"")</f>
        <v/>
      </c>
      <c r="L21" s="27" t="str">
        <f aca="false">IF(AND($E21&lt;=L$4+6,$F21&gt;=L$4),IF($E21=$F21,"◆","■"),"")</f>
        <v/>
      </c>
      <c r="M21" s="27" t="str">
        <f aca="false">IF(AND($E21&lt;=M$4+6,$F21&gt;=M$4),IF($E21=$F21,"◆","■"),"")</f>
        <v/>
      </c>
      <c r="N21" s="27" t="str">
        <f aca="false">IF(AND($E21&lt;=N$4+6,$F21&gt;=N$4),IF($E21=$F21,"◆","■"),"")</f>
        <v/>
      </c>
      <c r="O21" s="27" t="str">
        <f aca="false">IF(AND($E21&lt;=O$4+6,$F21&gt;=O$4),IF($E21=$F21,"◆","■"),"")</f>
        <v/>
      </c>
      <c r="P21" s="27" t="str">
        <f aca="false">IF(AND($E21&lt;=P$4+6,$F21&gt;=P$4),IF($E21=$F21,"◆","■"),"")</f>
        <v/>
      </c>
      <c r="Q21" s="27" t="str">
        <f aca="false">IF(AND($E21&lt;=Q$4+6,$F21&gt;=Q$4),IF($E21=$F21,"◆","■"),"")</f>
        <v/>
      </c>
      <c r="R21" s="27" t="str">
        <f aca="false">IF(AND($E21&lt;=R$4+6,$F21&gt;=R$4),IF($E21=$F21,"◆","■"),"")</f>
        <v/>
      </c>
      <c r="S21" s="27" t="str">
        <f aca="false">IF(AND($E21&lt;=S$4+6,$F21&gt;=S$4),IF($E21=$F21,"◆","■"),"")</f>
        <v/>
      </c>
      <c r="T21" s="27" t="str">
        <f aca="false">IF(AND($E21&lt;=T$4+6,$F21&gt;=T$4),IF($E21=$F21,"◆","■"),"")</f>
        <v/>
      </c>
      <c r="U21" s="27" t="str">
        <f aca="false">IF(AND($E21&lt;=U$4+6,$F21&gt;=U$4),IF($E21=$F21,"◆","■"),"")</f>
        <v/>
      </c>
      <c r="V21" s="27" t="str">
        <f aca="false">IF(AND($E21&lt;=V$4+6,$F21&gt;=V$4),IF($E21=$F21,"◆","■"),"")</f>
        <v/>
      </c>
      <c r="W21" s="27" t="str">
        <f aca="false">IF(AND($E21&lt;=W$4+6,$F21&gt;=W$4),IF($E21=$F21,"◆","■"),"")</f>
        <v/>
      </c>
      <c r="X21" s="27" t="str">
        <f aca="false">IF(AND($E21&lt;=X$4+6,$F21&gt;=X$4),IF($E21=$F21,"◆","■"),"")</f>
        <v/>
      </c>
      <c r="Y21" s="27" t="str">
        <f aca="false">IF(AND($E21&lt;=Y$4+6,$F21&gt;=Y$4),IF($E21=$F21,"◆","■"),"")</f>
        <v/>
      </c>
      <c r="Z21" s="27" t="str">
        <f aca="false">IF(AND($E21&lt;=Z$4+6,$F21&gt;=Z$4),IF($E21=$F21,"◆","■"),"")</f>
        <v/>
      </c>
      <c r="AA21" s="27" t="str">
        <f aca="false">IF(AND($E21&lt;=AA$4+6,$F21&gt;=AA$4),IF($E21=$F21,"◆","■"),"")</f>
        <v/>
      </c>
      <c r="AB21" s="27" t="str">
        <f aca="false">IF(AND($E21&lt;=AB$4+6,$F21&gt;=AB$4),IF($E21=$F21,"◆","■"),"")</f>
        <v/>
      </c>
      <c r="AC21" s="27" t="str">
        <f aca="false">IF(AND($E21&lt;=AC$4+6,$F21&gt;=AC$4),IF($E21=$F21,"◆","■"),"")</f>
        <v/>
      </c>
      <c r="AD21" s="27" t="str">
        <f aca="false">IF(AND($E21&lt;=AD$4+6,$F21&gt;=AD$4),IF($E21=$F21,"◆","■"),"")</f>
        <v/>
      </c>
      <c r="AE21" s="27" t="str">
        <f aca="false">IF(AND($E21&lt;=AE$4+6,$F21&gt;=AE$4),IF($E21=$F21,"◆","■"),"")</f>
        <v/>
      </c>
      <c r="AF21" s="27" t="str">
        <f aca="false">IF(AND($E21&lt;=AF$4+6,$F21&gt;=AF$4),IF($E21=$F21,"◆","■"),"")</f>
        <v/>
      </c>
      <c r="AG21" s="27" t="str">
        <f aca="false">IF(AND($E21&lt;=AG$4+6,$F21&gt;=AG$4),IF($E21=$F21,"◆","■"),"")</f>
        <v/>
      </c>
      <c r="AH21" s="27" t="str">
        <f aca="false">IF(AND($E21&lt;=AH$4+6,$F21&gt;=AH$4),IF($E21=$F21,"◆","■"),"")</f>
        <v/>
      </c>
      <c r="AI21" s="27" t="str">
        <f aca="false">IF(AND($E21&lt;=AI$4+6,$F21&gt;=AI$4),IF($E21=$F21,"◆","■"),"")</f>
        <v/>
      </c>
      <c r="AJ21" s="27" t="str">
        <f aca="false">IF(AND($E21&lt;=AJ$4+6,$F21&gt;=AJ$4),IF($E21=$F21,"◆","■"),"")</f>
        <v/>
      </c>
      <c r="AK21" s="27" t="str">
        <f aca="false">IF(AND($E21&lt;=AK$4+6,$F21&gt;=AK$4),IF($E21=$F21,"◆","■"),"")</f>
        <v/>
      </c>
    </row>
    <row r="22" customFormat="false" ht="15" hidden="false" customHeight="false" outlineLevel="0" collapsed="false">
      <c r="A22" s="24" t="str">
        <f aca="false">'Pre-LOI Checklist'!A21</f>
        <v>PRE-17</v>
      </c>
      <c r="B22" s="25" t="str">
        <f aca="false">'Pre-LOI Checklist'!C21</f>
        <v>Draft omnibus stockholder consent</v>
      </c>
      <c r="C22" s="24" t="str">
        <f aca="false">'Pre-LOI Checklist'!G21</f>
        <v>Corey</v>
      </c>
      <c r="D22" s="24" t="str">
        <f aca="false">'Pre-LOI Checklist'!E21</f>
        <v>P1 - Critical</v>
      </c>
      <c r="E22" s="26" t="n">
        <f aca="false">'Pre-LOI Checklist'!I21</f>
        <v>46296</v>
      </c>
      <c r="F22" s="26" t="n">
        <f aca="false">'Pre-LOI Checklist'!J21</f>
        <v>46304</v>
      </c>
      <c r="G22" s="24" t="str">
        <f aca="false">'Pre-LOI Checklist'!O21</f>
        <v>Not started</v>
      </c>
      <c r="H22" s="27" t="str">
        <f aca="false">IF(AND($E22&lt;=H$4+6,$F22&gt;=H$4),IF($E22=$F22,"◆","■"),"")</f>
        <v/>
      </c>
      <c r="I22" s="27" t="str">
        <f aca="false">IF(AND($E22&lt;=I$4+6,$F22&gt;=I$4),IF($E22=$F22,"◆","■"),"")</f>
        <v>■</v>
      </c>
      <c r="J22" s="27" t="str">
        <f aca="false">IF(AND($E22&lt;=J$4+6,$F22&gt;=J$4),IF($E22=$F22,"◆","■"),"")</f>
        <v>■</v>
      </c>
      <c r="K22" s="27" t="str">
        <f aca="false">IF(AND($E22&lt;=K$4+6,$F22&gt;=K$4),IF($E22=$F22,"◆","■"),"")</f>
        <v/>
      </c>
      <c r="L22" s="27" t="str">
        <f aca="false">IF(AND($E22&lt;=L$4+6,$F22&gt;=L$4),IF($E22=$F22,"◆","■"),"")</f>
        <v/>
      </c>
      <c r="M22" s="27" t="str">
        <f aca="false">IF(AND($E22&lt;=M$4+6,$F22&gt;=M$4),IF($E22=$F22,"◆","■"),"")</f>
        <v/>
      </c>
      <c r="N22" s="27" t="str">
        <f aca="false">IF(AND($E22&lt;=N$4+6,$F22&gt;=N$4),IF($E22=$F22,"◆","■"),"")</f>
        <v/>
      </c>
      <c r="O22" s="27" t="str">
        <f aca="false">IF(AND($E22&lt;=O$4+6,$F22&gt;=O$4),IF($E22=$F22,"◆","■"),"")</f>
        <v/>
      </c>
      <c r="P22" s="27" t="str">
        <f aca="false">IF(AND($E22&lt;=P$4+6,$F22&gt;=P$4),IF($E22=$F22,"◆","■"),"")</f>
        <v/>
      </c>
      <c r="Q22" s="27" t="str">
        <f aca="false">IF(AND($E22&lt;=Q$4+6,$F22&gt;=Q$4),IF($E22=$F22,"◆","■"),"")</f>
        <v/>
      </c>
      <c r="R22" s="27" t="str">
        <f aca="false">IF(AND($E22&lt;=R$4+6,$F22&gt;=R$4),IF($E22=$F22,"◆","■"),"")</f>
        <v/>
      </c>
      <c r="S22" s="27" t="str">
        <f aca="false">IF(AND($E22&lt;=S$4+6,$F22&gt;=S$4),IF($E22=$F22,"◆","■"),"")</f>
        <v/>
      </c>
      <c r="T22" s="27" t="str">
        <f aca="false">IF(AND($E22&lt;=T$4+6,$F22&gt;=T$4),IF($E22=$F22,"◆","■"),"")</f>
        <v/>
      </c>
      <c r="U22" s="27" t="str">
        <f aca="false">IF(AND($E22&lt;=U$4+6,$F22&gt;=U$4),IF($E22=$F22,"◆","■"),"")</f>
        <v/>
      </c>
      <c r="V22" s="27" t="str">
        <f aca="false">IF(AND($E22&lt;=V$4+6,$F22&gt;=V$4),IF($E22=$F22,"◆","■"),"")</f>
        <v/>
      </c>
      <c r="W22" s="27" t="str">
        <f aca="false">IF(AND($E22&lt;=W$4+6,$F22&gt;=W$4),IF($E22=$F22,"◆","■"),"")</f>
        <v/>
      </c>
      <c r="X22" s="27" t="str">
        <f aca="false">IF(AND($E22&lt;=X$4+6,$F22&gt;=X$4),IF($E22=$F22,"◆","■"),"")</f>
        <v/>
      </c>
      <c r="Y22" s="27" t="str">
        <f aca="false">IF(AND($E22&lt;=Y$4+6,$F22&gt;=Y$4),IF($E22=$F22,"◆","■"),"")</f>
        <v/>
      </c>
      <c r="Z22" s="27" t="str">
        <f aca="false">IF(AND($E22&lt;=Z$4+6,$F22&gt;=Z$4),IF($E22=$F22,"◆","■"),"")</f>
        <v/>
      </c>
      <c r="AA22" s="27" t="str">
        <f aca="false">IF(AND($E22&lt;=AA$4+6,$F22&gt;=AA$4),IF($E22=$F22,"◆","■"),"")</f>
        <v/>
      </c>
      <c r="AB22" s="27" t="str">
        <f aca="false">IF(AND($E22&lt;=AB$4+6,$F22&gt;=AB$4),IF($E22=$F22,"◆","■"),"")</f>
        <v/>
      </c>
      <c r="AC22" s="27" t="str">
        <f aca="false">IF(AND($E22&lt;=AC$4+6,$F22&gt;=AC$4),IF($E22=$F22,"◆","■"),"")</f>
        <v/>
      </c>
      <c r="AD22" s="27" t="str">
        <f aca="false">IF(AND($E22&lt;=AD$4+6,$F22&gt;=AD$4),IF($E22=$F22,"◆","■"),"")</f>
        <v/>
      </c>
      <c r="AE22" s="27" t="str">
        <f aca="false">IF(AND($E22&lt;=AE$4+6,$F22&gt;=AE$4),IF($E22=$F22,"◆","■"),"")</f>
        <v/>
      </c>
      <c r="AF22" s="27" t="str">
        <f aca="false">IF(AND($E22&lt;=AF$4+6,$F22&gt;=AF$4),IF($E22=$F22,"◆","■"),"")</f>
        <v/>
      </c>
      <c r="AG22" s="27" t="str">
        <f aca="false">IF(AND($E22&lt;=AG$4+6,$F22&gt;=AG$4),IF($E22=$F22,"◆","■"),"")</f>
        <v/>
      </c>
      <c r="AH22" s="27" t="str">
        <f aca="false">IF(AND($E22&lt;=AH$4+6,$F22&gt;=AH$4),IF($E22=$F22,"◆","■"),"")</f>
        <v/>
      </c>
      <c r="AI22" s="27" t="str">
        <f aca="false">IF(AND($E22&lt;=AI$4+6,$F22&gt;=AI$4),IF($E22=$F22,"◆","■"),"")</f>
        <v/>
      </c>
      <c r="AJ22" s="27" t="str">
        <f aca="false">IF(AND($E22&lt;=AJ$4+6,$F22&gt;=AJ$4),IF($E22=$F22,"◆","■"),"")</f>
        <v/>
      </c>
      <c r="AK22" s="27" t="str">
        <f aca="false">IF(AND($E22&lt;=AK$4+6,$F22&gt;=AK$4),IF($E22=$F22,"◆","■"),"")</f>
        <v/>
      </c>
    </row>
    <row r="23" customFormat="false" ht="15" hidden="false" customHeight="false" outlineLevel="0" collapsed="false">
      <c r="A23" s="24" t="str">
        <f aca="false">'Pre-LOI Checklist'!A22</f>
        <v>PRE-18</v>
      </c>
      <c r="B23" s="25" t="str">
        <f aca="false">'Pre-LOI Checklist'!C22</f>
        <v>Confirm board authority</v>
      </c>
      <c r="C23" s="24" t="str">
        <f aca="false">'Pre-LOI Checklist'!G22</f>
        <v>Corey</v>
      </c>
      <c r="D23" s="24" t="str">
        <f aca="false">'Pre-LOI Checklist'!E22</f>
        <v>P2 - High</v>
      </c>
      <c r="E23" s="26" t="n">
        <f aca="false">'Pre-LOI Checklist'!I22</f>
        <v>46296</v>
      </c>
      <c r="F23" s="26" t="n">
        <f aca="false">'Pre-LOI Checklist'!J22</f>
        <v>46304</v>
      </c>
      <c r="G23" s="24" t="str">
        <f aca="false">'Pre-LOI Checklist'!O22</f>
        <v>Not started</v>
      </c>
      <c r="H23" s="27" t="str">
        <f aca="false">IF(AND($E23&lt;=H$4+6,$F23&gt;=H$4),IF($E23=$F23,"◆","■"),"")</f>
        <v/>
      </c>
      <c r="I23" s="27" t="str">
        <f aca="false">IF(AND($E23&lt;=I$4+6,$F23&gt;=I$4),IF($E23=$F23,"◆","■"),"")</f>
        <v>■</v>
      </c>
      <c r="J23" s="27" t="str">
        <f aca="false">IF(AND($E23&lt;=J$4+6,$F23&gt;=J$4),IF($E23=$F23,"◆","■"),"")</f>
        <v>■</v>
      </c>
      <c r="K23" s="27" t="str">
        <f aca="false">IF(AND($E23&lt;=K$4+6,$F23&gt;=K$4),IF($E23=$F23,"◆","■"),"")</f>
        <v/>
      </c>
      <c r="L23" s="27" t="str">
        <f aca="false">IF(AND($E23&lt;=L$4+6,$F23&gt;=L$4),IF($E23=$F23,"◆","■"),"")</f>
        <v/>
      </c>
      <c r="M23" s="27" t="str">
        <f aca="false">IF(AND($E23&lt;=M$4+6,$F23&gt;=M$4),IF($E23=$F23,"◆","■"),"")</f>
        <v/>
      </c>
      <c r="N23" s="27" t="str">
        <f aca="false">IF(AND($E23&lt;=N$4+6,$F23&gt;=N$4),IF($E23=$F23,"◆","■"),"")</f>
        <v/>
      </c>
      <c r="O23" s="27" t="str">
        <f aca="false">IF(AND($E23&lt;=O$4+6,$F23&gt;=O$4),IF($E23=$F23,"◆","■"),"")</f>
        <v/>
      </c>
      <c r="P23" s="27" t="str">
        <f aca="false">IF(AND($E23&lt;=P$4+6,$F23&gt;=P$4),IF($E23=$F23,"◆","■"),"")</f>
        <v/>
      </c>
      <c r="Q23" s="27" t="str">
        <f aca="false">IF(AND($E23&lt;=Q$4+6,$F23&gt;=Q$4),IF($E23=$F23,"◆","■"),"")</f>
        <v/>
      </c>
      <c r="R23" s="27" t="str">
        <f aca="false">IF(AND($E23&lt;=R$4+6,$F23&gt;=R$4),IF($E23=$F23,"◆","■"),"")</f>
        <v/>
      </c>
      <c r="S23" s="27" t="str">
        <f aca="false">IF(AND($E23&lt;=S$4+6,$F23&gt;=S$4),IF($E23=$F23,"◆","■"),"")</f>
        <v/>
      </c>
      <c r="T23" s="27" t="str">
        <f aca="false">IF(AND($E23&lt;=T$4+6,$F23&gt;=T$4),IF($E23=$F23,"◆","■"),"")</f>
        <v/>
      </c>
      <c r="U23" s="27" t="str">
        <f aca="false">IF(AND($E23&lt;=U$4+6,$F23&gt;=U$4),IF($E23=$F23,"◆","■"),"")</f>
        <v/>
      </c>
      <c r="V23" s="27" t="str">
        <f aca="false">IF(AND($E23&lt;=V$4+6,$F23&gt;=V$4),IF($E23=$F23,"◆","■"),"")</f>
        <v/>
      </c>
      <c r="W23" s="27" t="str">
        <f aca="false">IF(AND($E23&lt;=W$4+6,$F23&gt;=W$4),IF($E23=$F23,"◆","■"),"")</f>
        <v/>
      </c>
      <c r="X23" s="27" t="str">
        <f aca="false">IF(AND($E23&lt;=X$4+6,$F23&gt;=X$4),IF($E23=$F23,"◆","■"),"")</f>
        <v/>
      </c>
      <c r="Y23" s="27" t="str">
        <f aca="false">IF(AND($E23&lt;=Y$4+6,$F23&gt;=Y$4),IF($E23=$F23,"◆","■"),"")</f>
        <v/>
      </c>
      <c r="Z23" s="27" t="str">
        <f aca="false">IF(AND($E23&lt;=Z$4+6,$F23&gt;=Z$4),IF($E23=$F23,"◆","■"),"")</f>
        <v/>
      </c>
      <c r="AA23" s="27" t="str">
        <f aca="false">IF(AND($E23&lt;=AA$4+6,$F23&gt;=AA$4),IF($E23=$F23,"◆","■"),"")</f>
        <v/>
      </c>
      <c r="AB23" s="27" t="str">
        <f aca="false">IF(AND($E23&lt;=AB$4+6,$F23&gt;=AB$4),IF($E23=$F23,"◆","■"),"")</f>
        <v/>
      </c>
      <c r="AC23" s="27" t="str">
        <f aca="false">IF(AND($E23&lt;=AC$4+6,$F23&gt;=AC$4),IF($E23=$F23,"◆","■"),"")</f>
        <v/>
      </c>
      <c r="AD23" s="27" t="str">
        <f aca="false">IF(AND($E23&lt;=AD$4+6,$F23&gt;=AD$4),IF($E23=$F23,"◆","■"),"")</f>
        <v/>
      </c>
      <c r="AE23" s="27" t="str">
        <f aca="false">IF(AND($E23&lt;=AE$4+6,$F23&gt;=AE$4),IF($E23=$F23,"◆","■"),"")</f>
        <v/>
      </c>
      <c r="AF23" s="27" t="str">
        <f aca="false">IF(AND($E23&lt;=AF$4+6,$F23&gt;=AF$4),IF($E23=$F23,"◆","■"),"")</f>
        <v/>
      </c>
      <c r="AG23" s="27" t="str">
        <f aca="false">IF(AND($E23&lt;=AG$4+6,$F23&gt;=AG$4),IF($E23=$F23,"◆","■"),"")</f>
        <v/>
      </c>
      <c r="AH23" s="27" t="str">
        <f aca="false">IF(AND($E23&lt;=AH$4+6,$F23&gt;=AH$4),IF($E23=$F23,"◆","■"),"")</f>
        <v/>
      </c>
      <c r="AI23" s="27" t="str">
        <f aca="false">IF(AND($E23&lt;=AI$4+6,$F23&gt;=AI$4),IF($E23=$F23,"◆","■"),"")</f>
        <v/>
      </c>
      <c r="AJ23" s="27" t="str">
        <f aca="false">IF(AND($E23&lt;=AJ$4+6,$F23&gt;=AJ$4),IF($E23=$F23,"◆","■"),"")</f>
        <v/>
      </c>
      <c r="AK23" s="27" t="str">
        <f aca="false">IF(AND($E23&lt;=AK$4+6,$F23&gt;=AK$4),IF($E23=$F23,"◆","■"),"")</f>
        <v/>
      </c>
    </row>
    <row r="24" customFormat="false" ht="15" hidden="false" customHeight="false" outlineLevel="0" collapsed="false">
      <c r="A24" s="24" t="str">
        <f aca="false">'Pre-LOI Checklist'!A23</f>
        <v>PRE-19</v>
      </c>
      <c r="B24" s="25" t="str">
        <f aca="false">'Pre-LOI Checklist'!C23</f>
        <v>Update LOI v14 and Offer v16</v>
      </c>
      <c r="C24" s="24" t="str">
        <f aca="false">'Pre-LOI Checklist'!G23</f>
        <v>Frank</v>
      </c>
      <c r="D24" s="24" t="str">
        <f aca="false">'Pre-LOI Checklist'!E23</f>
        <v>P1 - Critical</v>
      </c>
      <c r="E24" s="26" t="n">
        <f aca="false">'Pre-LOI Checklist'!I23</f>
        <v>46297</v>
      </c>
      <c r="F24" s="26" t="n">
        <f aca="false">'Pre-LOI Checklist'!J23</f>
        <v>46301</v>
      </c>
      <c r="G24" s="24" t="str">
        <f aca="false">'Pre-LOI Checklist'!O23</f>
        <v>Not started</v>
      </c>
      <c r="H24" s="27" t="str">
        <f aca="false">IF(AND($E24&lt;=H$4+6,$F24&gt;=H$4),IF($E24=$F24,"◆","■"),"")</f>
        <v/>
      </c>
      <c r="I24" s="27" t="str">
        <f aca="false">IF(AND($E24&lt;=I$4+6,$F24&gt;=I$4),IF($E24=$F24,"◆","■"),"")</f>
        <v>■</v>
      </c>
      <c r="J24" s="27" t="str">
        <f aca="false">IF(AND($E24&lt;=J$4+6,$F24&gt;=J$4),IF($E24=$F24,"◆","■"),"")</f>
        <v>■</v>
      </c>
      <c r="K24" s="27" t="str">
        <f aca="false">IF(AND($E24&lt;=K$4+6,$F24&gt;=K$4),IF($E24=$F24,"◆","■"),"")</f>
        <v/>
      </c>
      <c r="L24" s="27" t="str">
        <f aca="false">IF(AND($E24&lt;=L$4+6,$F24&gt;=L$4),IF($E24=$F24,"◆","■"),"")</f>
        <v/>
      </c>
      <c r="M24" s="27" t="str">
        <f aca="false">IF(AND($E24&lt;=M$4+6,$F24&gt;=M$4),IF($E24=$F24,"◆","■"),"")</f>
        <v/>
      </c>
      <c r="N24" s="27" t="str">
        <f aca="false">IF(AND($E24&lt;=N$4+6,$F24&gt;=N$4),IF($E24=$F24,"◆","■"),"")</f>
        <v/>
      </c>
      <c r="O24" s="27" t="str">
        <f aca="false">IF(AND($E24&lt;=O$4+6,$F24&gt;=O$4),IF($E24=$F24,"◆","■"),"")</f>
        <v/>
      </c>
      <c r="P24" s="27" t="str">
        <f aca="false">IF(AND($E24&lt;=P$4+6,$F24&gt;=P$4),IF($E24=$F24,"◆","■"),"")</f>
        <v/>
      </c>
      <c r="Q24" s="27" t="str">
        <f aca="false">IF(AND($E24&lt;=Q$4+6,$F24&gt;=Q$4),IF($E24=$F24,"◆","■"),"")</f>
        <v/>
      </c>
      <c r="R24" s="27" t="str">
        <f aca="false">IF(AND($E24&lt;=R$4+6,$F24&gt;=R$4),IF($E24=$F24,"◆","■"),"")</f>
        <v/>
      </c>
      <c r="S24" s="27" t="str">
        <f aca="false">IF(AND($E24&lt;=S$4+6,$F24&gt;=S$4),IF($E24=$F24,"◆","■"),"")</f>
        <v/>
      </c>
      <c r="T24" s="27" t="str">
        <f aca="false">IF(AND($E24&lt;=T$4+6,$F24&gt;=T$4),IF($E24=$F24,"◆","■"),"")</f>
        <v/>
      </c>
      <c r="U24" s="27" t="str">
        <f aca="false">IF(AND($E24&lt;=U$4+6,$F24&gt;=U$4),IF($E24=$F24,"◆","■"),"")</f>
        <v/>
      </c>
      <c r="V24" s="27" t="str">
        <f aca="false">IF(AND($E24&lt;=V$4+6,$F24&gt;=V$4),IF($E24=$F24,"◆","■"),"")</f>
        <v/>
      </c>
      <c r="W24" s="27" t="str">
        <f aca="false">IF(AND($E24&lt;=W$4+6,$F24&gt;=W$4),IF($E24=$F24,"◆","■"),"")</f>
        <v/>
      </c>
      <c r="X24" s="27" t="str">
        <f aca="false">IF(AND($E24&lt;=X$4+6,$F24&gt;=X$4),IF($E24=$F24,"◆","■"),"")</f>
        <v/>
      </c>
      <c r="Y24" s="27" t="str">
        <f aca="false">IF(AND($E24&lt;=Y$4+6,$F24&gt;=Y$4),IF($E24=$F24,"◆","■"),"")</f>
        <v/>
      </c>
      <c r="Z24" s="27" t="str">
        <f aca="false">IF(AND($E24&lt;=Z$4+6,$F24&gt;=Z$4),IF($E24=$F24,"◆","■"),"")</f>
        <v/>
      </c>
      <c r="AA24" s="27" t="str">
        <f aca="false">IF(AND($E24&lt;=AA$4+6,$F24&gt;=AA$4),IF($E24=$F24,"◆","■"),"")</f>
        <v/>
      </c>
      <c r="AB24" s="27" t="str">
        <f aca="false">IF(AND($E24&lt;=AB$4+6,$F24&gt;=AB$4),IF($E24=$F24,"◆","■"),"")</f>
        <v/>
      </c>
      <c r="AC24" s="27" t="str">
        <f aca="false">IF(AND($E24&lt;=AC$4+6,$F24&gt;=AC$4),IF($E24=$F24,"◆","■"),"")</f>
        <v/>
      </c>
      <c r="AD24" s="27" t="str">
        <f aca="false">IF(AND($E24&lt;=AD$4+6,$F24&gt;=AD$4),IF($E24=$F24,"◆","■"),"")</f>
        <v/>
      </c>
      <c r="AE24" s="27" t="str">
        <f aca="false">IF(AND($E24&lt;=AE$4+6,$F24&gt;=AE$4),IF($E24=$F24,"◆","■"),"")</f>
        <v/>
      </c>
      <c r="AF24" s="27" t="str">
        <f aca="false">IF(AND($E24&lt;=AF$4+6,$F24&gt;=AF$4),IF($E24=$F24,"◆","■"),"")</f>
        <v/>
      </c>
      <c r="AG24" s="27" t="str">
        <f aca="false">IF(AND($E24&lt;=AG$4+6,$F24&gt;=AG$4),IF($E24=$F24,"◆","■"),"")</f>
        <v/>
      </c>
      <c r="AH24" s="27" t="str">
        <f aca="false">IF(AND($E24&lt;=AH$4+6,$F24&gt;=AH$4),IF($E24=$F24,"◆","■"),"")</f>
        <v/>
      </c>
      <c r="AI24" s="27" t="str">
        <f aca="false">IF(AND($E24&lt;=AI$4+6,$F24&gt;=AI$4),IF($E24=$F24,"◆","■"),"")</f>
        <v/>
      </c>
      <c r="AJ24" s="27" t="str">
        <f aca="false">IF(AND($E24&lt;=AJ$4+6,$F24&gt;=AJ$4),IF($E24=$F24,"◆","■"),"")</f>
        <v/>
      </c>
      <c r="AK24" s="27" t="str">
        <f aca="false">IF(AND($E24&lt;=AK$4+6,$F24&gt;=AK$4),IF($E24=$F24,"◆","■"),"")</f>
        <v/>
      </c>
    </row>
    <row r="25" customFormat="false" ht="15" hidden="false" customHeight="false" outlineLevel="0" collapsed="false">
      <c r="A25" s="24" t="str">
        <f aca="false">'Pre-LOI Checklist'!A24</f>
        <v>PRE-20</v>
      </c>
      <c r="B25" s="25" t="str">
        <f aca="false">'Pre-LOI Checklist'!C24</f>
        <v>Re-run scenario model</v>
      </c>
      <c r="C25" s="24" t="str">
        <f aca="false">'Pre-LOI Checklist'!G24</f>
        <v>Frank</v>
      </c>
      <c r="D25" s="24" t="str">
        <f aca="false">'Pre-LOI Checklist'!E24</f>
        <v>P2 - High</v>
      </c>
      <c r="E25" s="26" t="n">
        <f aca="false">'Pre-LOI Checklist'!I24</f>
        <v>46297</v>
      </c>
      <c r="F25" s="26" t="n">
        <f aca="false">'Pre-LOI Checklist'!J24</f>
        <v>46303</v>
      </c>
      <c r="G25" s="24" t="str">
        <f aca="false">'Pre-LOI Checklist'!O24</f>
        <v>Not started</v>
      </c>
      <c r="H25" s="27" t="str">
        <f aca="false">IF(AND($E25&lt;=H$4+6,$F25&gt;=H$4),IF($E25=$F25,"◆","■"),"")</f>
        <v/>
      </c>
      <c r="I25" s="27" t="str">
        <f aca="false">IF(AND($E25&lt;=I$4+6,$F25&gt;=I$4),IF($E25=$F25,"◆","■"),"")</f>
        <v>■</v>
      </c>
      <c r="J25" s="27" t="str">
        <f aca="false">IF(AND($E25&lt;=J$4+6,$F25&gt;=J$4),IF($E25=$F25,"◆","■"),"")</f>
        <v>■</v>
      </c>
      <c r="K25" s="27" t="str">
        <f aca="false">IF(AND($E25&lt;=K$4+6,$F25&gt;=K$4),IF($E25=$F25,"◆","■"),"")</f>
        <v/>
      </c>
      <c r="L25" s="27" t="str">
        <f aca="false">IF(AND($E25&lt;=L$4+6,$F25&gt;=L$4),IF($E25=$F25,"◆","■"),"")</f>
        <v/>
      </c>
      <c r="M25" s="27" t="str">
        <f aca="false">IF(AND($E25&lt;=M$4+6,$F25&gt;=M$4),IF($E25=$F25,"◆","■"),"")</f>
        <v/>
      </c>
      <c r="N25" s="27" t="str">
        <f aca="false">IF(AND($E25&lt;=N$4+6,$F25&gt;=N$4),IF($E25=$F25,"◆","■"),"")</f>
        <v/>
      </c>
      <c r="O25" s="27" t="str">
        <f aca="false">IF(AND($E25&lt;=O$4+6,$F25&gt;=O$4),IF($E25=$F25,"◆","■"),"")</f>
        <v/>
      </c>
      <c r="P25" s="27" t="str">
        <f aca="false">IF(AND($E25&lt;=P$4+6,$F25&gt;=P$4),IF($E25=$F25,"◆","■"),"")</f>
        <v/>
      </c>
      <c r="Q25" s="27" t="str">
        <f aca="false">IF(AND($E25&lt;=Q$4+6,$F25&gt;=Q$4),IF($E25=$F25,"◆","■"),"")</f>
        <v/>
      </c>
      <c r="R25" s="27" t="str">
        <f aca="false">IF(AND($E25&lt;=R$4+6,$F25&gt;=R$4),IF($E25=$F25,"◆","■"),"")</f>
        <v/>
      </c>
      <c r="S25" s="27" t="str">
        <f aca="false">IF(AND($E25&lt;=S$4+6,$F25&gt;=S$4),IF($E25=$F25,"◆","■"),"")</f>
        <v/>
      </c>
      <c r="T25" s="27" t="str">
        <f aca="false">IF(AND($E25&lt;=T$4+6,$F25&gt;=T$4),IF($E25=$F25,"◆","■"),"")</f>
        <v/>
      </c>
      <c r="U25" s="27" t="str">
        <f aca="false">IF(AND($E25&lt;=U$4+6,$F25&gt;=U$4),IF($E25=$F25,"◆","■"),"")</f>
        <v/>
      </c>
      <c r="V25" s="27" t="str">
        <f aca="false">IF(AND($E25&lt;=V$4+6,$F25&gt;=V$4),IF($E25=$F25,"◆","■"),"")</f>
        <v/>
      </c>
      <c r="W25" s="27" t="str">
        <f aca="false">IF(AND($E25&lt;=W$4+6,$F25&gt;=W$4),IF($E25=$F25,"◆","■"),"")</f>
        <v/>
      </c>
      <c r="X25" s="27" t="str">
        <f aca="false">IF(AND($E25&lt;=X$4+6,$F25&gt;=X$4),IF($E25=$F25,"◆","■"),"")</f>
        <v/>
      </c>
      <c r="Y25" s="27" t="str">
        <f aca="false">IF(AND($E25&lt;=Y$4+6,$F25&gt;=Y$4),IF($E25=$F25,"◆","■"),"")</f>
        <v/>
      </c>
      <c r="Z25" s="27" t="str">
        <f aca="false">IF(AND($E25&lt;=Z$4+6,$F25&gt;=Z$4),IF($E25=$F25,"◆","■"),"")</f>
        <v/>
      </c>
      <c r="AA25" s="27" t="str">
        <f aca="false">IF(AND($E25&lt;=AA$4+6,$F25&gt;=AA$4),IF($E25=$F25,"◆","■"),"")</f>
        <v/>
      </c>
      <c r="AB25" s="27" t="str">
        <f aca="false">IF(AND($E25&lt;=AB$4+6,$F25&gt;=AB$4),IF($E25=$F25,"◆","■"),"")</f>
        <v/>
      </c>
      <c r="AC25" s="27" t="str">
        <f aca="false">IF(AND($E25&lt;=AC$4+6,$F25&gt;=AC$4),IF($E25=$F25,"◆","■"),"")</f>
        <v/>
      </c>
      <c r="AD25" s="27" t="str">
        <f aca="false">IF(AND($E25&lt;=AD$4+6,$F25&gt;=AD$4),IF($E25=$F25,"◆","■"),"")</f>
        <v/>
      </c>
      <c r="AE25" s="27" t="str">
        <f aca="false">IF(AND($E25&lt;=AE$4+6,$F25&gt;=AE$4),IF($E25=$F25,"◆","■"),"")</f>
        <v/>
      </c>
      <c r="AF25" s="27" t="str">
        <f aca="false">IF(AND($E25&lt;=AF$4+6,$F25&gt;=AF$4),IF($E25=$F25,"◆","■"),"")</f>
        <v/>
      </c>
      <c r="AG25" s="27" t="str">
        <f aca="false">IF(AND($E25&lt;=AG$4+6,$F25&gt;=AG$4),IF($E25=$F25,"◆","■"),"")</f>
        <v/>
      </c>
      <c r="AH25" s="27" t="str">
        <f aca="false">IF(AND($E25&lt;=AH$4+6,$F25&gt;=AH$4),IF($E25=$F25,"◆","■"),"")</f>
        <v/>
      </c>
      <c r="AI25" s="27" t="str">
        <f aca="false">IF(AND($E25&lt;=AI$4+6,$F25&gt;=AI$4),IF($E25=$F25,"◆","■"),"")</f>
        <v/>
      </c>
      <c r="AJ25" s="27" t="str">
        <f aca="false">IF(AND($E25&lt;=AJ$4+6,$F25&gt;=AJ$4),IF($E25=$F25,"◆","■"),"")</f>
        <v/>
      </c>
      <c r="AK25" s="27" t="str">
        <f aca="false">IF(AND($E25&lt;=AK$4+6,$F25&gt;=AK$4),IF($E25=$F25,"◆","■"),"")</f>
        <v/>
      </c>
    </row>
    <row r="26" customFormat="false" ht="15" hidden="false" customHeight="false" outlineLevel="0" collapsed="false">
      <c r="A26" s="24" t="str">
        <f aca="false">'Pre-LOI Checklist'!A25</f>
        <v>PRE-21</v>
      </c>
      <c r="B26" s="25" t="str">
        <f aca="false">'Pre-LOI Checklist'!C25</f>
        <v>Counsel review of LOI v14 / Offer v16 and Exhibit A</v>
      </c>
      <c r="C26" s="24" t="str">
        <f aca="false">'Pre-LOI Checklist'!G25</f>
        <v>Corey</v>
      </c>
      <c r="D26" s="24" t="str">
        <f aca="false">'Pre-LOI Checklist'!E25</f>
        <v>P1 - Critical</v>
      </c>
      <c r="E26" s="26" t="n">
        <f aca="false">'Pre-LOI Checklist'!I25</f>
        <v>46301</v>
      </c>
      <c r="F26" s="26" t="n">
        <f aca="false">'Pre-LOI Checklist'!J25</f>
        <v>46304</v>
      </c>
      <c r="G26" s="24" t="str">
        <f aca="false">'Pre-LOI Checklist'!O25</f>
        <v>Not started</v>
      </c>
      <c r="H26" s="27" t="str">
        <f aca="false">IF(AND($E26&lt;=H$4+6,$F26&gt;=H$4),IF($E26=$F26,"◆","■"),"")</f>
        <v/>
      </c>
      <c r="I26" s="27" t="str">
        <f aca="false">IF(AND($E26&lt;=I$4+6,$F26&gt;=I$4),IF($E26=$F26,"◆","■"),"")</f>
        <v/>
      </c>
      <c r="J26" s="27" t="str">
        <f aca="false">IF(AND($E26&lt;=J$4+6,$F26&gt;=J$4),IF($E26=$F26,"◆","■"),"")</f>
        <v>■</v>
      </c>
      <c r="K26" s="27" t="str">
        <f aca="false">IF(AND($E26&lt;=K$4+6,$F26&gt;=K$4),IF($E26=$F26,"◆","■"),"")</f>
        <v/>
      </c>
      <c r="L26" s="27" t="str">
        <f aca="false">IF(AND($E26&lt;=L$4+6,$F26&gt;=L$4),IF($E26=$F26,"◆","■"),"")</f>
        <v/>
      </c>
      <c r="M26" s="27" t="str">
        <f aca="false">IF(AND($E26&lt;=M$4+6,$F26&gt;=M$4),IF($E26=$F26,"◆","■"),"")</f>
        <v/>
      </c>
      <c r="N26" s="27" t="str">
        <f aca="false">IF(AND($E26&lt;=N$4+6,$F26&gt;=N$4),IF($E26=$F26,"◆","■"),"")</f>
        <v/>
      </c>
      <c r="O26" s="27" t="str">
        <f aca="false">IF(AND($E26&lt;=O$4+6,$F26&gt;=O$4),IF($E26=$F26,"◆","■"),"")</f>
        <v/>
      </c>
      <c r="P26" s="27" t="str">
        <f aca="false">IF(AND($E26&lt;=P$4+6,$F26&gt;=P$4),IF($E26=$F26,"◆","■"),"")</f>
        <v/>
      </c>
      <c r="Q26" s="27" t="str">
        <f aca="false">IF(AND($E26&lt;=Q$4+6,$F26&gt;=Q$4),IF($E26=$F26,"◆","■"),"")</f>
        <v/>
      </c>
      <c r="R26" s="27" t="str">
        <f aca="false">IF(AND($E26&lt;=R$4+6,$F26&gt;=R$4),IF($E26=$F26,"◆","■"),"")</f>
        <v/>
      </c>
      <c r="S26" s="27" t="str">
        <f aca="false">IF(AND($E26&lt;=S$4+6,$F26&gt;=S$4),IF($E26=$F26,"◆","■"),"")</f>
        <v/>
      </c>
      <c r="T26" s="27" t="str">
        <f aca="false">IF(AND($E26&lt;=T$4+6,$F26&gt;=T$4),IF($E26=$F26,"◆","■"),"")</f>
        <v/>
      </c>
      <c r="U26" s="27" t="str">
        <f aca="false">IF(AND($E26&lt;=U$4+6,$F26&gt;=U$4),IF($E26=$F26,"◆","■"),"")</f>
        <v/>
      </c>
      <c r="V26" s="27" t="str">
        <f aca="false">IF(AND($E26&lt;=V$4+6,$F26&gt;=V$4),IF($E26=$F26,"◆","■"),"")</f>
        <v/>
      </c>
      <c r="W26" s="27" t="str">
        <f aca="false">IF(AND($E26&lt;=W$4+6,$F26&gt;=W$4),IF($E26=$F26,"◆","■"),"")</f>
        <v/>
      </c>
      <c r="X26" s="27" t="str">
        <f aca="false">IF(AND($E26&lt;=X$4+6,$F26&gt;=X$4),IF($E26=$F26,"◆","■"),"")</f>
        <v/>
      </c>
      <c r="Y26" s="27" t="str">
        <f aca="false">IF(AND($E26&lt;=Y$4+6,$F26&gt;=Y$4),IF($E26=$F26,"◆","■"),"")</f>
        <v/>
      </c>
      <c r="Z26" s="27" t="str">
        <f aca="false">IF(AND($E26&lt;=Z$4+6,$F26&gt;=Z$4),IF($E26=$F26,"◆","■"),"")</f>
        <v/>
      </c>
      <c r="AA26" s="27" t="str">
        <f aca="false">IF(AND($E26&lt;=AA$4+6,$F26&gt;=AA$4),IF($E26=$F26,"◆","■"),"")</f>
        <v/>
      </c>
      <c r="AB26" s="27" t="str">
        <f aca="false">IF(AND($E26&lt;=AB$4+6,$F26&gt;=AB$4),IF($E26=$F26,"◆","■"),"")</f>
        <v/>
      </c>
      <c r="AC26" s="27" t="str">
        <f aca="false">IF(AND($E26&lt;=AC$4+6,$F26&gt;=AC$4),IF($E26=$F26,"◆","■"),"")</f>
        <v/>
      </c>
      <c r="AD26" s="27" t="str">
        <f aca="false">IF(AND($E26&lt;=AD$4+6,$F26&gt;=AD$4),IF($E26=$F26,"◆","■"),"")</f>
        <v/>
      </c>
      <c r="AE26" s="27" t="str">
        <f aca="false">IF(AND($E26&lt;=AE$4+6,$F26&gt;=AE$4),IF($E26=$F26,"◆","■"),"")</f>
        <v/>
      </c>
      <c r="AF26" s="27" t="str">
        <f aca="false">IF(AND($E26&lt;=AF$4+6,$F26&gt;=AF$4),IF($E26=$F26,"◆","■"),"")</f>
        <v/>
      </c>
      <c r="AG26" s="27" t="str">
        <f aca="false">IF(AND($E26&lt;=AG$4+6,$F26&gt;=AG$4),IF($E26=$F26,"◆","■"),"")</f>
        <v/>
      </c>
      <c r="AH26" s="27" t="str">
        <f aca="false">IF(AND($E26&lt;=AH$4+6,$F26&gt;=AH$4),IF($E26=$F26,"◆","■"),"")</f>
        <v/>
      </c>
      <c r="AI26" s="27" t="str">
        <f aca="false">IF(AND($E26&lt;=AI$4+6,$F26&gt;=AI$4),IF($E26=$F26,"◆","■"),"")</f>
        <v/>
      </c>
      <c r="AJ26" s="27" t="str">
        <f aca="false">IF(AND($E26&lt;=AJ$4+6,$F26&gt;=AJ$4),IF($E26=$F26,"◆","■"),"")</f>
        <v/>
      </c>
      <c r="AK26" s="27" t="str">
        <f aca="false">IF(AND($E26&lt;=AK$4+6,$F26&gt;=AK$4),IF($E26=$F26,"◆","■"),"")</f>
        <v/>
      </c>
    </row>
    <row r="27" customFormat="false" ht="15" hidden="false" customHeight="false" outlineLevel="0" collapsed="false">
      <c r="A27" s="24" t="str">
        <f aca="false">'Pre-LOI Checklist'!A26</f>
        <v>PRE-22</v>
      </c>
      <c r="B27" s="25" t="str">
        <f aca="false">'Pre-LOI Checklist'!C26</f>
        <v>Topkey disclosure package for Ben</v>
      </c>
      <c r="C27" s="24" t="str">
        <f aca="false">'Pre-LOI Checklist'!G26</f>
        <v>Josh</v>
      </c>
      <c r="D27" s="24" t="str">
        <f aca="false">'Pre-LOI Checklist'!E26</f>
        <v>P2 - High</v>
      </c>
      <c r="E27" s="26" t="n">
        <f aca="false">'Pre-LOI Checklist'!I26</f>
        <v>46300</v>
      </c>
      <c r="F27" s="26" t="n">
        <f aca="false">'Pre-LOI Checklist'!J26</f>
        <v>46307</v>
      </c>
      <c r="G27" s="24" t="str">
        <f aca="false">'Pre-LOI Checklist'!O26</f>
        <v>Not started</v>
      </c>
      <c r="H27" s="27" t="str">
        <f aca="false">IF(AND($E27&lt;=H$4+6,$F27&gt;=H$4),IF($E27=$F27,"◆","■"),"")</f>
        <v/>
      </c>
      <c r="I27" s="27" t="str">
        <f aca="false">IF(AND($E27&lt;=I$4+6,$F27&gt;=I$4),IF($E27=$F27,"◆","■"),"")</f>
        <v/>
      </c>
      <c r="J27" s="27" t="str">
        <f aca="false">IF(AND($E27&lt;=J$4+6,$F27&gt;=J$4),IF($E27=$F27,"◆","■"),"")</f>
        <v>■</v>
      </c>
      <c r="K27" s="27" t="str">
        <f aca="false">IF(AND($E27&lt;=K$4+6,$F27&gt;=K$4),IF($E27=$F27,"◆","■"),"")</f>
        <v>■</v>
      </c>
      <c r="L27" s="27" t="str">
        <f aca="false">IF(AND($E27&lt;=L$4+6,$F27&gt;=L$4),IF($E27=$F27,"◆","■"),"")</f>
        <v/>
      </c>
      <c r="M27" s="27" t="str">
        <f aca="false">IF(AND($E27&lt;=M$4+6,$F27&gt;=M$4),IF($E27=$F27,"◆","■"),"")</f>
        <v/>
      </c>
      <c r="N27" s="27" t="str">
        <f aca="false">IF(AND($E27&lt;=N$4+6,$F27&gt;=N$4),IF($E27=$F27,"◆","■"),"")</f>
        <v/>
      </c>
      <c r="O27" s="27" t="str">
        <f aca="false">IF(AND($E27&lt;=O$4+6,$F27&gt;=O$4),IF($E27=$F27,"◆","■"),"")</f>
        <v/>
      </c>
      <c r="P27" s="27" t="str">
        <f aca="false">IF(AND($E27&lt;=P$4+6,$F27&gt;=P$4),IF($E27=$F27,"◆","■"),"")</f>
        <v/>
      </c>
      <c r="Q27" s="27" t="str">
        <f aca="false">IF(AND($E27&lt;=Q$4+6,$F27&gt;=Q$4),IF($E27=$F27,"◆","■"),"")</f>
        <v/>
      </c>
      <c r="R27" s="27" t="str">
        <f aca="false">IF(AND($E27&lt;=R$4+6,$F27&gt;=R$4),IF($E27=$F27,"◆","■"),"")</f>
        <v/>
      </c>
      <c r="S27" s="27" t="str">
        <f aca="false">IF(AND($E27&lt;=S$4+6,$F27&gt;=S$4),IF($E27=$F27,"◆","■"),"")</f>
        <v/>
      </c>
      <c r="T27" s="27" t="str">
        <f aca="false">IF(AND($E27&lt;=T$4+6,$F27&gt;=T$4),IF($E27=$F27,"◆","■"),"")</f>
        <v/>
      </c>
      <c r="U27" s="27" t="str">
        <f aca="false">IF(AND($E27&lt;=U$4+6,$F27&gt;=U$4),IF($E27=$F27,"◆","■"),"")</f>
        <v/>
      </c>
      <c r="V27" s="27" t="str">
        <f aca="false">IF(AND($E27&lt;=V$4+6,$F27&gt;=V$4),IF($E27=$F27,"◆","■"),"")</f>
        <v/>
      </c>
      <c r="W27" s="27" t="str">
        <f aca="false">IF(AND($E27&lt;=W$4+6,$F27&gt;=W$4),IF($E27=$F27,"◆","■"),"")</f>
        <v/>
      </c>
      <c r="X27" s="27" t="str">
        <f aca="false">IF(AND($E27&lt;=X$4+6,$F27&gt;=X$4),IF($E27=$F27,"◆","■"),"")</f>
        <v/>
      </c>
      <c r="Y27" s="27" t="str">
        <f aca="false">IF(AND($E27&lt;=Y$4+6,$F27&gt;=Y$4),IF($E27=$F27,"◆","■"),"")</f>
        <v/>
      </c>
      <c r="Z27" s="27" t="str">
        <f aca="false">IF(AND($E27&lt;=Z$4+6,$F27&gt;=Z$4),IF($E27=$F27,"◆","■"),"")</f>
        <v/>
      </c>
      <c r="AA27" s="27" t="str">
        <f aca="false">IF(AND($E27&lt;=AA$4+6,$F27&gt;=AA$4),IF($E27=$F27,"◆","■"),"")</f>
        <v/>
      </c>
      <c r="AB27" s="27" t="str">
        <f aca="false">IF(AND($E27&lt;=AB$4+6,$F27&gt;=AB$4),IF($E27=$F27,"◆","■"),"")</f>
        <v/>
      </c>
      <c r="AC27" s="27" t="str">
        <f aca="false">IF(AND($E27&lt;=AC$4+6,$F27&gt;=AC$4),IF($E27=$F27,"◆","■"),"")</f>
        <v/>
      </c>
      <c r="AD27" s="27" t="str">
        <f aca="false">IF(AND($E27&lt;=AD$4+6,$F27&gt;=AD$4),IF($E27=$F27,"◆","■"),"")</f>
        <v/>
      </c>
      <c r="AE27" s="27" t="str">
        <f aca="false">IF(AND($E27&lt;=AE$4+6,$F27&gt;=AE$4),IF($E27=$F27,"◆","■"),"")</f>
        <v/>
      </c>
      <c r="AF27" s="27" t="str">
        <f aca="false">IF(AND($E27&lt;=AF$4+6,$F27&gt;=AF$4),IF($E27=$F27,"◆","■"),"")</f>
        <v/>
      </c>
      <c r="AG27" s="27" t="str">
        <f aca="false">IF(AND($E27&lt;=AG$4+6,$F27&gt;=AG$4),IF($E27=$F27,"◆","■"),"")</f>
        <v/>
      </c>
      <c r="AH27" s="27" t="str">
        <f aca="false">IF(AND($E27&lt;=AH$4+6,$F27&gt;=AH$4),IF($E27=$F27,"◆","■"),"")</f>
        <v/>
      </c>
      <c r="AI27" s="27" t="str">
        <f aca="false">IF(AND($E27&lt;=AI$4+6,$F27&gt;=AI$4),IF($E27=$F27,"◆","■"),"")</f>
        <v/>
      </c>
      <c r="AJ27" s="27" t="str">
        <f aca="false">IF(AND($E27&lt;=AJ$4+6,$F27&gt;=AJ$4),IF($E27=$F27,"◆","■"),"")</f>
        <v/>
      </c>
      <c r="AK27" s="27" t="str">
        <f aca="false">IF(AND($E27&lt;=AK$4+6,$F27&gt;=AK$4),IF($E27=$F27,"◆","■"),"")</f>
        <v/>
      </c>
    </row>
    <row r="28" customFormat="false" ht="15" hidden="false" customHeight="false" outlineLevel="0" collapsed="false">
      <c r="A28" s="24" t="str">
        <f aca="false">'Pre-LOI Checklist'!A27</f>
        <v>PRE-23</v>
      </c>
      <c r="B28" s="25" t="str">
        <f aca="false">'Pre-LOI Checklist'!C27</f>
        <v>Accredited-investor questionnaire ready</v>
      </c>
      <c r="C28" s="24" t="str">
        <f aca="false">'Pre-LOI Checklist'!G27</f>
        <v>Corey</v>
      </c>
      <c r="D28" s="24" t="str">
        <f aca="false">'Pre-LOI Checklist'!E27</f>
        <v>P3 - Medium</v>
      </c>
      <c r="E28" s="26" t="n">
        <f aca="false">'Pre-LOI Checklist'!I27</f>
        <v>46300</v>
      </c>
      <c r="F28" s="26" t="n">
        <f aca="false">'Pre-LOI Checklist'!J27</f>
        <v>46307</v>
      </c>
      <c r="G28" s="24" t="str">
        <f aca="false">'Pre-LOI Checklist'!O27</f>
        <v>Not started</v>
      </c>
      <c r="H28" s="27" t="str">
        <f aca="false">IF(AND($E28&lt;=H$4+6,$F28&gt;=H$4),IF($E28=$F28,"◆","■"),"")</f>
        <v/>
      </c>
      <c r="I28" s="27" t="str">
        <f aca="false">IF(AND($E28&lt;=I$4+6,$F28&gt;=I$4),IF($E28=$F28,"◆","■"),"")</f>
        <v/>
      </c>
      <c r="J28" s="27" t="str">
        <f aca="false">IF(AND($E28&lt;=J$4+6,$F28&gt;=J$4),IF($E28=$F28,"◆","■"),"")</f>
        <v>■</v>
      </c>
      <c r="K28" s="27" t="str">
        <f aca="false">IF(AND($E28&lt;=K$4+6,$F28&gt;=K$4),IF($E28=$F28,"◆","■"),"")</f>
        <v>■</v>
      </c>
      <c r="L28" s="27" t="str">
        <f aca="false">IF(AND($E28&lt;=L$4+6,$F28&gt;=L$4),IF($E28=$F28,"◆","■"),"")</f>
        <v/>
      </c>
      <c r="M28" s="27" t="str">
        <f aca="false">IF(AND($E28&lt;=M$4+6,$F28&gt;=M$4),IF($E28=$F28,"◆","■"),"")</f>
        <v/>
      </c>
      <c r="N28" s="27" t="str">
        <f aca="false">IF(AND($E28&lt;=N$4+6,$F28&gt;=N$4),IF($E28=$F28,"◆","■"),"")</f>
        <v/>
      </c>
      <c r="O28" s="27" t="str">
        <f aca="false">IF(AND($E28&lt;=O$4+6,$F28&gt;=O$4),IF($E28=$F28,"◆","■"),"")</f>
        <v/>
      </c>
      <c r="P28" s="27" t="str">
        <f aca="false">IF(AND($E28&lt;=P$4+6,$F28&gt;=P$4),IF($E28=$F28,"◆","■"),"")</f>
        <v/>
      </c>
      <c r="Q28" s="27" t="str">
        <f aca="false">IF(AND($E28&lt;=Q$4+6,$F28&gt;=Q$4),IF($E28=$F28,"◆","■"),"")</f>
        <v/>
      </c>
      <c r="R28" s="27" t="str">
        <f aca="false">IF(AND($E28&lt;=R$4+6,$F28&gt;=R$4),IF($E28=$F28,"◆","■"),"")</f>
        <v/>
      </c>
      <c r="S28" s="27" t="str">
        <f aca="false">IF(AND($E28&lt;=S$4+6,$F28&gt;=S$4),IF($E28=$F28,"◆","■"),"")</f>
        <v/>
      </c>
      <c r="T28" s="27" t="str">
        <f aca="false">IF(AND($E28&lt;=T$4+6,$F28&gt;=T$4),IF($E28=$F28,"◆","■"),"")</f>
        <v/>
      </c>
      <c r="U28" s="27" t="str">
        <f aca="false">IF(AND($E28&lt;=U$4+6,$F28&gt;=U$4),IF($E28=$F28,"◆","■"),"")</f>
        <v/>
      </c>
      <c r="V28" s="27" t="str">
        <f aca="false">IF(AND($E28&lt;=V$4+6,$F28&gt;=V$4),IF($E28=$F28,"◆","■"),"")</f>
        <v/>
      </c>
      <c r="W28" s="27" t="str">
        <f aca="false">IF(AND($E28&lt;=W$4+6,$F28&gt;=W$4),IF($E28=$F28,"◆","■"),"")</f>
        <v/>
      </c>
      <c r="X28" s="27" t="str">
        <f aca="false">IF(AND($E28&lt;=X$4+6,$F28&gt;=X$4),IF($E28=$F28,"◆","■"),"")</f>
        <v/>
      </c>
      <c r="Y28" s="27" t="str">
        <f aca="false">IF(AND($E28&lt;=Y$4+6,$F28&gt;=Y$4),IF($E28=$F28,"◆","■"),"")</f>
        <v/>
      </c>
      <c r="Z28" s="27" t="str">
        <f aca="false">IF(AND($E28&lt;=Z$4+6,$F28&gt;=Z$4),IF($E28=$F28,"◆","■"),"")</f>
        <v/>
      </c>
      <c r="AA28" s="27" t="str">
        <f aca="false">IF(AND($E28&lt;=AA$4+6,$F28&gt;=AA$4),IF($E28=$F28,"◆","■"),"")</f>
        <v/>
      </c>
      <c r="AB28" s="27" t="str">
        <f aca="false">IF(AND($E28&lt;=AB$4+6,$F28&gt;=AB$4),IF($E28=$F28,"◆","■"),"")</f>
        <v/>
      </c>
      <c r="AC28" s="27" t="str">
        <f aca="false">IF(AND($E28&lt;=AC$4+6,$F28&gt;=AC$4),IF($E28=$F28,"◆","■"),"")</f>
        <v/>
      </c>
      <c r="AD28" s="27" t="str">
        <f aca="false">IF(AND($E28&lt;=AD$4+6,$F28&gt;=AD$4),IF($E28=$F28,"◆","■"),"")</f>
        <v/>
      </c>
      <c r="AE28" s="27" t="str">
        <f aca="false">IF(AND($E28&lt;=AE$4+6,$F28&gt;=AE$4),IF($E28=$F28,"◆","■"),"")</f>
        <v/>
      </c>
      <c r="AF28" s="27" t="str">
        <f aca="false">IF(AND($E28&lt;=AF$4+6,$F28&gt;=AF$4),IF($E28=$F28,"◆","■"),"")</f>
        <v/>
      </c>
      <c r="AG28" s="27" t="str">
        <f aca="false">IF(AND($E28&lt;=AG$4+6,$F28&gt;=AG$4),IF($E28=$F28,"◆","■"),"")</f>
        <v/>
      </c>
      <c r="AH28" s="27" t="str">
        <f aca="false">IF(AND($E28&lt;=AH$4+6,$F28&gt;=AH$4),IF($E28=$F28,"◆","■"),"")</f>
        <v/>
      </c>
      <c r="AI28" s="27" t="str">
        <f aca="false">IF(AND($E28&lt;=AI$4+6,$F28&gt;=AI$4),IF($E28=$F28,"◆","■"),"")</f>
        <v/>
      </c>
      <c r="AJ28" s="27" t="str">
        <f aca="false">IF(AND($E28&lt;=AJ$4+6,$F28&gt;=AJ$4),IF($E28=$F28,"◆","■"),"")</f>
        <v/>
      </c>
      <c r="AK28" s="27" t="str">
        <f aca="false">IF(AND($E28&lt;=AK$4+6,$F28&gt;=AK$4),IF($E28=$F28,"◆","■"),"")</f>
        <v/>
      </c>
    </row>
    <row r="29" customFormat="false" ht="15" hidden="false" customHeight="false" outlineLevel="0" collapsed="false">
      <c r="A29" s="24" t="str">
        <f aca="false">'Pre-LOI Checklist'!A28</f>
        <v>PRE-24</v>
      </c>
      <c r="B29" s="25" t="str">
        <f aca="false">'Pre-LOI Checklist'!C28</f>
        <v>Stockholder consent executed (or LOI made conditional)</v>
      </c>
      <c r="C29" s="24" t="str">
        <f aca="false">'Pre-LOI Checklist'!G28</f>
        <v>Jon</v>
      </c>
      <c r="D29" s="24" t="str">
        <f aca="false">'Pre-LOI Checklist'!E28</f>
        <v>P1 - Critical</v>
      </c>
      <c r="E29" s="26" t="n">
        <f aca="false">'Pre-LOI Checklist'!I28</f>
        <v>46304</v>
      </c>
      <c r="F29" s="26" t="n">
        <f aca="false">'Pre-LOI Checklist'!J28</f>
        <v>46311</v>
      </c>
      <c r="G29" s="24" t="str">
        <f aca="false">'Pre-LOI Checklist'!O28</f>
        <v>Not started</v>
      </c>
      <c r="H29" s="27" t="str">
        <f aca="false">IF(AND($E29&lt;=H$4+6,$F29&gt;=H$4),IF($E29=$F29,"◆","■"),"")</f>
        <v/>
      </c>
      <c r="I29" s="27" t="str">
        <f aca="false">IF(AND($E29&lt;=I$4+6,$F29&gt;=I$4),IF($E29=$F29,"◆","■"),"")</f>
        <v/>
      </c>
      <c r="J29" s="27" t="str">
        <f aca="false">IF(AND($E29&lt;=J$4+6,$F29&gt;=J$4),IF($E29=$F29,"◆","■"),"")</f>
        <v>■</v>
      </c>
      <c r="K29" s="27" t="str">
        <f aca="false">IF(AND($E29&lt;=K$4+6,$F29&gt;=K$4),IF($E29=$F29,"◆","■"),"")</f>
        <v>■</v>
      </c>
      <c r="L29" s="27" t="str">
        <f aca="false">IF(AND($E29&lt;=L$4+6,$F29&gt;=L$4),IF($E29=$F29,"◆","■"),"")</f>
        <v/>
      </c>
      <c r="M29" s="27" t="str">
        <f aca="false">IF(AND($E29&lt;=M$4+6,$F29&gt;=M$4),IF($E29=$F29,"◆","■"),"")</f>
        <v/>
      </c>
      <c r="N29" s="27" t="str">
        <f aca="false">IF(AND($E29&lt;=N$4+6,$F29&gt;=N$4),IF($E29=$F29,"◆","■"),"")</f>
        <v/>
      </c>
      <c r="O29" s="27" t="str">
        <f aca="false">IF(AND($E29&lt;=O$4+6,$F29&gt;=O$4),IF($E29=$F29,"◆","■"),"")</f>
        <v/>
      </c>
      <c r="P29" s="27" t="str">
        <f aca="false">IF(AND($E29&lt;=P$4+6,$F29&gt;=P$4),IF($E29=$F29,"◆","■"),"")</f>
        <v/>
      </c>
      <c r="Q29" s="27" t="str">
        <f aca="false">IF(AND($E29&lt;=Q$4+6,$F29&gt;=Q$4),IF($E29=$F29,"◆","■"),"")</f>
        <v/>
      </c>
      <c r="R29" s="27" t="str">
        <f aca="false">IF(AND($E29&lt;=R$4+6,$F29&gt;=R$4),IF($E29=$F29,"◆","■"),"")</f>
        <v/>
      </c>
      <c r="S29" s="27" t="str">
        <f aca="false">IF(AND($E29&lt;=S$4+6,$F29&gt;=S$4),IF($E29=$F29,"◆","■"),"")</f>
        <v/>
      </c>
      <c r="T29" s="27" t="str">
        <f aca="false">IF(AND($E29&lt;=T$4+6,$F29&gt;=T$4),IF($E29=$F29,"◆","■"),"")</f>
        <v/>
      </c>
      <c r="U29" s="27" t="str">
        <f aca="false">IF(AND($E29&lt;=U$4+6,$F29&gt;=U$4),IF($E29=$F29,"◆","■"),"")</f>
        <v/>
      </c>
      <c r="V29" s="27" t="str">
        <f aca="false">IF(AND($E29&lt;=V$4+6,$F29&gt;=V$4),IF($E29=$F29,"◆","■"),"")</f>
        <v/>
      </c>
      <c r="W29" s="27" t="str">
        <f aca="false">IF(AND($E29&lt;=W$4+6,$F29&gt;=W$4),IF($E29=$F29,"◆","■"),"")</f>
        <v/>
      </c>
      <c r="X29" s="27" t="str">
        <f aca="false">IF(AND($E29&lt;=X$4+6,$F29&gt;=X$4),IF($E29=$F29,"◆","■"),"")</f>
        <v/>
      </c>
      <c r="Y29" s="27" t="str">
        <f aca="false">IF(AND($E29&lt;=Y$4+6,$F29&gt;=Y$4),IF($E29=$F29,"◆","■"),"")</f>
        <v/>
      </c>
      <c r="Z29" s="27" t="str">
        <f aca="false">IF(AND($E29&lt;=Z$4+6,$F29&gt;=Z$4),IF($E29=$F29,"◆","■"),"")</f>
        <v/>
      </c>
      <c r="AA29" s="27" t="str">
        <f aca="false">IF(AND($E29&lt;=AA$4+6,$F29&gt;=AA$4),IF($E29=$F29,"◆","■"),"")</f>
        <v/>
      </c>
      <c r="AB29" s="27" t="str">
        <f aca="false">IF(AND($E29&lt;=AB$4+6,$F29&gt;=AB$4),IF($E29=$F29,"◆","■"),"")</f>
        <v/>
      </c>
      <c r="AC29" s="27" t="str">
        <f aca="false">IF(AND($E29&lt;=AC$4+6,$F29&gt;=AC$4),IF($E29=$F29,"◆","■"),"")</f>
        <v/>
      </c>
      <c r="AD29" s="27" t="str">
        <f aca="false">IF(AND($E29&lt;=AD$4+6,$F29&gt;=AD$4),IF($E29=$F29,"◆","■"),"")</f>
        <v/>
      </c>
      <c r="AE29" s="27" t="str">
        <f aca="false">IF(AND($E29&lt;=AE$4+6,$F29&gt;=AE$4),IF($E29=$F29,"◆","■"),"")</f>
        <v/>
      </c>
      <c r="AF29" s="27" t="str">
        <f aca="false">IF(AND($E29&lt;=AF$4+6,$F29&gt;=AF$4),IF($E29=$F29,"◆","■"),"")</f>
        <v/>
      </c>
      <c r="AG29" s="27" t="str">
        <f aca="false">IF(AND($E29&lt;=AG$4+6,$F29&gt;=AG$4),IF($E29=$F29,"◆","■"),"")</f>
        <v/>
      </c>
      <c r="AH29" s="27" t="str">
        <f aca="false">IF(AND($E29&lt;=AH$4+6,$F29&gt;=AH$4),IF($E29=$F29,"◆","■"),"")</f>
        <v/>
      </c>
      <c r="AI29" s="27" t="str">
        <f aca="false">IF(AND($E29&lt;=AI$4+6,$F29&gt;=AI$4),IF($E29=$F29,"◆","■"),"")</f>
        <v/>
      </c>
      <c r="AJ29" s="27" t="str">
        <f aca="false">IF(AND($E29&lt;=AJ$4+6,$F29&gt;=AJ$4),IF($E29=$F29,"◆","■"),"")</f>
        <v/>
      </c>
      <c r="AK29" s="27" t="str">
        <f aca="false">IF(AND($E29&lt;=AK$4+6,$F29&gt;=AK$4),IF($E29=$F29,"◆","■"),"")</f>
        <v/>
      </c>
    </row>
    <row r="30" customFormat="false" ht="15" hidden="false" customHeight="false" outlineLevel="0" collapsed="false">
      <c r="A30" s="24" t="str">
        <f aca="false">'Pre-LOI Checklist'!A29</f>
        <v>PRE-25</v>
      </c>
      <c r="B30" s="25" t="str">
        <f aca="false">'Pre-LOI Checklist'!C29</f>
        <v>Send LOI and Offer to Ben</v>
      </c>
      <c r="C30" s="24" t="str">
        <f aca="false">'Pre-LOI Checklist'!G29</f>
        <v>Jon</v>
      </c>
      <c r="D30" s="24" t="str">
        <f aca="false">'Pre-LOI Checklist'!E29</f>
        <v>P1 - Critical</v>
      </c>
      <c r="E30" s="26" t="n">
        <f aca="false">'Pre-LOI Checklist'!I29</f>
        <v>46304</v>
      </c>
      <c r="F30" s="26" t="n">
        <f aca="false">'Pre-LOI Checklist'!J29</f>
        <v>46304</v>
      </c>
      <c r="G30" s="24" t="str">
        <f aca="false">'Pre-LOI Checklist'!O29</f>
        <v>Not started</v>
      </c>
      <c r="H30" s="27" t="str">
        <f aca="false">IF(AND($E30&lt;=H$4+6,$F30&gt;=H$4),IF($E30=$F30,"◆","■"),"")</f>
        <v/>
      </c>
      <c r="I30" s="27" t="str">
        <f aca="false">IF(AND($E30&lt;=I$4+6,$F30&gt;=I$4),IF($E30=$F30,"◆","■"),"")</f>
        <v/>
      </c>
      <c r="J30" s="27" t="str">
        <f aca="false">IF(AND($E30&lt;=J$4+6,$F30&gt;=J$4),IF($E30=$F30,"◆","■"),"")</f>
        <v>◆</v>
      </c>
      <c r="K30" s="27" t="str">
        <f aca="false">IF(AND($E30&lt;=K$4+6,$F30&gt;=K$4),IF($E30=$F30,"◆","■"),"")</f>
        <v/>
      </c>
      <c r="L30" s="27" t="str">
        <f aca="false">IF(AND($E30&lt;=L$4+6,$F30&gt;=L$4),IF($E30=$F30,"◆","■"),"")</f>
        <v/>
      </c>
      <c r="M30" s="27" t="str">
        <f aca="false">IF(AND($E30&lt;=M$4+6,$F30&gt;=M$4),IF($E30=$F30,"◆","■"),"")</f>
        <v/>
      </c>
      <c r="N30" s="27" t="str">
        <f aca="false">IF(AND($E30&lt;=N$4+6,$F30&gt;=N$4),IF($E30=$F30,"◆","■"),"")</f>
        <v/>
      </c>
      <c r="O30" s="27" t="str">
        <f aca="false">IF(AND($E30&lt;=O$4+6,$F30&gt;=O$4),IF($E30=$F30,"◆","■"),"")</f>
        <v/>
      </c>
      <c r="P30" s="27" t="str">
        <f aca="false">IF(AND($E30&lt;=P$4+6,$F30&gt;=P$4),IF($E30=$F30,"◆","■"),"")</f>
        <v/>
      </c>
      <c r="Q30" s="27" t="str">
        <f aca="false">IF(AND($E30&lt;=Q$4+6,$F30&gt;=Q$4),IF($E30=$F30,"◆","■"),"")</f>
        <v/>
      </c>
      <c r="R30" s="27" t="str">
        <f aca="false">IF(AND($E30&lt;=R$4+6,$F30&gt;=R$4),IF($E30=$F30,"◆","■"),"")</f>
        <v/>
      </c>
      <c r="S30" s="27" t="str">
        <f aca="false">IF(AND($E30&lt;=S$4+6,$F30&gt;=S$4),IF($E30=$F30,"◆","■"),"")</f>
        <v/>
      </c>
      <c r="T30" s="27" t="str">
        <f aca="false">IF(AND($E30&lt;=T$4+6,$F30&gt;=T$4),IF($E30=$F30,"◆","■"),"")</f>
        <v/>
      </c>
      <c r="U30" s="27" t="str">
        <f aca="false">IF(AND($E30&lt;=U$4+6,$F30&gt;=U$4),IF($E30=$F30,"◆","■"),"")</f>
        <v/>
      </c>
      <c r="V30" s="27" t="str">
        <f aca="false">IF(AND($E30&lt;=V$4+6,$F30&gt;=V$4),IF($E30=$F30,"◆","■"),"")</f>
        <v/>
      </c>
      <c r="W30" s="27" t="str">
        <f aca="false">IF(AND($E30&lt;=W$4+6,$F30&gt;=W$4),IF($E30=$F30,"◆","■"),"")</f>
        <v/>
      </c>
      <c r="X30" s="27" t="str">
        <f aca="false">IF(AND($E30&lt;=X$4+6,$F30&gt;=X$4),IF($E30=$F30,"◆","■"),"")</f>
        <v/>
      </c>
      <c r="Y30" s="27" t="str">
        <f aca="false">IF(AND($E30&lt;=Y$4+6,$F30&gt;=Y$4),IF($E30=$F30,"◆","■"),"")</f>
        <v/>
      </c>
      <c r="Z30" s="27" t="str">
        <f aca="false">IF(AND($E30&lt;=Z$4+6,$F30&gt;=Z$4),IF($E30=$F30,"◆","■"),"")</f>
        <v/>
      </c>
      <c r="AA30" s="27" t="str">
        <f aca="false">IF(AND($E30&lt;=AA$4+6,$F30&gt;=AA$4),IF($E30=$F30,"◆","■"),"")</f>
        <v/>
      </c>
      <c r="AB30" s="27" t="str">
        <f aca="false">IF(AND($E30&lt;=AB$4+6,$F30&gt;=AB$4),IF($E30=$F30,"◆","■"),"")</f>
        <v/>
      </c>
      <c r="AC30" s="27" t="str">
        <f aca="false">IF(AND($E30&lt;=AC$4+6,$F30&gt;=AC$4),IF($E30=$F30,"◆","■"),"")</f>
        <v/>
      </c>
      <c r="AD30" s="27" t="str">
        <f aca="false">IF(AND($E30&lt;=AD$4+6,$F30&gt;=AD$4),IF($E30=$F30,"◆","■"),"")</f>
        <v/>
      </c>
      <c r="AE30" s="27" t="str">
        <f aca="false">IF(AND($E30&lt;=AE$4+6,$F30&gt;=AE$4),IF($E30=$F30,"◆","■"),"")</f>
        <v/>
      </c>
      <c r="AF30" s="27" t="str">
        <f aca="false">IF(AND($E30&lt;=AF$4+6,$F30&gt;=AF$4),IF($E30=$F30,"◆","■"),"")</f>
        <v/>
      </c>
      <c r="AG30" s="27" t="str">
        <f aca="false">IF(AND($E30&lt;=AG$4+6,$F30&gt;=AG$4),IF($E30=$F30,"◆","■"),"")</f>
        <v/>
      </c>
      <c r="AH30" s="27" t="str">
        <f aca="false">IF(AND($E30&lt;=AH$4+6,$F30&gt;=AH$4),IF($E30=$F30,"◆","■"),"")</f>
        <v/>
      </c>
      <c r="AI30" s="27" t="str">
        <f aca="false">IF(AND($E30&lt;=AI$4+6,$F30&gt;=AI$4),IF($E30=$F30,"◆","■"),"")</f>
        <v/>
      </c>
      <c r="AJ30" s="27" t="str">
        <f aca="false">IF(AND($E30&lt;=AJ$4+6,$F30&gt;=AJ$4),IF($E30=$F30,"◆","■"),"")</f>
        <v/>
      </c>
      <c r="AK30" s="27" t="str">
        <f aca="false">IF(AND($E30&lt;=AK$4+6,$F30&gt;=AK$4),IF($E30=$F30,"◆","■"),"")</f>
        <v/>
      </c>
    </row>
    <row r="31" customFormat="false" ht="15" hidden="false" customHeight="false" outlineLevel="0" collapsed="false">
      <c r="A31" s="24" t="str">
        <f aca="false">'Pre-LOI Checklist'!A30</f>
        <v>PRE-26</v>
      </c>
      <c r="B31" s="25" t="str">
        <f aca="false">'Pre-LOI Checklist'!C30</f>
        <v>Ben and his advisors review; negotiate LOI</v>
      </c>
      <c r="C31" s="24" t="str">
        <f aca="false">'Pre-LOI Checklist'!G30</f>
        <v>Ben</v>
      </c>
      <c r="D31" s="24" t="str">
        <f aca="false">'Pre-LOI Checklist'!E30</f>
        <v>P1 - Critical</v>
      </c>
      <c r="E31" s="26" t="n">
        <f aca="false">'Pre-LOI Checklist'!I30</f>
        <v>46304</v>
      </c>
      <c r="F31" s="26" t="n">
        <f aca="false">'Pre-LOI Checklist'!J30</f>
        <v>46311</v>
      </c>
      <c r="G31" s="24" t="str">
        <f aca="false">'Pre-LOI Checklist'!O30</f>
        <v>Not started</v>
      </c>
      <c r="H31" s="27" t="str">
        <f aca="false">IF(AND($E31&lt;=H$4+6,$F31&gt;=H$4),IF($E31=$F31,"◆","■"),"")</f>
        <v/>
      </c>
      <c r="I31" s="27" t="str">
        <f aca="false">IF(AND($E31&lt;=I$4+6,$F31&gt;=I$4),IF($E31=$F31,"◆","■"),"")</f>
        <v/>
      </c>
      <c r="J31" s="27" t="str">
        <f aca="false">IF(AND($E31&lt;=J$4+6,$F31&gt;=J$4),IF($E31=$F31,"◆","■"),"")</f>
        <v>■</v>
      </c>
      <c r="K31" s="27" t="str">
        <f aca="false">IF(AND($E31&lt;=K$4+6,$F31&gt;=K$4),IF($E31=$F31,"◆","■"),"")</f>
        <v>■</v>
      </c>
      <c r="L31" s="27" t="str">
        <f aca="false">IF(AND($E31&lt;=L$4+6,$F31&gt;=L$4),IF($E31=$F31,"◆","■"),"")</f>
        <v/>
      </c>
      <c r="M31" s="27" t="str">
        <f aca="false">IF(AND($E31&lt;=M$4+6,$F31&gt;=M$4),IF($E31=$F31,"◆","■"),"")</f>
        <v/>
      </c>
      <c r="N31" s="27" t="str">
        <f aca="false">IF(AND($E31&lt;=N$4+6,$F31&gt;=N$4),IF($E31=$F31,"◆","■"),"")</f>
        <v/>
      </c>
      <c r="O31" s="27" t="str">
        <f aca="false">IF(AND($E31&lt;=O$4+6,$F31&gt;=O$4),IF($E31=$F31,"◆","■"),"")</f>
        <v/>
      </c>
      <c r="P31" s="27" t="str">
        <f aca="false">IF(AND($E31&lt;=P$4+6,$F31&gt;=P$4),IF($E31=$F31,"◆","■"),"")</f>
        <v/>
      </c>
      <c r="Q31" s="27" t="str">
        <f aca="false">IF(AND($E31&lt;=Q$4+6,$F31&gt;=Q$4),IF($E31=$F31,"◆","■"),"")</f>
        <v/>
      </c>
      <c r="R31" s="27" t="str">
        <f aca="false">IF(AND($E31&lt;=R$4+6,$F31&gt;=R$4),IF($E31=$F31,"◆","■"),"")</f>
        <v/>
      </c>
      <c r="S31" s="27" t="str">
        <f aca="false">IF(AND($E31&lt;=S$4+6,$F31&gt;=S$4),IF($E31=$F31,"◆","■"),"")</f>
        <v/>
      </c>
      <c r="T31" s="27" t="str">
        <f aca="false">IF(AND($E31&lt;=T$4+6,$F31&gt;=T$4),IF($E31=$F31,"◆","■"),"")</f>
        <v/>
      </c>
      <c r="U31" s="27" t="str">
        <f aca="false">IF(AND($E31&lt;=U$4+6,$F31&gt;=U$4),IF($E31=$F31,"◆","■"),"")</f>
        <v/>
      </c>
      <c r="V31" s="27" t="str">
        <f aca="false">IF(AND($E31&lt;=V$4+6,$F31&gt;=V$4),IF($E31=$F31,"◆","■"),"")</f>
        <v/>
      </c>
      <c r="W31" s="27" t="str">
        <f aca="false">IF(AND($E31&lt;=W$4+6,$F31&gt;=W$4),IF($E31=$F31,"◆","■"),"")</f>
        <v/>
      </c>
      <c r="X31" s="27" t="str">
        <f aca="false">IF(AND($E31&lt;=X$4+6,$F31&gt;=X$4),IF($E31=$F31,"◆","■"),"")</f>
        <v/>
      </c>
      <c r="Y31" s="27" t="str">
        <f aca="false">IF(AND($E31&lt;=Y$4+6,$F31&gt;=Y$4),IF($E31=$F31,"◆","■"),"")</f>
        <v/>
      </c>
      <c r="Z31" s="27" t="str">
        <f aca="false">IF(AND($E31&lt;=Z$4+6,$F31&gt;=Z$4),IF($E31=$F31,"◆","■"),"")</f>
        <v/>
      </c>
      <c r="AA31" s="27" t="str">
        <f aca="false">IF(AND($E31&lt;=AA$4+6,$F31&gt;=AA$4),IF($E31=$F31,"◆","■"),"")</f>
        <v/>
      </c>
      <c r="AB31" s="27" t="str">
        <f aca="false">IF(AND($E31&lt;=AB$4+6,$F31&gt;=AB$4),IF($E31=$F31,"◆","■"),"")</f>
        <v/>
      </c>
      <c r="AC31" s="27" t="str">
        <f aca="false">IF(AND($E31&lt;=AC$4+6,$F31&gt;=AC$4),IF($E31=$F31,"◆","■"),"")</f>
        <v/>
      </c>
      <c r="AD31" s="27" t="str">
        <f aca="false">IF(AND($E31&lt;=AD$4+6,$F31&gt;=AD$4),IF($E31=$F31,"◆","■"),"")</f>
        <v/>
      </c>
      <c r="AE31" s="27" t="str">
        <f aca="false">IF(AND($E31&lt;=AE$4+6,$F31&gt;=AE$4),IF($E31=$F31,"◆","■"),"")</f>
        <v/>
      </c>
      <c r="AF31" s="27" t="str">
        <f aca="false">IF(AND($E31&lt;=AF$4+6,$F31&gt;=AF$4),IF($E31=$F31,"◆","■"),"")</f>
        <v/>
      </c>
      <c r="AG31" s="27" t="str">
        <f aca="false">IF(AND($E31&lt;=AG$4+6,$F31&gt;=AG$4),IF($E31=$F31,"◆","■"),"")</f>
        <v/>
      </c>
      <c r="AH31" s="27" t="str">
        <f aca="false">IF(AND($E31&lt;=AH$4+6,$F31&gt;=AH$4),IF($E31=$F31,"◆","■"),"")</f>
        <v/>
      </c>
      <c r="AI31" s="27" t="str">
        <f aca="false">IF(AND($E31&lt;=AI$4+6,$F31&gt;=AI$4),IF($E31=$F31,"◆","■"),"")</f>
        <v/>
      </c>
      <c r="AJ31" s="27" t="str">
        <f aca="false">IF(AND($E31&lt;=AJ$4+6,$F31&gt;=AJ$4),IF($E31=$F31,"◆","■"),"")</f>
        <v/>
      </c>
      <c r="AK31" s="27" t="str">
        <f aca="false">IF(AND($E31&lt;=AK$4+6,$F31&gt;=AK$4),IF($E31=$F31,"◆","■"),"")</f>
        <v/>
      </c>
    </row>
    <row r="32" customFormat="false" ht="15" hidden="false" customHeight="false" outlineLevel="0" collapsed="false">
      <c r="A32" s="24" t="str">
        <f aca="false">'Pre-LOI Checklist'!A31</f>
        <v>PRE-27</v>
      </c>
      <c r="B32" s="25" t="str">
        <f aca="false">'Pre-LOI Checklist'!C31</f>
        <v>LOI SIGNED</v>
      </c>
      <c r="C32" s="24" t="str">
        <f aca="false">'Pre-LOI Checklist'!G31</f>
        <v>Jon</v>
      </c>
      <c r="D32" s="24" t="str">
        <f aca="false">'Pre-LOI Checklist'!E31</f>
        <v>P1 - Critical</v>
      </c>
      <c r="E32" s="26" t="n">
        <f aca="false">'Pre-LOI Checklist'!I31</f>
        <v>46311</v>
      </c>
      <c r="F32" s="26" t="n">
        <f aca="false">'Pre-LOI Checklist'!J31</f>
        <v>46311</v>
      </c>
      <c r="G32" s="24" t="str">
        <f aca="false">'Pre-LOI Checklist'!O31</f>
        <v>Not started</v>
      </c>
      <c r="H32" s="27" t="str">
        <f aca="false">IF(AND($E32&lt;=H$4+6,$F32&gt;=H$4),IF($E32=$F32,"◆","■"),"")</f>
        <v/>
      </c>
      <c r="I32" s="27" t="str">
        <f aca="false">IF(AND($E32&lt;=I$4+6,$F32&gt;=I$4),IF($E32=$F32,"◆","■"),"")</f>
        <v/>
      </c>
      <c r="J32" s="27" t="str">
        <f aca="false">IF(AND($E32&lt;=J$4+6,$F32&gt;=J$4),IF($E32=$F32,"◆","■"),"")</f>
        <v/>
      </c>
      <c r="K32" s="27" t="str">
        <f aca="false">IF(AND($E32&lt;=K$4+6,$F32&gt;=K$4),IF($E32=$F32,"◆","■"),"")</f>
        <v>◆</v>
      </c>
      <c r="L32" s="27" t="str">
        <f aca="false">IF(AND($E32&lt;=L$4+6,$F32&gt;=L$4),IF($E32=$F32,"◆","■"),"")</f>
        <v/>
      </c>
      <c r="M32" s="27" t="str">
        <f aca="false">IF(AND($E32&lt;=M$4+6,$F32&gt;=M$4),IF($E32=$F32,"◆","■"),"")</f>
        <v/>
      </c>
      <c r="N32" s="27" t="str">
        <f aca="false">IF(AND($E32&lt;=N$4+6,$F32&gt;=N$4),IF($E32=$F32,"◆","■"),"")</f>
        <v/>
      </c>
      <c r="O32" s="27" t="str">
        <f aca="false">IF(AND($E32&lt;=O$4+6,$F32&gt;=O$4),IF($E32=$F32,"◆","■"),"")</f>
        <v/>
      </c>
      <c r="P32" s="27" t="str">
        <f aca="false">IF(AND($E32&lt;=P$4+6,$F32&gt;=P$4),IF($E32=$F32,"◆","■"),"")</f>
        <v/>
      </c>
      <c r="Q32" s="27" t="str">
        <f aca="false">IF(AND($E32&lt;=Q$4+6,$F32&gt;=Q$4),IF($E32=$F32,"◆","■"),"")</f>
        <v/>
      </c>
      <c r="R32" s="27" t="str">
        <f aca="false">IF(AND($E32&lt;=R$4+6,$F32&gt;=R$4),IF($E32=$F32,"◆","■"),"")</f>
        <v/>
      </c>
      <c r="S32" s="27" t="str">
        <f aca="false">IF(AND($E32&lt;=S$4+6,$F32&gt;=S$4),IF($E32=$F32,"◆","■"),"")</f>
        <v/>
      </c>
      <c r="T32" s="27" t="str">
        <f aca="false">IF(AND($E32&lt;=T$4+6,$F32&gt;=T$4),IF($E32=$F32,"◆","■"),"")</f>
        <v/>
      </c>
      <c r="U32" s="27" t="str">
        <f aca="false">IF(AND($E32&lt;=U$4+6,$F32&gt;=U$4),IF($E32=$F32,"◆","■"),"")</f>
        <v/>
      </c>
      <c r="V32" s="27" t="str">
        <f aca="false">IF(AND($E32&lt;=V$4+6,$F32&gt;=V$4),IF($E32=$F32,"◆","■"),"")</f>
        <v/>
      </c>
      <c r="W32" s="27" t="str">
        <f aca="false">IF(AND($E32&lt;=W$4+6,$F32&gt;=W$4),IF($E32=$F32,"◆","■"),"")</f>
        <v/>
      </c>
      <c r="X32" s="27" t="str">
        <f aca="false">IF(AND($E32&lt;=X$4+6,$F32&gt;=X$4),IF($E32=$F32,"◆","■"),"")</f>
        <v/>
      </c>
      <c r="Y32" s="27" t="str">
        <f aca="false">IF(AND($E32&lt;=Y$4+6,$F32&gt;=Y$4),IF($E32=$F32,"◆","■"),"")</f>
        <v/>
      </c>
      <c r="Z32" s="27" t="str">
        <f aca="false">IF(AND($E32&lt;=Z$4+6,$F32&gt;=Z$4),IF($E32=$F32,"◆","■"),"")</f>
        <v/>
      </c>
      <c r="AA32" s="27" t="str">
        <f aca="false">IF(AND($E32&lt;=AA$4+6,$F32&gt;=AA$4),IF($E32=$F32,"◆","■"),"")</f>
        <v/>
      </c>
      <c r="AB32" s="27" t="str">
        <f aca="false">IF(AND($E32&lt;=AB$4+6,$F32&gt;=AB$4),IF($E32=$F32,"◆","■"),"")</f>
        <v/>
      </c>
      <c r="AC32" s="27" t="str">
        <f aca="false">IF(AND($E32&lt;=AC$4+6,$F32&gt;=AC$4),IF($E32=$F32,"◆","■"),"")</f>
        <v/>
      </c>
      <c r="AD32" s="27" t="str">
        <f aca="false">IF(AND($E32&lt;=AD$4+6,$F32&gt;=AD$4),IF($E32=$F32,"◆","■"),"")</f>
        <v/>
      </c>
      <c r="AE32" s="27" t="str">
        <f aca="false">IF(AND($E32&lt;=AE$4+6,$F32&gt;=AE$4),IF($E32=$F32,"◆","■"),"")</f>
        <v/>
      </c>
      <c r="AF32" s="27" t="str">
        <f aca="false">IF(AND($E32&lt;=AF$4+6,$F32&gt;=AF$4),IF($E32=$F32,"◆","■"),"")</f>
        <v/>
      </c>
      <c r="AG32" s="27" t="str">
        <f aca="false">IF(AND($E32&lt;=AG$4+6,$F32&gt;=AG$4),IF($E32=$F32,"◆","■"),"")</f>
        <v/>
      </c>
      <c r="AH32" s="27" t="str">
        <f aca="false">IF(AND($E32&lt;=AH$4+6,$F32&gt;=AH$4),IF($E32=$F32,"◆","■"),"")</f>
        <v/>
      </c>
      <c r="AI32" s="27" t="str">
        <f aca="false">IF(AND($E32&lt;=AI$4+6,$F32&gt;=AI$4),IF($E32=$F32,"◆","■"),"")</f>
        <v/>
      </c>
      <c r="AJ32" s="27" t="str">
        <f aca="false">IF(AND($E32&lt;=AJ$4+6,$F32&gt;=AJ$4),IF($E32=$F32,"◆","■"),"")</f>
        <v/>
      </c>
      <c r="AK32" s="27" t="str">
        <f aca="false">IF(AND($E32&lt;=AK$4+6,$F32&gt;=AK$4),IF($E32=$F32,"◆","■"),"")</f>
        <v/>
      </c>
    </row>
    <row r="33" customFormat="false" ht="15" hidden="false" customHeight="false" outlineLevel="0" collapsed="false">
      <c r="A33" s="22" t="s">
        <v>390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customFormat="false" ht="15" hidden="false" customHeight="false" outlineLevel="0" collapsed="false">
      <c r="A34" s="24" t="str">
        <f aca="false">'Post-LOI Checklist'!A5</f>
        <v>POST-01</v>
      </c>
      <c r="B34" s="25" t="str">
        <f aca="false">'Post-LOI Checklist'!C5</f>
        <v>Kickoff call, diligence request list, working-group list and calendar</v>
      </c>
      <c r="C34" s="24" t="str">
        <f aca="false">'Post-LOI Checklist'!G5</f>
        <v>Frank</v>
      </c>
      <c r="D34" s="24" t="str">
        <f aca="false">'Post-LOI Checklist'!E5</f>
        <v>P1 - Critical</v>
      </c>
      <c r="E34" s="26" t="n">
        <f aca="false">'Post-LOI Checklist'!I5</f>
        <v>46314</v>
      </c>
      <c r="F34" s="26" t="n">
        <f aca="false">'Post-LOI Checklist'!J5</f>
        <v>46316</v>
      </c>
      <c r="G34" s="24" t="str">
        <f aca="false">'Post-LOI Checklist'!O5</f>
        <v>Not started</v>
      </c>
      <c r="H34" s="27" t="str">
        <f aca="false">IF(AND($E34&lt;=H$4+6,$F34&gt;=H$4),IF($E34=$F34,"◆","■"),"")</f>
        <v/>
      </c>
      <c r="I34" s="27" t="str">
        <f aca="false">IF(AND($E34&lt;=I$4+6,$F34&gt;=I$4),IF($E34=$F34,"◆","■"),"")</f>
        <v/>
      </c>
      <c r="J34" s="27" t="str">
        <f aca="false">IF(AND($E34&lt;=J$4+6,$F34&gt;=J$4),IF($E34=$F34,"◆","■"),"")</f>
        <v/>
      </c>
      <c r="K34" s="27" t="str">
        <f aca="false">IF(AND($E34&lt;=K$4+6,$F34&gt;=K$4),IF($E34=$F34,"◆","■"),"")</f>
        <v/>
      </c>
      <c r="L34" s="27" t="str">
        <f aca="false">IF(AND($E34&lt;=L$4+6,$F34&gt;=L$4),IF($E34=$F34,"◆","■"),"")</f>
        <v>■</v>
      </c>
      <c r="M34" s="27" t="str">
        <f aca="false">IF(AND($E34&lt;=M$4+6,$F34&gt;=M$4),IF($E34=$F34,"◆","■"),"")</f>
        <v/>
      </c>
      <c r="N34" s="27" t="str">
        <f aca="false">IF(AND($E34&lt;=N$4+6,$F34&gt;=N$4),IF($E34=$F34,"◆","■"),"")</f>
        <v/>
      </c>
      <c r="O34" s="27" t="str">
        <f aca="false">IF(AND($E34&lt;=O$4+6,$F34&gt;=O$4),IF($E34=$F34,"◆","■"),"")</f>
        <v/>
      </c>
      <c r="P34" s="27" t="str">
        <f aca="false">IF(AND($E34&lt;=P$4+6,$F34&gt;=P$4),IF($E34=$F34,"◆","■"),"")</f>
        <v/>
      </c>
      <c r="Q34" s="27" t="str">
        <f aca="false">IF(AND($E34&lt;=Q$4+6,$F34&gt;=Q$4),IF($E34=$F34,"◆","■"),"")</f>
        <v/>
      </c>
      <c r="R34" s="27" t="str">
        <f aca="false">IF(AND($E34&lt;=R$4+6,$F34&gt;=R$4),IF($E34=$F34,"◆","■"),"")</f>
        <v/>
      </c>
      <c r="S34" s="27" t="str">
        <f aca="false">IF(AND($E34&lt;=S$4+6,$F34&gt;=S$4),IF($E34=$F34,"◆","■"),"")</f>
        <v/>
      </c>
      <c r="T34" s="27" t="str">
        <f aca="false">IF(AND($E34&lt;=T$4+6,$F34&gt;=T$4),IF($E34=$F34,"◆","■"),"")</f>
        <v/>
      </c>
      <c r="U34" s="27" t="str">
        <f aca="false">IF(AND($E34&lt;=U$4+6,$F34&gt;=U$4),IF($E34=$F34,"◆","■"),"")</f>
        <v/>
      </c>
      <c r="V34" s="27" t="str">
        <f aca="false">IF(AND($E34&lt;=V$4+6,$F34&gt;=V$4),IF($E34=$F34,"◆","■"),"")</f>
        <v/>
      </c>
      <c r="W34" s="27" t="str">
        <f aca="false">IF(AND($E34&lt;=W$4+6,$F34&gt;=W$4),IF($E34=$F34,"◆","■"),"")</f>
        <v/>
      </c>
      <c r="X34" s="27" t="str">
        <f aca="false">IF(AND($E34&lt;=X$4+6,$F34&gt;=X$4),IF($E34=$F34,"◆","■"),"")</f>
        <v/>
      </c>
      <c r="Y34" s="27" t="str">
        <f aca="false">IF(AND($E34&lt;=Y$4+6,$F34&gt;=Y$4),IF($E34=$F34,"◆","■"),"")</f>
        <v/>
      </c>
      <c r="Z34" s="27" t="str">
        <f aca="false">IF(AND($E34&lt;=Z$4+6,$F34&gt;=Z$4),IF($E34=$F34,"◆","■"),"")</f>
        <v/>
      </c>
      <c r="AA34" s="27" t="str">
        <f aca="false">IF(AND($E34&lt;=AA$4+6,$F34&gt;=AA$4),IF($E34=$F34,"◆","■"),"")</f>
        <v/>
      </c>
      <c r="AB34" s="27" t="str">
        <f aca="false">IF(AND($E34&lt;=AB$4+6,$F34&gt;=AB$4),IF($E34=$F34,"◆","■"),"")</f>
        <v/>
      </c>
      <c r="AC34" s="27" t="str">
        <f aca="false">IF(AND($E34&lt;=AC$4+6,$F34&gt;=AC$4),IF($E34=$F34,"◆","■"),"")</f>
        <v/>
      </c>
      <c r="AD34" s="27" t="str">
        <f aca="false">IF(AND($E34&lt;=AD$4+6,$F34&gt;=AD$4),IF($E34=$F34,"◆","■"),"")</f>
        <v/>
      </c>
      <c r="AE34" s="27" t="str">
        <f aca="false">IF(AND($E34&lt;=AE$4+6,$F34&gt;=AE$4),IF($E34=$F34,"◆","■"),"")</f>
        <v/>
      </c>
      <c r="AF34" s="27" t="str">
        <f aca="false">IF(AND($E34&lt;=AF$4+6,$F34&gt;=AF$4),IF($E34=$F34,"◆","■"),"")</f>
        <v/>
      </c>
      <c r="AG34" s="27" t="str">
        <f aca="false">IF(AND($E34&lt;=AG$4+6,$F34&gt;=AG$4),IF($E34=$F34,"◆","■"),"")</f>
        <v/>
      </c>
      <c r="AH34" s="27" t="str">
        <f aca="false">IF(AND($E34&lt;=AH$4+6,$F34&gt;=AH$4),IF($E34=$F34,"◆","■"),"")</f>
        <v/>
      </c>
      <c r="AI34" s="27" t="str">
        <f aca="false">IF(AND($E34&lt;=AI$4+6,$F34&gt;=AI$4),IF($E34=$F34,"◆","■"),"")</f>
        <v/>
      </c>
      <c r="AJ34" s="27" t="str">
        <f aca="false">IF(AND($E34&lt;=AJ$4+6,$F34&gt;=AJ$4),IF($E34=$F34,"◆","■"),"")</f>
        <v/>
      </c>
      <c r="AK34" s="27" t="str">
        <f aca="false">IF(AND($E34&lt;=AK$4+6,$F34&gt;=AK$4),IF($E34=$F34,"◆","■"),"")</f>
        <v/>
      </c>
    </row>
    <row r="35" customFormat="false" ht="15" hidden="false" customHeight="false" outlineLevel="0" collapsed="false">
      <c r="A35" s="24" t="str">
        <f aca="false">'Post-LOI Checklist'!A6</f>
        <v>POST-02</v>
      </c>
      <c r="B35" s="25" t="str">
        <f aca="false">'Post-LOI Checklist'!C6</f>
        <v>Keystone target data room populated</v>
      </c>
      <c r="C35" s="24" t="str">
        <f aca="false">'Post-LOI Checklist'!G6</f>
        <v>Ben</v>
      </c>
      <c r="D35" s="24" t="str">
        <f aca="false">'Post-LOI Checklist'!E6</f>
        <v>P1 - Critical</v>
      </c>
      <c r="E35" s="26" t="n">
        <f aca="false">'Post-LOI Checklist'!I6</f>
        <v>46314</v>
      </c>
      <c r="F35" s="26" t="n">
        <f aca="false">'Post-LOI Checklist'!J6</f>
        <v>46325</v>
      </c>
      <c r="G35" s="24" t="str">
        <f aca="false">'Post-LOI Checklist'!O6</f>
        <v>Not started</v>
      </c>
      <c r="H35" s="27" t="str">
        <f aca="false">IF(AND($E35&lt;=H$4+6,$F35&gt;=H$4),IF($E35=$F35,"◆","■"),"")</f>
        <v/>
      </c>
      <c r="I35" s="27" t="str">
        <f aca="false">IF(AND($E35&lt;=I$4+6,$F35&gt;=I$4),IF($E35=$F35,"◆","■"),"")</f>
        <v/>
      </c>
      <c r="J35" s="27" t="str">
        <f aca="false">IF(AND($E35&lt;=J$4+6,$F35&gt;=J$4),IF($E35=$F35,"◆","■"),"")</f>
        <v/>
      </c>
      <c r="K35" s="27" t="str">
        <f aca="false">IF(AND($E35&lt;=K$4+6,$F35&gt;=K$4),IF($E35=$F35,"◆","■"),"")</f>
        <v/>
      </c>
      <c r="L35" s="27" t="str">
        <f aca="false">IF(AND($E35&lt;=L$4+6,$F35&gt;=L$4),IF($E35=$F35,"◆","■"),"")</f>
        <v>■</v>
      </c>
      <c r="M35" s="27" t="str">
        <f aca="false">IF(AND($E35&lt;=M$4+6,$F35&gt;=M$4),IF($E35=$F35,"◆","■"),"")</f>
        <v>■</v>
      </c>
      <c r="N35" s="27" t="str">
        <f aca="false">IF(AND($E35&lt;=N$4+6,$F35&gt;=N$4),IF($E35=$F35,"◆","■"),"")</f>
        <v/>
      </c>
      <c r="O35" s="27" t="str">
        <f aca="false">IF(AND($E35&lt;=O$4+6,$F35&gt;=O$4),IF($E35=$F35,"◆","■"),"")</f>
        <v/>
      </c>
      <c r="P35" s="27" t="str">
        <f aca="false">IF(AND($E35&lt;=P$4+6,$F35&gt;=P$4),IF($E35=$F35,"◆","■"),"")</f>
        <v/>
      </c>
      <c r="Q35" s="27" t="str">
        <f aca="false">IF(AND($E35&lt;=Q$4+6,$F35&gt;=Q$4),IF($E35=$F35,"◆","■"),"")</f>
        <v/>
      </c>
      <c r="R35" s="27" t="str">
        <f aca="false">IF(AND($E35&lt;=R$4+6,$F35&gt;=R$4),IF($E35=$F35,"◆","■"),"")</f>
        <v/>
      </c>
      <c r="S35" s="27" t="str">
        <f aca="false">IF(AND($E35&lt;=S$4+6,$F35&gt;=S$4),IF($E35=$F35,"◆","■"),"")</f>
        <v/>
      </c>
      <c r="T35" s="27" t="str">
        <f aca="false">IF(AND($E35&lt;=T$4+6,$F35&gt;=T$4),IF($E35=$F35,"◆","■"),"")</f>
        <v/>
      </c>
      <c r="U35" s="27" t="str">
        <f aca="false">IF(AND($E35&lt;=U$4+6,$F35&gt;=U$4),IF($E35=$F35,"◆","■"),"")</f>
        <v/>
      </c>
      <c r="V35" s="27" t="str">
        <f aca="false">IF(AND($E35&lt;=V$4+6,$F35&gt;=V$4),IF($E35=$F35,"◆","■"),"")</f>
        <v/>
      </c>
      <c r="W35" s="27" t="str">
        <f aca="false">IF(AND($E35&lt;=W$4+6,$F35&gt;=W$4),IF($E35=$F35,"◆","■"),"")</f>
        <v/>
      </c>
      <c r="X35" s="27" t="str">
        <f aca="false">IF(AND($E35&lt;=X$4+6,$F35&gt;=X$4),IF($E35=$F35,"◆","■"),"")</f>
        <v/>
      </c>
      <c r="Y35" s="27" t="str">
        <f aca="false">IF(AND($E35&lt;=Y$4+6,$F35&gt;=Y$4),IF($E35=$F35,"◆","■"),"")</f>
        <v/>
      </c>
      <c r="Z35" s="27" t="str">
        <f aca="false">IF(AND($E35&lt;=Z$4+6,$F35&gt;=Z$4),IF($E35=$F35,"◆","■"),"")</f>
        <v/>
      </c>
      <c r="AA35" s="27" t="str">
        <f aca="false">IF(AND($E35&lt;=AA$4+6,$F35&gt;=AA$4),IF($E35=$F35,"◆","■"),"")</f>
        <v/>
      </c>
      <c r="AB35" s="27" t="str">
        <f aca="false">IF(AND($E35&lt;=AB$4+6,$F35&gt;=AB$4),IF($E35=$F35,"◆","■"),"")</f>
        <v/>
      </c>
      <c r="AC35" s="27" t="str">
        <f aca="false">IF(AND($E35&lt;=AC$4+6,$F35&gt;=AC$4),IF($E35=$F35,"◆","■"),"")</f>
        <v/>
      </c>
      <c r="AD35" s="27" t="str">
        <f aca="false">IF(AND($E35&lt;=AD$4+6,$F35&gt;=AD$4),IF($E35=$F35,"◆","■"),"")</f>
        <v/>
      </c>
      <c r="AE35" s="27" t="str">
        <f aca="false">IF(AND($E35&lt;=AE$4+6,$F35&gt;=AE$4),IF($E35=$F35,"◆","■"),"")</f>
        <v/>
      </c>
      <c r="AF35" s="27" t="str">
        <f aca="false">IF(AND($E35&lt;=AF$4+6,$F35&gt;=AF$4),IF($E35=$F35,"◆","■"),"")</f>
        <v/>
      </c>
      <c r="AG35" s="27" t="str">
        <f aca="false">IF(AND($E35&lt;=AG$4+6,$F35&gt;=AG$4),IF($E35=$F35,"◆","■"),"")</f>
        <v/>
      </c>
      <c r="AH35" s="27" t="str">
        <f aca="false">IF(AND($E35&lt;=AH$4+6,$F35&gt;=AH$4),IF($E35=$F35,"◆","■"),"")</f>
        <v/>
      </c>
      <c r="AI35" s="27" t="str">
        <f aca="false">IF(AND($E35&lt;=AI$4+6,$F35&gt;=AI$4),IF($E35=$F35,"◆","■"),"")</f>
        <v/>
      </c>
      <c r="AJ35" s="27" t="str">
        <f aca="false">IF(AND($E35&lt;=AJ$4+6,$F35&gt;=AJ$4),IF($E35=$F35,"◆","■"),"")</f>
        <v/>
      </c>
      <c r="AK35" s="27" t="str">
        <f aca="false">IF(AND($E35&lt;=AK$4+6,$F35&gt;=AK$4),IF($E35=$F35,"◆","■"),"")</f>
        <v/>
      </c>
    </row>
    <row r="36" customFormat="false" ht="15" hidden="false" customHeight="false" outlineLevel="0" collapsed="false">
      <c r="A36" s="24" t="str">
        <f aca="false">'Post-LOI Checklist'!A7</f>
        <v>POST-03</v>
      </c>
      <c r="B36" s="25" t="str">
        <f aca="false">'Post-LOI Checklist'!C7</f>
        <v>Tax structure memo</v>
      </c>
      <c r="C36" s="24" t="str">
        <f aca="false">'Post-LOI Checklist'!G7</f>
        <v>Tax counsel</v>
      </c>
      <c r="D36" s="24" t="str">
        <f aca="false">'Post-LOI Checklist'!E7</f>
        <v>P1 - Critical</v>
      </c>
      <c r="E36" s="26" t="n">
        <f aca="false">'Post-LOI Checklist'!I7</f>
        <v>46314</v>
      </c>
      <c r="F36" s="26" t="n">
        <f aca="false">'Post-LOI Checklist'!J7</f>
        <v>46339</v>
      </c>
      <c r="G36" s="24" t="str">
        <f aca="false">'Post-LOI Checklist'!O7</f>
        <v>Not started</v>
      </c>
      <c r="H36" s="27" t="str">
        <f aca="false">IF(AND($E36&lt;=H$4+6,$F36&gt;=H$4),IF($E36=$F36,"◆","■"),"")</f>
        <v/>
      </c>
      <c r="I36" s="27" t="str">
        <f aca="false">IF(AND($E36&lt;=I$4+6,$F36&gt;=I$4),IF($E36=$F36,"◆","■"),"")</f>
        <v/>
      </c>
      <c r="J36" s="27" t="str">
        <f aca="false">IF(AND($E36&lt;=J$4+6,$F36&gt;=J$4),IF($E36=$F36,"◆","■"),"")</f>
        <v/>
      </c>
      <c r="K36" s="27" t="str">
        <f aca="false">IF(AND($E36&lt;=K$4+6,$F36&gt;=K$4),IF($E36=$F36,"◆","■"),"")</f>
        <v/>
      </c>
      <c r="L36" s="27" t="str">
        <f aca="false">IF(AND($E36&lt;=L$4+6,$F36&gt;=L$4),IF($E36=$F36,"◆","■"),"")</f>
        <v>■</v>
      </c>
      <c r="M36" s="27" t="str">
        <f aca="false">IF(AND($E36&lt;=M$4+6,$F36&gt;=M$4),IF($E36=$F36,"◆","■"),"")</f>
        <v>■</v>
      </c>
      <c r="N36" s="27" t="str">
        <f aca="false">IF(AND($E36&lt;=N$4+6,$F36&gt;=N$4),IF($E36=$F36,"◆","■"),"")</f>
        <v>■</v>
      </c>
      <c r="O36" s="27" t="str">
        <f aca="false">IF(AND($E36&lt;=O$4+6,$F36&gt;=O$4),IF($E36=$F36,"◆","■"),"")</f>
        <v>■</v>
      </c>
      <c r="P36" s="27" t="str">
        <f aca="false">IF(AND($E36&lt;=P$4+6,$F36&gt;=P$4),IF($E36=$F36,"◆","■"),"")</f>
        <v/>
      </c>
      <c r="Q36" s="27" t="str">
        <f aca="false">IF(AND($E36&lt;=Q$4+6,$F36&gt;=Q$4),IF($E36=$F36,"◆","■"),"")</f>
        <v/>
      </c>
      <c r="R36" s="27" t="str">
        <f aca="false">IF(AND($E36&lt;=R$4+6,$F36&gt;=R$4),IF($E36=$F36,"◆","■"),"")</f>
        <v/>
      </c>
      <c r="S36" s="27" t="str">
        <f aca="false">IF(AND($E36&lt;=S$4+6,$F36&gt;=S$4),IF($E36=$F36,"◆","■"),"")</f>
        <v/>
      </c>
      <c r="T36" s="27" t="str">
        <f aca="false">IF(AND($E36&lt;=T$4+6,$F36&gt;=T$4),IF($E36=$F36,"◆","■"),"")</f>
        <v/>
      </c>
      <c r="U36" s="27" t="str">
        <f aca="false">IF(AND($E36&lt;=U$4+6,$F36&gt;=U$4),IF($E36=$F36,"◆","■"),"")</f>
        <v/>
      </c>
      <c r="V36" s="27" t="str">
        <f aca="false">IF(AND($E36&lt;=V$4+6,$F36&gt;=V$4),IF($E36=$F36,"◆","■"),"")</f>
        <v/>
      </c>
      <c r="W36" s="27" t="str">
        <f aca="false">IF(AND($E36&lt;=W$4+6,$F36&gt;=W$4),IF($E36=$F36,"◆","■"),"")</f>
        <v/>
      </c>
      <c r="X36" s="27" t="str">
        <f aca="false">IF(AND($E36&lt;=X$4+6,$F36&gt;=X$4),IF($E36=$F36,"◆","■"),"")</f>
        <v/>
      </c>
      <c r="Y36" s="27" t="str">
        <f aca="false">IF(AND($E36&lt;=Y$4+6,$F36&gt;=Y$4),IF($E36=$F36,"◆","■"),"")</f>
        <v/>
      </c>
      <c r="Z36" s="27" t="str">
        <f aca="false">IF(AND($E36&lt;=Z$4+6,$F36&gt;=Z$4),IF($E36=$F36,"◆","■"),"")</f>
        <v/>
      </c>
      <c r="AA36" s="27" t="str">
        <f aca="false">IF(AND($E36&lt;=AA$4+6,$F36&gt;=AA$4),IF($E36=$F36,"◆","■"),"")</f>
        <v/>
      </c>
      <c r="AB36" s="27" t="str">
        <f aca="false">IF(AND($E36&lt;=AB$4+6,$F36&gt;=AB$4),IF($E36=$F36,"◆","■"),"")</f>
        <v/>
      </c>
      <c r="AC36" s="27" t="str">
        <f aca="false">IF(AND($E36&lt;=AC$4+6,$F36&gt;=AC$4),IF($E36=$F36,"◆","■"),"")</f>
        <v/>
      </c>
      <c r="AD36" s="27" t="str">
        <f aca="false">IF(AND($E36&lt;=AD$4+6,$F36&gt;=AD$4),IF($E36=$F36,"◆","■"),"")</f>
        <v/>
      </c>
      <c r="AE36" s="27" t="str">
        <f aca="false">IF(AND($E36&lt;=AE$4+6,$F36&gt;=AE$4),IF($E36=$F36,"◆","■"),"")</f>
        <v/>
      </c>
      <c r="AF36" s="27" t="str">
        <f aca="false">IF(AND($E36&lt;=AF$4+6,$F36&gt;=AF$4),IF($E36=$F36,"◆","■"),"")</f>
        <v/>
      </c>
      <c r="AG36" s="27" t="str">
        <f aca="false">IF(AND($E36&lt;=AG$4+6,$F36&gt;=AG$4),IF($E36=$F36,"◆","■"),"")</f>
        <v/>
      </c>
      <c r="AH36" s="27" t="str">
        <f aca="false">IF(AND($E36&lt;=AH$4+6,$F36&gt;=AH$4),IF($E36=$F36,"◆","■"),"")</f>
        <v/>
      </c>
      <c r="AI36" s="27" t="str">
        <f aca="false">IF(AND($E36&lt;=AI$4+6,$F36&gt;=AI$4),IF($E36=$F36,"◆","■"),"")</f>
        <v/>
      </c>
      <c r="AJ36" s="27" t="str">
        <f aca="false">IF(AND($E36&lt;=AJ$4+6,$F36&gt;=AJ$4),IF($E36=$F36,"◆","■"),"")</f>
        <v/>
      </c>
      <c r="AK36" s="27" t="str">
        <f aca="false">IF(AND($E36&lt;=AK$4+6,$F36&gt;=AK$4),IF($E36=$F36,"◆","■"),"")</f>
        <v/>
      </c>
    </row>
    <row r="37" customFormat="false" ht="15" hidden="false" customHeight="false" outlineLevel="0" collapsed="false">
      <c r="A37" s="24" t="str">
        <f aca="false">'Post-LOI Checklist'!A8</f>
        <v>POST-04</v>
      </c>
      <c r="B37" s="25" t="str">
        <f aca="false">'Post-LOI Checklist'!C8</f>
        <v>Entity and tax diligence</v>
      </c>
      <c r="C37" s="24" t="str">
        <f aca="false">'Post-LOI Checklist'!G8</f>
        <v>Tax counsel</v>
      </c>
      <c r="D37" s="24" t="str">
        <f aca="false">'Post-LOI Checklist'!E8</f>
        <v>P2 - High</v>
      </c>
      <c r="E37" s="26" t="n">
        <f aca="false">'Post-LOI Checklist'!I8</f>
        <v>46314</v>
      </c>
      <c r="F37" s="26" t="n">
        <f aca="false">'Post-LOI Checklist'!J8</f>
        <v>46339</v>
      </c>
      <c r="G37" s="24" t="str">
        <f aca="false">'Post-LOI Checklist'!O8</f>
        <v>Not started</v>
      </c>
      <c r="H37" s="27" t="str">
        <f aca="false">IF(AND($E37&lt;=H$4+6,$F37&gt;=H$4),IF($E37=$F37,"◆","■"),"")</f>
        <v/>
      </c>
      <c r="I37" s="27" t="str">
        <f aca="false">IF(AND($E37&lt;=I$4+6,$F37&gt;=I$4),IF($E37=$F37,"◆","■"),"")</f>
        <v/>
      </c>
      <c r="J37" s="27" t="str">
        <f aca="false">IF(AND($E37&lt;=J$4+6,$F37&gt;=J$4),IF($E37=$F37,"◆","■"),"")</f>
        <v/>
      </c>
      <c r="K37" s="27" t="str">
        <f aca="false">IF(AND($E37&lt;=K$4+6,$F37&gt;=K$4),IF($E37=$F37,"◆","■"),"")</f>
        <v/>
      </c>
      <c r="L37" s="27" t="str">
        <f aca="false">IF(AND($E37&lt;=L$4+6,$F37&gt;=L$4),IF($E37=$F37,"◆","■"),"")</f>
        <v>■</v>
      </c>
      <c r="M37" s="27" t="str">
        <f aca="false">IF(AND($E37&lt;=M$4+6,$F37&gt;=M$4),IF($E37=$F37,"◆","■"),"")</f>
        <v>■</v>
      </c>
      <c r="N37" s="27" t="str">
        <f aca="false">IF(AND($E37&lt;=N$4+6,$F37&gt;=N$4),IF($E37=$F37,"◆","■"),"")</f>
        <v>■</v>
      </c>
      <c r="O37" s="27" t="str">
        <f aca="false">IF(AND($E37&lt;=O$4+6,$F37&gt;=O$4),IF($E37=$F37,"◆","■"),"")</f>
        <v>■</v>
      </c>
      <c r="P37" s="27" t="str">
        <f aca="false">IF(AND($E37&lt;=P$4+6,$F37&gt;=P$4),IF($E37=$F37,"◆","■"),"")</f>
        <v/>
      </c>
      <c r="Q37" s="27" t="str">
        <f aca="false">IF(AND($E37&lt;=Q$4+6,$F37&gt;=Q$4),IF($E37=$F37,"◆","■"),"")</f>
        <v/>
      </c>
      <c r="R37" s="27" t="str">
        <f aca="false">IF(AND($E37&lt;=R$4+6,$F37&gt;=R$4),IF($E37=$F37,"◆","■"),"")</f>
        <v/>
      </c>
      <c r="S37" s="27" t="str">
        <f aca="false">IF(AND($E37&lt;=S$4+6,$F37&gt;=S$4),IF($E37=$F37,"◆","■"),"")</f>
        <v/>
      </c>
      <c r="T37" s="27" t="str">
        <f aca="false">IF(AND($E37&lt;=T$4+6,$F37&gt;=T$4),IF($E37=$F37,"◆","■"),"")</f>
        <v/>
      </c>
      <c r="U37" s="27" t="str">
        <f aca="false">IF(AND($E37&lt;=U$4+6,$F37&gt;=U$4),IF($E37=$F37,"◆","■"),"")</f>
        <v/>
      </c>
      <c r="V37" s="27" t="str">
        <f aca="false">IF(AND($E37&lt;=V$4+6,$F37&gt;=V$4),IF($E37=$F37,"◆","■"),"")</f>
        <v/>
      </c>
      <c r="W37" s="27" t="str">
        <f aca="false">IF(AND($E37&lt;=W$4+6,$F37&gt;=W$4),IF($E37=$F37,"◆","■"),"")</f>
        <v/>
      </c>
      <c r="X37" s="27" t="str">
        <f aca="false">IF(AND($E37&lt;=X$4+6,$F37&gt;=X$4),IF($E37=$F37,"◆","■"),"")</f>
        <v/>
      </c>
      <c r="Y37" s="27" t="str">
        <f aca="false">IF(AND($E37&lt;=Y$4+6,$F37&gt;=Y$4),IF($E37=$F37,"◆","■"),"")</f>
        <v/>
      </c>
      <c r="Z37" s="27" t="str">
        <f aca="false">IF(AND($E37&lt;=Z$4+6,$F37&gt;=Z$4),IF($E37=$F37,"◆","■"),"")</f>
        <v/>
      </c>
      <c r="AA37" s="27" t="str">
        <f aca="false">IF(AND($E37&lt;=AA$4+6,$F37&gt;=AA$4),IF($E37=$F37,"◆","■"),"")</f>
        <v/>
      </c>
      <c r="AB37" s="27" t="str">
        <f aca="false">IF(AND($E37&lt;=AB$4+6,$F37&gt;=AB$4),IF($E37=$F37,"◆","■"),"")</f>
        <v/>
      </c>
      <c r="AC37" s="27" t="str">
        <f aca="false">IF(AND($E37&lt;=AC$4+6,$F37&gt;=AC$4),IF($E37=$F37,"◆","■"),"")</f>
        <v/>
      </c>
      <c r="AD37" s="27" t="str">
        <f aca="false">IF(AND($E37&lt;=AD$4+6,$F37&gt;=AD$4),IF($E37=$F37,"◆","■"),"")</f>
        <v/>
      </c>
      <c r="AE37" s="27" t="str">
        <f aca="false">IF(AND($E37&lt;=AE$4+6,$F37&gt;=AE$4),IF($E37=$F37,"◆","■"),"")</f>
        <v/>
      </c>
      <c r="AF37" s="27" t="str">
        <f aca="false">IF(AND($E37&lt;=AF$4+6,$F37&gt;=AF$4),IF($E37=$F37,"◆","■"),"")</f>
        <v/>
      </c>
      <c r="AG37" s="27" t="str">
        <f aca="false">IF(AND($E37&lt;=AG$4+6,$F37&gt;=AG$4),IF($E37=$F37,"◆","■"),"")</f>
        <v/>
      </c>
      <c r="AH37" s="27" t="str">
        <f aca="false">IF(AND($E37&lt;=AH$4+6,$F37&gt;=AH$4),IF($E37=$F37,"◆","■"),"")</f>
        <v/>
      </c>
      <c r="AI37" s="27" t="str">
        <f aca="false">IF(AND($E37&lt;=AI$4+6,$F37&gt;=AI$4),IF($E37=$F37,"◆","■"),"")</f>
        <v/>
      </c>
      <c r="AJ37" s="27" t="str">
        <f aca="false">IF(AND($E37&lt;=AJ$4+6,$F37&gt;=AJ$4),IF($E37=$F37,"◆","■"),"")</f>
        <v/>
      </c>
      <c r="AK37" s="27" t="str">
        <f aca="false">IF(AND($E37&lt;=AK$4+6,$F37&gt;=AK$4),IF($E37=$F37,"◆","■"),"")</f>
        <v/>
      </c>
    </row>
    <row r="38" customFormat="false" ht="15" hidden="false" customHeight="false" outlineLevel="0" collapsed="false">
      <c r="A38" s="24" t="str">
        <f aca="false">'Post-LOI Checklist'!A9</f>
        <v>POST-05</v>
      </c>
      <c r="B38" s="25" t="str">
        <f aca="false">'Post-LOI Checklist'!C9</f>
        <v>Thread payoff executed</v>
      </c>
      <c r="C38" s="24" t="str">
        <f aca="false">'Post-LOI Checklist'!G9</f>
        <v>Jon</v>
      </c>
      <c r="D38" s="24" t="str">
        <f aca="false">'Post-LOI Checklist'!E9</f>
        <v>P1 - Critical</v>
      </c>
      <c r="E38" s="26" t="n">
        <f aca="false">'Post-LOI Checklist'!I9</f>
        <v>46314</v>
      </c>
      <c r="F38" s="26" t="n">
        <f aca="false">'Post-LOI Checklist'!J9</f>
        <v>46356</v>
      </c>
      <c r="G38" s="24" t="str">
        <f aca="false">'Post-LOI Checklist'!O9</f>
        <v>Not started</v>
      </c>
      <c r="H38" s="27" t="str">
        <f aca="false">IF(AND($E38&lt;=H$4+6,$F38&gt;=H$4),IF($E38=$F38,"◆","■"),"")</f>
        <v/>
      </c>
      <c r="I38" s="27" t="str">
        <f aca="false">IF(AND($E38&lt;=I$4+6,$F38&gt;=I$4),IF($E38=$F38,"◆","■"),"")</f>
        <v/>
      </c>
      <c r="J38" s="27" t="str">
        <f aca="false">IF(AND($E38&lt;=J$4+6,$F38&gt;=J$4),IF($E38=$F38,"◆","■"),"")</f>
        <v/>
      </c>
      <c r="K38" s="27" t="str">
        <f aca="false">IF(AND($E38&lt;=K$4+6,$F38&gt;=K$4),IF($E38=$F38,"◆","■"),"")</f>
        <v/>
      </c>
      <c r="L38" s="27" t="str">
        <f aca="false">IF(AND($E38&lt;=L$4+6,$F38&gt;=L$4),IF($E38=$F38,"◆","■"),"")</f>
        <v>■</v>
      </c>
      <c r="M38" s="27" t="str">
        <f aca="false">IF(AND($E38&lt;=M$4+6,$F38&gt;=M$4),IF($E38=$F38,"◆","■"),"")</f>
        <v>■</v>
      </c>
      <c r="N38" s="27" t="str">
        <f aca="false">IF(AND($E38&lt;=N$4+6,$F38&gt;=N$4),IF($E38=$F38,"◆","■"),"")</f>
        <v>■</v>
      </c>
      <c r="O38" s="27" t="str">
        <f aca="false">IF(AND($E38&lt;=O$4+6,$F38&gt;=O$4),IF($E38=$F38,"◆","■"),"")</f>
        <v>■</v>
      </c>
      <c r="P38" s="27" t="str">
        <f aca="false">IF(AND($E38&lt;=P$4+6,$F38&gt;=P$4),IF($E38=$F38,"◆","■"),"")</f>
        <v>■</v>
      </c>
      <c r="Q38" s="27" t="str">
        <f aca="false">IF(AND($E38&lt;=Q$4+6,$F38&gt;=Q$4),IF($E38=$F38,"◆","■"),"")</f>
        <v>■</v>
      </c>
      <c r="R38" s="27" t="str">
        <f aca="false">IF(AND($E38&lt;=R$4+6,$F38&gt;=R$4),IF($E38=$F38,"◆","■"),"")</f>
        <v>■</v>
      </c>
      <c r="S38" s="27" t="str">
        <f aca="false">IF(AND($E38&lt;=S$4+6,$F38&gt;=S$4),IF($E38=$F38,"◆","■"),"")</f>
        <v/>
      </c>
      <c r="T38" s="27" t="str">
        <f aca="false">IF(AND($E38&lt;=T$4+6,$F38&gt;=T$4),IF($E38=$F38,"◆","■"),"")</f>
        <v/>
      </c>
      <c r="U38" s="27" t="str">
        <f aca="false">IF(AND($E38&lt;=U$4+6,$F38&gt;=U$4),IF($E38=$F38,"◆","■"),"")</f>
        <v/>
      </c>
      <c r="V38" s="27" t="str">
        <f aca="false">IF(AND($E38&lt;=V$4+6,$F38&gt;=V$4),IF($E38=$F38,"◆","■"),"")</f>
        <v/>
      </c>
      <c r="W38" s="27" t="str">
        <f aca="false">IF(AND($E38&lt;=W$4+6,$F38&gt;=W$4),IF($E38=$F38,"◆","■"),"")</f>
        <v/>
      </c>
      <c r="X38" s="27" t="str">
        <f aca="false">IF(AND($E38&lt;=X$4+6,$F38&gt;=X$4),IF($E38=$F38,"◆","■"),"")</f>
        <v/>
      </c>
      <c r="Y38" s="27" t="str">
        <f aca="false">IF(AND($E38&lt;=Y$4+6,$F38&gt;=Y$4),IF($E38=$F38,"◆","■"),"")</f>
        <v/>
      </c>
      <c r="Z38" s="27" t="str">
        <f aca="false">IF(AND($E38&lt;=Z$4+6,$F38&gt;=Z$4),IF($E38=$F38,"◆","■"),"")</f>
        <v/>
      </c>
      <c r="AA38" s="27" t="str">
        <f aca="false">IF(AND($E38&lt;=AA$4+6,$F38&gt;=AA$4),IF($E38=$F38,"◆","■"),"")</f>
        <v/>
      </c>
      <c r="AB38" s="27" t="str">
        <f aca="false">IF(AND($E38&lt;=AB$4+6,$F38&gt;=AB$4),IF($E38=$F38,"◆","■"),"")</f>
        <v/>
      </c>
      <c r="AC38" s="27" t="str">
        <f aca="false">IF(AND($E38&lt;=AC$4+6,$F38&gt;=AC$4),IF($E38=$F38,"◆","■"),"")</f>
        <v/>
      </c>
      <c r="AD38" s="27" t="str">
        <f aca="false">IF(AND($E38&lt;=AD$4+6,$F38&gt;=AD$4),IF($E38=$F38,"◆","■"),"")</f>
        <v/>
      </c>
      <c r="AE38" s="27" t="str">
        <f aca="false">IF(AND($E38&lt;=AE$4+6,$F38&gt;=AE$4),IF($E38=$F38,"◆","■"),"")</f>
        <v/>
      </c>
      <c r="AF38" s="27" t="str">
        <f aca="false">IF(AND($E38&lt;=AF$4+6,$F38&gt;=AF$4),IF($E38=$F38,"◆","■"),"")</f>
        <v/>
      </c>
      <c r="AG38" s="27" t="str">
        <f aca="false">IF(AND($E38&lt;=AG$4+6,$F38&gt;=AG$4),IF($E38=$F38,"◆","■"),"")</f>
        <v/>
      </c>
      <c r="AH38" s="27" t="str">
        <f aca="false">IF(AND($E38&lt;=AH$4+6,$F38&gt;=AH$4),IF($E38=$F38,"◆","■"),"")</f>
        <v/>
      </c>
      <c r="AI38" s="27" t="str">
        <f aca="false">IF(AND($E38&lt;=AI$4+6,$F38&gt;=AI$4),IF($E38=$F38,"◆","■"),"")</f>
        <v/>
      </c>
      <c r="AJ38" s="27" t="str">
        <f aca="false">IF(AND($E38&lt;=AJ$4+6,$F38&gt;=AJ$4),IF($E38=$F38,"◆","■"),"")</f>
        <v/>
      </c>
      <c r="AK38" s="27" t="str">
        <f aca="false">IF(AND($E38&lt;=AK$4+6,$F38&gt;=AK$4),IF($E38=$F38,"◆","■"),"")</f>
        <v/>
      </c>
    </row>
    <row r="39" customFormat="false" ht="15" hidden="false" customHeight="false" outlineLevel="0" collapsed="false">
      <c r="A39" s="24" t="str">
        <f aca="false">'Post-LOI Checklist'!A10</f>
        <v>POST-06</v>
      </c>
      <c r="B39" s="25" t="str">
        <f aca="false">'Post-LOI Checklist'!C10</f>
        <v>Charge-card wind-down and reserve release</v>
      </c>
      <c r="C39" s="24" t="str">
        <f aca="false">'Post-LOI Checklist'!G10</f>
        <v>Josh</v>
      </c>
      <c r="D39" s="24" t="str">
        <f aca="false">'Post-LOI Checklist'!E10</f>
        <v>P2 - High</v>
      </c>
      <c r="E39" s="26" t="n">
        <f aca="false">'Post-LOI Checklist'!I10</f>
        <v>46314</v>
      </c>
      <c r="F39" s="26" t="n">
        <f aca="false">'Post-LOI Checklist'!J10</f>
        <v>46387</v>
      </c>
      <c r="G39" s="24" t="str">
        <f aca="false">'Post-LOI Checklist'!O10</f>
        <v>Not started</v>
      </c>
      <c r="H39" s="27" t="str">
        <f aca="false">IF(AND($E39&lt;=H$4+6,$F39&gt;=H$4),IF($E39=$F39,"◆","■"),"")</f>
        <v/>
      </c>
      <c r="I39" s="27" t="str">
        <f aca="false">IF(AND($E39&lt;=I$4+6,$F39&gt;=I$4),IF($E39=$F39,"◆","■"),"")</f>
        <v/>
      </c>
      <c r="J39" s="27" t="str">
        <f aca="false">IF(AND($E39&lt;=J$4+6,$F39&gt;=J$4),IF($E39=$F39,"◆","■"),"")</f>
        <v/>
      </c>
      <c r="K39" s="27" t="str">
        <f aca="false">IF(AND($E39&lt;=K$4+6,$F39&gt;=K$4),IF($E39=$F39,"◆","■"),"")</f>
        <v/>
      </c>
      <c r="L39" s="27" t="str">
        <f aca="false">IF(AND($E39&lt;=L$4+6,$F39&gt;=L$4),IF($E39=$F39,"◆","■"),"")</f>
        <v>■</v>
      </c>
      <c r="M39" s="27" t="str">
        <f aca="false">IF(AND($E39&lt;=M$4+6,$F39&gt;=M$4),IF($E39=$F39,"◆","■"),"")</f>
        <v>■</v>
      </c>
      <c r="N39" s="27" t="str">
        <f aca="false">IF(AND($E39&lt;=N$4+6,$F39&gt;=N$4),IF($E39=$F39,"◆","■"),"")</f>
        <v>■</v>
      </c>
      <c r="O39" s="27" t="str">
        <f aca="false">IF(AND($E39&lt;=O$4+6,$F39&gt;=O$4),IF($E39=$F39,"◆","■"),"")</f>
        <v>■</v>
      </c>
      <c r="P39" s="27" t="str">
        <f aca="false">IF(AND($E39&lt;=P$4+6,$F39&gt;=P$4),IF($E39=$F39,"◆","■"),"")</f>
        <v>■</v>
      </c>
      <c r="Q39" s="27" t="str">
        <f aca="false">IF(AND($E39&lt;=Q$4+6,$F39&gt;=Q$4),IF($E39=$F39,"◆","■"),"")</f>
        <v>■</v>
      </c>
      <c r="R39" s="27" t="str">
        <f aca="false">IF(AND($E39&lt;=R$4+6,$F39&gt;=R$4),IF($E39=$F39,"◆","■"),"")</f>
        <v>■</v>
      </c>
      <c r="S39" s="27" t="str">
        <f aca="false">IF(AND($E39&lt;=S$4+6,$F39&gt;=S$4),IF($E39=$F39,"◆","■"),"")</f>
        <v>■</v>
      </c>
      <c r="T39" s="27" t="str">
        <f aca="false">IF(AND($E39&lt;=T$4+6,$F39&gt;=T$4),IF($E39=$F39,"◆","■"),"")</f>
        <v>■</v>
      </c>
      <c r="U39" s="27" t="str">
        <f aca="false">IF(AND($E39&lt;=U$4+6,$F39&gt;=U$4),IF($E39=$F39,"◆","■"),"")</f>
        <v>■</v>
      </c>
      <c r="V39" s="27" t="str">
        <f aca="false">IF(AND($E39&lt;=V$4+6,$F39&gt;=V$4),IF($E39=$F39,"◆","■"),"")</f>
        <v>■</v>
      </c>
      <c r="W39" s="27" t="str">
        <f aca="false">IF(AND($E39&lt;=W$4+6,$F39&gt;=W$4),IF($E39=$F39,"◆","■"),"")</f>
        <v/>
      </c>
      <c r="X39" s="27" t="str">
        <f aca="false">IF(AND($E39&lt;=X$4+6,$F39&gt;=X$4),IF($E39=$F39,"◆","■"),"")</f>
        <v/>
      </c>
      <c r="Y39" s="27" t="str">
        <f aca="false">IF(AND($E39&lt;=Y$4+6,$F39&gt;=Y$4),IF($E39=$F39,"◆","■"),"")</f>
        <v/>
      </c>
      <c r="Z39" s="27" t="str">
        <f aca="false">IF(AND($E39&lt;=Z$4+6,$F39&gt;=Z$4),IF($E39=$F39,"◆","■"),"")</f>
        <v/>
      </c>
      <c r="AA39" s="27" t="str">
        <f aca="false">IF(AND($E39&lt;=AA$4+6,$F39&gt;=AA$4),IF($E39=$F39,"◆","■"),"")</f>
        <v/>
      </c>
      <c r="AB39" s="27" t="str">
        <f aca="false">IF(AND($E39&lt;=AB$4+6,$F39&gt;=AB$4),IF($E39=$F39,"◆","■"),"")</f>
        <v/>
      </c>
      <c r="AC39" s="27" t="str">
        <f aca="false">IF(AND($E39&lt;=AC$4+6,$F39&gt;=AC$4),IF($E39=$F39,"◆","■"),"")</f>
        <v/>
      </c>
      <c r="AD39" s="27" t="str">
        <f aca="false">IF(AND($E39&lt;=AD$4+6,$F39&gt;=AD$4),IF($E39=$F39,"◆","■"),"")</f>
        <v/>
      </c>
      <c r="AE39" s="27" t="str">
        <f aca="false">IF(AND($E39&lt;=AE$4+6,$F39&gt;=AE$4),IF($E39=$F39,"◆","■"),"")</f>
        <v/>
      </c>
      <c r="AF39" s="27" t="str">
        <f aca="false">IF(AND($E39&lt;=AF$4+6,$F39&gt;=AF$4),IF($E39=$F39,"◆","■"),"")</f>
        <v/>
      </c>
      <c r="AG39" s="27" t="str">
        <f aca="false">IF(AND($E39&lt;=AG$4+6,$F39&gt;=AG$4),IF($E39=$F39,"◆","■"),"")</f>
        <v/>
      </c>
      <c r="AH39" s="27" t="str">
        <f aca="false">IF(AND($E39&lt;=AH$4+6,$F39&gt;=AH$4),IF($E39=$F39,"◆","■"),"")</f>
        <v/>
      </c>
      <c r="AI39" s="27" t="str">
        <f aca="false">IF(AND($E39&lt;=AI$4+6,$F39&gt;=AI$4),IF($E39=$F39,"◆","■"),"")</f>
        <v/>
      </c>
      <c r="AJ39" s="27" t="str">
        <f aca="false">IF(AND($E39&lt;=AJ$4+6,$F39&gt;=AJ$4),IF($E39=$F39,"◆","■"),"")</f>
        <v/>
      </c>
      <c r="AK39" s="27" t="str">
        <f aca="false">IF(AND($E39&lt;=AK$4+6,$F39&gt;=AK$4),IF($E39=$F39,"◆","■"),"")</f>
        <v/>
      </c>
    </row>
    <row r="40" customFormat="false" ht="15" hidden="false" customHeight="false" outlineLevel="0" collapsed="false">
      <c r="A40" s="24" t="str">
        <f aca="false">'Post-LOI Checklist'!A11</f>
        <v>POST-07</v>
      </c>
      <c r="B40" s="25" t="str">
        <f aca="false">'Post-LOI Checklist'!C11</f>
        <v>Insider bridge SAFE closed (if pursued)</v>
      </c>
      <c r="C40" s="24" t="str">
        <f aca="false">'Post-LOI Checklist'!G11</f>
        <v>Jon</v>
      </c>
      <c r="D40" s="24" t="str">
        <f aca="false">'Post-LOI Checklist'!E11</f>
        <v>P2 - High</v>
      </c>
      <c r="E40" s="26" t="n">
        <f aca="false">'Post-LOI Checklist'!I11</f>
        <v>46314</v>
      </c>
      <c r="F40" s="26" t="n">
        <f aca="false">'Post-LOI Checklist'!J11</f>
        <v>46367</v>
      </c>
      <c r="G40" s="24" t="str">
        <f aca="false">'Post-LOI Checklist'!O11</f>
        <v>Not started</v>
      </c>
      <c r="H40" s="27" t="str">
        <f aca="false">IF(AND($E40&lt;=H$4+6,$F40&gt;=H$4),IF($E40=$F40,"◆","■"),"")</f>
        <v/>
      </c>
      <c r="I40" s="27" t="str">
        <f aca="false">IF(AND($E40&lt;=I$4+6,$F40&gt;=I$4),IF($E40=$F40,"◆","■"),"")</f>
        <v/>
      </c>
      <c r="J40" s="27" t="str">
        <f aca="false">IF(AND($E40&lt;=J$4+6,$F40&gt;=J$4),IF($E40=$F40,"◆","■"),"")</f>
        <v/>
      </c>
      <c r="K40" s="27" t="str">
        <f aca="false">IF(AND($E40&lt;=K$4+6,$F40&gt;=K$4),IF($E40=$F40,"◆","■"),"")</f>
        <v/>
      </c>
      <c r="L40" s="27" t="str">
        <f aca="false">IF(AND($E40&lt;=L$4+6,$F40&gt;=L$4),IF($E40=$F40,"◆","■"),"")</f>
        <v>■</v>
      </c>
      <c r="M40" s="27" t="str">
        <f aca="false">IF(AND($E40&lt;=M$4+6,$F40&gt;=M$4),IF($E40=$F40,"◆","■"),"")</f>
        <v>■</v>
      </c>
      <c r="N40" s="27" t="str">
        <f aca="false">IF(AND($E40&lt;=N$4+6,$F40&gt;=N$4),IF($E40=$F40,"◆","■"),"")</f>
        <v>■</v>
      </c>
      <c r="O40" s="27" t="str">
        <f aca="false">IF(AND($E40&lt;=O$4+6,$F40&gt;=O$4),IF($E40=$F40,"◆","■"),"")</f>
        <v>■</v>
      </c>
      <c r="P40" s="27" t="str">
        <f aca="false">IF(AND($E40&lt;=P$4+6,$F40&gt;=P$4),IF($E40=$F40,"◆","■"),"")</f>
        <v>■</v>
      </c>
      <c r="Q40" s="27" t="str">
        <f aca="false">IF(AND($E40&lt;=Q$4+6,$F40&gt;=Q$4),IF($E40=$F40,"◆","■"),"")</f>
        <v>■</v>
      </c>
      <c r="R40" s="27" t="str">
        <f aca="false">IF(AND($E40&lt;=R$4+6,$F40&gt;=R$4),IF($E40=$F40,"◆","■"),"")</f>
        <v>■</v>
      </c>
      <c r="S40" s="27" t="str">
        <f aca="false">IF(AND($E40&lt;=S$4+6,$F40&gt;=S$4),IF($E40=$F40,"◆","■"),"")</f>
        <v>■</v>
      </c>
      <c r="T40" s="27" t="str">
        <f aca="false">IF(AND($E40&lt;=T$4+6,$F40&gt;=T$4),IF($E40=$F40,"◆","■"),"")</f>
        <v/>
      </c>
      <c r="U40" s="27" t="str">
        <f aca="false">IF(AND($E40&lt;=U$4+6,$F40&gt;=U$4),IF($E40=$F40,"◆","■"),"")</f>
        <v/>
      </c>
      <c r="V40" s="27" t="str">
        <f aca="false">IF(AND($E40&lt;=V$4+6,$F40&gt;=V$4),IF($E40=$F40,"◆","■"),"")</f>
        <v/>
      </c>
      <c r="W40" s="27" t="str">
        <f aca="false">IF(AND($E40&lt;=W$4+6,$F40&gt;=W$4),IF($E40=$F40,"◆","■"),"")</f>
        <v/>
      </c>
      <c r="X40" s="27" t="str">
        <f aca="false">IF(AND($E40&lt;=X$4+6,$F40&gt;=X$4),IF($E40=$F40,"◆","■"),"")</f>
        <v/>
      </c>
      <c r="Y40" s="27" t="str">
        <f aca="false">IF(AND($E40&lt;=Y$4+6,$F40&gt;=Y$4),IF($E40=$F40,"◆","■"),"")</f>
        <v/>
      </c>
      <c r="Z40" s="27" t="str">
        <f aca="false">IF(AND($E40&lt;=Z$4+6,$F40&gt;=Z$4),IF($E40=$F40,"◆","■"),"")</f>
        <v/>
      </c>
      <c r="AA40" s="27" t="str">
        <f aca="false">IF(AND($E40&lt;=AA$4+6,$F40&gt;=AA$4),IF($E40=$F40,"◆","■"),"")</f>
        <v/>
      </c>
      <c r="AB40" s="27" t="str">
        <f aca="false">IF(AND($E40&lt;=AB$4+6,$F40&gt;=AB$4),IF($E40=$F40,"◆","■"),"")</f>
        <v/>
      </c>
      <c r="AC40" s="27" t="str">
        <f aca="false">IF(AND($E40&lt;=AC$4+6,$F40&gt;=AC$4),IF($E40=$F40,"◆","■"),"")</f>
        <v/>
      </c>
      <c r="AD40" s="27" t="str">
        <f aca="false">IF(AND($E40&lt;=AD$4+6,$F40&gt;=AD$4),IF($E40=$F40,"◆","■"),"")</f>
        <v/>
      </c>
      <c r="AE40" s="27" t="str">
        <f aca="false">IF(AND($E40&lt;=AE$4+6,$F40&gt;=AE$4),IF($E40=$F40,"◆","■"),"")</f>
        <v/>
      </c>
      <c r="AF40" s="27" t="str">
        <f aca="false">IF(AND($E40&lt;=AF$4+6,$F40&gt;=AF$4),IF($E40=$F40,"◆","■"),"")</f>
        <v/>
      </c>
      <c r="AG40" s="27" t="str">
        <f aca="false">IF(AND($E40&lt;=AG$4+6,$F40&gt;=AG$4),IF($E40=$F40,"◆","■"),"")</f>
        <v/>
      </c>
      <c r="AH40" s="27" t="str">
        <f aca="false">IF(AND($E40&lt;=AH$4+6,$F40&gt;=AH$4),IF($E40=$F40,"◆","■"),"")</f>
        <v/>
      </c>
      <c r="AI40" s="27" t="str">
        <f aca="false">IF(AND($E40&lt;=AI$4+6,$F40&gt;=AI$4),IF($E40=$F40,"◆","■"),"")</f>
        <v/>
      </c>
      <c r="AJ40" s="27" t="str">
        <f aca="false">IF(AND($E40&lt;=AJ$4+6,$F40&gt;=AJ$4),IF($E40=$F40,"◆","■"),"")</f>
        <v/>
      </c>
      <c r="AK40" s="27" t="str">
        <f aca="false">IF(AND($E40&lt;=AK$4+6,$F40&gt;=AK$4),IF($E40=$F40,"◆","■"),"")</f>
        <v/>
      </c>
    </row>
    <row r="41" customFormat="false" ht="15" hidden="false" customHeight="false" outlineLevel="0" collapsed="false">
      <c r="A41" s="24" t="str">
        <f aca="false">'Post-LOI Checklist'!A12</f>
        <v>POST-08</v>
      </c>
      <c r="B41" s="25" t="str">
        <f aca="false">'Post-LOI Checklist'!C12</f>
        <v>Reverse diligence by Ben's advisors</v>
      </c>
      <c r="C41" s="24" t="str">
        <f aca="false">'Post-LOI Checklist'!G12</f>
        <v>Ben</v>
      </c>
      <c r="D41" s="24" t="str">
        <f aca="false">'Post-LOI Checklist'!E12</f>
        <v>P2 - High</v>
      </c>
      <c r="E41" s="26" t="n">
        <f aca="false">'Post-LOI Checklist'!I12</f>
        <v>46314</v>
      </c>
      <c r="F41" s="26" t="n">
        <f aca="false">'Post-LOI Checklist'!J12</f>
        <v>46339</v>
      </c>
      <c r="G41" s="24" t="str">
        <f aca="false">'Post-LOI Checklist'!O12</f>
        <v>Not started</v>
      </c>
      <c r="H41" s="27" t="str">
        <f aca="false">IF(AND($E41&lt;=H$4+6,$F41&gt;=H$4),IF($E41=$F41,"◆","■"),"")</f>
        <v/>
      </c>
      <c r="I41" s="27" t="str">
        <f aca="false">IF(AND($E41&lt;=I$4+6,$F41&gt;=I$4),IF($E41=$F41,"◆","■"),"")</f>
        <v/>
      </c>
      <c r="J41" s="27" t="str">
        <f aca="false">IF(AND($E41&lt;=J$4+6,$F41&gt;=J$4),IF($E41=$F41,"◆","■"),"")</f>
        <v/>
      </c>
      <c r="K41" s="27" t="str">
        <f aca="false">IF(AND($E41&lt;=K$4+6,$F41&gt;=K$4),IF($E41=$F41,"◆","■"),"")</f>
        <v/>
      </c>
      <c r="L41" s="27" t="str">
        <f aca="false">IF(AND($E41&lt;=L$4+6,$F41&gt;=L$4),IF($E41=$F41,"◆","■"),"")</f>
        <v>■</v>
      </c>
      <c r="M41" s="27" t="str">
        <f aca="false">IF(AND($E41&lt;=M$4+6,$F41&gt;=M$4),IF($E41=$F41,"◆","■"),"")</f>
        <v>■</v>
      </c>
      <c r="N41" s="27" t="str">
        <f aca="false">IF(AND($E41&lt;=N$4+6,$F41&gt;=N$4),IF($E41=$F41,"◆","■"),"")</f>
        <v>■</v>
      </c>
      <c r="O41" s="27" t="str">
        <f aca="false">IF(AND($E41&lt;=O$4+6,$F41&gt;=O$4),IF($E41=$F41,"◆","■"),"")</f>
        <v>■</v>
      </c>
      <c r="P41" s="27" t="str">
        <f aca="false">IF(AND($E41&lt;=P$4+6,$F41&gt;=P$4),IF($E41=$F41,"◆","■"),"")</f>
        <v/>
      </c>
      <c r="Q41" s="27" t="str">
        <f aca="false">IF(AND($E41&lt;=Q$4+6,$F41&gt;=Q$4),IF($E41=$F41,"◆","■"),"")</f>
        <v/>
      </c>
      <c r="R41" s="27" t="str">
        <f aca="false">IF(AND($E41&lt;=R$4+6,$F41&gt;=R$4),IF($E41=$F41,"◆","■"),"")</f>
        <v/>
      </c>
      <c r="S41" s="27" t="str">
        <f aca="false">IF(AND($E41&lt;=S$4+6,$F41&gt;=S$4),IF($E41=$F41,"◆","■"),"")</f>
        <v/>
      </c>
      <c r="T41" s="27" t="str">
        <f aca="false">IF(AND($E41&lt;=T$4+6,$F41&gt;=T$4),IF($E41=$F41,"◆","■"),"")</f>
        <v/>
      </c>
      <c r="U41" s="27" t="str">
        <f aca="false">IF(AND($E41&lt;=U$4+6,$F41&gt;=U$4),IF($E41=$F41,"◆","■"),"")</f>
        <v/>
      </c>
      <c r="V41" s="27" t="str">
        <f aca="false">IF(AND($E41&lt;=V$4+6,$F41&gt;=V$4),IF($E41=$F41,"◆","■"),"")</f>
        <v/>
      </c>
      <c r="W41" s="27" t="str">
        <f aca="false">IF(AND($E41&lt;=W$4+6,$F41&gt;=W$4),IF($E41=$F41,"◆","■"),"")</f>
        <v/>
      </c>
      <c r="X41" s="27" t="str">
        <f aca="false">IF(AND($E41&lt;=X$4+6,$F41&gt;=X$4),IF($E41=$F41,"◆","■"),"")</f>
        <v/>
      </c>
      <c r="Y41" s="27" t="str">
        <f aca="false">IF(AND($E41&lt;=Y$4+6,$F41&gt;=Y$4),IF($E41=$F41,"◆","■"),"")</f>
        <v/>
      </c>
      <c r="Z41" s="27" t="str">
        <f aca="false">IF(AND($E41&lt;=Z$4+6,$F41&gt;=Z$4),IF($E41=$F41,"◆","■"),"")</f>
        <v/>
      </c>
      <c r="AA41" s="27" t="str">
        <f aca="false">IF(AND($E41&lt;=AA$4+6,$F41&gt;=AA$4),IF($E41=$F41,"◆","■"),"")</f>
        <v/>
      </c>
      <c r="AB41" s="27" t="str">
        <f aca="false">IF(AND($E41&lt;=AB$4+6,$F41&gt;=AB$4),IF($E41=$F41,"◆","■"),"")</f>
        <v/>
      </c>
      <c r="AC41" s="27" t="str">
        <f aca="false">IF(AND($E41&lt;=AC$4+6,$F41&gt;=AC$4),IF($E41=$F41,"◆","■"),"")</f>
        <v/>
      </c>
      <c r="AD41" s="27" t="str">
        <f aca="false">IF(AND($E41&lt;=AD$4+6,$F41&gt;=AD$4),IF($E41=$F41,"◆","■"),"")</f>
        <v/>
      </c>
      <c r="AE41" s="27" t="str">
        <f aca="false">IF(AND($E41&lt;=AE$4+6,$F41&gt;=AE$4),IF($E41=$F41,"◆","■"),"")</f>
        <v/>
      </c>
      <c r="AF41" s="27" t="str">
        <f aca="false">IF(AND($E41&lt;=AF$4+6,$F41&gt;=AF$4),IF($E41=$F41,"◆","■"),"")</f>
        <v/>
      </c>
      <c r="AG41" s="27" t="str">
        <f aca="false">IF(AND($E41&lt;=AG$4+6,$F41&gt;=AG$4),IF($E41=$F41,"◆","■"),"")</f>
        <v/>
      </c>
      <c r="AH41" s="27" t="str">
        <f aca="false">IF(AND($E41&lt;=AH$4+6,$F41&gt;=AH$4),IF($E41=$F41,"◆","■"),"")</f>
        <v/>
      </c>
      <c r="AI41" s="27" t="str">
        <f aca="false">IF(AND($E41&lt;=AI$4+6,$F41&gt;=AI$4),IF($E41=$F41,"◆","■"),"")</f>
        <v/>
      </c>
      <c r="AJ41" s="27" t="str">
        <f aca="false">IF(AND($E41&lt;=AJ$4+6,$F41&gt;=AJ$4),IF($E41=$F41,"◆","■"),"")</f>
        <v/>
      </c>
      <c r="AK41" s="27" t="str">
        <f aca="false">IF(AND($E41&lt;=AK$4+6,$F41&gt;=AK$4),IF($E41=$F41,"◆","■"),"")</f>
        <v/>
      </c>
    </row>
    <row r="42" customFormat="false" ht="15" hidden="false" customHeight="false" outlineLevel="0" collapsed="false">
      <c r="A42" s="24" t="str">
        <f aca="false">'Post-LOI Checklist'!A13</f>
        <v>POST-09</v>
      </c>
      <c r="B42" s="25" t="str">
        <f aca="false">'Post-LOI Checklist'!C13</f>
        <v>Quality of earnings and working-capital peg</v>
      </c>
      <c r="C42" s="24" t="str">
        <f aca="false">'Post-LOI Checklist'!G13</f>
        <v>Josh</v>
      </c>
      <c r="D42" s="24" t="str">
        <f aca="false">'Post-LOI Checklist'!E13</f>
        <v>P1 - Critical</v>
      </c>
      <c r="E42" s="26" t="n">
        <f aca="false">'Post-LOI Checklist'!I13</f>
        <v>46321</v>
      </c>
      <c r="F42" s="26" t="n">
        <f aca="false">'Post-LOI Checklist'!J13</f>
        <v>46346</v>
      </c>
      <c r="G42" s="24" t="str">
        <f aca="false">'Post-LOI Checklist'!O13</f>
        <v>Not started</v>
      </c>
      <c r="H42" s="27" t="str">
        <f aca="false">IF(AND($E42&lt;=H$4+6,$F42&gt;=H$4),IF($E42=$F42,"◆","■"),"")</f>
        <v/>
      </c>
      <c r="I42" s="27" t="str">
        <f aca="false">IF(AND($E42&lt;=I$4+6,$F42&gt;=I$4),IF($E42=$F42,"◆","■"),"")</f>
        <v/>
      </c>
      <c r="J42" s="27" t="str">
        <f aca="false">IF(AND($E42&lt;=J$4+6,$F42&gt;=J$4),IF($E42=$F42,"◆","■"),"")</f>
        <v/>
      </c>
      <c r="K42" s="27" t="str">
        <f aca="false">IF(AND($E42&lt;=K$4+6,$F42&gt;=K$4),IF($E42=$F42,"◆","■"),"")</f>
        <v/>
      </c>
      <c r="L42" s="27" t="str">
        <f aca="false">IF(AND($E42&lt;=L$4+6,$F42&gt;=L$4),IF($E42=$F42,"◆","■"),"")</f>
        <v/>
      </c>
      <c r="M42" s="27" t="str">
        <f aca="false">IF(AND($E42&lt;=M$4+6,$F42&gt;=M$4),IF($E42=$F42,"◆","■"),"")</f>
        <v>■</v>
      </c>
      <c r="N42" s="27" t="str">
        <f aca="false">IF(AND($E42&lt;=N$4+6,$F42&gt;=N$4),IF($E42=$F42,"◆","■"),"")</f>
        <v>■</v>
      </c>
      <c r="O42" s="27" t="str">
        <f aca="false">IF(AND($E42&lt;=O$4+6,$F42&gt;=O$4),IF($E42=$F42,"◆","■"),"")</f>
        <v>■</v>
      </c>
      <c r="P42" s="27" t="str">
        <f aca="false">IF(AND($E42&lt;=P$4+6,$F42&gt;=P$4),IF($E42=$F42,"◆","■"),"")</f>
        <v>■</v>
      </c>
      <c r="Q42" s="27" t="str">
        <f aca="false">IF(AND($E42&lt;=Q$4+6,$F42&gt;=Q$4),IF($E42=$F42,"◆","■"),"")</f>
        <v/>
      </c>
      <c r="R42" s="27" t="str">
        <f aca="false">IF(AND($E42&lt;=R$4+6,$F42&gt;=R$4),IF($E42=$F42,"◆","■"),"")</f>
        <v/>
      </c>
      <c r="S42" s="27" t="str">
        <f aca="false">IF(AND($E42&lt;=S$4+6,$F42&gt;=S$4),IF($E42=$F42,"◆","■"),"")</f>
        <v/>
      </c>
      <c r="T42" s="27" t="str">
        <f aca="false">IF(AND($E42&lt;=T$4+6,$F42&gt;=T$4),IF($E42=$F42,"◆","■"),"")</f>
        <v/>
      </c>
      <c r="U42" s="27" t="str">
        <f aca="false">IF(AND($E42&lt;=U$4+6,$F42&gt;=U$4),IF($E42=$F42,"◆","■"),"")</f>
        <v/>
      </c>
      <c r="V42" s="27" t="str">
        <f aca="false">IF(AND($E42&lt;=V$4+6,$F42&gt;=V$4),IF($E42=$F42,"◆","■"),"")</f>
        <v/>
      </c>
      <c r="W42" s="27" t="str">
        <f aca="false">IF(AND($E42&lt;=W$4+6,$F42&gt;=W$4),IF($E42=$F42,"◆","■"),"")</f>
        <v/>
      </c>
      <c r="X42" s="27" t="str">
        <f aca="false">IF(AND($E42&lt;=X$4+6,$F42&gt;=X$4),IF($E42=$F42,"◆","■"),"")</f>
        <v/>
      </c>
      <c r="Y42" s="27" t="str">
        <f aca="false">IF(AND($E42&lt;=Y$4+6,$F42&gt;=Y$4),IF($E42=$F42,"◆","■"),"")</f>
        <v/>
      </c>
      <c r="Z42" s="27" t="str">
        <f aca="false">IF(AND($E42&lt;=Z$4+6,$F42&gt;=Z$4),IF($E42=$F42,"◆","■"),"")</f>
        <v/>
      </c>
      <c r="AA42" s="27" t="str">
        <f aca="false">IF(AND($E42&lt;=AA$4+6,$F42&gt;=AA$4),IF($E42=$F42,"◆","■"),"")</f>
        <v/>
      </c>
      <c r="AB42" s="27" t="str">
        <f aca="false">IF(AND($E42&lt;=AB$4+6,$F42&gt;=AB$4),IF($E42=$F42,"◆","■"),"")</f>
        <v/>
      </c>
      <c r="AC42" s="27" t="str">
        <f aca="false">IF(AND($E42&lt;=AC$4+6,$F42&gt;=AC$4),IF($E42=$F42,"◆","■"),"")</f>
        <v/>
      </c>
      <c r="AD42" s="27" t="str">
        <f aca="false">IF(AND($E42&lt;=AD$4+6,$F42&gt;=AD$4),IF($E42=$F42,"◆","■"),"")</f>
        <v/>
      </c>
      <c r="AE42" s="27" t="str">
        <f aca="false">IF(AND($E42&lt;=AE$4+6,$F42&gt;=AE$4),IF($E42=$F42,"◆","■"),"")</f>
        <v/>
      </c>
      <c r="AF42" s="27" t="str">
        <f aca="false">IF(AND($E42&lt;=AF$4+6,$F42&gt;=AF$4),IF($E42=$F42,"◆","■"),"")</f>
        <v/>
      </c>
      <c r="AG42" s="27" t="str">
        <f aca="false">IF(AND($E42&lt;=AG$4+6,$F42&gt;=AG$4),IF($E42=$F42,"◆","■"),"")</f>
        <v/>
      </c>
      <c r="AH42" s="27" t="str">
        <f aca="false">IF(AND($E42&lt;=AH$4+6,$F42&gt;=AH$4),IF($E42=$F42,"◆","■"),"")</f>
        <v/>
      </c>
      <c r="AI42" s="27" t="str">
        <f aca="false">IF(AND($E42&lt;=AI$4+6,$F42&gt;=AI$4),IF($E42=$F42,"◆","■"),"")</f>
        <v/>
      </c>
      <c r="AJ42" s="27" t="str">
        <f aca="false">IF(AND($E42&lt;=AJ$4+6,$F42&gt;=AJ$4),IF($E42=$F42,"◆","■"),"")</f>
        <v/>
      </c>
      <c r="AK42" s="27" t="str">
        <f aca="false">IF(AND($E42&lt;=AK$4+6,$F42&gt;=AK$4),IF($E42=$F42,"◆","■"),"")</f>
        <v/>
      </c>
    </row>
    <row r="43" customFormat="false" ht="15" hidden="false" customHeight="false" outlineLevel="0" collapsed="false">
      <c r="A43" s="24" t="str">
        <f aca="false">'Post-LOI Checklist'!A14</f>
        <v>POST-10</v>
      </c>
      <c r="B43" s="25" t="str">
        <f aca="false">'Post-LOI Checklist'!C14</f>
        <v>Client contracts, retention and churn</v>
      </c>
      <c r="C43" s="24" t="str">
        <f aca="false">'Post-LOI Checklist'!G14</f>
        <v>Frank</v>
      </c>
      <c r="D43" s="24" t="str">
        <f aca="false">'Post-LOI Checklist'!E14</f>
        <v>P2 - High</v>
      </c>
      <c r="E43" s="26" t="n">
        <f aca="false">'Post-LOI Checklist'!I14</f>
        <v>46321</v>
      </c>
      <c r="F43" s="26" t="n">
        <f aca="false">'Post-LOI Checklist'!J14</f>
        <v>46339</v>
      </c>
      <c r="G43" s="24" t="str">
        <f aca="false">'Post-LOI Checklist'!O14</f>
        <v>Not started</v>
      </c>
      <c r="H43" s="27" t="str">
        <f aca="false">IF(AND($E43&lt;=H$4+6,$F43&gt;=H$4),IF($E43=$F43,"◆","■"),"")</f>
        <v/>
      </c>
      <c r="I43" s="27" t="str">
        <f aca="false">IF(AND($E43&lt;=I$4+6,$F43&gt;=I$4),IF($E43=$F43,"◆","■"),"")</f>
        <v/>
      </c>
      <c r="J43" s="27" t="str">
        <f aca="false">IF(AND($E43&lt;=J$4+6,$F43&gt;=J$4),IF($E43=$F43,"◆","■"),"")</f>
        <v/>
      </c>
      <c r="K43" s="27" t="str">
        <f aca="false">IF(AND($E43&lt;=K$4+6,$F43&gt;=K$4),IF($E43=$F43,"◆","■"),"")</f>
        <v/>
      </c>
      <c r="L43" s="27" t="str">
        <f aca="false">IF(AND($E43&lt;=L$4+6,$F43&gt;=L$4),IF($E43=$F43,"◆","■"),"")</f>
        <v/>
      </c>
      <c r="M43" s="27" t="str">
        <f aca="false">IF(AND($E43&lt;=M$4+6,$F43&gt;=M$4),IF($E43=$F43,"◆","■"),"")</f>
        <v>■</v>
      </c>
      <c r="N43" s="27" t="str">
        <f aca="false">IF(AND($E43&lt;=N$4+6,$F43&gt;=N$4),IF($E43=$F43,"◆","■"),"")</f>
        <v>■</v>
      </c>
      <c r="O43" s="27" t="str">
        <f aca="false">IF(AND($E43&lt;=O$4+6,$F43&gt;=O$4),IF($E43=$F43,"◆","■"),"")</f>
        <v>■</v>
      </c>
      <c r="P43" s="27" t="str">
        <f aca="false">IF(AND($E43&lt;=P$4+6,$F43&gt;=P$4),IF($E43=$F43,"◆","■"),"")</f>
        <v/>
      </c>
      <c r="Q43" s="27" t="str">
        <f aca="false">IF(AND($E43&lt;=Q$4+6,$F43&gt;=Q$4),IF($E43=$F43,"◆","■"),"")</f>
        <v/>
      </c>
      <c r="R43" s="27" t="str">
        <f aca="false">IF(AND($E43&lt;=R$4+6,$F43&gt;=R$4),IF($E43=$F43,"◆","■"),"")</f>
        <v/>
      </c>
      <c r="S43" s="27" t="str">
        <f aca="false">IF(AND($E43&lt;=S$4+6,$F43&gt;=S$4),IF($E43=$F43,"◆","■"),"")</f>
        <v/>
      </c>
      <c r="T43" s="27" t="str">
        <f aca="false">IF(AND($E43&lt;=T$4+6,$F43&gt;=T$4),IF($E43=$F43,"◆","■"),"")</f>
        <v/>
      </c>
      <c r="U43" s="27" t="str">
        <f aca="false">IF(AND($E43&lt;=U$4+6,$F43&gt;=U$4),IF($E43=$F43,"◆","■"),"")</f>
        <v/>
      </c>
      <c r="V43" s="27" t="str">
        <f aca="false">IF(AND($E43&lt;=V$4+6,$F43&gt;=V$4),IF($E43=$F43,"◆","■"),"")</f>
        <v/>
      </c>
      <c r="W43" s="27" t="str">
        <f aca="false">IF(AND($E43&lt;=W$4+6,$F43&gt;=W$4),IF($E43=$F43,"◆","■"),"")</f>
        <v/>
      </c>
      <c r="X43" s="27" t="str">
        <f aca="false">IF(AND($E43&lt;=X$4+6,$F43&gt;=X$4),IF($E43=$F43,"◆","■"),"")</f>
        <v/>
      </c>
      <c r="Y43" s="27" t="str">
        <f aca="false">IF(AND($E43&lt;=Y$4+6,$F43&gt;=Y$4),IF($E43=$F43,"◆","■"),"")</f>
        <v/>
      </c>
      <c r="Z43" s="27" t="str">
        <f aca="false">IF(AND($E43&lt;=Z$4+6,$F43&gt;=Z$4),IF($E43=$F43,"◆","■"),"")</f>
        <v/>
      </c>
      <c r="AA43" s="27" t="str">
        <f aca="false">IF(AND($E43&lt;=AA$4+6,$F43&gt;=AA$4),IF($E43=$F43,"◆","■"),"")</f>
        <v/>
      </c>
      <c r="AB43" s="27" t="str">
        <f aca="false">IF(AND($E43&lt;=AB$4+6,$F43&gt;=AB$4),IF($E43=$F43,"◆","■"),"")</f>
        <v/>
      </c>
      <c r="AC43" s="27" t="str">
        <f aca="false">IF(AND($E43&lt;=AC$4+6,$F43&gt;=AC$4),IF($E43=$F43,"◆","■"),"")</f>
        <v/>
      </c>
      <c r="AD43" s="27" t="str">
        <f aca="false">IF(AND($E43&lt;=AD$4+6,$F43&gt;=AD$4),IF($E43=$F43,"◆","■"),"")</f>
        <v/>
      </c>
      <c r="AE43" s="27" t="str">
        <f aca="false">IF(AND($E43&lt;=AE$4+6,$F43&gt;=AE$4),IF($E43=$F43,"◆","■"),"")</f>
        <v/>
      </c>
      <c r="AF43" s="27" t="str">
        <f aca="false">IF(AND($E43&lt;=AF$4+6,$F43&gt;=AF$4),IF($E43=$F43,"◆","■"),"")</f>
        <v/>
      </c>
      <c r="AG43" s="27" t="str">
        <f aca="false">IF(AND($E43&lt;=AG$4+6,$F43&gt;=AG$4),IF($E43=$F43,"◆","■"),"")</f>
        <v/>
      </c>
      <c r="AH43" s="27" t="str">
        <f aca="false">IF(AND($E43&lt;=AH$4+6,$F43&gt;=AH$4),IF($E43=$F43,"◆","■"),"")</f>
        <v/>
      </c>
      <c r="AI43" s="27" t="str">
        <f aca="false">IF(AND($E43&lt;=AI$4+6,$F43&gt;=AI$4),IF($E43=$F43,"◆","■"),"")</f>
        <v/>
      </c>
      <c r="AJ43" s="27" t="str">
        <f aca="false">IF(AND($E43&lt;=AJ$4+6,$F43&gt;=AJ$4),IF($E43=$F43,"◆","■"),"")</f>
        <v/>
      </c>
      <c r="AK43" s="27" t="str">
        <f aca="false">IF(AND($E43&lt;=AK$4+6,$F43&gt;=AK$4),IF($E43=$F43,"◆","■"),"")</f>
        <v/>
      </c>
    </row>
    <row r="44" customFormat="false" ht="15" hidden="false" customHeight="false" outlineLevel="0" collapsed="false">
      <c r="A44" s="24" t="str">
        <f aca="false">'Post-LOI Checklist'!A15</f>
        <v>POST-11</v>
      </c>
      <c r="B44" s="25" t="str">
        <f aca="false">'Post-LOI Checklist'!C15</f>
        <v>Offshore team classification and go-forward model</v>
      </c>
      <c r="C44" s="24" t="str">
        <f aca="false">'Post-LOI Checklist'!G15</f>
        <v>Corey</v>
      </c>
      <c r="D44" s="24" t="str">
        <f aca="false">'Post-LOI Checklist'!E15</f>
        <v>P1 - Critical</v>
      </c>
      <c r="E44" s="26" t="n">
        <f aca="false">'Post-LOI Checklist'!I15</f>
        <v>46321</v>
      </c>
      <c r="F44" s="26" t="n">
        <f aca="false">'Post-LOI Checklist'!J15</f>
        <v>46351</v>
      </c>
      <c r="G44" s="24" t="str">
        <f aca="false">'Post-LOI Checklist'!O15</f>
        <v>Not started</v>
      </c>
      <c r="H44" s="27" t="str">
        <f aca="false">IF(AND($E44&lt;=H$4+6,$F44&gt;=H$4),IF($E44=$F44,"◆","■"),"")</f>
        <v/>
      </c>
      <c r="I44" s="27" t="str">
        <f aca="false">IF(AND($E44&lt;=I$4+6,$F44&gt;=I$4),IF($E44=$F44,"◆","■"),"")</f>
        <v/>
      </c>
      <c r="J44" s="27" t="str">
        <f aca="false">IF(AND($E44&lt;=J$4+6,$F44&gt;=J$4),IF($E44=$F44,"◆","■"),"")</f>
        <v/>
      </c>
      <c r="K44" s="27" t="str">
        <f aca="false">IF(AND($E44&lt;=K$4+6,$F44&gt;=K$4),IF($E44=$F44,"◆","■"),"")</f>
        <v/>
      </c>
      <c r="L44" s="27" t="str">
        <f aca="false">IF(AND($E44&lt;=L$4+6,$F44&gt;=L$4),IF($E44=$F44,"◆","■"),"")</f>
        <v/>
      </c>
      <c r="M44" s="27" t="str">
        <f aca="false">IF(AND($E44&lt;=M$4+6,$F44&gt;=M$4),IF($E44=$F44,"◆","■"),"")</f>
        <v>■</v>
      </c>
      <c r="N44" s="27" t="str">
        <f aca="false">IF(AND($E44&lt;=N$4+6,$F44&gt;=N$4),IF($E44=$F44,"◆","■"),"")</f>
        <v>■</v>
      </c>
      <c r="O44" s="27" t="str">
        <f aca="false">IF(AND($E44&lt;=O$4+6,$F44&gt;=O$4),IF($E44=$F44,"◆","■"),"")</f>
        <v>■</v>
      </c>
      <c r="P44" s="27" t="str">
        <f aca="false">IF(AND($E44&lt;=P$4+6,$F44&gt;=P$4),IF($E44=$F44,"◆","■"),"")</f>
        <v>■</v>
      </c>
      <c r="Q44" s="27" t="str">
        <f aca="false">IF(AND($E44&lt;=Q$4+6,$F44&gt;=Q$4),IF($E44=$F44,"◆","■"),"")</f>
        <v>■</v>
      </c>
      <c r="R44" s="27" t="str">
        <f aca="false">IF(AND($E44&lt;=R$4+6,$F44&gt;=R$4),IF($E44=$F44,"◆","■"),"")</f>
        <v/>
      </c>
      <c r="S44" s="27" t="str">
        <f aca="false">IF(AND($E44&lt;=S$4+6,$F44&gt;=S$4),IF($E44=$F44,"◆","■"),"")</f>
        <v/>
      </c>
      <c r="T44" s="27" t="str">
        <f aca="false">IF(AND($E44&lt;=T$4+6,$F44&gt;=T$4),IF($E44=$F44,"◆","■"),"")</f>
        <v/>
      </c>
      <c r="U44" s="27" t="str">
        <f aca="false">IF(AND($E44&lt;=U$4+6,$F44&gt;=U$4),IF($E44=$F44,"◆","■"),"")</f>
        <v/>
      </c>
      <c r="V44" s="27" t="str">
        <f aca="false">IF(AND($E44&lt;=V$4+6,$F44&gt;=V$4),IF($E44=$F44,"◆","■"),"")</f>
        <v/>
      </c>
      <c r="W44" s="27" t="str">
        <f aca="false">IF(AND($E44&lt;=W$4+6,$F44&gt;=W$4),IF($E44=$F44,"◆","■"),"")</f>
        <v/>
      </c>
      <c r="X44" s="27" t="str">
        <f aca="false">IF(AND($E44&lt;=X$4+6,$F44&gt;=X$4),IF($E44=$F44,"◆","■"),"")</f>
        <v/>
      </c>
      <c r="Y44" s="27" t="str">
        <f aca="false">IF(AND($E44&lt;=Y$4+6,$F44&gt;=Y$4),IF($E44=$F44,"◆","■"),"")</f>
        <v/>
      </c>
      <c r="Z44" s="27" t="str">
        <f aca="false">IF(AND($E44&lt;=Z$4+6,$F44&gt;=Z$4),IF($E44=$F44,"◆","■"),"")</f>
        <v/>
      </c>
      <c r="AA44" s="27" t="str">
        <f aca="false">IF(AND($E44&lt;=AA$4+6,$F44&gt;=AA$4),IF($E44=$F44,"◆","■"),"")</f>
        <v/>
      </c>
      <c r="AB44" s="27" t="str">
        <f aca="false">IF(AND($E44&lt;=AB$4+6,$F44&gt;=AB$4),IF($E44=$F44,"◆","■"),"")</f>
        <v/>
      </c>
      <c r="AC44" s="27" t="str">
        <f aca="false">IF(AND($E44&lt;=AC$4+6,$F44&gt;=AC$4),IF($E44=$F44,"◆","■"),"")</f>
        <v/>
      </c>
      <c r="AD44" s="27" t="str">
        <f aca="false">IF(AND($E44&lt;=AD$4+6,$F44&gt;=AD$4),IF($E44=$F44,"◆","■"),"")</f>
        <v/>
      </c>
      <c r="AE44" s="27" t="str">
        <f aca="false">IF(AND($E44&lt;=AE$4+6,$F44&gt;=AE$4),IF($E44=$F44,"◆","■"),"")</f>
        <v/>
      </c>
      <c r="AF44" s="27" t="str">
        <f aca="false">IF(AND($E44&lt;=AF$4+6,$F44&gt;=AF$4),IF($E44=$F44,"◆","■"),"")</f>
        <v/>
      </c>
      <c r="AG44" s="27" t="str">
        <f aca="false">IF(AND($E44&lt;=AG$4+6,$F44&gt;=AG$4),IF($E44=$F44,"◆","■"),"")</f>
        <v/>
      </c>
      <c r="AH44" s="27" t="str">
        <f aca="false">IF(AND($E44&lt;=AH$4+6,$F44&gt;=AH$4),IF($E44=$F44,"◆","■"),"")</f>
        <v/>
      </c>
      <c r="AI44" s="27" t="str">
        <f aca="false">IF(AND($E44&lt;=AI$4+6,$F44&gt;=AI$4),IF($E44=$F44,"◆","■"),"")</f>
        <v/>
      </c>
      <c r="AJ44" s="27" t="str">
        <f aca="false">IF(AND($E44&lt;=AJ$4+6,$F44&gt;=AJ$4),IF($E44=$F44,"◆","■"),"")</f>
        <v/>
      </c>
      <c r="AK44" s="27" t="str">
        <f aca="false">IF(AND($E44&lt;=AK$4+6,$F44&gt;=AK$4),IF($E44=$F44,"◆","■"),"")</f>
        <v/>
      </c>
    </row>
    <row r="45" customFormat="false" ht="15" hidden="false" customHeight="false" outlineLevel="0" collapsed="false">
      <c r="A45" s="24" t="str">
        <f aca="false">'Post-LOI Checklist'!A16</f>
        <v>POST-12</v>
      </c>
      <c r="B45" s="25" t="str">
        <f aca="false">'Post-LOI Checklist'!C16</f>
        <v>Vendor and software contract assignability</v>
      </c>
      <c r="C45" s="24" t="str">
        <f aca="false">'Post-LOI Checklist'!G16</f>
        <v>Frank</v>
      </c>
      <c r="D45" s="24" t="str">
        <f aca="false">'Post-LOI Checklist'!E16</f>
        <v>P2 - High</v>
      </c>
      <c r="E45" s="26" t="n">
        <f aca="false">'Post-LOI Checklist'!I16</f>
        <v>46321</v>
      </c>
      <c r="F45" s="26" t="n">
        <f aca="false">'Post-LOI Checklist'!J16</f>
        <v>46339</v>
      </c>
      <c r="G45" s="24" t="str">
        <f aca="false">'Post-LOI Checklist'!O16</f>
        <v>Not started</v>
      </c>
      <c r="H45" s="27" t="str">
        <f aca="false">IF(AND($E45&lt;=H$4+6,$F45&gt;=H$4),IF($E45=$F45,"◆","■"),"")</f>
        <v/>
      </c>
      <c r="I45" s="27" t="str">
        <f aca="false">IF(AND($E45&lt;=I$4+6,$F45&gt;=I$4),IF($E45=$F45,"◆","■"),"")</f>
        <v/>
      </c>
      <c r="J45" s="27" t="str">
        <f aca="false">IF(AND($E45&lt;=J$4+6,$F45&gt;=J$4),IF($E45=$F45,"◆","■"),"")</f>
        <v/>
      </c>
      <c r="K45" s="27" t="str">
        <f aca="false">IF(AND($E45&lt;=K$4+6,$F45&gt;=K$4),IF($E45=$F45,"◆","■"),"")</f>
        <v/>
      </c>
      <c r="L45" s="27" t="str">
        <f aca="false">IF(AND($E45&lt;=L$4+6,$F45&gt;=L$4),IF($E45=$F45,"◆","■"),"")</f>
        <v/>
      </c>
      <c r="M45" s="27" t="str">
        <f aca="false">IF(AND($E45&lt;=M$4+6,$F45&gt;=M$4),IF($E45=$F45,"◆","■"),"")</f>
        <v>■</v>
      </c>
      <c r="N45" s="27" t="str">
        <f aca="false">IF(AND($E45&lt;=N$4+6,$F45&gt;=N$4),IF($E45=$F45,"◆","■"),"")</f>
        <v>■</v>
      </c>
      <c r="O45" s="27" t="str">
        <f aca="false">IF(AND($E45&lt;=O$4+6,$F45&gt;=O$4),IF($E45=$F45,"◆","■"),"")</f>
        <v>■</v>
      </c>
      <c r="P45" s="27" t="str">
        <f aca="false">IF(AND($E45&lt;=P$4+6,$F45&gt;=P$4),IF($E45=$F45,"◆","■"),"")</f>
        <v/>
      </c>
      <c r="Q45" s="27" t="str">
        <f aca="false">IF(AND($E45&lt;=Q$4+6,$F45&gt;=Q$4),IF($E45=$F45,"◆","■"),"")</f>
        <v/>
      </c>
      <c r="R45" s="27" t="str">
        <f aca="false">IF(AND($E45&lt;=R$4+6,$F45&gt;=R$4),IF($E45=$F45,"◆","■"),"")</f>
        <v/>
      </c>
      <c r="S45" s="27" t="str">
        <f aca="false">IF(AND($E45&lt;=S$4+6,$F45&gt;=S$4),IF($E45=$F45,"◆","■"),"")</f>
        <v/>
      </c>
      <c r="T45" s="27" t="str">
        <f aca="false">IF(AND($E45&lt;=T$4+6,$F45&gt;=T$4),IF($E45=$F45,"◆","■"),"")</f>
        <v/>
      </c>
      <c r="U45" s="27" t="str">
        <f aca="false">IF(AND($E45&lt;=U$4+6,$F45&gt;=U$4),IF($E45=$F45,"◆","■"),"")</f>
        <v/>
      </c>
      <c r="V45" s="27" t="str">
        <f aca="false">IF(AND($E45&lt;=V$4+6,$F45&gt;=V$4),IF($E45=$F45,"◆","■"),"")</f>
        <v/>
      </c>
      <c r="W45" s="27" t="str">
        <f aca="false">IF(AND($E45&lt;=W$4+6,$F45&gt;=W$4),IF($E45=$F45,"◆","■"),"")</f>
        <v/>
      </c>
      <c r="X45" s="27" t="str">
        <f aca="false">IF(AND($E45&lt;=X$4+6,$F45&gt;=X$4),IF($E45=$F45,"◆","■"),"")</f>
        <v/>
      </c>
      <c r="Y45" s="27" t="str">
        <f aca="false">IF(AND($E45&lt;=Y$4+6,$F45&gt;=Y$4),IF($E45=$F45,"◆","■"),"")</f>
        <v/>
      </c>
      <c r="Z45" s="27" t="str">
        <f aca="false">IF(AND($E45&lt;=Z$4+6,$F45&gt;=Z$4),IF($E45=$F45,"◆","■"),"")</f>
        <v/>
      </c>
      <c r="AA45" s="27" t="str">
        <f aca="false">IF(AND($E45&lt;=AA$4+6,$F45&gt;=AA$4),IF($E45=$F45,"◆","■"),"")</f>
        <v/>
      </c>
      <c r="AB45" s="27" t="str">
        <f aca="false">IF(AND($E45&lt;=AB$4+6,$F45&gt;=AB$4),IF($E45=$F45,"◆","■"),"")</f>
        <v/>
      </c>
      <c r="AC45" s="27" t="str">
        <f aca="false">IF(AND($E45&lt;=AC$4+6,$F45&gt;=AC$4),IF($E45=$F45,"◆","■"),"")</f>
        <v/>
      </c>
      <c r="AD45" s="27" t="str">
        <f aca="false">IF(AND($E45&lt;=AD$4+6,$F45&gt;=AD$4),IF($E45=$F45,"◆","■"),"")</f>
        <v/>
      </c>
      <c r="AE45" s="27" t="str">
        <f aca="false">IF(AND($E45&lt;=AE$4+6,$F45&gt;=AE$4),IF($E45=$F45,"◆","■"),"")</f>
        <v/>
      </c>
      <c r="AF45" s="27" t="str">
        <f aca="false">IF(AND($E45&lt;=AF$4+6,$F45&gt;=AF$4),IF($E45=$F45,"◆","■"),"")</f>
        <v/>
      </c>
      <c r="AG45" s="27" t="str">
        <f aca="false">IF(AND($E45&lt;=AG$4+6,$F45&gt;=AG$4),IF($E45=$F45,"◆","■"),"")</f>
        <v/>
      </c>
      <c r="AH45" s="27" t="str">
        <f aca="false">IF(AND($E45&lt;=AH$4+6,$F45&gt;=AH$4),IF($E45=$F45,"◆","■"),"")</f>
        <v/>
      </c>
      <c r="AI45" s="27" t="str">
        <f aca="false">IF(AND($E45&lt;=AI$4+6,$F45&gt;=AI$4),IF($E45=$F45,"◆","■"),"")</f>
        <v/>
      </c>
      <c r="AJ45" s="27" t="str">
        <f aca="false">IF(AND($E45&lt;=AJ$4+6,$F45&gt;=AJ$4),IF($E45=$F45,"◆","■"),"")</f>
        <v/>
      </c>
      <c r="AK45" s="27" t="str">
        <f aca="false">IF(AND($E45&lt;=AK$4+6,$F45&gt;=AK$4),IF($E45=$F45,"◆","■"),"")</f>
        <v/>
      </c>
    </row>
    <row r="46" customFormat="false" ht="15" hidden="false" customHeight="false" outlineLevel="0" collapsed="false">
      <c r="A46" s="24" t="str">
        <f aca="false">'Post-LOI Checklist'!A17</f>
        <v>POST-13</v>
      </c>
      <c r="B46" s="25" t="str">
        <f aca="false">'Post-LOI Checklist'!C17</f>
        <v>IP assignment confirmation</v>
      </c>
      <c r="C46" s="24" t="str">
        <f aca="false">'Post-LOI Checklist'!G17</f>
        <v>Corey</v>
      </c>
      <c r="D46" s="24" t="str">
        <f aca="false">'Post-LOI Checklist'!E17</f>
        <v>P2 - High</v>
      </c>
      <c r="E46" s="26" t="n">
        <f aca="false">'Post-LOI Checklist'!I17</f>
        <v>46321</v>
      </c>
      <c r="F46" s="26" t="n">
        <f aca="false">'Post-LOI Checklist'!J17</f>
        <v>46339</v>
      </c>
      <c r="G46" s="24" t="str">
        <f aca="false">'Post-LOI Checklist'!O17</f>
        <v>Not started</v>
      </c>
      <c r="H46" s="27" t="str">
        <f aca="false">IF(AND($E46&lt;=H$4+6,$F46&gt;=H$4),IF($E46=$F46,"◆","■"),"")</f>
        <v/>
      </c>
      <c r="I46" s="27" t="str">
        <f aca="false">IF(AND($E46&lt;=I$4+6,$F46&gt;=I$4),IF($E46=$F46,"◆","■"),"")</f>
        <v/>
      </c>
      <c r="J46" s="27" t="str">
        <f aca="false">IF(AND($E46&lt;=J$4+6,$F46&gt;=J$4),IF($E46=$F46,"◆","■"),"")</f>
        <v/>
      </c>
      <c r="K46" s="27" t="str">
        <f aca="false">IF(AND($E46&lt;=K$4+6,$F46&gt;=K$4),IF($E46=$F46,"◆","■"),"")</f>
        <v/>
      </c>
      <c r="L46" s="27" t="str">
        <f aca="false">IF(AND($E46&lt;=L$4+6,$F46&gt;=L$4),IF($E46=$F46,"◆","■"),"")</f>
        <v/>
      </c>
      <c r="M46" s="27" t="str">
        <f aca="false">IF(AND($E46&lt;=M$4+6,$F46&gt;=M$4),IF($E46=$F46,"◆","■"),"")</f>
        <v>■</v>
      </c>
      <c r="N46" s="27" t="str">
        <f aca="false">IF(AND($E46&lt;=N$4+6,$F46&gt;=N$4),IF($E46=$F46,"◆","■"),"")</f>
        <v>■</v>
      </c>
      <c r="O46" s="27" t="str">
        <f aca="false">IF(AND($E46&lt;=O$4+6,$F46&gt;=O$4),IF($E46=$F46,"◆","■"),"")</f>
        <v>■</v>
      </c>
      <c r="P46" s="27" t="str">
        <f aca="false">IF(AND($E46&lt;=P$4+6,$F46&gt;=P$4),IF($E46=$F46,"◆","■"),"")</f>
        <v/>
      </c>
      <c r="Q46" s="27" t="str">
        <f aca="false">IF(AND($E46&lt;=Q$4+6,$F46&gt;=Q$4),IF($E46=$F46,"◆","■"),"")</f>
        <v/>
      </c>
      <c r="R46" s="27" t="str">
        <f aca="false">IF(AND($E46&lt;=R$4+6,$F46&gt;=R$4),IF($E46=$F46,"◆","■"),"")</f>
        <v/>
      </c>
      <c r="S46" s="27" t="str">
        <f aca="false">IF(AND($E46&lt;=S$4+6,$F46&gt;=S$4),IF($E46=$F46,"◆","■"),"")</f>
        <v/>
      </c>
      <c r="T46" s="27" t="str">
        <f aca="false">IF(AND($E46&lt;=T$4+6,$F46&gt;=T$4),IF($E46=$F46,"◆","■"),"")</f>
        <v/>
      </c>
      <c r="U46" s="27" t="str">
        <f aca="false">IF(AND($E46&lt;=U$4+6,$F46&gt;=U$4),IF($E46=$F46,"◆","■"),"")</f>
        <v/>
      </c>
      <c r="V46" s="27" t="str">
        <f aca="false">IF(AND($E46&lt;=V$4+6,$F46&gt;=V$4),IF($E46=$F46,"◆","■"),"")</f>
        <v/>
      </c>
      <c r="W46" s="27" t="str">
        <f aca="false">IF(AND($E46&lt;=W$4+6,$F46&gt;=W$4),IF($E46=$F46,"◆","■"),"")</f>
        <v/>
      </c>
      <c r="X46" s="27" t="str">
        <f aca="false">IF(AND($E46&lt;=X$4+6,$F46&gt;=X$4),IF($E46=$F46,"◆","■"),"")</f>
        <v/>
      </c>
      <c r="Y46" s="27" t="str">
        <f aca="false">IF(AND($E46&lt;=Y$4+6,$F46&gt;=Y$4),IF($E46=$F46,"◆","■"),"")</f>
        <v/>
      </c>
      <c r="Z46" s="27" t="str">
        <f aca="false">IF(AND($E46&lt;=Z$4+6,$F46&gt;=Z$4),IF($E46=$F46,"◆","■"),"")</f>
        <v/>
      </c>
      <c r="AA46" s="27" t="str">
        <f aca="false">IF(AND($E46&lt;=AA$4+6,$F46&gt;=AA$4),IF($E46=$F46,"◆","■"),"")</f>
        <v/>
      </c>
      <c r="AB46" s="27" t="str">
        <f aca="false">IF(AND($E46&lt;=AB$4+6,$F46&gt;=AB$4),IF($E46=$F46,"◆","■"),"")</f>
        <v/>
      </c>
      <c r="AC46" s="27" t="str">
        <f aca="false">IF(AND($E46&lt;=AC$4+6,$F46&gt;=AC$4),IF($E46=$F46,"◆","■"),"")</f>
        <v/>
      </c>
      <c r="AD46" s="27" t="str">
        <f aca="false">IF(AND($E46&lt;=AD$4+6,$F46&gt;=AD$4),IF($E46=$F46,"◆","■"),"")</f>
        <v/>
      </c>
      <c r="AE46" s="27" t="str">
        <f aca="false">IF(AND($E46&lt;=AE$4+6,$F46&gt;=AE$4),IF($E46=$F46,"◆","■"),"")</f>
        <v/>
      </c>
      <c r="AF46" s="27" t="str">
        <f aca="false">IF(AND($E46&lt;=AF$4+6,$F46&gt;=AF$4),IF($E46=$F46,"◆","■"),"")</f>
        <v/>
      </c>
      <c r="AG46" s="27" t="str">
        <f aca="false">IF(AND($E46&lt;=AG$4+6,$F46&gt;=AG$4),IF($E46=$F46,"◆","■"),"")</f>
        <v/>
      </c>
      <c r="AH46" s="27" t="str">
        <f aca="false">IF(AND($E46&lt;=AH$4+6,$F46&gt;=AH$4),IF($E46=$F46,"◆","■"),"")</f>
        <v/>
      </c>
      <c r="AI46" s="27" t="str">
        <f aca="false">IF(AND($E46&lt;=AI$4+6,$F46&gt;=AI$4),IF($E46=$F46,"◆","■"),"")</f>
        <v/>
      </c>
      <c r="AJ46" s="27" t="str">
        <f aca="false">IF(AND($E46&lt;=AJ$4+6,$F46&gt;=AJ$4),IF($E46=$F46,"◆","■"),"")</f>
        <v/>
      </c>
      <c r="AK46" s="27" t="str">
        <f aca="false">IF(AND($E46&lt;=AK$4+6,$F46&gt;=AK$4),IF($E46=$F46,"◆","■"),"")</f>
        <v/>
      </c>
    </row>
    <row r="47" customFormat="false" ht="15" hidden="false" customHeight="false" outlineLevel="0" collapsed="false">
      <c r="A47" s="24" t="str">
        <f aca="false">'Post-LOI Checklist'!A18</f>
        <v>POST-14</v>
      </c>
      <c r="B47" s="25" t="str">
        <f aca="false">'Post-LOI Checklist'!C18</f>
        <v>Franchise, marketplace and referral agreements</v>
      </c>
      <c r="C47" s="24" t="str">
        <f aca="false">'Post-LOI Checklist'!G18</f>
        <v>Frank</v>
      </c>
      <c r="D47" s="24" t="str">
        <f aca="false">'Post-LOI Checklist'!E18</f>
        <v>P2 - High</v>
      </c>
      <c r="E47" s="26" t="n">
        <f aca="false">'Post-LOI Checklist'!I18</f>
        <v>46321</v>
      </c>
      <c r="F47" s="26" t="n">
        <f aca="false">'Post-LOI Checklist'!J18</f>
        <v>46339</v>
      </c>
      <c r="G47" s="24" t="str">
        <f aca="false">'Post-LOI Checklist'!O18</f>
        <v>Not started</v>
      </c>
      <c r="H47" s="27" t="str">
        <f aca="false">IF(AND($E47&lt;=H$4+6,$F47&gt;=H$4),IF($E47=$F47,"◆","■"),"")</f>
        <v/>
      </c>
      <c r="I47" s="27" t="str">
        <f aca="false">IF(AND($E47&lt;=I$4+6,$F47&gt;=I$4),IF($E47=$F47,"◆","■"),"")</f>
        <v/>
      </c>
      <c r="J47" s="27" t="str">
        <f aca="false">IF(AND($E47&lt;=J$4+6,$F47&gt;=J$4),IF($E47=$F47,"◆","■"),"")</f>
        <v/>
      </c>
      <c r="K47" s="27" t="str">
        <f aca="false">IF(AND($E47&lt;=K$4+6,$F47&gt;=K$4),IF($E47=$F47,"◆","■"),"")</f>
        <v/>
      </c>
      <c r="L47" s="27" t="str">
        <f aca="false">IF(AND($E47&lt;=L$4+6,$F47&gt;=L$4),IF($E47=$F47,"◆","■"),"")</f>
        <v/>
      </c>
      <c r="M47" s="27" t="str">
        <f aca="false">IF(AND($E47&lt;=M$4+6,$F47&gt;=M$4),IF($E47=$F47,"◆","■"),"")</f>
        <v>■</v>
      </c>
      <c r="N47" s="27" t="str">
        <f aca="false">IF(AND($E47&lt;=N$4+6,$F47&gt;=N$4),IF($E47=$F47,"◆","■"),"")</f>
        <v>■</v>
      </c>
      <c r="O47" s="27" t="str">
        <f aca="false">IF(AND($E47&lt;=O$4+6,$F47&gt;=O$4),IF($E47=$F47,"◆","■"),"")</f>
        <v>■</v>
      </c>
      <c r="P47" s="27" t="str">
        <f aca="false">IF(AND($E47&lt;=P$4+6,$F47&gt;=P$4),IF($E47=$F47,"◆","■"),"")</f>
        <v/>
      </c>
      <c r="Q47" s="27" t="str">
        <f aca="false">IF(AND($E47&lt;=Q$4+6,$F47&gt;=Q$4),IF($E47=$F47,"◆","■"),"")</f>
        <v/>
      </c>
      <c r="R47" s="27" t="str">
        <f aca="false">IF(AND($E47&lt;=R$4+6,$F47&gt;=R$4),IF($E47=$F47,"◆","■"),"")</f>
        <v/>
      </c>
      <c r="S47" s="27" t="str">
        <f aca="false">IF(AND($E47&lt;=S$4+6,$F47&gt;=S$4),IF($E47=$F47,"◆","■"),"")</f>
        <v/>
      </c>
      <c r="T47" s="27" t="str">
        <f aca="false">IF(AND($E47&lt;=T$4+6,$F47&gt;=T$4),IF($E47=$F47,"◆","■"),"")</f>
        <v/>
      </c>
      <c r="U47" s="27" t="str">
        <f aca="false">IF(AND($E47&lt;=U$4+6,$F47&gt;=U$4),IF($E47=$F47,"◆","■"),"")</f>
        <v/>
      </c>
      <c r="V47" s="27" t="str">
        <f aca="false">IF(AND($E47&lt;=V$4+6,$F47&gt;=V$4),IF($E47=$F47,"◆","■"),"")</f>
        <v/>
      </c>
      <c r="W47" s="27" t="str">
        <f aca="false">IF(AND($E47&lt;=W$4+6,$F47&gt;=W$4),IF($E47=$F47,"◆","■"),"")</f>
        <v/>
      </c>
      <c r="X47" s="27" t="str">
        <f aca="false">IF(AND($E47&lt;=X$4+6,$F47&gt;=X$4),IF($E47=$F47,"◆","■"),"")</f>
        <v/>
      </c>
      <c r="Y47" s="27" t="str">
        <f aca="false">IF(AND($E47&lt;=Y$4+6,$F47&gt;=Y$4),IF($E47=$F47,"◆","■"),"")</f>
        <v/>
      </c>
      <c r="Z47" s="27" t="str">
        <f aca="false">IF(AND($E47&lt;=Z$4+6,$F47&gt;=Z$4),IF($E47=$F47,"◆","■"),"")</f>
        <v/>
      </c>
      <c r="AA47" s="27" t="str">
        <f aca="false">IF(AND($E47&lt;=AA$4+6,$F47&gt;=AA$4),IF($E47=$F47,"◆","■"),"")</f>
        <v/>
      </c>
      <c r="AB47" s="27" t="str">
        <f aca="false">IF(AND($E47&lt;=AB$4+6,$F47&gt;=AB$4),IF($E47=$F47,"◆","■"),"")</f>
        <v/>
      </c>
      <c r="AC47" s="27" t="str">
        <f aca="false">IF(AND($E47&lt;=AC$4+6,$F47&gt;=AC$4),IF($E47=$F47,"◆","■"),"")</f>
        <v/>
      </c>
      <c r="AD47" s="27" t="str">
        <f aca="false">IF(AND($E47&lt;=AD$4+6,$F47&gt;=AD$4),IF($E47=$F47,"◆","■"),"")</f>
        <v/>
      </c>
      <c r="AE47" s="27" t="str">
        <f aca="false">IF(AND($E47&lt;=AE$4+6,$F47&gt;=AE$4),IF($E47=$F47,"◆","■"),"")</f>
        <v/>
      </c>
      <c r="AF47" s="27" t="str">
        <f aca="false">IF(AND($E47&lt;=AF$4+6,$F47&gt;=AF$4),IF($E47=$F47,"◆","■"),"")</f>
        <v/>
      </c>
      <c r="AG47" s="27" t="str">
        <f aca="false">IF(AND($E47&lt;=AG$4+6,$F47&gt;=AG$4),IF($E47=$F47,"◆","■"),"")</f>
        <v/>
      </c>
      <c r="AH47" s="27" t="str">
        <f aca="false">IF(AND($E47&lt;=AH$4+6,$F47&gt;=AH$4),IF($E47=$F47,"◆","■"),"")</f>
        <v/>
      </c>
      <c r="AI47" s="27" t="str">
        <f aca="false">IF(AND($E47&lt;=AI$4+6,$F47&gt;=AI$4),IF($E47=$F47,"◆","■"),"")</f>
        <v/>
      </c>
      <c r="AJ47" s="27" t="str">
        <f aca="false">IF(AND($E47&lt;=AJ$4+6,$F47&gt;=AJ$4),IF($E47=$F47,"◆","■"),"")</f>
        <v/>
      </c>
      <c r="AK47" s="27" t="str">
        <f aca="false">IF(AND($E47&lt;=AK$4+6,$F47&gt;=AK$4),IF($E47=$F47,"◆","■"),"")</f>
        <v/>
      </c>
    </row>
    <row r="48" customFormat="false" ht="15" hidden="false" customHeight="false" outlineLevel="0" collapsed="false">
      <c r="A48" s="24" t="str">
        <f aca="false">'Post-LOI Checklist'!A19</f>
        <v>POST-15</v>
      </c>
      <c r="B48" s="25" t="str">
        <f aca="false">'Post-LOI Checklist'!C19</f>
        <v>Membership interest purchase agreement – first draft</v>
      </c>
      <c r="C48" s="24" t="str">
        <f aca="false">'Post-LOI Checklist'!G19</f>
        <v>Corey</v>
      </c>
      <c r="D48" s="24" t="str">
        <f aca="false">'Post-LOI Checklist'!E19</f>
        <v>P1 - Critical</v>
      </c>
      <c r="E48" s="26" t="n">
        <f aca="false">'Post-LOI Checklist'!I19</f>
        <v>46321</v>
      </c>
      <c r="F48" s="26" t="n">
        <f aca="false">'Post-LOI Checklist'!J19</f>
        <v>46339</v>
      </c>
      <c r="G48" s="24" t="str">
        <f aca="false">'Post-LOI Checklist'!O19</f>
        <v>Not started</v>
      </c>
      <c r="H48" s="27" t="str">
        <f aca="false">IF(AND($E48&lt;=H$4+6,$F48&gt;=H$4),IF($E48=$F48,"◆","■"),"")</f>
        <v/>
      </c>
      <c r="I48" s="27" t="str">
        <f aca="false">IF(AND($E48&lt;=I$4+6,$F48&gt;=I$4),IF($E48=$F48,"◆","■"),"")</f>
        <v/>
      </c>
      <c r="J48" s="27" t="str">
        <f aca="false">IF(AND($E48&lt;=J$4+6,$F48&gt;=J$4),IF($E48=$F48,"◆","■"),"")</f>
        <v/>
      </c>
      <c r="K48" s="27" t="str">
        <f aca="false">IF(AND($E48&lt;=K$4+6,$F48&gt;=K$4),IF($E48=$F48,"◆","■"),"")</f>
        <v/>
      </c>
      <c r="L48" s="27" t="str">
        <f aca="false">IF(AND($E48&lt;=L$4+6,$F48&gt;=L$4),IF($E48=$F48,"◆","■"),"")</f>
        <v/>
      </c>
      <c r="M48" s="27" t="str">
        <f aca="false">IF(AND($E48&lt;=M$4+6,$F48&gt;=M$4),IF($E48=$F48,"◆","■"),"")</f>
        <v>■</v>
      </c>
      <c r="N48" s="27" t="str">
        <f aca="false">IF(AND($E48&lt;=N$4+6,$F48&gt;=N$4),IF($E48=$F48,"◆","■"),"")</f>
        <v>■</v>
      </c>
      <c r="O48" s="27" t="str">
        <f aca="false">IF(AND($E48&lt;=O$4+6,$F48&gt;=O$4),IF($E48=$F48,"◆","■"),"")</f>
        <v>■</v>
      </c>
      <c r="P48" s="27" t="str">
        <f aca="false">IF(AND($E48&lt;=P$4+6,$F48&gt;=P$4),IF($E48=$F48,"◆","■"),"")</f>
        <v/>
      </c>
      <c r="Q48" s="27" t="str">
        <f aca="false">IF(AND($E48&lt;=Q$4+6,$F48&gt;=Q$4),IF($E48=$F48,"◆","■"),"")</f>
        <v/>
      </c>
      <c r="R48" s="27" t="str">
        <f aca="false">IF(AND($E48&lt;=R$4+6,$F48&gt;=R$4),IF($E48=$F48,"◆","■"),"")</f>
        <v/>
      </c>
      <c r="S48" s="27" t="str">
        <f aca="false">IF(AND($E48&lt;=S$4+6,$F48&gt;=S$4),IF($E48=$F48,"◆","■"),"")</f>
        <v/>
      </c>
      <c r="T48" s="27" t="str">
        <f aca="false">IF(AND($E48&lt;=T$4+6,$F48&gt;=T$4),IF($E48=$F48,"◆","■"),"")</f>
        <v/>
      </c>
      <c r="U48" s="27" t="str">
        <f aca="false">IF(AND($E48&lt;=U$4+6,$F48&gt;=U$4),IF($E48=$F48,"◆","■"),"")</f>
        <v/>
      </c>
      <c r="V48" s="27" t="str">
        <f aca="false">IF(AND($E48&lt;=V$4+6,$F48&gt;=V$4),IF($E48=$F48,"◆","■"),"")</f>
        <v/>
      </c>
      <c r="W48" s="27" t="str">
        <f aca="false">IF(AND($E48&lt;=W$4+6,$F48&gt;=W$4),IF($E48=$F48,"◆","■"),"")</f>
        <v/>
      </c>
      <c r="X48" s="27" t="str">
        <f aca="false">IF(AND($E48&lt;=X$4+6,$F48&gt;=X$4),IF($E48=$F48,"◆","■"),"")</f>
        <v/>
      </c>
      <c r="Y48" s="27" t="str">
        <f aca="false">IF(AND($E48&lt;=Y$4+6,$F48&gt;=Y$4),IF($E48=$F48,"◆","■"),"")</f>
        <v/>
      </c>
      <c r="Z48" s="27" t="str">
        <f aca="false">IF(AND($E48&lt;=Z$4+6,$F48&gt;=Z$4),IF($E48=$F48,"◆","■"),"")</f>
        <v/>
      </c>
      <c r="AA48" s="27" t="str">
        <f aca="false">IF(AND($E48&lt;=AA$4+6,$F48&gt;=AA$4),IF($E48=$F48,"◆","■"),"")</f>
        <v/>
      </c>
      <c r="AB48" s="27" t="str">
        <f aca="false">IF(AND($E48&lt;=AB$4+6,$F48&gt;=AB$4),IF($E48=$F48,"◆","■"),"")</f>
        <v/>
      </c>
      <c r="AC48" s="27" t="str">
        <f aca="false">IF(AND($E48&lt;=AC$4+6,$F48&gt;=AC$4),IF($E48=$F48,"◆","■"),"")</f>
        <v/>
      </c>
      <c r="AD48" s="27" t="str">
        <f aca="false">IF(AND($E48&lt;=AD$4+6,$F48&gt;=AD$4),IF($E48=$F48,"◆","■"),"")</f>
        <v/>
      </c>
      <c r="AE48" s="27" t="str">
        <f aca="false">IF(AND($E48&lt;=AE$4+6,$F48&gt;=AE$4),IF($E48=$F48,"◆","■"),"")</f>
        <v/>
      </c>
      <c r="AF48" s="27" t="str">
        <f aca="false">IF(AND($E48&lt;=AF$4+6,$F48&gt;=AF$4),IF($E48=$F48,"◆","■"),"")</f>
        <v/>
      </c>
      <c r="AG48" s="27" t="str">
        <f aca="false">IF(AND($E48&lt;=AG$4+6,$F48&gt;=AG$4),IF($E48=$F48,"◆","■"),"")</f>
        <v/>
      </c>
      <c r="AH48" s="27" t="str">
        <f aca="false">IF(AND($E48&lt;=AH$4+6,$F48&gt;=AH$4),IF($E48=$F48,"◆","■"),"")</f>
        <v/>
      </c>
      <c r="AI48" s="27" t="str">
        <f aca="false">IF(AND($E48&lt;=AI$4+6,$F48&gt;=AI$4),IF($E48=$F48,"◆","■"),"")</f>
        <v/>
      </c>
      <c r="AJ48" s="27" t="str">
        <f aca="false">IF(AND($E48&lt;=AJ$4+6,$F48&gt;=AJ$4),IF($E48=$F48,"◆","■"),"")</f>
        <v/>
      </c>
      <c r="AK48" s="27" t="str">
        <f aca="false">IF(AND($E48&lt;=AK$4+6,$F48&gt;=AK$4),IF($E48=$F48,"◆","■"),"")</f>
        <v/>
      </c>
    </row>
    <row r="49" customFormat="false" ht="15" hidden="false" customHeight="false" outlineLevel="0" collapsed="false">
      <c r="A49" s="24" t="str">
        <f aca="false">'Post-LOI Checklist'!A20</f>
        <v>POST-16</v>
      </c>
      <c r="B49" s="25" t="str">
        <f aca="false">'Post-LOI Checklist'!C20</f>
        <v>A&amp;R Operating Agreement – first draft</v>
      </c>
      <c r="C49" s="24" t="str">
        <f aca="false">'Post-LOI Checklist'!G20</f>
        <v>Corey</v>
      </c>
      <c r="D49" s="24" t="str">
        <f aca="false">'Post-LOI Checklist'!E20</f>
        <v>P1 - Critical</v>
      </c>
      <c r="E49" s="26" t="n">
        <f aca="false">'Post-LOI Checklist'!I20</f>
        <v>46321</v>
      </c>
      <c r="F49" s="26" t="n">
        <f aca="false">'Post-LOI Checklist'!J20</f>
        <v>46339</v>
      </c>
      <c r="G49" s="24" t="str">
        <f aca="false">'Post-LOI Checklist'!O20</f>
        <v>Not started</v>
      </c>
      <c r="H49" s="27" t="str">
        <f aca="false">IF(AND($E49&lt;=H$4+6,$F49&gt;=H$4),IF($E49=$F49,"◆","■"),"")</f>
        <v/>
      </c>
      <c r="I49" s="27" t="str">
        <f aca="false">IF(AND($E49&lt;=I$4+6,$F49&gt;=I$4),IF($E49=$F49,"◆","■"),"")</f>
        <v/>
      </c>
      <c r="J49" s="27" t="str">
        <f aca="false">IF(AND($E49&lt;=J$4+6,$F49&gt;=J$4),IF($E49=$F49,"◆","■"),"")</f>
        <v/>
      </c>
      <c r="K49" s="27" t="str">
        <f aca="false">IF(AND($E49&lt;=K$4+6,$F49&gt;=K$4),IF($E49=$F49,"◆","■"),"")</f>
        <v/>
      </c>
      <c r="L49" s="27" t="str">
        <f aca="false">IF(AND($E49&lt;=L$4+6,$F49&gt;=L$4),IF($E49=$F49,"◆","■"),"")</f>
        <v/>
      </c>
      <c r="M49" s="27" t="str">
        <f aca="false">IF(AND($E49&lt;=M$4+6,$F49&gt;=M$4),IF($E49=$F49,"◆","■"),"")</f>
        <v>■</v>
      </c>
      <c r="N49" s="27" t="str">
        <f aca="false">IF(AND($E49&lt;=N$4+6,$F49&gt;=N$4),IF($E49=$F49,"◆","■"),"")</f>
        <v>■</v>
      </c>
      <c r="O49" s="27" t="str">
        <f aca="false">IF(AND($E49&lt;=O$4+6,$F49&gt;=O$4),IF($E49=$F49,"◆","■"),"")</f>
        <v>■</v>
      </c>
      <c r="P49" s="27" t="str">
        <f aca="false">IF(AND($E49&lt;=P$4+6,$F49&gt;=P$4),IF($E49=$F49,"◆","■"),"")</f>
        <v/>
      </c>
      <c r="Q49" s="27" t="str">
        <f aca="false">IF(AND($E49&lt;=Q$4+6,$F49&gt;=Q$4),IF($E49=$F49,"◆","■"),"")</f>
        <v/>
      </c>
      <c r="R49" s="27" t="str">
        <f aca="false">IF(AND($E49&lt;=R$4+6,$F49&gt;=R$4),IF($E49=$F49,"◆","■"),"")</f>
        <v/>
      </c>
      <c r="S49" s="27" t="str">
        <f aca="false">IF(AND($E49&lt;=S$4+6,$F49&gt;=S$4),IF($E49=$F49,"◆","■"),"")</f>
        <v/>
      </c>
      <c r="T49" s="27" t="str">
        <f aca="false">IF(AND($E49&lt;=T$4+6,$F49&gt;=T$4),IF($E49=$F49,"◆","■"),"")</f>
        <v/>
      </c>
      <c r="U49" s="27" t="str">
        <f aca="false">IF(AND($E49&lt;=U$4+6,$F49&gt;=U$4),IF($E49=$F49,"◆","■"),"")</f>
        <v/>
      </c>
      <c r="V49" s="27" t="str">
        <f aca="false">IF(AND($E49&lt;=V$4+6,$F49&gt;=V$4),IF($E49=$F49,"◆","■"),"")</f>
        <v/>
      </c>
      <c r="W49" s="27" t="str">
        <f aca="false">IF(AND($E49&lt;=W$4+6,$F49&gt;=W$4),IF($E49=$F49,"◆","■"),"")</f>
        <v/>
      </c>
      <c r="X49" s="27" t="str">
        <f aca="false">IF(AND($E49&lt;=X$4+6,$F49&gt;=X$4),IF($E49=$F49,"◆","■"),"")</f>
        <v/>
      </c>
      <c r="Y49" s="27" t="str">
        <f aca="false">IF(AND($E49&lt;=Y$4+6,$F49&gt;=Y$4),IF($E49=$F49,"◆","■"),"")</f>
        <v/>
      </c>
      <c r="Z49" s="27" t="str">
        <f aca="false">IF(AND($E49&lt;=Z$4+6,$F49&gt;=Z$4),IF($E49=$F49,"◆","■"),"")</f>
        <v/>
      </c>
      <c r="AA49" s="27" t="str">
        <f aca="false">IF(AND($E49&lt;=AA$4+6,$F49&gt;=AA$4),IF($E49=$F49,"◆","■"),"")</f>
        <v/>
      </c>
      <c r="AB49" s="27" t="str">
        <f aca="false">IF(AND($E49&lt;=AB$4+6,$F49&gt;=AB$4),IF($E49=$F49,"◆","■"),"")</f>
        <v/>
      </c>
      <c r="AC49" s="27" t="str">
        <f aca="false">IF(AND($E49&lt;=AC$4+6,$F49&gt;=AC$4),IF($E49=$F49,"◆","■"),"")</f>
        <v/>
      </c>
      <c r="AD49" s="27" t="str">
        <f aca="false">IF(AND($E49&lt;=AD$4+6,$F49&gt;=AD$4),IF($E49=$F49,"◆","■"),"")</f>
        <v/>
      </c>
      <c r="AE49" s="27" t="str">
        <f aca="false">IF(AND($E49&lt;=AE$4+6,$F49&gt;=AE$4),IF($E49=$F49,"◆","■"),"")</f>
        <v/>
      </c>
      <c r="AF49" s="27" t="str">
        <f aca="false">IF(AND($E49&lt;=AF$4+6,$F49&gt;=AF$4),IF($E49=$F49,"◆","■"),"")</f>
        <v/>
      </c>
      <c r="AG49" s="27" t="str">
        <f aca="false">IF(AND($E49&lt;=AG$4+6,$F49&gt;=AG$4),IF($E49=$F49,"◆","■"),"")</f>
        <v/>
      </c>
      <c r="AH49" s="27" t="str">
        <f aca="false">IF(AND($E49&lt;=AH$4+6,$F49&gt;=AH$4),IF($E49=$F49,"◆","■"),"")</f>
        <v/>
      </c>
      <c r="AI49" s="27" t="str">
        <f aca="false">IF(AND($E49&lt;=AI$4+6,$F49&gt;=AI$4),IF($E49=$F49,"◆","■"),"")</f>
        <v/>
      </c>
      <c r="AJ49" s="27" t="str">
        <f aca="false">IF(AND($E49&lt;=AJ$4+6,$F49&gt;=AJ$4),IF($E49=$F49,"◆","■"),"")</f>
        <v/>
      </c>
      <c r="AK49" s="27" t="str">
        <f aca="false">IF(AND($E49&lt;=AK$4+6,$F49&gt;=AK$4),IF($E49=$F49,"◆","■"),"")</f>
        <v/>
      </c>
    </row>
    <row r="50" customFormat="false" ht="15" hidden="false" customHeight="false" outlineLevel="0" collapsed="false">
      <c r="A50" s="24" t="str">
        <f aca="false">'Post-LOI Checklist'!A21</f>
        <v>POST-17</v>
      </c>
      <c r="B50" s="25" t="str">
        <f aca="false">'Post-LOI Checklist'!C21</f>
        <v>Services Schedule</v>
      </c>
      <c r="C50" s="24" t="str">
        <f aca="false">'Post-LOI Checklist'!G21</f>
        <v>Frank</v>
      </c>
      <c r="D50" s="24" t="str">
        <f aca="false">'Post-LOI Checklist'!E21</f>
        <v>P1 - Critical</v>
      </c>
      <c r="E50" s="26" t="n">
        <f aca="false">'Post-LOI Checklist'!I21</f>
        <v>46328</v>
      </c>
      <c r="F50" s="26" t="n">
        <f aca="false">'Post-LOI Checklist'!J21</f>
        <v>46346</v>
      </c>
      <c r="G50" s="24" t="str">
        <f aca="false">'Post-LOI Checklist'!O21</f>
        <v>Not started</v>
      </c>
      <c r="H50" s="27" t="str">
        <f aca="false">IF(AND($E50&lt;=H$4+6,$F50&gt;=H$4),IF($E50=$F50,"◆","■"),"")</f>
        <v/>
      </c>
      <c r="I50" s="27" t="str">
        <f aca="false">IF(AND($E50&lt;=I$4+6,$F50&gt;=I$4),IF($E50=$F50,"◆","■"),"")</f>
        <v/>
      </c>
      <c r="J50" s="27" t="str">
        <f aca="false">IF(AND($E50&lt;=J$4+6,$F50&gt;=J$4),IF($E50=$F50,"◆","■"),"")</f>
        <v/>
      </c>
      <c r="K50" s="27" t="str">
        <f aca="false">IF(AND($E50&lt;=K$4+6,$F50&gt;=K$4),IF($E50=$F50,"◆","■"),"")</f>
        <v/>
      </c>
      <c r="L50" s="27" t="str">
        <f aca="false">IF(AND($E50&lt;=L$4+6,$F50&gt;=L$4),IF($E50=$F50,"◆","■"),"")</f>
        <v/>
      </c>
      <c r="M50" s="27" t="str">
        <f aca="false">IF(AND($E50&lt;=M$4+6,$F50&gt;=M$4),IF($E50=$F50,"◆","■"),"")</f>
        <v/>
      </c>
      <c r="N50" s="27" t="str">
        <f aca="false">IF(AND($E50&lt;=N$4+6,$F50&gt;=N$4),IF($E50=$F50,"◆","■"),"")</f>
        <v>■</v>
      </c>
      <c r="O50" s="27" t="str">
        <f aca="false">IF(AND($E50&lt;=O$4+6,$F50&gt;=O$4),IF($E50=$F50,"◆","■"),"")</f>
        <v>■</v>
      </c>
      <c r="P50" s="27" t="str">
        <f aca="false">IF(AND($E50&lt;=P$4+6,$F50&gt;=P$4),IF($E50=$F50,"◆","■"),"")</f>
        <v>■</v>
      </c>
      <c r="Q50" s="27" t="str">
        <f aca="false">IF(AND($E50&lt;=Q$4+6,$F50&gt;=Q$4),IF($E50=$F50,"◆","■"),"")</f>
        <v/>
      </c>
      <c r="R50" s="27" t="str">
        <f aca="false">IF(AND($E50&lt;=R$4+6,$F50&gt;=R$4),IF($E50=$F50,"◆","■"),"")</f>
        <v/>
      </c>
      <c r="S50" s="27" t="str">
        <f aca="false">IF(AND($E50&lt;=S$4+6,$F50&gt;=S$4),IF($E50=$F50,"◆","■"),"")</f>
        <v/>
      </c>
      <c r="T50" s="27" t="str">
        <f aca="false">IF(AND($E50&lt;=T$4+6,$F50&gt;=T$4),IF($E50=$F50,"◆","■"),"")</f>
        <v/>
      </c>
      <c r="U50" s="27" t="str">
        <f aca="false">IF(AND($E50&lt;=U$4+6,$F50&gt;=U$4),IF($E50=$F50,"◆","■"),"")</f>
        <v/>
      </c>
      <c r="V50" s="27" t="str">
        <f aca="false">IF(AND($E50&lt;=V$4+6,$F50&gt;=V$4),IF($E50=$F50,"◆","■"),"")</f>
        <v/>
      </c>
      <c r="W50" s="27" t="str">
        <f aca="false">IF(AND($E50&lt;=W$4+6,$F50&gt;=W$4),IF($E50=$F50,"◆","■"),"")</f>
        <v/>
      </c>
      <c r="X50" s="27" t="str">
        <f aca="false">IF(AND($E50&lt;=X$4+6,$F50&gt;=X$4),IF($E50=$F50,"◆","■"),"")</f>
        <v/>
      </c>
      <c r="Y50" s="27" t="str">
        <f aca="false">IF(AND($E50&lt;=Y$4+6,$F50&gt;=Y$4),IF($E50=$F50,"◆","■"),"")</f>
        <v/>
      </c>
      <c r="Z50" s="27" t="str">
        <f aca="false">IF(AND($E50&lt;=Z$4+6,$F50&gt;=Z$4),IF($E50=$F50,"◆","■"),"")</f>
        <v/>
      </c>
      <c r="AA50" s="27" t="str">
        <f aca="false">IF(AND($E50&lt;=AA$4+6,$F50&gt;=AA$4),IF($E50=$F50,"◆","■"),"")</f>
        <v/>
      </c>
      <c r="AB50" s="27" t="str">
        <f aca="false">IF(AND($E50&lt;=AB$4+6,$F50&gt;=AB$4),IF($E50=$F50,"◆","■"),"")</f>
        <v/>
      </c>
      <c r="AC50" s="27" t="str">
        <f aca="false">IF(AND($E50&lt;=AC$4+6,$F50&gt;=AC$4),IF($E50=$F50,"◆","■"),"")</f>
        <v/>
      </c>
      <c r="AD50" s="27" t="str">
        <f aca="false">IF(AND($E50&lt;=AD$4+6,$F50&gt;=AD$4),IF($E50=$F50,"◆","■"),"")</f>
        <v/>
      </c>
      <c r="AE50" s="27" t="str">
        <f aca="false">IF(AND($E50&lt;=AE$4+6,$F50&gt;=AE$4),IF($E50=$F50,"◆","■"),"")</f>
        <v/>
      </c>
      <c r="AF50" s="27" t="str">
        <f aca="false">IF(AND($E50&lt;=AF$4+6,$F50&gt;=AF$4),IF($E50=$F50,"◆","■"),"")</f>
        <v/>
      </c>
      <c r="AG50" s="27" t="str">
        <f aca="false">IF(AND($E50&lt;=AG$4+6,$F50&gt;=AG$4),IF($E50=$F50,"◆","■"),"")</f>
        <v/>
      </c>
      <c r="AH50" s="27" t="str">
        <f aca="false">IF(AND($E50&lt;=AH$4+6,$F50&gt;=AH$4),IF($E50=$F50,"◆","■"),"")</f>
        <v/>
      </c>
      <c r="AI50" s="27" t="str">
        <f aca="false">IF(AND($E50&lt;=AI$4+6,$F50&gt;=AI$4),IF($E50=$F50,"◆","■"),"")</f>
        <v/>
      </c>
      <c r="AJ50" s="27" t="str">
        <f aca="false">IF(AND($E50&lt;=AJ$4+6,$F50&gt;=AJ$4),IF($E50=$F50,"◆","■"),"")</f>
        <v/>
      </c>
      <c r="AK50" s="27" t="str">
        <f aca="false">IF(AND($E50&lt;=AK$4+6,$F50&gt;=AK$4),IF($E50=$F50,"◆","■"),"")</f>
        <v/>
      </c>
    </row>
    <row r="51" customFormat="false" ht="15" hidden="false" customHeight="false" outlineLevel="0" collapsed="false">
      <c r="A51" s="24" t="str">
        <f aca="false">'Post-LOI Checklist'!A22</f>
        <v>POST-18</v>
      </c>
      <c r="B51" s="25" t="str">
        <f aca="false">'Post-LOI Checklist'!C22</f>
        <v>Migration Protocol</v>
      </c>
      <c r="C51" s="24" t="str">
        <f aca="false">'Post-LOI Checklist'!G22</f>
        <v>Pete</v>
      </c>
      <c r="D51" s="24" t="str">
        <f aca="false">'Post-LOI Checklist'!E22</f>
        <v>P2 - High</v>
      </c>
      <c r="E51" s="26" t="n">
        <f aca="false">'Post-LOI Checklist'!I22</f>
        <v>46328</v>
      </c>
      <c r="F51" s="26" t="n">
        <f aca="false">'Post-LOI Checklist'!J22</f>
        <v>46351</v>
      </c>
      <c r="G51" s="24" t="str">
        <f aca="false">'Post-LOI Checklist'!O22</f>
        <v>Not started</v>
      </c>
      <c r="H51" s="27" t="str">
        <f aca="false">IF(AND($E51&lt;=H$4+6,$F51&gt;=H$4),IF($E51=$F51,"◆","■"),"")</f>
        <v/>
      </c>
      <c r="I51" s="27" t="str">
        <f aca="false">IF(AND($E51&lt;=I$4+6,$F51&gt;=I$4),IF($E51=$F51,"◆","■"),"")</f>
        <v/>
      </c>
      <c r="J51" s="27" t="str">
        <f aca="false">IF(AND($E51&lt;=J$4+6,$F51&gt;=J$4),IF($E51=$F51,"◆","■"),"")</f>
        <v/>
      </c>
      <c r="K51" s="27" t="str">
        <f aca="false">IF(AND($E51&lt;=K$4+6,$F51&gt;=K$4),IF($E51=$F51,"◆","■"),"")</f>
        <v/>
      </c>
      <c r="L51" s="27" t="str">
        <f aca="false">IF(AND($E51&lt;=L$4+6,$F51&gt;=L$4),IF($E51=$F51,"◆","■"),"")</f>
        <v/>
      </c>
      <c r="M51" s="27" t="str">
        <f aca="false">IF(AND($E51&lt;=M$4+6,$F51&gt;=M$4),IF($E51=$F51,"◆","■"),"")</f>
        <v/>
      </c>
      <c r="N51" s="27" t="str">
        <f aca="false">IF(AND($E51&lt;=N$4+6,$F51&gt;=N$4),IF($E51=$F51,"◆","■"),"")</f>
        <v>■</v>
      </c>
      <c r="O51" s="27" t="str">
        <f aca="false">IF(AND($E51&lt;=O$4+6,$F51&gt;=O$4),IF($E51=$F51,"◆","■"),"")</f>
        <v>■</v>
      </c>
      <c r="P51" s="27" t="str">
        <f aca="false">IF(AND($E51&lt;=P$4+6,$F51&gt;=P$4),IF($E51=$F51,"◆","■"),"")</f>
        <v>■</v>
      </c>
      <c r="Q51" s="27" t="str">
        <f aca="false">IF(AND($E51&lt;=Q$4+6,$F51&gt;=Q$4),IF($E51=$F51,"◆","■"),"")</f>
        <v>■</v>
      </c>
      <c r="R51" s="27" t="str">
        <f aca="false">IF(AND($E51&lt;=R$4+6,$F51&gt;=R$4),IF($E51=$F51,"◆","■"),"")</f>
        <v/>
      </c>
      <c r="S51" s="27" t="str">
        <f aca="false">IF(AND($E51&lt;=S$4+6,$F51&gt;=S$4),IF($E51=$F51,"◆","■"),"")</f>
        <v/>
      </c>
      <c r="T51" s="27" t="str">
        <f aca="false">IF(AND($E51&lt;=T$4+6,$F51&gt;=T$4),IF($E51=$F51,"◆","■"),"")</f>
        <v/>
      </c>
      <c r="U51" s="27" t="str">
        <f aca="false">IF(AND($E51&lt;=U$4+6,$F51&gt;=U$4),IF($E51=$F51,"◆","■"),"")</f>
        <v/>
      </c>
      <c r="V51" s="27" t="str">
        <f aca="false">IF(AND($E51&lt;=V$4+6,$F51&gt;=V$4),IF($E51=$F51,"◆","■"),"")</f>
        <v/>
      </c>
      <c r="W51" s="27" t="str">
        <f aca="false">IF(AND($E51&lt;=W$4+6,$F51&gt;=W$4),IF($E51=$F51,"◆","■"),"")</f>
        <v/>
      </c>
      <c r="X51" s="27" t="str">
        <f aca="false">IF(AND($E51&lt;=X$4+6,$F51&gt;=X$4),IF($E51=$F51,"◆","■"),"")</f>
        <v/>
      </c>
      <c r="Y51" s="27" t="str">
        <f aca="false">IF(AND($E51&lt;=Y$4+6,$F51&gt;=Y$4),IF($E51=$F51,"◆","■"),"")</f>
        <v/>
      </c>
      <c r="Z51" s="27" t="str">
        <f aca="false">IF(AND($E51&lt;=Z$4+6,$F51&gt;=Z$4),IF($E51=$F51,"◆","■"),"")</f>
        <v/>
      </c>
      <c r="AA51" s="27" t="str">
        <f aca="false">IF(AND($E51&lt;=AA$4+6,$F51&gt;=AA$4),IF($E51=$F51,"◆","■"),"")</f>
        <v/>
      </c>
      <c r="AB51" s="27" t="str">
        <f aca="false">IF(AND($E51&lt;=AB$4+6,$F51&gt;=AB$4),IF($E51=$F51,"◆","■"),"")</f>
        <v/>
      </c>
      <c r="AC51" s="27" t="str">
        <f aca="false">IF(AND($E51&lt;=AC$4+6,$F51&gt;=AC$4),IF($E51=$F51,"◆","■"),"")</f>
        <v/>
      </c>
      <c r="AD51" s="27" t="str">
        <f aca="false">IF(AND($E51&lt;=AD$4+6,$F51&gt;=AD$4),IF($E51=$F51,"◆","■"),"")</f>
        <v/>
      </c>
      <c r="AE51" s="27" t="str">
        <f aca="false">IF(AND($E51&lt;=AE$4+6,$F51&gt;=AE$4),IF($E51=$F51,"◆","■"),"")</f>
        <v/>
      </c>
      <c r="AF51" s="27" t="str">
        <f aca="false">IF(AND($E51&lt;=AF$4+6,$F51&gt;=AF$4),IF($E51=$F51,"◆","■"),"")</f>
        <v/>
      </c>
      <c r="AG51" s="27" t="str">
        <f aca="false">IF(AND($E51&lt;=AG$4+6,$F51&gt;=AG$4),IF($E51=$F51,"◆","■"),"")</f>
        <v/>
      </c>
      <c r="AH51" s="27" t="str">
        <f aca="false">IF(AND($E51&lt;=AH$4+6,$F51&gt;=AH$4),IF($E51=$F51,"◆","■"),"")</f>
        <v/>
      </c>
      <c r="AI51" s="27" t="str">
        <f aca="false">IF(AND($E51&lt;=AI$4+6,$F51&gt;=AI$4),IF($E51=$F51,"◆","■"),"")</f>
        <v/>
      </c>
      <c r="AJ51" s="27" t="str">
        <f aca="false">IF(AND($E51&lt;=AJ$4+6,$F51&gt;=AJ$4),IF($E51=$F51,"◆","■"),"")</f>
        <v/>
      </c>
      <c r="AK51" s="27" t="str">
        <f aca="false">IF(AND($E51&lt;=AK$4+6,$F51&gt;=AK$4),IF($E51=$F51,"◆","■"),"")</f>
        <v/>
      </c>
    </row>
    <row r="52" customFormat="false" ht="15" hidden="false" customHeight="false" outlineLevel="0" collapsed="false">
      <c r="A52" s="24" t="str">
        <f aca="false">'Post-LOI Checklist'!A23</f>
        <v>POST-19</v>
      </c>
      <c r="B52" s="25" t="str">
        <f aca="false">'Post-LOI Checklist'!C23</f>
        <v>Ben employment and restrictive-covenant agreements</v>
      </c>
      <c r="C52" s="24" t="str">
        <f aca="false">'Post-LOI Checklist'!G23</f>
        <v>Corey</v>
      </c>
      <c r="D52" s="24" t="str">
        <f aca="false">'Post-LOI Checklist'!E23</f>
        <v>P1 - Critical</v>
      </c>
      <c r="E52" s="26" t="n">
        <f aca="false">'Post-LOI Checklist'!I23</f>
        <v>46328</v>
      </c>
      <c r="F52" s="26" t="n">
        <f aca="false">'Post-LOI Checklist'!J23</f>
        <v>46351</v>
      </c>
      <c r="G52" s="24" t="str">
        <f aca="false">'Post-LOI Checklist'!O23</f>
        <v>Not started</v>
      </c>
      <c r="H52" s="27" t="str">
        <f aca="false">IF(AND($E52&lt;=H$4+6,$F52&gt;=H$4),IF($E52=$F52,"◆","■"),"")</f>
        <v/>
      </c>
      <c r="I52" s="27" t="str">
        <f aca="false">IF(AND($E52&lt;=I$4+6,$F52&gt;=I$4),IF($E52=$F52,"◆","■"),"")</f>
        <v/>
      </c>
      <c r="J52" s="27" t="str">
        <f aca="false">IF(AND($E52&lt;=J$4+6,$F52&gt;=J$4),IF($E52=$F52,"◆","■"),"")</f>
        <v/>
      </c>
      <c r="K52" s="27" t="str">
        <f aca="false">IF(AND($E52&lt;=K$4+6,$F52&gt;=K$4),IF($E52=$F52,"◆","■"),"")</f>
        <v/>
      </c>
      <c r="L52" s="27" t="str">
        <f aca="false">IF(AND($E52&lt;=L$4+6,$F52&gt;=L$4),IF($E52=$F52,"◆","■"),"")</f>
        <v/>
      </c>
      <c r="M52" s="27" t="str">
        <f aca="false">IF(AND($E52&lt;=M$4+6,$F52&gt;=M$4),IF($E52=$F52,"◆","■"),"")</f>
        <v/>
      </c>
      <c r="N52" s="27" t="str">
        <f aca="false">IF(AND($E52&lt;=N$4+6,$F52&gt;=N$4),IF($E52=$F52,"◆","■"),"")</f>
        <v>■</v>
      </c>
      <c r="O52" s="27" t="str">
        <f aca="false">IF(AND($E52&lt;=O$4+6,$F52&gt;=O$4),IF($E52=$F52,"◆","■"),"")</f>
        <v>■</v>
      </c>
      <c r="P52" s="27" t="str">
        <f aca="false">IF(AND($E52&lt;=P$4+6,$F52&gt;=P$4),IF($E52=$F52,"◆","■"),"")</f>
        <v>■</v>
      </c>
      <c r="Q52" s="27" t="str">
        <f aca="false">IF(AND($E52&lt;=Q$4+6,$F52&gt;=Q$4),IF($E52=$F52,"◆","■"),"")</f>
        <v>■</v>
      </c>
      <c r="R52" s="27" t="str">
        <f aca="false">IF(AND($E52&lt;=R$4+6,$F52&gt;=R$4),IF($E52=$F52,"◆","■"),"")</f>
        <v/>
      </c>
      <c r="S52" s="27" t="str">
        <f aca="false">IF(AND($E52&lt;=S$4+6,$F52&gt;=S$4),IF($E52=$F52,"◆","■"),"")</f>
        <v/>
      </c>
      <c r="T52" s="27" t="str">
        <f aca="false">IF(AND($E52&lt;=T$4+6,$F52&gt;=T$4),IF($E52=$F52,"◆","■"),"")</f>
        <v/>
      </c>
      <c r="U52" s="27" t="str">
        <f aca="false">IF(AND($E52&lt;=U$4+6,$F52&gt;=U$4),IF($E52=$F52,"◆","■"),"")</f>
        <v/>
      </c>
      <c r="V52" s="27" t="str">
        <f aca="false">IF(AND($E52&lt;=V$4+6,$F52&gt;=V$4),IF($E52=$F52,"◆","■"),"")</f>
        <v/>
      </c>
      <c r="W52" s="27" t="str">
        <f aca="false">IF(AND($E52&lt;=W$4+6,$F52&gt;=W$4),IF($E52=$F52,"◆","■"),"")</f>
        <v/>
      </c>
      <c r="X52" s="27" t="str">
        <f aca="false">IF(AND($E52&lt;=X$4+6,$F52&gt;=X$4),IF($E52=$F52,"◆","■"),"")</f>
        <v/>
      </c>
      <c r="Y52" s="27" t="str">
        <f aca="false">IF(AND($E52&lt;=Y$4+6,$F52&gt;=Y$4),IF($E52=$F52,"◆","■"),"")</f>
        <v/>
      </c>
      <c r="Z52" s="27" t="str">
        <f aca="false">IF(AND($E52&lt;=Z$4+6,$F52&gt;=Z$4),IF($E52=$F52,"◆","■"),"")</f>
        <v/>
      </c>
      <c r="AA52" s="27" t="str">
        <f aca="false">IF(AND($E52&lt;=AA$4+6,$F52&gt;=AA$4),IF($E52=$F52,"◆","■"),"")</f>
        <v/>
      </c>
      <c r="AB52" s="27" t="str">
        <f aca="false">IF(AND($E52&lt;=AB$4+6,$F52&gt;=AB$4),IF($E52=$F52,"◆","■"),"")</f>
        <v/>
      </c>
      <c r="AC52" s="27" t="str">
        <f aca="false">IF(AND($E52&lt;=AC$4+6,$F52&gt;=AC$4),IF($E52=$F52,"◆","■"),"")</f>
        <v/>
      </c>
      <c r="AD52" s="27" t="str">
        <f aca="false">IF(AND($E52&lt;=AD$4+6,$F52&gt;=AD$4),IF($E52=$F52,"◆","■"),"")</f>
        <v/>
      </c>
      <c r="AE52" s="27" t="str">
        <f aca="false">IF(AND($E52&lt;=AE$4+6,$F52&gt;=AE$4),IF($E52=$F52,"◆","■"),"")</f>
        <v/>
      </c>
      <c r="AF52" s="27" t="str">
        <f aca="false">IF(AND($E52&lt;=AF$4+6,$F52&gt;=AF$4),IF($E52=$F52,"◆","■"),"")</f>
        <v/>
      </c>
      <c r="AG52" s="27" t="str">
        <f aca="false">IF(AND($E52&lt;=AG$4+6,$F52&gt;=AG$4),IF($E52=$F52,"◆","■"),"")</f>
        <v/>
      </c>
      <c r="AH52" s="27" t="str">
        <f aca="false">IF(AND($E52&lt;=AH$4+6,$F52&gt;=AH$4),IF($E52=$F52,"◆","■"),"")</f>
        <v/>
      </c>
      <c r="AI52" s="27" t="str">
        <f aca="false">IF(AND($E52&lt;=AI$4+6,$F52&gt;=AI$4),IF($E52=$F52,"◆","■"),"")</f>
        <v/>
      </c>
      <c r="AJ52" s="27" t="str">
        <f aca="false">IF(AND($E52&lt;=AJ$4+6,$F52&gt;=AJ$4),IF($E52=$F52,"◆","■"),"")</f>
        <v/>
      </c>
      <c r="AK52" s="27" t="str">
        <f aca="false">IF(AND($E52&lt;=AK$4+6,$F52&gt;=AK$4),IF($E52=$F52,"◆","■"),"")</f>
        <v/>
      </c>
    </row>
    <row r="53" customFormat="false" ht="15" hidden="false" customHeight="false" outlineLevel="0" collapsed="false">
      <c r="A53" s="24" t="str">
        <f aca="false">'Post-LOI Checklist'!A24</f>
        <v>POST-20</v>
      </c>
      <c r="B53" s="25" t="str">
        <f aca="false">'Post-LOI Checklist'!C24</f>
        <v>Related-party recruiting agreement</v>
      </c>
      <c r="C53" s="24" t="str">
        <f aca="false">'Post-LOI Checklist'!G24</f>
        <v>Corey</v>
      </c>
      <c r="D53" s="24" t="str">
        <f aca="false">'Post-LOI Checklist'!E24</f>
        <v>P3 - Medium</v>
      </c>
      <c r="E53" s="26" t="n">
        <f aca="false">'Post-LOI Checklist'!I24</f>
        <v>46342</v>
      </c>
      <c r="F53" s="26" t="n">
        <f aca="false">'Post-LOI Checklist'!J24</f>
        <v>46360</v>
      </c>
      <c r="G53" s="24" t="str">
        <f aca="false">'Post-LOI Checklist'!O24</f>
        <v>Not started</v>
      </c>
      <c r="H53" s="27" t="str">
        <f aca="false">IF(AND($E53&lt;=H$4+6,$F53&gt;=H$4),IF($E53=$F53,"◆","■"),"")</f>
        <v/>
      </c>
      <c r="I53" s="27" t="str">
        <f aca="false">IF(AND($E53&lt;=I$4+6,$F53&gt;=I$4),IF($E53=$F53,"◆","■"),"")</f>
        <v/>
      </c>
      <c r="J53" s="27" t="str">
        <f aca="false">IF(AND($E53&lt;=J$4+6,$F53&gt;=J$4),IF($E53=$F53,"◆","■"),"")</f>
        <v/>
      </c>
      <c r="K53" s="27" t="str">
        <f aca="false">IF(AND($E53&lt;=K$4+6,$F53&gt;=K$4),IF($E53=$F53,"◆","■"),"")</f>
        <v/>
      </c>
      <c r="L53" s="27" t="str">
        <f aca="false">IF(AND($E53&lt;=L$4+6,$F53&gt;=L$4),IF($E53=$F53,"◆","■"),"")</f>
        <v/>
      </c>
      <c r="M53" s="27" t="str">
        <f aca="false">IF(AND($E53&lt;=M$4+6,$F53&gt;=M$4),IF($E53=$F53,"◆","■"),"")</f>
        <v/>
      </c>
      <c r="N53" s="27" t="str">
        <f aca="false">IF(AND($E53&lt;=N$4+6,$F53&gt;=N$4),IF($E53=$F53,"◆","■"),"")</f>
        <v/>
      </c>
      <c r="O53" s="27" t="str">
        <f aca="false">IF(AND($E53&lt;=O$4+6,$F53&gt;=O$4),IF($E53=$F53,"◆","■"),"")</f>
        <v/>
      </c>
      <c r="P53" s="27" t="str">
        <f aca="false">IF(AND($E53&lt;=P$4+6,$F53&gt;=P$4),IF($E53=$F53,"◆","■"),"")</f>
        <v>■</v>
      </c>
      <c r="Q53" s="27" t="str">
        <f aca="false">IF(AND($E53&lt;=Q$4+6,$F53&gt;=Q$4),IF($E53=$F53,"◆","■"),"")</f>
        <v>■</v>
      </c>
      <c r="R53" s="27" t="str">
        <f aca="false">IF(AND($E53&lt;=R$4+6,$F53&gt;=R$4),IF($E53=$F53,"◆","■"),"")</f>
        <v>■</v>
      </c>
      <c r="S53" s="27" t="str">
        <f aca="false">IF(AND($E53&lt;=S$4+6,$F53&gt;=S$4),IF($E53=$F53,"◆","■"),"")</f>
        <v/>
      </c>
      <c r="T53" s="27" t="str">
        <f aca="false">IF(AND($E53&lt;=T$4+6,$F53&gt;=T$4),IF($E53=$F53,"◆","■"),"")</f>
        <v/>
      </c>
      <c r="U53" s="27" t="str">
        <f aca="false">IF(AND($E53&lt;=U$4+6,$F53&gt;=U$4),IF($E53=$F53,"◆","■"),"")</f>
        <v/>
      </c>
      <c r="V53" s="27" t="str">
        <f aca="false">IF(AND($E53&lt;=V$4+6,$F53&gt;=V$4),IF($E53=$F53,"◆","■"),"")</f>
        <v/>
      </c>
      <c r="W53" s="27" t="str">
        <f aca="false">IF(AND($E53&lt;=W$4+6,$F53&gt;=W$4),IF($E53=$F53,"◆","■"),"")</f>
        <v/>
      </c>
      <c r="X53" s="27" t="str">
        <f aca="false">IF(AND($E53&lt;=X$4+6,$F53&gt;=X$4),IF($E53=$F53,"◆","■"),"")</f>
        <v/>
      </c>
      <c r="Y53" s="27" t="str">
        <f aca="false">IF(AND($E53&lt;=Y$4+6,$F53&gt;=Y$4),IF($E53=$F53,"◆","■"),"")</f>
        <v/>
      </c>
      <c r="Z53" s="27" t="str">
        <f aca="false">IF(AND($E53&lt;=Z$4+6,$F53&gt;=Z$4),IF($E53=$F53,"◆","■"),"")</f>
        <v/>
      </c>
      <c r="AA53" s="27" t="str">
        <f aca="false">IF(AND($E53&lt;=AA$4+6,$F53&gt;=AA$4),IF($E53=$F53,"◆","■"),"")</f>
        <v/>
      </c>
      <c r="AB53" s="27" t="str">
        <f aca="false">IF(AND($E53&lt;=AB$4+6,$F53&gt;=AB$4),IF($E53=$F53,"◆","■"),"")</f>
        <v/>
      </c>
      <c r="AC53" s="27" t="str">
        <f aca="false">IF(AND($E53&lt;=AC$4+6,$F53&gt;=AC$4),IF($E53=$F53,"◆","■"),"")</f>
        <v/>
      </c>
      <c r="AD53" s="27" t="str">
        <f aca="false">IF(AND($E53&lt;=AD$4+6,$F53&gt;=AD$4),IF($E53=$F53,"◆","■"),"")</f>
        <v/>
      </c>
      <c r="AE53" s="27" t="str">
        <f aca="false">IF(AND($E53&lt;=AE$4+6,$F53&gt;=AE$4),IF($E53=$F53,"◆","■"),"")</f>
        <v/>
      </c>
      <c r="AF53" s="27" t="str">
        <f aca="false">IF(AND($E53&lt;=AF$4+6,$F53&gt;=AF$4),IF($E53=$F53,"◆","■"),"")</f>
        <v/>
      </c>
      <c r="AG53" s="27" t="str">
        <f aca="false">IF(AND($E53&lt;=AG$4+6,$F53&gt;=AG$4),IF($E53=$F53,"◆","■"),"")</f>
        <v/>
      </c>
      <c r="AH53" s="27" t="str">
        <f aca="false">IF(AND($E53&lt;=AH$4+6,$F53&gt;=AH$4),IF($E53=$F53,"◆","■"),"")</f>
        <v/>
      </c>
      <c r="AI53" s="27" t="str">
        <f aca="false">IF(AND($E53&lt;=AI$4+6,$F53&gt;=AI$4),IF($E53=$F53,"◆","■"),"")</f>
        <v/>
      </c>
      <c r="AJ53" s="27" t="str">
        <f aca="false">IF(AND($E53&lt;=AJ$4+6,$F53&gt;=AJ$4),IF($E53=$F53,"◆","■"),"")</f>
        <v/>
      </c>
      <c r="AK53" s="27" t="str">
        <f aca="false">IF(AND($E53&lt;=AK$4+6,$F53&gt;=AK$4),IF($E53=$F53,"◆","■"),"")</f>
        <v/>
      </c>
    </row>
    <row r="54" customFormat="false" ht="15" hidden="false" customHeight="false" outlineLevel="0" collapsed="false">
      <c r="A54" s="24" t="str">
        <f aca="false">'Post-LOI Checklist'!A25</f>
        <v>POST-21</v>
      </c>
      <c r="B54" s="25" t="str">
        <f aca="false">'Post-LOI Checklist'!C25</f>
        <v>F-reorganization executed</v>
      </c>
      <c r="C54" s="24" t="str">
        <f aca="false">'Post-LOI Checklist'!G25</f>
        <v>Ben</v>
      </c>
      <c r="D54" s="24" t="str">
        <f aca="false">'Post-LOI Checklist'!E25</f>
        <v>P1 - Critical</v>
      </c>
      <c r="E54" s="26" t="n">
        <f aca="false">'Post-LOI Checklist'!I25</f>
        <v>46342</v>
      </c>
      <c r="F54" s="26" t="n">
        <f aca="false">'Post-LOI Checklist'!J25</f>
        <v>46371</v>
      </c>
      <c r="G54" s="24" t="str">
        <f aca="false">'Post-LOI Checklist'!O25</f>
        <v>Not started</v>
      </c>
      <c r="H54" s="27" t="str">
        <f aca="false">IF(AND($E54&lt;=H$4+6,$F54&gt;=H$4),IF($E54=$F54,"◆","■"),"")</f>
        <v/>
      </c>
      <c r="I54" s="27" t="str">
        <f aca="false">IF(AND($E54&lt;=I$4+6,$F54&gt;=I$4),IF($E54=$F54,"◆","■"),"")</f>
        <v/>
      </c>
      <c r="J54" s="27" t="str">
        <f aca="false">IF(AND($E54&lt;=J$4+6,$F54&gt;=J$4),IF($E54=$F54,"◆","■"),"")</f>
        <v/>
      </c>
      <c r="K54" s="27" t="str">
        <f aca="false">IF(AND($E54&lt;=K$4+6,$F54&gt;=K$4),IF($E54=$F54,"◆","■"),"")</f>
        <v/>
      </c>
      <c r="L54" s="27" t="str">
        <f aca="false">IF(AND($E54&lt;=L$4+6,$F54&gt;=L$4),IF($E54=$F54,"◆","■"),"")</f>
        <v/>
      </c>
      <c r="M54" s="27" t="str">
        <f aca="false">IF(AND($E54&lt;=M$4+6,$F54&gt;=M$4),IF($E54=$F54,"◆","■"),"")</f>
        <v/>
      </c>
      <c r="N54" s="27" t="str">
        <f aca="false">IF(AND($E54&lt;=N$4+6,$F54&gt;=N$4),IF($E54=$F54,"◆","■"),"")</f>
        <v/>
      </c>
      <c r="O54" s="27" t="str">
        <f aca="false">IF(AND($E54&lt;=O$4+6,$F54&gt;=O$4),IF($E54=$F54,"◆","■"),"")</f>
        <v/>
      </c>
      <c r="P54" s="27" t="str">
        <f aca="false">IF(AND($E54&lt;=P$4+6,$F54&gt;=P$4),IF($E54=$F54,"◆","■"),"")</f>
        <v>■</v>
      </c>
      <c r="Q54" s="27" t="str">
        <f aca="false">IF(AND($E54&lt;=Q$4+6,$F54&gt;=Q$4),IF($E54=$F54,"◆","■"),"")</f>
        <v>■</v>
      </c>
      <c r="R54" s="27" t="str">
        <f aca="false">IF(AND($E54&lt;=R$4+6,$F54&gt;=R$4),IF($E54=$F54,"◆","■"),"")</f>
        <v>■</v>
      </c>
      <c r="S54" s="27" t="str">
        <f aca="false">IF(AND($E54&lt;=S$4+6,$F54&gt;=S$4),IF($E54=$F54,"◆","■"),"")</f>
        <v>■</v>
      </c>
      <c r="T54" s="27" t="str">
        <f aca="false">IF(AND($E54&lt;=T$4+6,$F54&gt;=T$4),IF($E54=$F54,"◆","■"),"")</f>
        <v>■</v>
      </c>
      <c r="U54" s="27" t="str">
        <f aca="false">IF(AND($E54&lt;=U$4+6,$F54&gt;=U$4),IF($E54=$F54,"◆","■"),"")</f>
        <v/>
      </c>
      <c r="V54" s="27" t="str">
        <f aca="false">IF(AND($E54&lt;=V$4+6,$F54&gt;=V$4),IF($E54=$F54,"◆","■"),"")</f>
        <v/>
      </c>
      <c r="W54" s="27" t="str">
        <f aca="false">IF(AND($E54&lt;=W$4+6,$F54&gt;=W$4),IF($E54=$F54,"◆","■"),"")</f>
        <v/>
      </c>
      <c r="X54" s="27" t="str">
        <f aca="false">IF(AND($E54&lt;=X$4+6,$F54&gt;=X$4),IF($E54=$F54,"◆","■"),"")</f>
        <v/>
      </c>
      <c r="Y54" s="27" t="str">
        <f aca="false">IF(AND($E54&lt;=Y$4+6,$F54&gt;=Y$4),IF($E54=$F54,"◆","■"),"")</f>
        <v/>
      </c>
      <c r="Z54" s="27" t="str">
        <f aca="false">IF(AND($E54&lt;=Z$4+6,$F54&gt;=Z$4),IF($E54=$F54,"◆","■"),"")</f>
        <v/>
      </c>
      <c r="AA54" s="27" t="str">
        <f aca="false">IF(AND($E54&lt;=AA$4+6,$F54&gt;=AA$4),IF($E54=$F54,"◆","■"),"")</f>
        <v/>
      </c>
      <c r="AB54" s="27" t="str">
        <f aca="false">IF(AND($E54&lt;=AB$4+6,$F54&gt;=AB$4),IF($E54=$F54,"◆","■"),"")</f>
        <v/>
      </c>
      <c r="AC54" s="27" t="str">
        <f aca="false">IF(AND($E54&lt;=AC$4+6,$F54&gt;=AC$4),IF($E54=$F54,"◆","■"),"")</f>
        <v/>
      </c>
      <c r="AD54" s="27" t="str">
        <f aca="false">IF(AND($E54&lt;=AD$4+6,$F54&gt;=AD$4),IF($E54=$F54,"◆","■"),"")</f>
        <v/>
      </c>
      <c r="AE54" s="27" t="str">
        <f aca="false">IF(AND($E54&lt;=AE$4+6,$F54&gt;=AE$4),IF($E54=$F54,"◆","■"),"")</f>
        <v/>
      </c>
      <c r="AF54" s="27" t="str">
        <f aca="false">IF(AND($E54&lt;=AF$4+6,$F54&gt;=AF$4),IF($E54=$F54,"◆","■"),"")</f>
        <v/>
      </c>
      <c r="AG54" s="27" t="str">
        <f aca="false">IF(AND($E54&lt;=AG$4+6,$F54&gt;=AG$4),IF($E54=$F54,"◆","■"),"")</f>
        <v/>
      </c>
      <c r="AH54" s="27" t="str">
        <f aca="false">IF(AND($E54&lt;=AH$4+6,$F54&gt;=AH$4),IF($E54=$F54,"◆","■"),"")</f>
        <v/>
      </c>
      <c r="AI54" s="27" t="str">
        <f aca="false">IF(AND($E54&lt;=AI$4+6,$F54&gt;=AI$4),IF($E54=$F54,"◆","■"),"")</f>
        <v/>
      </c>
      <c r="AJ54" s="27" t="str">
        <f aca="false">IF(AND($E54&lt;=AJ$4+6,$F54&gt;=AJ$4),IF($E54=$F54,"◆","■"),"")</f>
        <v/>
      </c>
      <c r="AK54" s="27" t="str">
        <f aca="false">IF(AND($E54&lt;=AK$4+6,$F54&gt;=AK$4),IF($E54=$F54,"◆","■"),"")</f>
        <v/>
      </c>
    </row>
    <row r="55" customFormat="false" ht="15" hidden="false" customHeight="false" outlineLevel="0" collapsed="false">
      <c r="A55" s="24" t="str">
        <f aca="false">'Post-LOI Checklist'!A26</f>
        <v>POST-22</v>
      </c>
      <c r="B55" s="25" t="str">
        <f aca="false">'Post-LOI Checklist'!C26</f>
        <v>Disclosure schedules</v>
      </c>
      <c r="C55" s="24" t="str">
        <f aca="false">'Post-LOI Checklist'!G26</f>
        <v>Ben</v>
      </c>
      <c r="D55" s="24" t="str">
        <f aca="false">'Post-LOI Checklist'!E26</f>
        <v>P1 - Critical</v>
      </c>
      <c r="E55" s="26" t="n">
        <f aca="false">'Post-LOI Checklist'!I26</f>
        <v>46342</v>
      </c>
      <c r="F55" s="26" t="n">
        <f aca="false">'Post-LOI Checklist'!J26</f>
        <v>46367</v>
      </c>
      <c r="G55" s="24" t="str">
        <f aca="false">'Post-LOI Checklist'!O26</f>
        <v>Not started</v>
      </c>
      <c r="H55" s="27" t="str">
        <f aca="false">IF(AND($E55&lt;=H$4+6,$F55&gt;=H$4),IF($E55=$F55,"◆","■"),"")</f>
        <v/>
      </c>
      <c r="I55" s="27" t="str">
        <f aca="false">IF(AND($E55&lt;=I$4+6,$F55&gt;=I$4),IF($E55=$F55,"◆","■"),"")</f>
        <v/>
      </c>
      <c r="J55" s="27" t="str">
        <f aca="false">IF(AND($E55&lt;=J$4+6,$F55&gt;=J$4),IF($E55=$F55,"◆","■"),"")</f>
        <v/>
      </c>
      <c r="K55" s="27" t="str">
        <f aca="false">IF(AND($E55&lt;=K$4+6,$F55&gt;=K$4),IF($E55=$F55,"◆","■"),"")</f>
        <v/>
      </c>
      <c r="L55" s="27" t="str">
        <f aca="false">IF(AND($E55&lt;=L$4+6,$F55&gt;=L$4),IF($E55=$F55,"◆","■"),"")</f>
        <v/>
      </c>
      <c r="M55" s="27" t="str">
        <f aca="false">IF(AND($E55&lt;=M$4+6,$F55&gt;=M$4),IF($E55=$F55,"◆","■"),"")</f>
        <v/>
      </c>
      <c r="N55" s="27" t="str">
        <f aca="false">IF(AND($E55&lt;=N$4+6,$F55&gt;=N$4),IF($E55=$F55,"◆","■"),"")</f>
        <v/>
      </c>
      <c r="O55" s="27" t="str">
        <f aca="false">IF(AND($E55&lt;=O$4+6,$F55&gt;=O$4),IF($E55=$F55,"◆","■"),"")</f>
        <v/>
      </c>
      <c r="P55" s="27" t="str">
        <f aca="false">IF(AND($E55&lt;=P$4+6,$F55&gt;=P$4),IF($E55=$F55,"◆","■"),"")</f>
        <v>■</v>
      </c>
      <c r="Q55" s="27" t="str">
        <f aca="false">IF(AND($E55&lt;=Q$4+6,$F55&gt;=Q$4),IF($E55=$F55,"◆","■"),"")</f>
        <v>■</v>
      </c>
      <c r="R55" s="27" t="str">
        <f aca="false">IF(AND($E55&lt;=R$4+6,$F55&gt;=R$4),IF($E55=$F55,"◆","■"),"")</f>
        <v>■</v>
      </c>
      <c r="S55" s="27" t="str">
        <f aca="false">IF(AND($E55&lt;=S$4+6,$F55&gt;=S$4),IF($E55=$F55,"◆","■"),"")</f>
        <v>■</v>
      </c>
      <c r="T55" s="27" t="str">
        <f aca="false">IF(AND($E55&lt;=T$4+6,$F55&gt;=T$4),IF($E55=$F55,"◆","■"),"")</f>
        <v/>
      </c>
      <c r="U55" s="27" t="str">
        <f aca="false">IF(AND($E55&lt;=U$4+6,$F55&gt;=U$4),IF($E55=$F55,"◆","■"),"")</f>
        <v/>
      </c>
      <c r="V55" s="27" t="str">
        <f aca="false">IF(AND($E55&lt;=V$4+6,$F55&gt;=V$4),IF($E55=$F55,"◆","■"),"")</f>
        <v/>
      </c>
      <c r="W55" s="27" t="str">
        <f aca="false">IF(AND($E55&lt;=W$4+6,$F55&gt;=W$4),IF($E55=$F55,"◆","■"),"")</f>
        <v/>
      </c>
      <c r="X55" s="27" t="str">
        <f aca="false">IF(AND($E55&lt;=X$4+6,$F55&gt;=X$4),IF($E55=$F55,"◆","■"),"")</f>
        <v/>
      </c>
      <c r="Y55" s="27" t="str">
        <f aca="false">IF(AND($E55&lt;=Y$4+6,$F55&gt;=Y$4),IF($E55=$F55,"◆","■"),"")</f>
        <v/>
      </c>
      <c r="Z55" s="27" t="str">
        <f aca="false">IF(AND($E55&lt;=Z$4+6,$F55&gt;=Z$4),IF($E55=$F55,"◆","■"),"")</f>
        <v/>
      </c>
      <c r="AA55" s="27" t="str">
        <f aca="false">IF(AND($E55&lt;=AA$4+6,$F55&gt;=AA$4),IF($E55=$F55,"◆","■"),"")</f>
        <v/>
      </c>
      <c r="AB55" s="27" t="str">
        <f aca="false">IF(AND($E55&lt;=AB$4+6,$F55&gt;=AB$4),IF($E55=$F55,"◆","■"),"")</f>
        <v/>
      </c>
      <c r="AC55" s="27" t="str">
        <f aca="false">IF(AND($E55&lt;=AC$4+6,$F55&gt;=AC$4),IF($E55=$F55,"◆","■"),"")</f>
        <v/>
      </c>
      <c r="AD55" s="27" t="str">
        <f aca="false">IF(AND($E55&lt;=AD$4+6,$F55&gt;=AD$4),IF($E55=$F55,"◆","■"),"")</f>
        <v/>
      </c>
      <c r="AE55" s="27" t="str">
        <f aca="false">IF(AND($E55&lt;=AE$4+6,$F55&gt;=AE$4),IF($E55=$F55,"◆","■"),"")</f>
        <v/>
      </c>
      <c r="AF55" s="27" t="str">
        <f aca="false">IF(AND($E55&lt;=AF$4+6,$F55&gt;=AF$4),IF($E55=$F55,"◆","■"),"")</f>
        <v/>
      </c>
      <c r="AG55" s="27" t="str">
        <f aca="false">IF(AND($E55&lt;=AG$4+6,$F55&gt;=AG$4),IF($E55=$F55,"◆","■"),"")</f>
        <v/>
      </c>
      <c r="AH55" s="27" t="str">
        <f aca="false">IF(AND($E55&lt;=AH$4+6,$F55&gt;=AH$4),IF($E55=$F55,"◆","■"),"")</f>
        <v/>
      </c>
      <c r="AI55" s="27" t="str">
        <f aca="false">IF(AND($E55&lt;=AI$4+6,$F55&gt;=AI$4),IF($E55=$F55,"◆","■"),"")</f>
        <v/>
      </c>
      <c r="AJ55" s="27" t="str">
        <f aca="false">IF(AND($E55&lt;=AJ$4+6,$F55&gt;=AJ$4),IF($E55=$F55,"◆","■"),"")</f>
        <v/>
      </c>
      <c r="AK55" s="27" t="str">
        <f aca="false">IF(AND($E55&lt;=AK$4+6,$F55&gt;=AK$4),IF($E55=$F55,"◆","■"),"")</f>
        <v/>
      </c>
    </row>
    <row r="56" customFormat="false" ht="15" hidden="false" customHeight="false" outlineLevel="0" collapsed="false">
      <c r="A56" s="24" t="str">
        <f aca="false">'Post-LOI Checklist'!A27</f>
        <v>POST-23</v>
      </c>
      <c r="B56" s="25" t="str">
        <f aca="false">'Post-LOI Checklist'!C27</f>
        <v>Document turns and negotiation</v>
      </c>
      <c r="C56" s="24" t="str">
        <f aca="false">'Post-LOI Checklist'!G27</f>
        <v>Corey</v>
      </c>
      <c r="D56" s="24" t="str">
        <f aca="false">'Post-LOI Checklist'!E27</f>
        <v>P1 - Critical</v>
      </c>
      <c r="E56" s="26" t="n">
        <f aca="false">'Post-LOI Checklist'!I27</f>
        <v>46342</v>
      </c>
      <c r="F56" s="26" t="n">
        <f aca="false">'Post-LOI Checklist'!J27</f>
        <v>46367</v>
      </c>
      <c r="G56" s="24" t="str">
        <f aca="false">'Post-LOI Checklist'!O27</f>
        <v>Not started</v>
      </c>
      <c r="H56" s="27" t="str">
        <f aca="false">IF(AND($E56&lt;=H$4+6,$F56&gt;=H$4),IF($E56=$F56,"◆","■"),"")</f>
        <v/>
      </c>
      <c r="I56" s="27" t="str">
        <f aca="false">IF(AND($E56&lt;=I$4+6,$F56&gt;=I$4),IF($E56=$F56,"◆","■"),"")</f>
        <v/>
      </c>
      <c r="J56" s="27" t="str">
        <f aca="false">IF(AND($E56&lt;=J$4+6,$F56&gt;=J$4),IF($E56=$F56,"◆","■"),"")</f>
        <v/>
      </c>
      <c r="K56" s="27" t="str">
        <f aca="false">IF(AND($E56&lt;=K$4+6,$F56&gt;=K$4),IF($E56=$F56,"◆","■"),"")</f>
        <v/>
      </c>
      <c r="L56" s="27" t="str">
        <f aca="false">IF(AND($E56&lt;=L$4+6,$F56&gt;=L$4),IF($E56=$F56,"◆","■"),"")</f>
        <v/>
      </c>
      <c r="M56" s="27" t="str">
        <f aca="false">IF(AND($E56&lt;=M$4+6,$F56&gt;=M$4),IF($E56=$F56,"◆","■"),"")</f>
        <v/>
      </c>
      <c r="N56" s="27" t="str">
        <f aca="false">IF(AND($E56&lt;=N$4+6,$F56&gt;=N$4),IF($E56=$F56,"◆","■"),"")</f>
        <v/>
      </c>
      <c r="O56" s="27" t="str">
        <f aca="false">IF(AND($E56&lt;=O$4+6,$F56&gt;=O$4),IF($E56=$F56,"◆","■"),"")</f>
        <v/>
      </c>
      <c r="P56" s="27" t="str">
        <f aca="false">IF(AND($E56&lt;=P$4+6,$F56&gt;=P$4),IF($E56=$F56,"◆","■"),"")</f>
        <v>■</v>
      </c>
      <c r="Q56" s="27" t="str">
        <f aca="false">IF(AND($E56&lt;=Q$4+6,$F56&gt;=Q$4),IF($E56=$F56,"◆","■"),"")</f>
        <v>■</v>
      </c>
      <c r="R56" s="27" t="str">
        <f aca="false">IF(AND($E56&lt;=R$4+6,$F56&gt;=R$4),IF($E56=$F56,"◆","■"),"")</f>
        <v>■</v>
      </c>
      <c r="S56" s="27" t="str">
        <f aca="false">IF(AND($E56&lt;=S$4+6,$F56&gt;=S$4),IF($E56=$F56,"◆","■"),"")</f>
        <v>■</v>
      </c>
      <c r="T56" s="27" t="str">
        <f aca="false">IF(AND($E56&lt;=T$4+6,$F56&gt;=T$4),IF($E56=$F56,"◆","■"),"")</f>
        <v/>
      </c>
      <c r="U56" s="27" t="str">
        <f aca="false">IF(AND($E56&lt;=U$4+6,$F56&gt;=U$4),IF($E56=$F56,"◆","■"),"")</f>
        <v/>
      </c>
      <c r="V56" s="27" t="str">
        <f aca="false">IF(AND($E56&lt;=V$4+6,$F56&gt;=V$4),IF($E56=$F56,"◆","■"),"")</f>
        <v/>
      </c>
      <c r="W56" s="27" t="str">
        <f aca="false">IF(AND($E56&lt;=W$4+6,$F56&gt;=W$4),IF($E56=$F56,"◆","■"),"")</f>
        <v/>
      </c>
      <c r="X56" s="27" t="str">
        <f aca="false">IF(AND($E56&lt;=X$4+6,$F56&gt;=X$4),IF($E56=$F56,"◆","■"),"")</f>
        <v/>
      </c>
      <c r="Y56" s="27" t="str">
        <f aca="false">IF(AND($E56&lt;=Y$4+6,$F56&gt;=Y$4),IF($E56=$F56,"◆","■"),"")</f>
        <v/>
      </c>
      <c r="Z56" s="27" t="str">
        <f aca="false">IF(AND($E56&lt;=Z$4+6,$F56&gt;=Z$4),IF($E56=$F56,"◆","■"),"")</f>
        <v/>
      </c>
      <c r="AA56" s="27" t="str">
        <f aca="false">IF(AND($E56&lt;=AA$4+6,$F56&gt;=AA$4),IF($E56=$F56,"◆","■"),"")</f>
        <v/>
      </c>
      <c r="AB56" s="27" t="str">
        <f aca="false">IF(AND($E56&lt;=AB$4+6,$F56&gt;=AB$4),IF($E56=$F56,"◆","■"),"")</f>
        <v/>
      </c>
      <c r="AC56" s="27" t="str">
        <f aca="false">IF(AND($E56&lt;=AC$4+6,$F56&gt;=AC$4),IF($E56=$F56,"◆","■"),"")</f>
        <v/>
      </c>
      <c r="AD56" s="27" t="str">
        <f aca="false">IF(AND($E56&lt;=AD$4+6,$F56&gt;=AD$4),IF($E56=$F56,"◆","■"),"")</f>
        <v/>
      </c>
      <c r="AE56" s="27" t="str">
        <f aca="false">IF(AND($E56&lt;=AE$4+6,$F56&gt;=AE$4),IF($E56=$F56,"◆","■"),"")</f>
        <v/>
      </c>
      <c r="AF56" s="27" t="str">
        <f aca="false">IF(AND($E56&lt;=AF$4+6,$F56&gt;=AF$4),IF($E56=$F56,"◆","■"),"")</f>
        <v/>
      </c>
      <c r="AG56" s="27" t="str">
        <f aca="false">IF(AND($E56&lt;=AG$4+6,$F56&gt;=AG$4),IF($E56=$F56,"◆","■"),"")</f>
        <v/>
      </c>
      <c r="AH56" s="27" t="str">
        <f aca="false">IF(AND($E56&lt;=AH$4+6,$F56&gt;=AH$4),IF($E56=$F56,"◆","■"),"")</f>
        <v/>
      </c>
      <c r="AI56" s="27" t="str">
        <f aca="false">IF(AND($E56&lt;=AI$4+6,$F56&gt;=AI$4),IF($E56=$F56,"◆","■"),"")</f>
        <v/>
      </c>
      <c r="AJ56" s="27" t="str">
        <f aca="false">IF(AND($E56&lt;=AJ$4+6,$F56&gt;=AJ$4),IF($E56=$F56,"◆","■"),"")</f>
        <v/>
      </c>
      <c r="AK56" s="27" t="str">
        <f aca="false">IF(AND($E56&lt;=AK$4+6,$F56&gt;=AK$4),IF($E56=$F56,"◆","■"),"")</f>
        <v/>
      </c>
    </row>
    <row r="57" customFormat="false" ht="15" hidden="false" customHeight="false" outlineLevel="0" collapsed="false">
      <c r="A57" s="24" t="str">
        <f aca="false">'Post-LOI Checklist'!A28</f>
        <v>POST-24</v>
      </c>
      <c r="B57" s="25" t="str">
        <f aca="false">'Post-LOI Checklist'!C28</f>
        <v>Third-party consents</v>
      </c>
      <c r="C57" s="24" t="str">
        <f aca="false">'Post-LOI Checklist'!G28</f>
        <v>Ben</v>
      </c>
      <c r="D57" s="24" t="str">
        <f aca="false">'Post-LOI Checklist'!E28</f>
        <v>P2 - High</v>
      </c>
      <c r="E57" s="26" t="n">
        <f aca="false">'Post-LOI Checklist'!I28</f>
        <v>46342</v>
      </c>
      <c r="F57" s="26" t="n">
        <f aca="false">'Post-LOI Checklist'!J28</f>
        <v>46367</v>
      </c>
      <c r="G57" s="24" t="str">
        <f aca="false">'Post-LOI Checklist'!O28</f>
        <v>Not started</v>
      </c>
      <c r="H57" s="27" t="str">
        <f aca="false">IF(AND($E57&lt;=H$4+6,$F57&gt;=H$4),IF($E57=$F57,"◆","■"),"")</f>
        <v/>
      </c>
      <c r="I57" s="27" t="str">
        <f aca="false">IF(AND($E57&lt;=I$4+6,$F57&gt;=I$4),IF($E57=$F57,"◆","■"),"")</f>
        <v/>
      </c>
      <c r="J57" s="27" t="str">
        <f aca="false">IF(AND($E57&lt;=J$4+6,$F57&gt;=J$4),IF($E57=$F57,"◆","■"),"")</f>
        <v/>
      </c>
      <c r="K57" s="27" t="str">
        <f aca="false">IF(AND($E57&lt;=K$4+6,$F57&gt;=K$4),IF($E57=$F57,"◆","■"),"")</f>
        <v/>
      </c>
      <c r="L57" s="27" t="str">
        <f aca="false">IF(AND($E57&lt;=L$4+6,$F57&gt;=L$4),IF($E57=$F57,"◆","■"),"")</f>
        <v/>
      </c>
      <c r="M57" s="27" t="str">
        <f aca="false">IF(AND($E57&lt;=M$4+6,$F57&gt;=M$4),IF($E57=$F57,"◆","■"),"")</f>
        <v/>
      </c>
      <c r="N57" s="27" t="str">
        <f aca="false">IF(AND($E57&lt;=N$4+6,$F57&gt;=N$4),IF($E57=$F57,"◆","■"),"")</f>
        <v/>
      </c>
      <c r="O57" s="27" t="str">
        <f aca="false">IF(AND($E57&lt;=O$4+6,$F57&gt;=O$4),IF($E57=$F57,"◆","■"),"")</f>
        <v/>
      </c>
      <c r="P57" s="27" t="str">
        <f aca="false">IF(AND($E57&lt;=P$4+6,$F57&gt;=P$4),IF($E57=$F57,"◆","■"),"")</f>
        <v>■</v>
      </c>
      <c r="Q57" s="27" t="str">
        <f aca="false">IF(AND($E57&lt;=Q$4+6,$F57&gt;=Q$4),IF($E57=$F57,"◆","■"),"")</f>
        <v>■</v>
      </c>
      <c r="R57" s="27" t="str">
        <f aca="false">IF(AND($E57&lt;=R$4+6,$F57&gt;=R$4),IF($E57=$F57,"◆","■"),"")</f>
        <v>■</v>
      </c>
      <c r="S57" s="27" t="str">
        <f aca="false">IF(AND($E57&lt;=S$4+6,$F57&gt;=S$4),IF($E57=$F57,"◆","■"),"")</f>
        <v>■</v>
      </c>
      <c r="T57" s="27" t="str">
        <f aca="false">IF(AND($E57&lt;=T$4+6,$F57&gt;=T$4),IF($E57=$F57,"◆","■"),"")</f>
        <v/>
      </c>
      <c r="U57" s="27" t="str">
        <f aca="false">IF(AND($E57&lt;=U$4+6,$F57&gt;=U$4),IF($E57=$F57,"◆","■"),"")</f>
        <v/>
      </c>
      <c r="V57" s="27" t="str">
        <f aca="false">IF(AND($E57&lt;=V$4+6,$F57&gt;=V$4),IF($E57=$F57,"◆","■"),"")</f>
        <v/>
      </c>
      <c r="W57" s="27" t="str">
        <f aca="false">IF(AND($E57&lt;=W$4+6,$F57&gt;=W$4),IF($E57=$F57,"◆","■"),"")</f>
        <v/>
      </c>
      <c r="X57" s="27" t="str">
        <f aca="false">IF(AND($E57&lt;=X$4+6,$F57&gt;=X$4),IF($E57=$F57,"◆","■"),"")</f>
        <v/>
      </c>
      <c r="Y57" s="27" t="str">
        <f aca="false">IF(AND($E57&lt;=Y$4+6,$F57&gt;=Y$4),IF($E57=$F57,"◆","■"),"")</f>
        <v/>
      </c>
      <c r="Z57" s="27" t="str">
        <f aca="false">IF(AND($E57&lt;=Z$4+6,$F57&gt;=Z$4),IF($E57=$F57,"◆","■"),"")</f>
        <v/>
      </c>
      <c r="AA57" s="27" t="str">
        <f aca="false">IF(AND($E57&lt;=AA$4+6,$F57&gt;=AA$4),IF($E57=$F57,"◆","■"),"")</f>
        <v/>
      </c>
      <c r="AB57" s="27" t="str">
        <f aca="false">IF(AND($E57&lt;=AB$4+6,$F57&gt;=AB$4),IF($E57=$F57,"◆","■"),"")</f>
        <v/>
      </c>
      <c r="AC57" s="27" t="str">
        <f aca="false">IF(AND($E57&lt;=AC$4+6,$F57&gt;=AC$4),IF($E57=$F57,"◆","■"),"")</f>
        <v/>
      </c>
      <c r="AD57" s="27" t="str">
        <f aca="false">IF(AND($E57&lt;=AD$4+6,$F57&gt;=AD$4),IF($E57=$F57,"◆","■"),"")</f>
        <v/>
      </c>
      <c r="AE57" s="27" t="str">
        <f aca="false">IF(AND($E57&lt;=AE$4+6,$F57&gt;=AE$4),IF($E57=$F57,"◆","■"),"")</f>
        <v/>
      </c>
      <c r="AF57" s="27" t="str">
        <f aca="false">IF(AND($E57&lt;=AF$4+6,$F57&gt;=AF$4),IF($E57=$F57,"◆","■"),"")</f>
        <v/>
      </c>
      <c r="AG57" s="27" t="str">
        <f aca="false">IF(AND($E57&lt;=AG$4+6,$F57&gt;=AG$4),IF($E57=$F57,"◆","■"),"")</f>
        <v/>
      </c>
      <c r="AH57" s="27" t="str">
        <f aca="false">IF(AND($E57&lt;=AH$4+6,$F57&gt;=AH$4),IF($E57=$F57,"◆","■"),"")</f>
        <v/>
      </c>
      <c r="AI57" s="27" t="str">
        <f aca="false">IF(AND($E57&lt;=AI$4+6,$F57&gt;=AI$4),IF($E57=$F57,"◆","■"),"")</f>
        <v/>
      </c>
      <c r="AJ57" s="27" t="str">
        <f aca="false">IF(AND($E57&lt;=AJ$4+6,$F57&gt;=AJ$4),IF($E57=$F57,"◆","■"),"")</f>
        <v/>
      </c>
      <c r="AK57" s="27" t="str">
        <f aca="false">IF(AND($E57&lt;=AK$4+6,$F57&gt;=AK$4),IF($E57=$F57,"◆","■"),"")</f>
        <v/>
      </c>
    </row>
    <row r="58" customFormat="false" ht="15" hidden="false" customHeight="false" outlineLevel="0" collapsed="false">
      <c r="A58" s="24" t="str">
        <f aca="false">'Post-LOI Checklist'!A29</f>
        <v>POST-25</v>
      </c>
      <c r="B58" s="25" t="str">
        <f aca="false">'Post-LOI Checklist'!C29</f>
        <v>Closing-date 409A and appraisal of Ben's shares; agree Form 8594 allocation</v>
      </c>
      <c r="C58" s="24" t="str">
        <f aca="false">'Post-LOI Checklist'!G29</f>
        <v>Josh</v>
      </c>
      <c r="D58" s="24" t="str">
        <f aca="false">'Post-LOI Checklist'!E29</f>
        <v>P1 - Critical</v>
      </c>
      <c r="E58" s="26" t="n">
        <f aca="false">'Post-LOI Checklist'!I29</f>
        <v>46342</v>
      </c>
      <c r="F58" s="26" t="n">
        <f aca="false">'Post-LOI Checklist'!J29</f>
        <v>46374</v>
      </c>
      <c r="G58" s="24" t="str">
        <f aca="false">'Post-LOI Checklist'!O29</f>
        <v>Not started</v>
      </c>
      <c r="H58" s="27" t="str">
        <f aca="false">IF(AND($E58&lt;=H$4+6,$F58&gt;=H$4),IF($E58=$F58,"◆","■"),"")</f>
        <v/>
      </c>
      <c r="I58" s="27" t="str">
        <f aca="false">IF(AND($E58&lt;=I$4+6,$F58&gt;=I$4),IF($E58=$F58,"◆","■"),"")</f>
        <v/>
      </c>
      <c r="J58" s="27" t="str">
        <f aca="false">IF(AND($E58&lt;=J$4+6,$F58&gt;=J$4),IF($E58=$F58,"◆","■"),"")</f>
        <v/>
      </c>
      <c r="K58" s="27" t="str">
        <f aca="false">IF(AND($E58&lt;=K$4+6,$F58&gt;=K$4),IF($E58=$F58,"◆","■"),"")</f>
        <v/>
      </c>
      <c r="L58" s="27" t="str">
        <f aca="false">IF(AND($E58&lt;=L$4+6,$F58&gt;=L$4),IF($E58=$F58,"◆","■"),"")</f>
        <v/>
      </c>
      <c r="M58" s="27" t="str">
        <f aca="false">IF(AND($E58&lt;=M$4+6,$F58&gt;=M$4),IF($E58=$F58,"◆","■"),"")</f>
        <v/>
      </c>
      <c r="N58" s="27" t="str">
        <f aca="false">IF(AND($E58&lt;=N$4+6,$F58&gt;=N$4),IF($E58=$F58,"◆","■"),"")</f>
        <v/>
      </c>
      <c r="O58" s="27" t="str">
        <f aca="false">IF(AND($E58&lt;=O$4+6,$F58&gt;=O$4),IF($E58=$F58,"◆","■"),"")</f>
        <v/>
      </c>
      <c r="P58" s="27" t="str">
        <f aca="false">IF(AND($E58&lt;=P$4+6,$F58&gt;=P$4),IF($E58=$F58,"◆","■"),"")</f>
        <v>■</v>
      </c>
      <c r="Q58" s="27" t="str">
        <f aca="false">IF(AND($E58&lt;=Q$4+6,$F58&gt;=Q$4),IF($E58=$F58,"◆","■"),"")</f>
        <v>■</v>
      </c>
      <c r="R58" s="27" t="str">
        <f aca="false">IF(AND($E58&lt;=R$4+6,$F58&gt;=R$4),IF($E58=$F58,"◆","■"),"")</f>
        <v>■</v>
      </c>
      <c r="S58" s="27" t="str">
        <f aca="false">IF(AND($E58&lt;=S$4+6,$F58&gt;=S$4),IF($E58=$F58,"◆","■"),"")</f>
        <v>■</v>
      </c>
      <c r="T58" s="27" t="str">
        <f aca="false">IF(AND($E58&lt;=T$4+6,$F58&gt;=T$4),IF($E58=$F58,"◆","■"),"")</f>
        <v>■</v>
      </c>
      <c r="U58" s="27" t="str">
        <f aca="false">IF(AND($E58&lt;=U$4+6,$F58&gt;=U$4),IF($E58=$F58,"◆","■"),"")</f>
        <v/>
      </c>
      <c r="V58" s="27" t="str">
        <f aca="false">IF(AND($E58&lt;=V$4+6,$F58&gt;=V$4),IF($E58=$F58,"◆","■"),"")</f>
        <v/>
      </c>
      <c r="W58" s="27" t="str">
        <f aca="false">IF(AND($E58&lt;=W$4+6,$F58&gt;=W$4),IF($E58=$F58,"◆","■"),"")</f>
        <v/>
      </c>
      <c r="X58" s="27" t="str">
        <f aca="false">IF(AND($E58&lt;=X$4+6,$F58&gt;=X$4),IF($E58=$F58,"◆","■"),"")</f>
        <v/>
      </c>
      <c r="Y58" s="27" t="str">
        <f aca="false">IF(AND($E58&lt;=Y$4+6,$F58&gt;=Y$4),IF($E58=$F58,"◆","■"),"")</f>
        <v/>
      </c>
      <c r="Z58" s="27" t="str">
        <f aca="false">IF(AND($E58&lt;=Z$4+6,$F58&gt;=Z$4),IF($E58=$F58,"◆","■"),"")</f>
        <v/>
      </c>
      <c r="AA58" s="27" t="str">
        <f aca="false">IF(AND($E58&lt;=AA$4+6,$F58&gt;=AA$4),IF($E58=$F58,"◆","■"),"")</f>
        <v/>
      </c>
      <c r="AB58" s="27" t="str">
        <f aca="false">IF(AND($E58&lt;=AB$4+6,$F58&gt;=AB$4),IF($E58=$F58,"◆","■"),"")</f>
        <v/>
      </c>
      <c r="AC58" s="27" t="str">
        <f aca="false">IF(AND($E58&lt;=AC$4+6,$F58&gt;=AC$4),IF($E58=$F58,"◆","■"),"")</f>
        <v/>
      </c>
      <c r="AD58" s="27" t="str">
        <f aca="false">IF(AND($E58&lt;=AD$4+6,$F58&gt;=AD$4),IF($E58=$F58,"◆","■"),"")</f>
        <v/>
      </c>
      <c r="AE58" s="27" t="str">
        <f aca="false">IF(AND($E58&lt;=AE$4+6,$F58&gt;=AE$4),IF($E58=$F58,"◆","■"),"")</f>
        <v/>
      </c>
      <c r="AF58" s="27" t="str">
        <f aca="false">IF(AND($E58&lt;=AF$4+6,$F58&gt;=AF$4),IF($E58=$F58,"◆","■"),"")</f>
        <v/>
      </c>
      <c r="AG58" s="27" t="str">
        <f aca="false">IF(AND($E58&lt;=AG$4+6,$F58&gt;=AG$4),IF($E58=$F58,"◆","■"),"")</f>
        <v/>
      </c>
      <c r="AH58" s="27" t="str">
        <f aca="false">IF(AND($E58&lt;=AH$4+6,$F58&gt;=AH$4),IF($E58=$F58,"◆","■"),"")</f>
        <v/>
      </c>
      <c r="AI58" s="27" t="str">
        <f aca="false">IF(AND($E58&lt;=AI$4+6,$F58&gt;=AI$4),IF($E58=$F58,"◆","■"),"")</f>
        <v/>
      </c>
      <c r="AJ58" s="27" t="str">
        <f aca="false">IF(AND($E58&lt;=AJ$4+6,$F58&gt;=AJ$4),IF($E58=$F58,"◆","■"),"")</f>
        <v/>
      </c>
      <c r="AK58" s="27" t="str">
        <f aca="false">IF(AND($E58&lt;=AK$4+6,$F58&gt;=AK$4),IF($E58=$F58,"◆","■"),"")</f>
        <v/>
      </c>
    </row>
    <row r="59" customFormat="false" ht="15" hidden="false" customHeight="false" outlineLevel="0" collapsed="false">
      <c r="A59" s="24" t="str">
        <f aca="false">'Post-LOI Checklist'!A30</f>
        <v>POST-26</v>
      </c>
      <c r="B59" s="25" t="str">
        <f aca="false">'Post-LOI Checklist'!C30</f>
        <v>Day-1 and 100-day integration plan</v>
      </c>
      <c r="C59" s="24" t="str">
        <f aca="false">'Post-LOI Checklist'!G30</f>
        <v>Frank</v>
      </c>
      <c r="D59" s="24" t="str">
        <f aca="false">'Post-LOI Checklist'!E30</f>
        <v>P2 - High</v>
      </c>
      <c r="E59" s="26" t="n">
        <f aca="false">'Post-LOI Checklist'!I30</f>
        <v>46342</v>
      </c>
      <c r="F59" s="26" t="n">
        <f aca="false">'Post-LOI Checklist'!J30</f>
        <v>46374</v>
      </c>
      <c r="G59" s="24" t="str">
        <f aca="false">'Post-LOI Checklist'!O30</f>
        <v>Not started</v>
      </c>
      <c r="H59" s="27" t="str">
        <f aca="false">IF(AND($E59&lt;=H$4+6,$F59&gt;=H$4),IF($E59=$F59,"◆","■"),"")</f>
        <v/>
      </c>
      <c r="I59" s="27" t="str">
        <f aca="false">IF(AND($E59&lt;=I$4+6,$F59&gt;=I$4),IF($E59=$F59,"◆","■"),"")</f>
        <v/>
      </c>
      <c r="J59" s="27" t="str">
        <f aca="false">IF(AND($E59&lt;=J$4+6,$F59&gt;=J$4),IF($E59=$F59,"◆","■"),"")</f>
        <v/>
      </c>
      <c r="K59" s="27" t="str">
        <f aca="false">IF(AND($E59&lt;=K$4+6,$F59&gt;=K$4),IF($E59=$F59,"◆","■"),"")</f>
        <v/>
      </c>
      <c r="L59" s="27" t="str">
        <f aca="false">IF(AND($E59&lt;=L$4+6,$F59&gt;=L$4),IF($E59=$F59,"◆","■"),"")</f>
        <v/>
      </c>
      <c r="M59" s="27" t="str">
        <f aca="false">IF(AND($E59&lt;=M$4+6,$F59&gt;=M$4),IF($E59=$F59,"◆","■"),"")</f>
        <v/>
      </c>
      <c r="N59" s="27" t="str">
        <f aca="false">IF(AND($E59&lt;=N$4+6,$F59&gt;=N$4),IF($E59=$F59,"◆","■"),"")</f>
        <v/>
      </c>
      <c r="O59" s="27" t="str">
        <f aca="false">IF(AND($E59&lt;=O$4+6,$F59&gt;=O$4),IF($E59=$F59,"◆","■"),"")</f>
        <v/>
      </c>
      <c r="P59" s="27" t="str">
        <f aca="false">IF(AND($E59&lt;=P$4+6,$F59&gt;=P$4),IF($E59=$F59,"◆","■"),"")</f>
        <v>■</v>
      </c>
      <c r="Q59" s="27" t="str">
        <f aca="false">IF(AND($E59&lt;=Q$4+6,$F59&gt;=Q$4),IF($E59=$F59,"◆","■"),"")</f>
        <v>■</v>
      </c>
      <c r="R59" s="27" t="str">
        <f aca="false">IF(AND($E59&lt;=R$4+6,$F59&gt;=R$4),IF($E59=$F59,"◆","■"),"")</f>
        <v>■</v>
      </c>
      <c r="S59" s="27" t="str">
        <f aca="false">IF(AND($E59&lt;=S$4+6,$F59&gt;=S$4),IF($E59=$F59,"◆","■"),"")</f>
        <v>■</v>
      </c>
      <c r="T59" s="27" t="str">
        <f aca="false">IF(AND($E59&lt;=T$4+6,$F59&gt;=T$4),IF($E59=$F59,"◆","■"),"")</f>
        <v>■</v>
      </c>
      <c r="U59" s="27" t="str">
        <f aca="false">IF(AND($E59&lt;=U$4+6,$F59&gt;=U$4),IF($E59=$F59,"◆","■"),"")</f>
        <v/>
      </c>
      <c r="V59" s="27" t="str">
        <f aca="false">IF(AND($E59&lt;=V$4+6,$F59&gt;=V$4),IF($E59=$F59,"◆","■"),"")</f>
        <v/>
      </c>
      <c r="W59" s="27" t="str">
        <f aca="false">IF(AND($E59&lt;=W$4+6,$F59&gt;=W$4),IF($E59=$F59,"◆","■"),"")</f>
        <v/>
      </c>
      <c r="X59" s="27" t="str">
        <f aca="false">IF(AND($E59&lt;=X$4+6,$F59&gt;=X$4),IF($E59=$F59,"◆","■"),"")</f>
        <v/>
      </c>
      <c r="Y59" s="27" t="str">
        <f aca="false">IF(AND($E59&lt;=Y$4+6,$F59&gt;=Y$4),IF($E59=$F59,"◆","■"),"")</f>
        <v/>
      </c>
      <c r="Z59" s="27" t="str">
        <f aca="false">IF(AND($E59&lt;=Z$4+6,$F59&gt;=Z$4),IF($E59=$F59,"◆","■"),"")</f>
        <v/>
      </c>
      <c r="AA59" s="27" t="str">
        <f aca="false">IF(AND($E59&lt;=AA$4+6,$F59&gt;=AA$4),IF($E59=$F59,"◆","■"),"")</f>
        <v/>
      </c>
      <c r="AB59" s="27" t="str">
        <f aca="false">IF(AND($E59&lt;=AB$4+6,$F59&gt;=AB$4),IF($E59=$F59,"◆","■"),"")</f>
        <v/>
      </c>
      <c r="AC59" s="27" t="str">
        <f aca="false">IF(AND($E59&lt;=AC$4+6,$F59&gt;=AC$4),IF($E59=$F59,"◆","■"),"")</f>
        <v/>
      </c>
      <c r="AD59" s="27" t="str">
        <f aca="false">IF(AND($E59&lt;=AD$4+6,$F59&gt;=AD$4),IF($E59=$F59,"◆","■"),"")</f>
        <v/>
      </c>
      <c r="AE59" s="27" t="str">
        <f aca="false">IF(AND($E59&lt;=AE$4+6,$F59&gt;=AE$4),IF($E59=$F59,"◆","■"),"")</f>
        <v/>
      </c>
      <c r="AF59" s="27" t="str">
        <f aca="false">IF(AND($E59&lt;=AF$4+6,$F59&gt;=AF$4),IF($E59=$F59,"◆","■"),"")</f>
        <v/>
      </c>
      <c r="AG59" s="27" t="str">
        <f aca="false">IF(AND($E59&lt;=AG$4+6,$F59&gt;=AG$4),IF($E59=$F59,"◆","■"),"")</f>
        <v/>
      </c>
      <c r="AH59" s="27" t="str">
        <f aca="false">IF(AND($E59&lt;=AH$4+6,$F59&gt;=AH$4),IF($E59=$F59,"◆","■"),"")</f>
        <v/>
      </c>
      <c r="AI59" s="27" t="str">
        <f aca="false">IF(AND($E59&lt;=AI$4+6,$F59&gt;=AI$4),IF($E59=$F59,"◆","■"),"")</f>
        <v/>
      </c>
      <c r="AJ59" s="27" t="str">
        <f aca="false">IF(AND($E59&lt;=AJ$4+6,$F59&gt;=AJ$4),IF($E59=$F59,"◆","■"),"")</f>
        <v/>
      </c>
      <c r="AK59" s="27" t="str">
        <f aca="false">IF(AND($E59&lt;=AK$4+6,$F59&gt;=AK$4),IF($E59=$F59,"◆","■"),"")</f>
        <v/>
      </c>
    </row>
    <row r="60" customFormat="false" ht="15" hidden="false" customHeight="false" outlineLevel="0" collapsed="false">
      <c r="A60" s="24" t="str">
        <f aca="false">'Post-LOI Checklist'!A31</f>
        <v>POST-27</v>
      </c>
      <c r="B60" s="25" t="str">
        <f aca="false">'Post-LOI Checklist'!C31</f>
        <v>Escrow agreement and agent</v>
      </c>
      <c r="C60" s="24" t="str">
        <f aca="false">'Post-LOI Checklist'!G31</f>
        <v>Corey</v>
      </c>
      <c r="D60" s="24" t="str">
        <f aca="false">'Post-LOI Checklist'!E31</f>
        <v>P3 - Medium</v>
      </c>
      <c r="E60" s="26" t="n">
        <f aca="false">'Post-LOI Checklist'!I31</f>
        <v>46349</v>
      </c>
      <c r="F60" s="26" t="n">
        <f aca="false">'Post-LOI Checklist'!J31</f>
        <v>46367</v>
      </c>
      <c r="G60" s="24" t="str">
        <f aca="false">'Post-LOI Checklist'!O31</f>
        <v>Not started</v>
      </c>
      <c r="H60" s="27" t="str">
        <f aca="false">IF(AND($E60&lt;=H$4+6,$F60&gt;=H$4),IF($E60=$F60,"◆","■"),"")</f>
        <v/>
      </c>
      <c r="I60" s="27" t="str">
        <f aca="false">IF(AND($E60&lt;=I$4+6,$F60&gt;=I$4),IF($E60=$F60,"◆","■"),"")</f>
        <v/>
      </c>
      <c r="J60" s="27" t="str">
        <f aca="false">IF(AND($E60&lt;=J$4+6,$F60&gt;=J$4),IF($E60=$F60,"◆","■"),"")</f>
        <v/>
      </c>
      <c r="K60" s="27" t="str">
        <f aca="false">IF(AND($E60&lt;=K$4+6,$F60&gt;=K$4),IF($E60=$F60,"◆","■"),"")</f>
        <v/>
      </c>
      <c r="L60" s="27" t="str">
        <f aca="false">IF(AND($E60&lt;=L$4+6,$F60&gt;=L$4),IF($E60=$F60,"◆","■"),"")</f>
        <v/>
      </c>
      <c r="M60" s="27" t="str">
        <f aca="false">IF(AND($E60&lt;=M$4+6,$F60&gt;=M$4),IF($E60=$F60,"◆","■"),"")</f>
        <v/>
      </c>
      <c r="N60" s="27" t="str">
        <f aca="false">IF(AND($E60&lt;=N$4+6,$F60&gt;=N$4),IF($E60=$F60,"◆","■"),"")</f>
        <v/>
      </c>
      <c r="O60" s="27" t="str">
        <f aca="false">IF(AND($E60&lt;=O$4+6,$F60&gt;=O$4),IF($E60=$F60,"◆","■"),"")</f>
        <v/>
      </c>
      <c r="P60" s="27" t="str">
        <f aca="false">IF(AND($E60&lt;=P$4+6,$F60&gt;=P$4),IF($E60=$F60,"◆","■"),"")</f>
        <v/>
      </c>
      <c r="Q60" s="27" t="str">
        <f aca="false">IF(AND($E60&lt;=Q$4+6,$F60&gt;=Q$4),IF($E60=$F60,"◆","■"),"")</f>
        <v>■</v>
      </c>
      <c r="R60" s="27" t="str">
        <f aca="false">IF(AND($E60&lt;=R$4+6,$F60&gt;=R$4),IF($E60=$F60,"◆","■"),"")</f>
        <v>■</v>
      </c>
      <c r="S60" s="27" t="str">
        <f aca="false">IF(AND($E60&lt;=S$4+6,$F60&gt;=S$4),IF($E60=$F60,"◆","■"),"")</f>
        <v>■</v>
      </c>
      <c r="T60" s="27" t="str">
        <f aca="false">IF(AND($E60&lt;=T$4+6,$F60&gt;=T$4),IF($E60=$F60,"◆","■"),"")</f>
        <v/>
      </c>
      <c r="U60" s="27" t="str">
        <f aca="false">IF(AND($E60&lt;=U$4+6,$F60&gt;=U$4),IF($E60=$F60,"◆","■"),"")</f>
        <v/>
      </c>
      <c r="V60" s="27" t="str">
        <f aca="false">IF(AND($E60&lt;=V$4+6,$F60&gt;=V$4),IF($E60=$F60,"◆","■"),"")</f>
        <v/>
      </c>
      <c r="W60" s="27" t="str">
        <f aca="false">IF(AND($E60&lt;=W$4+6,$F60&gt;=W$4),IF($E60=$F60,"◆","■"),"")</f>
        <v/>
      </c>
      <c r="X60" s="27" t="str">
        <f aca="false">IF(AND($E60&lt;=X$4+6,$F60&gt;=X$4),IF($E60=$F60,"◆","■"),"")</f>
        <v/>
      </c>
      <c r="Y60" s="27" t="str">
        <f aca="false">IF(AND($E60&lt;=Y$4+6,$F60&gt;=Y$4),IF($E60=$F60,"◆","■"),"")</f>
        <v/>
      </c>
      <c r="Z60" s="27" t="str">
        <f aca="false">IF(AND($E60&lt;=Z$4+6,$F60&gt;=Z$4),IF($E60=$F60,"◆","■"),"")</f>
        <v/>
      </c>
      <c r="AA60" s="27" t="str">
        <f aca="false">IF(AND($E60&lt;=AA$4+6,$F60&gt;=AA$4),IF($E60=$F60,"◆","■"),"")</f>
        <v/>
      </c>
      <c r="AB60" s="27" t="str">
        <f aca="false">IF(AND($E60&lt;=AB$4+6,$F60&gt;=AB$4),IF($E60=$F60,"◆","■"),"")</f>
        <v/>
      </c>
      <c r="AC60" s="27" t="str">
        <f aca="false">IF(AND($E60&lt;=AC$4+6,$F60&gt;=AC$4),IF($E60=$F60,"◆","■"),"")</f>
        <v/>
      </c>
      <c r="AD60" s="27" t="str">
        <f aca="false">IF(AND($E60&lt;=AD$4+6,$F60&gt;=AD$4),IF($E60=$F60,"◆","■"),"")</f>
        <v/>
      </c>
      <c r="AE60" s="27" t="str">
        <f aca="false">IF(AND($E60&lt;=AE$4+6,$F60&gt;=AE$4),IF($E60=$F60,"◆","■"),"")</f>
        <v/>
      </c>
      <c r="AF60" s="27" t="str">
        <f aca="false">IF(AND($E60&lt;=AF$4+6,$F60&gt;=AF$4),IF($E60=$F60,"◆","■"),"")</f>
        <v/>
      </c>
      <c r="AG60" s="27" t="str">
        <f aca="false">IF(AND($E60&lt;=AG$4+6,$F60&gt;=AG$4),IF($E60=$F60,"◆","■"),"")</f>
        <v/>
      </c>
      <c r="AH60" s="27" t="str">
        <f aca="false">IF(AND($E60&lt;=AH$4+6,$F60&gt;=AH$4),IF($E60=$F60,"◆","■"),"")</f>
        <v/>
      </c>
      <c r="AI60" s="27" t="str">
        <f aca="false">IF(AND($E60&lt;=AI$4+6,$F60&gt;=AI$4),IF($E60=$F60,"◆","■"),"")</f>
        <v/>
      </c>
      <c r="AJ60" s="27" t="str">
        <f aca="false">IF(AND($E60&lt;=AJ$4+6,$F60&gt;=AJ$4),IF($E60=$F60,"◆","■"),"")</f>
        <v/>
      </c>
      <c r="AK60" s="27" t="str">
        <f aca="false">IF(AND($E60&lt;=AK$4+6,$F60&gt;=AK$4),IF($E60=$F60,"◆","■"),"")</f>
        <v/>
      </c>
    </row>
    <row r="61" customFormat="false" ht="15" hidden="false" customHeight="false" outlineLevel="0" collapsed="false">
      <c r="A61" s="24" t="str">
        <f aca="false">'Post-LOI Checklist'!A32</f>
        <v>POST-28</v>
      </c>
      <c r="B61" s="25" t="str">
        <f aca="false">'Post-LOI Checklist'!C32</f>
        <v>Securities documents</v>
      </c>
      <c r="C61" s="24" t="str">
        <f aca="false">'Post-LOI Checklist'!G32</f>
        <v>Corey</v>
      </c>
      <c r="D61" s="24" t="str">
        <f aca="false">'Post-LOI Checklist'!E32</f>
        <v>P2 - High</v>
      </c>
      <c r="E61" s="26" t="n">
        <f aca="false">'Post-LOI Checklist'!I32</f>
        <v>46357</v>
      </c>
      <c r="F61" s="26" t="n">
        <f aca="false">'Post-LOI Checklist'!J32</f>
        <v>46371</v>
      </c>
      <c r="G61" s="24" t="str">
        <f aca="false">'Post-LOI Checklist'!O32</f>
        <v>Not started</v>
      </c>
      <c r="H61" s="27" t="str">
        <f aca="false">IF(AND($E61&lt;=H$4+6,$F61&gt;=H$4),IF($E61=$F61,"◆","■"),"")</f>
        <v/>
      </c>
      <c r="I61" s="27" t="str">
        <f aca="false">IF(AND($E61&lt;=I$4+6,$F61&gt;=I$4),IF($E61=$F61,"◆","■"),"")</f>
        <v/>
      </c>
      <c r="J61" s="27" t="str">
        <f aca="false">IF(AND($E61&lt;=J$4+6,$F61&gt;=J$4),IF($E61=$F61,"◆","■"),"")</f>
        <v/>
      </c>
      <c r="K61" s="27" t="str">
        <f aca="false">IF(AND($E61&lt;=K$4+6,$F61&gt;=K$4),IF($E61=$F61,"◆","■"),"")</f>
        <v/>
      </c>
      <c r="L61" s="27" t="str">
        <f aca="false">IF(AND($E61&lt;=L$4+6,$F61&gt;=L$4),IF($E61=$F61,"◆","■"),"")</f>
        <v/>
      </c>
      <c r="M61" s="27" t="str">
        <f aca="false">IF(AND($E61&lt;=M$4+6,$F61&gt;=M$4),IF($E61=$F61,"◆","■"),"")</f>
        <v/>
      </c>
      <c r="N61" s="27" t="str">
        <f aca="false">IF(AND($E61&lt;=N$4+6,$F61&gt;=N$4),IF($E61=$F61,"◆","■"),"")</f>
        <v/>
      </c>
      <c r="O61" s="27" t="str">
        <f aca="false">IF(AND($E61&lt;=O$4+6,$F61&gt;=O$4),IF($E61=$F61,"◆","■"),"")</f>
        <v/>
      </c>
      <c r="P61" s="27" t="str">
        <f aca="false">IF(AND($E61&lt;=P$4+6,$F61&gt;=P$4),IF($E61=$F61,"◆","■"),"")</f>
        <v/>
      </c>
      <c r="Q61" s="27" t="str">
        <f aca="false">IF(AND($E61&lt;=Q$4+6,$F61&gt;=Q$4),IF($E61=$F61,"◆","■"),"")</f>
        <v/>
      </c>
      <c r="R61" s="27" t="str">
        <f aca="false">IF(AND($E61&lt;=R$4+6,$F61&gt;=R$4),IF($E61=$F61,"◆","■"),"")</f>
        <v>■</v>
      </c>
      <c r="S61" s="27" t="str">
        <f aca="false">IF(AND($E61&lt;=S$4+6,$F61&gt;=S$4),IF($E61=$F61,"◆","■"),"")</f>
        <v>■</v>
      </c>
      <c r="T61" s="27" t="str">
        <f aca="false">IF(AND($E61&lt;=T$4+6,$F61&gt;=T$4),IF($E61=$F61,"◆","■"),"")</f>
        <v>■</v>
      </c>
      <c r="U61" s="27" t="str">
        <f aca="false">IF(AND($E61&lt;=U$4+6,$F61&gt;=U$4),IF($E61=$F61,"◆","■"),"")</f>
        <v/>
      </c>
      <c r="V61" s="27" t="str">
        <f aca="false">IF(AND($E61&lt;=V$4+6,$F61&gt;=V$4),IF($E61=$F61,"◆","■"),"")</f>
        <v/>
      </c>
      <c r="W61" s="27" t="str">
        <f aca="false">IF(AND($E61&lt;=W$4+6,$F61&gt;=W$4),IF($E61=$F61,"◆","■"),"")</f>
        <v/>
      </c>
      <c r="X61" s="27" t="str">
        <f aca="false">IF(AND($E61&lt;=X$4+6,$F61&gt;=X$4),IF($E61=$F61,"◆","■"),"")</f>
        <v/>
      </c>
      <c r="Y61" s="27" t="str">
        <f aca="false">IF(AND($E61&lt;=Y$4+6,$F61&gt;=Y$4),IF($E61=$F61,"◆","■"),"")</f>
        <v/>
      </c>
      <c r="Z61" s="27" t="str">
        <f aca="false">IF(AND($E61&lt;=Z$4+6,$F61&gt;=Z$4),IF($E61=$F61,"◆","■"),"")</f>
        <v/>
      </c>
      <c r="AA61" s="27" t="str">
        <f aca="false">IF(AND($E61&lt;=AA$4+6,$F61&gt;=AA$4),IF($E61=$F61,"◆","■"),"")</f>
        <v/>
      </c>
      <c r="AB61" s="27" t="str">
        <f aca="false">IF(AND($E61&lt;=AB$4+6,$F61&gt;=AB$4),IF($E61=$F61,"◆","■"),"")</f>
        <v/>
      </c>
      <c r="AC61" s="27" t="str">
        <f aca="false">IF(AND($E61&lt;=AC$4+6,$F61&gt;=AC$4),IF($E61=$F61,"◆","■"),"")</f>
        <v/>
      </c>
      <c r="AD61" s="27" t="str">
        <f aca="false">IF(AND($E61&lt;=AD$4+6,$F61&gt;=AD$4),IF($E61=$F61,"◆","■"),"")</f>
        <v/>
      </c>
      <c r="AE61" s="27" t="str">
        <f aca="false">IF(AND($E61&lt;=AE$4+6,$F61&gt;=AE$4),IF($E61=$F61,"◆","■"),"")</f>
        <v/>
      </c>
      <c r="AF61" s="27" t="str">
        <f aca="false">IF(AND($E61&lt;=AF$4+6,$F61&gt;=AF$4),IF($E61=$F61,"◆","■"),"")</f>
        <v/>
      </c>
      <c r="AG61" s="27" t="str">
        <f aca="false">IF(AND($E61&lt;=AG$4+6,$F61&gt;=AG$4),IF($E61=$F61,"◆","■"),"")</f>
        <v/>
      </c>
      <c r="AH61" s="27" t="str">
        <f aca="false">IF(AND($E61&lt;=AH$4+6,$F61&gt;=AH$4),IF($E61=$F61,"◆","■"),"")</f>
        <v/>
      </c>
      <c r="AI61" s="27" t="str">
        <f aca="false">IF(AND($E61&lt;=AI$4+6,$F61&gt;=AI$4),IF($E61=$F61,"◆","■"),"")</f>
        <v/>
      </c>
      <c r="AJ61" s="27" t="str">
        <f aca="false">IF(AND($E61&lt;=AJ$4+6,$F61&gt;=AJ$4),IF($E61=$F61,"◆","■"),"")</f>
        <v/>
      </c>
      <c r="AK61" s="27" t="str">
        <f aca="false">IF(AND($E61&lt;=AK$4+6,$F61&gt;=AK$4),IF($E61=$F61,"◆","■"),"")</f>
        <v/>
      </c>
    </row>
    <row r="62" customFormat="false" ht="15" hidden="false" customHeight="false" outlineLevel="0" collapsed="false">
      <c r="A62" s="24" t="str">
        <f aca="false">'Post-LOI Checklist'!A33</f>
        <v>POST-29</v>
      </c>
      <c r="B62" s="25" t="str">
        <f aca="false">'Post-LOI Checklist'!C33</f>
        <v>Ben option grant</v>
      </c>
      <c r="C62" s="24" t="str">
        <f aca="false">'Post-LOI Checklist'!G33</f>
        <v>Corey</v>
      </c>
      <c r="D62" s="24" t="str">
        <f aca="false">'Post-LOI Checklist'!E33</f>
        <v>P3 - Medium</v>
      </c>
      <c r="E62" s="26" t="n">
        <f aca="false">'Post-LOI Checklist'!I33</f>
        <v>46357</v>
      </c>
      <c r="F62" s="26" t="n">
        <f aca="false">'Post-LOI Checklist'!J33</f>
        <v>46374</v>
      </c>
      <c r="G62" s="24" t="str">
        <f aca="false">'Post-LOI Checklist'!O33</f>
        <v>Not started</v>
      </c>
      <c r="H62" s="27" t="str">
        <f aca="false">IF(AND($E62&lt;=H$4+6,$F62&gt;=H$4),IF($E62=$F62,"◆","■"),"")</f>
        <v/>
      </c>
      <c r="I62" s="27" t="str">
        <f aca="false">IF(AND($E62&lt;=I$4+6,$F62&gt;=I$4),IF($E62=$F62,"◆","■"),"")</f>
        <v/>
      </c>
      <c r="J62" s="27" t="str">
        <f aca="false">IF(AND($E62&lt;=J$4+6,$F62&gt;=J$4),IF($E62=$F62,"◆","■"),"")</f>
        <v/>
      </c>
      <c r="K62" s="27" t="str">
        <f aca="false">IF(AND($E62&lt;=K$4+6,$F62&gt;=K$4),IF($E62=$F62,"◆","■"),"")</f>
        <v/>
      </c>
      <c r="L62" s="27" t="str">
        <f aca="false">IF(AND($E62&lt;=L$4+6,$F62&gt;=L$4),IF($E62=$F62,"◆","■"),"")</f>
        <v/>
      </c>
      <c r="M62" s="27" t="str">
        <f aca="false">IF(AND($E62&lt;=M$4+6,$F62&gt;=M$4),IF($E62=$F62,"◆","■"),"")</f>
        <v/>
      </c>
      <c r="N62" s="27" t="str">
        <f aca="false">IF(AND($E62&lt;=N$4+6,$F62&gt;=N$4),IF($E62=$F62,"◆","■"),"")</f>
        <v/>
      </c>
      <c r="O62" s="27" t="str">
        <f aca="false">IF(AND($E62&lt;=O$4+6,$F62&gt;=O$4),IF($E62=$F62,"◆","■"),"")</f>
        <v/>
      </c>
      <c r="P62" s="27" t="str">
        <f aca="false">IF(AND($E62&lt;=P$4+6,$F62&gt;=P$4),IF($E62=$F62,"◆","■"),"")</f>
        <v/>
      </c>
      <c r="Q62" s="27" t="str">
        <f aca="false">IF(AND($E62&lt;=Q$4+6,$F62&gt;=Q$4),IF($E62=$F62,"◆","■"),"")</f>
        <v/>
      </c>
      <c r="R62" s="27" t="str">
        <f aca="false">IF(AND($E62&lt;=R$4+6,$F62&gt;=R$4),IF($E62=$F62,"◆","■"),"")</f>
        <v>■</v>
      </c>
      <c r="S62" s="27" t="str">
        <f aca="false">IF(AND($E62&lt;=S$4+6,$F62&gt;=S$4),IF($E62=$F62,"◆","■"),"")</f>
        <v>■</v>
      </c>
      <c r="T62" s="27" t="str">
        <f aca="false">IF(AND($E62&lt;=T$4+6,$F62&gt;=T$4),IF($E62=$F62,"◆","■"),"")</f>
        <v>■</v>
      </c>
      <c r="U62" s="27" t="str">
        <f aca="false">IF(AND($E62&lt;=U$4+6,$F62&gt;=U$4),IF($E62=$F62,"◆","■"),"")</f>
        <v/>
      </c>
      <c r="V62" s="27" t="str">
        <f aca="false">IF(AND($E62&lt;=V$4+6,$F62&gt;=V$4),IF($E62=$F62,"◆","■"),"")</f>
        <v/>
      </c>
      <c r="W62" s="27" t="str">
        <f aca="false">IF(AND($E62&lt;=W$4+6,$F62&gt;=W$4),IF($E62=$F62,"◆","■"),"")</f>
        <v/>
      </c>
      <c r="X62" s="27" t="str">
        <f aca="false">IF(AND($E62&lt;=X$4+6,$F62&gt;=X$4),IF($E62=$F62,"◆","■"),"")</f>
        <v/>
      </c>
      <c r="Y62" s="27" t="str">
        <f aca="false">IF(AND($E62&lt;=Y$4+6,$F62&gt;=Y$4),IF($E62=$F62,"◆","■"),"")</f>
        <v/>
      </c>
      <c r="Z62" s="27" t="str">
        <f aca="false">IF(AND($E62&lt;=Z$4+6,$F62&gt;=Z$4),IF($E62=$F62,"◆","■"),"")</f>
        <v/>
      </c>
      <c r="AA62" s="27" t="str">
        <f aca="false">IF(AND($E62&lt;=AA$4+6,$F62&gt;=AA$4),IF($E62=$F62,"◆","■"),"")</f>
        <v/>
      </c>
      <c r="AB62" s="27" t="str">
        <f aca="false">IF(AND($E62&lt;=AB$4+6,$F62&gt;=AB$4),IF($E62=$F62,"◆","■"),"")</f>
        <v/>
      </c>
      <c r="AC62" s="27" t="str">
        <f aca="false">IF(AND($E62&lt;=AC$4+6,$F62&gt;=AC$4),IF($E62=$F62,"◆","■"),"")</f>
        <v/>
      </c>
      <c r="AD62" s="27" t="str">
        <f aca="false">IF(AND($E62&lt;=AD$4+6,$F62&gt;=AD$4),IF($E62=$F62,"◆","■"),"")</f>
        <v/>
      </c>
      <c r="AE62" s="27" t="str">
        <f aca="false">IF(AND($E62&lt;=AE$4+6,$F62&gt;=AE$4),IF($E62=$F62,"◆","■"),"")</f>
        <v/>
      </c>
      <c r="AF62" s="27" t="str">
        <f aca="false">IF(AND($E62&lt;=AF$4+6,$F62&gt;=AF$4),IF($E62=$F62,"◆","■"),"")</f>
        <v/>
      </c>
      <c r="AG62" s="27" t="str">
        <f aca="false">IF(AND($E62&lt;=AG$4+6,$F62&gt;=AG$4),IF($E62=$F62,"◆","■"),"")</f>
        <v/>
      </c>
      <c r="AH62" s="27" t="str">
        <f aca="false">IF(AND($E62&lt;=AH$4+6,$F62&gt;=AH$4),IF($E62=$F62,"◆","■"),"")</f>
        <v/>
      </c>
      <c r="AI62" s="27" t="str">
        <f aca="false">IF(AND($E62&lt;=AI$4+6,$F62&gt;=AI$4),IF($E62=$F62,"◆","■"),"")</f>
        <v/>
      </c>
      <c r="AJ62" s="27" t="str">
        <f aca="false">IF(AND($E62&lt;=AJ$4+6,$F62&gt;=AJ$4),IF($E62=$F62,"◆","■"),"")</f>
        <v/>
      </c>
      <c r="AK62" s="27" t="str">
        <f aca="false">IF(AND($E62&lt;=AK$4+6,$F62&gt;=AK$4),IF($E62=$F62,"◆","■"),"")</f>
        <v/>
      </c>
    </row>
    <row r="63" customFormat="false" ht="15" hidden="false" customHeight="false" outlineLevel="0" collapsed="false">
      <c r="A63" s="24" t="str">
        <f aca="false">'Post-LOI Checklist'!A34</f>
        <v>POST-30</v>
      </c>
      <c r="B63" s="25" t="str">
        <f aca="false">'Post-LOI Checklist'!C34</f>
        <v>Client and team communications plan</v>
      </c>
      <c r="C63" s="24" t="str">
        <f aca="false">'Post-LOI Checklist'!G34</f>
        <v>Ben</v>
      </c>
      <c r="D63" s="24" t="str">
        <f aca="false">'Post-LOI Checklist'!E34</f>
        <v>P2 - High</v>
      </c>
      <c r="E63" s="26" t="n">
        <f aca="false">'Post-LOI Checklist'!I34</f>
        <v>46363</v>
      </c>
      <c r="F63" s="26" t="n">
        <f aca="false">'Post-LOI Checklist'!J34</f>
        <v>46374</v>
      </c>
      <c r="G63" s="24" t="str">
        <f aca="false">'Post-LOI Checklist'!O34</f>
        <v>Not started</v>
      </c>
      <c r="H63" s="27" t="str">
        <f aca="false">IF(AND($E63&lt;=H$4+6,$F63&gt;=H$4),IF($E63=$F63,"◆","■"),"")</f>
        <v/>
      </c>
      <c r="I63" s="27" t="str">
        <f aca="false">IF(AND($E63&lt;=I$4+6,$F63&gt;=I$4),IF($E63=$F63,"◆","■"),"")</f>
        <v/>
      </c>
      <c r="J63" s="27" t="str">
        <f aca="false">IF(AND($E63&lt;=J$4+6,$F63&gt;=J$4),IF($E63=$F63,"◆","■"),"")</f>
        <v/>
      </c>
      <c r="K63" s="27" t="str">
        <f aca="false">IF(AND($E63&lt;=K$4+6,$F63&gt;=K$4),IF($E63=$F63,"◆","■"),"")</f>
        <v/>
      </c>
      <c r="L63" s="27" t="str">
        <f aca="false">IF(AND($E63&lt;=L$4+6,$F63&gt;=L$4),IF($E63=$F63,"◆","■"),"")</f>
        <v/>
      </c>
      <c r="M63" s="27" t="str">
        <f aca="false">IF(AND($E63&lt;=M$4+6,$F63&gt;=M$4),IF($E63=$F63,"◆","■"),"")</f>
        <v/>
      </c>
      <c r="N63" s="27" t="str">
        <f aca="false">IF(AND($E63&lt;=N$4+6,$F63&gt;=N$4),IF($E63=$F63,"◆","■"),"")</f>
        <v/>
      </c>
      <c r="O63" s="27" t="str">
        <f aca="false">IF(AND($E63&lt;=O$4+6,$F63&gt;=O$4),IF($E63=$F63,"◆","■"),"")</f>
        <v/>
      </c>
      <c r="P63" s="27" t="str">
        <f aca="false">IF(AND($E63&lt;=P$4+6,$F63&gt;=P$4),IF($E63=$F63,"◆","■"),"")</f>
        <v/>
      </c>
      <c r="Q63" s="27" t="str">
        <f aca="false">IF(AND($E63&lt;=Q$4+6,$F63&gt;=Q$4),IF($E63=$F63,"◆","■"),"")</f>
        <v/>
      </c>
      <c r="R63" s="27" t="str">
        <f aca="false">IF(AND($E63&lt;=R$4+6,$F63&gt;=R$4),IF($E63=$F63,"◆","■"),"")</f>
        <v/>
      </c>
      <c r="S63" s="27" t="str">
        <f aca="false">IF(AND($E63&lt;=S$4+6,$F63&gt;=S$4),IF($E63=$F63,"◆","■"),"")</f>
        <v>■</v>
      </c>
      <c r="T63" s="27" t="str">
        <f aca="false">IF(AND($E63&lt;=T$4+6,$F63&gt;=T$4),IF($E63=$F63,"◆","■"),"")</f>
        <v>■</v>
      </c>
      <c r="U63" s="27" t="str">
        <f aca="false">IF(AND($E63&lt;=U$4+6,$F63&gt;=U$4),IF($E63=$F63,"◆","■"),"")</f>
        <v/>
      </c>
      <c r="V63" s="27" t="str">
        <f aca="false">IF(AND($E63&lt;=V$4+6,$F63&gt;=V$4),IF($E63=$F63,"◆","■"),"")</f>
        <v/>
      </c>
      <c r="W63" s="27" t="str">
        <f aca="false">IF(AND($E63&lt;=W$4+6,$F63&gt;=W$4),IF($E63=$F63,"◆","■"),"")</f>
        <v/>
      </c>
      <c r="X63" s="27" t="str">
        <f aca="false">IF(AND($E63&lt;=X$4+6,$F63&gt;=X$4),IF($E63=$F63,"◆","■"),"")</f>
        <v/>
      </c>
      <c r="Y63" s="27" t="str">
        <f aca="false">IF(AND($E63&lt;=Y$4+6,$F63&gt;=Y$4),IF($E63=$F63,"◆","■"),"")</f>
        <v/>
      </c>
      <c r="Z63" s="27" t="str">
        <f aca="false">IF(AND($E63&lt;=Z$4+6,$F63&gt;=Z$4),IF($E63=$F63,"◆","■"),"")</f>
        <v/>
      </c>
      <c r="AA63" s="27" t="str">
        <f aca="false">IF(AND($E63&lt;=AA$4+6,$F63&gt;=AA$4),IF($E63=$F63,"◆","■"),"")</f>
        <v/>
      </c>
      <c r="AB63" s="27" t="str">
        <f aca="false">IF(AND($E63&lt;=AB$4+6,$F63&gt;=AB$4),IF($E63=$F63,"◆","■"),"")</f>
        <v/>
      </c>
      <c r="AC63" s="27" t="str">
        <f aca="false">IF(AND($E63&lt;=AC$4+6,$F63&gt;=AC$4),IF($E63=$F63,"◆","■"),"")</f>
        <v/>
      </c>
      <c r="AD63" s="27" t="str">
        <f aca="false">IF(AND($E63&lt;=AD$4+6,$F63&gt;=AD$4),IF($E63=$F63,"◆","■"),"")</f>
        <v/>
      </c>
      <c r="AE63" s="27" t="str">
        <f aca="false">IF(AND($E63&lt;=AE$4+6,$F63&gt;=AE$4),IF($E63=$F63,"◆","■"),"")</f>
        <v/>
      </c>
      <c r="AF63" s="27" t="str">
        <f aca="false">IF(AND($E63&lt;=AF$4+6,$F63&gt;=AF$4),IF($E63=$F63,"◆","■"),"")</f>
        <v/>
      </c>
      <c r="AG63" s="27" t="str">
        <f aca="false">IF(AND($E63&lt;=AG$4+6,$F63&gt;=AG$4),IF($E63=$F63,"◆","■"),"")</f>
        <v/>
      </c>
      <c r="AH63" s="27" t="str">
        <f aca="false">IF(AND($E63&lt;=AH$4+6,$F63&gt;=AH$4),IF($E63=$F63,"◆","■"),"")</f>
        <v/>
      </c>
      <c r="AI63" s="27" t="str">
        <f aca="false">IF(AND($E63&lt;=AI$4+6,$F63&gt;=AI$4),IF($E63=$F63,"◆","■"),"")</f>
        <v/>
      </c>
      <c r="AJ63" s="27" t="str">
        <f aca="false">IF(AND($E63&lt;=AJ$4+6,$F63&gt;=AJ$4),IF($E63=$F63,"◆","■"),"")</f>
        <v/>
      </c>
      <c r="AK63" s="27" t="str">
        <f aca="false">IF(AND($E63&lt;=AK$4+6,$F63&gt;=AK$4),IF($E63=$F63,"◆","■"),"")</f>
        <v/>
      </c>
    </row>
    <row r="64" customFormat="false" ht="15" hidden="false" customHeight="false" outlineLevel="0" collapsed="false">
      <c r="A64" s="24" t="str">
        <f aca="false">'Post-LOI Checklist'!A35</f>
        <v>POST-31</v>
      </c>
      <c r="B64" s="25" t="str">
        <f aca="false">'Post-LOI Checklist'!C35</f>
        <v>Funds-flow memo and wire verification</v>
      </c>
      <c r="C64" s="24" t="str">
        <f aca="false">'Post-LOI Checklist'!G35</f>
        <v>Josh</v>
      </c>
      <c r="D64" s="24" t="str">
        <f aca="false">'Post-LOI Checklist'!E35</f>
        <v>P1 - Critical</v>
      </c>
      <c r="E64" s="26" t="n">
        <f aca="false">'Post-LOI Checklist'!I35</f>
        <v>46363</v>
      </c>
      <c r="F64" s="26" t="n">
        <f aca="false">'Post-LOI Checklist'!J35</f>
        <v>46373</v>
      </c>
      <c r="G64" s="24" t="str">
        <f aca="false">'Post-LOI Checklist'!O35</f>
        <v>Not started</v>
      </c>
      <c r="H64" s="27" t="str">
        <f aca="false">IF(AND($E64&lt;=H$4+6,$F64&gt;=H$4),IF($E64=$F64,"◆","■"),"")</f>
        <v/>
      </c>
      <c r="I64" s="27" t="str">
        <f aca="false">IF(AND($E64&lt;=I$4+6,$F64&gt;=I$4),IF($E64=$F64,"◆","■"),"")</f>
        <v/>
      </c>
      <c r="J64" s="27" t="str">
        <f aca="false">IF(AND($E64&lt;=J$4+6,$F64&gt;=J$4),IF($E64=$F64,"◆","■"),"")</f>
        <v/>
      </c>
      <c r="K64" s="27" t="str">
        <f aca="false">IF(AND($E64&lt;=K$4+6,$F64&gt;=K$4),IF($E64=$F64,"◆","■"),"")</f>
        <v/>
      </c>
      <c r="L64" s="27" t="str">
        <f aca="false">IF(AND($E64&lt;=L$4+6,$F64&gt;=L$4),IF($E64=$F64,"◆","■"),"")</f>
        <v/>
      </c>
      <c r="M64" s="27" t="str">
        <f aca="false">IF(AND($E64&lt;=M$4+6,$F64&gt;=M$4),IF($E64=$F64,"◆","■"),"")</f>
        <v/>
      </c>
      <c r="N64" s="27" t="str">
        <f aca="false">IF(AND($E64&lt;=N$4+6,$F64&gt;=N$4),IF($E64=$F64,"◆","■"),"")</f>
        <v/>
      </c>
      <c r="O64" s="27" t="str">
        <f aca="false">IF(AND($E64&lt;=O$4+6,$F64&gt;=O$4),IF($E64=$F64,"◆","■"),"")</f>
        <v/>
      </c>
      <c r="P64" s="27" t="str">
        <f aca="false">IF(AND($E64&lt;=P$4+6,$F64&gt;=P$4),IF($E64=$F64,"◆","■"),"")</f>
        <v/>
      </c>
      <c r="Q64" s="27" t="str">
        <f aca="false">IF(AND($E64&lt;=Q$4+6,$F64&gt;=Q$4),IF($E64=$F64,"◆","■"),"")</f>
        <v/>
      </c>
      <c r="R64" s="27" t="str">
        <f aca="false">IF(AND($E64&lt;=R$4+6,$F64&gt;=R$4),IF($E64=$F64,"◆","■"),"")</f>
        <v/>
      </c>
      <c r="S64" s="27" t="str">
        <f aca="false">IF(AND($E64&lt;=S$4+6,$F64&gt;=S$4),IF($E64=$F64,"◆","■"),"")</f>
        <v>■</v>
      </c>
      <c r="T64" s="27" t="str">
        <f aca="false">IF(AND($E64&lt;=T$4+6,$F64&gt;=T$4),IF($E64=$F64,"◆","■"),"")</f>
        <v>■</v>
      </c>
      <c r="U64" s="27" t="str">
        <f aca="false">IF(AND($E64&lt;=U$4+6,$F64&gt;=U$4),IF($E64=$F64,"◆","■"),"")</f>
        <v/>
      </c>
      <c r="V64" s="27" t="str">
        <f aca="false">IF(AND($E64&lt;=V$4+6,$F64&gt;=V$4),IF($E64=$F64,"◆","■"),"")</f>
        <v/>
      </c>
      <c r="W64" s="27" t="str">
        <f aca="false">IF(AND($E64&lt;=W$4+6,$F64&gt;=W$4),IF($E64=$F64,"◆","■"),"")</f>
        <v/>
      </c>
      <c r="X64" s="27" t="str">
        <f aca="false">IF(AND($E64&lt;=X$4+6,$F64&gt;=X$4),IF($E64=$F64,"◆","■"),"")</f>
        <v/>
      </c>
      <c r="Y64" s="27" t="str">
        <f aca="false">IF(AND($E64&lt;=Y$4+6,$F64&gt;=Y$4),IF($E64=$F64,"◆","■"),"")</f>
        <v/>
      </c>
      <c r="Z64" s="27" t="str">
        <f aca="false">IF(AND($E64&lt;=Z$4+6,$F64&gt;=Z$4),IF($E64=$F64,"◆","■"),"")</f>
        <v/>
      </c>
      <c r="AA64" s="27" t="str">
        <f aca="false">IF(AND($E64&lt;=AA$4+6,$F64&gt;=AA$4),IF($E64=$F64,"◆","■"),"")</f>
        <v/>
      </c>
      <c r="AB64" s="27" t="str">
        <f aca="false">IF(AND($E64&lt;=AB$4+6,$F64&gt;=AB$4),IF($E64=$F64,"◆","■"),"")</f>
        <v/>
      </c>
      <c r="AC64" s="27" t="str">
        <f aca="false">IF(AND($E64&lt;=AC$4+6,$F64&gt;=AC$4),IF($E64=$F64,"◆","■"),"")</f>
        <v/>
      </c>
      <c r="AD64" s="27" t="str">
        <f aca="false">IF(AND($E64&lt;=AD$4+6,$F64&gt;=AD$4),IF($E64=$F64,"◆","■"),"")</f>
        <v/>
      </c>
      <c r="AE64" s="27" t="str">
        <f aca="false">IF(AND($E64&lt;=AE$4+6,$F64&gt;=AE$4),IF($E64=$F64,"◆","■"),"")</f>
        <v/>
      </c>
      <c r="AF64" s="27" t="str">
        <f aca="false">IF(AND($E64&lt;=AF$4+6,$F64&gt;=AF$4),IF($E64=$F64,"◆","■"),"")</f>
        <v/>
      </c>
      <c r="AG64" s="27" t="str">
        <f aca="false">IF(AND($E64&lt;=AG$4+6,$F64&gt;=AG$4),IF($E64=$F64,"◆","■"),"")</f>
        <v/>
      </c>
      <c r="AH64" s="27" t="str">
        <f aca="false">IF(AND($E64&lt;=AH$4+6,$F64&gt;=AH$4),IF($E64=$F64,"◆","■"),"")</f>
        <v/>
      </c>
      <c r="AI64" s="27" t="str">
        <f aca="false">IF(AND($E64&lt;=AI$4+6,$F64&gt;=AI$4),IF($E64=$F64,"◆","■"),"")</f>
        <v/>
      </c>
      <c r="AJ64" s="27" t="str">
        <f aca="false">IF(AND($E64&lt;=AJ$4+6,$F64&gt;=AJ$4),IF($E64=$F64,"◆","■"),"")</f>
        <v/>
      </c>
      <c r="AK64" s="27" t="str">
        <f aca="false">IF(AND($E64&lt;=AK$4+6,$F64&gt;=AK$4),IF($E64=$F64,"◆","■"),"")</f>
        <v/>
      </c>
    </row>
    <row r="65" customFormat="false" ht="15" hidden="false" customHeight="false" outlineLevel="0" collapsed="false">
      <c r="A65" s="24" t="str">
        <f aca="false">'Post-LOI Checklist'!A36</f>
        <v>POST-32</v>
      </c>
      <c r="B65" s="25" t="str">
        <f aca="false">'Post-LOI Checklist'!C36</f>
        <v>Confirm effective time and wire date</v>
      </c>
      <c r="C65" s="24" t="str">
        <f aca="false">'Post-LOI Checklist'!G36</f>
        <v>Corey</v>
      </c>
      <c r="D65" s="24" t="str">
        <f aca="false">'Post-LOI Checklist'!E36</f>
        <v>P2 - High</v>
      </c>
      <c r="E65" s="26" t="n">
        <f aca="false">'Post-LOI Checklist'!I36</f>
        <v>46357</v>
      </c>
      <c r="F65" s="26" t="n">
        <f aca="false">'Post-LOI Checklist'!J36</f>
        <v>46367</v>
      </c>
      <c r="G65" s="24" t="str">
        <f aca="false">'Post-LOI Checklist'!O36</f>
        <v>Not started</v>
      </c>
      <c r="H65" s="27" t="str">
        <f aca="false">IF(AND($E65&lt;=H$4+6,$F65&gt;=H$4),IF($E65=$F65,"◆","■"),"")</f>
        <v/>
      </c>
      <c r="I65" s="27" t="str">
        <f aca="false">IF(AND($E65&lt;=I$4+6,$F65&gt;=I$4),IF($E65=$F65,"◆","■"),"")</f>
        <v/>
      </c>
      <c r="J65" s="27" t="str">
        <f aca="false">IF(AND($E65&lt;=J$4+6,$F65&gt;=J$4),IF($E65=$F65,"◆","■"),"")</f>
        <v/>
      </c>
      <c r="K65" s="27" t="str">
        <f aca="false">IF(AND($E65&lt;=K$4+6,$F65&gt;=K$4),IF($E65=$F65,"◆","■"),"")</f>
        <v/>
      </c>
      <c r="L65" s="27" t="str">
        <f aca="false">IF(AND($E65&lt;=L$4+6,$F65&gt;=L$4),IF($E65=$F65,"◆","■"),"")</f>
        <v/>
      </c>
      <c r="M65" s="27" t="str">
        <f aca="false">IF(AND($E65&lt;=M$4+6,$F65&gt;=M$4),IF($E65=$F65,"◆","■"),"")</f>
        <v/>
      </c>
      <c r="N65" s="27" t="str">
        <f aca="false">IF(AND($E65&lt;=N$4+6,$F65&gt;=N$4),IF($E65=$F65,"◆","■"),"")</f>
        <v/>
      </c>
      <c r="O65" s="27" t="str">
        <f aca="false">IF(AND($E65&lt;=O$4+6,$F65&gt;=O$4),IF($E65=$F65,"◆","■"),"")</f>
        <v/>
      </c>
      <c r="P65" s="27" t="str">
        <f aca="false">IF(AND($E65&lt;=P$4+6,$F65&gt;=P$4),IF($E65=$F65,"◆","■"),"")</f>
        <v/>
      </c>
      <c r="Q65" s="27" t="str">
        <f aca="false">IF(AND($E65&lt;=Q$4+6,$F65&gt;=Q$4),IF($E65=$F65,"◆","■"),"")</f>
        <v/>
      </c>
      <c r="R65" s="27" t="str">
        <f aca="false">IF(AND($E65&lt;=R$4+6,$F65&gt;=R$4),IF($E65=$F65,"◆","■"),"")</f>
        <v>■</v>
      </c>
      <c r="S65" s="27" t="str">
        <f aca="false">IF(AND($E65&lt;=S$4+6,$F65&gt;=S$4),IF($E65=$F65,"◆","■"),"")</f>
        <v>■</v>
      </c>
      <c r="T65" s="27" t="str">
        <f aca="false">IF(AND($E65&lt;=T$4+6,$F65&gt;=T$4),IF($E65=$F65,"◆","■"),"")</f>
        <v/>
      </c>
      <c r="U65" s="27" t="str">
        <f aca="false">IF(AND($E65&lt;=U$4+6,$F65&gt;=U$4),IF($E65=$F65,"◆","■"),"")</f>
        <v/>
      </c>
      <c r="V65" s="27" t="str">
        <f aca="false">IF(AND($E65&lt;=V$4+6,$F65&gt;=V$4),IF($E65=$F65,"◆","■"),"")</f>
        <v/>
      </c>
      <c r="W65" s="27" t="str">
        <f aca="false">IF(AND($E65&lt;=W$4+6,$F65&gt;=W$4),IF($E65=$F65,"◆","■"),"")</f>
        <v/>
      </c>
      <c r="X65" s="27" t="str">
        <f aca="false">IF(AND($E65&lt;=X$4+6,$F65&gt;=X$4),IF($E65=$F65,"◆","■"),"")</f>
        <v/>
      </c>
      <c r="Y65" s="27" t="str">
        <f aca="false">IF(AND($E65&lt;=Y$4+6,$F65&gt;=Y$4),IF($E65=$F65,"◆","■"),"")</f>
        <v/>
      </c>
      <c r="Z65" s="27" t="str">
        <f aca="false">IF(AND($E65&lt;=Z$4+6,$F65&gt;=Z$4),IF($E65=$F65,"◆","■"),"")</f>
        <v/>
      </c>
      <c r="AA65" s="27" t="str">
        <f aca="false">IF(AND($E65&lt;=AA$4+6,$F65&gt;=AA$4),IF($E65=$F65,"◆","■"),"")</f>
        <v/>
      </c>
      <c r="AB65" s="27" t="str">
        <f aca="false">IF(AND($E65&lt;=AB$4+6,$F65&gt;=AB$4),IF($E65=$F65,"◆","■"),"")</f>
        <v/>
      </c>
      <c r="AC65" s="27" t="str">
        <f aca="false">IF(AND($E65&lt;=AC$4+6,$F65&gt;=AC$4),IF($E65=$F65,"◆","■"),"")</f>
        <v/>
      </c>
      <c r="AD65" s="27" t="str">
        <f aca="false">IF(AND($E65&lt;=AD$4+6,$F65&gt;=AD$4),IF($E65=$F65,"◆","■"),"")</f>
        <v/>
      </c>
      <c r="AE65" s="27" t="str">
        <f aca="false">IF(AND($E65&lt;=AE$4+6,$F65&gt;=AE$4),IF($E65=$F65,"◆","■"),"")</f>
        <v/>
      </c>
      <c r="AF65" s="27" t="str">
        <f aca="false">IF(AND($E65&lt;=AF$4+6,$F65&gt;=AF$4),IF($E65=$F65,"◆","■"),"")</f>
        <v/>
      </c>
      <c r="AG65" s="27" t="str">
        <f aca="false">IF(AND($E65&lt;=AG$4+6,$F65&gt;=AG$4),IF($E65=$F65,"◆","■"),"")</f>
        <v/>
      </c>
      <c r="AH65" s="27" t="str">
        <f aca="false">IF(AND($E65&lt;=AH$4+6,$F65&gt;=AH$4),IF($E65=$F65,"◆","■"),"")</f>
        <v/>
      </c>
      <c r="AI65" s="27" t="str">
        <f aca="false">IF(AND($E65&lt;=AI$4+6,$F65&gt;=AI$4),IF($E65=$F65,"◆","■"),"")</f>
        <v/>
      </c>
      <c r="AJ65" s="27" t="str">
        <f aca="false">IF(AND($E65&lt;=AJ$4+6,$F65&gt;=AJ$4),IF($E65=$F65,"◆","■"),"")</f>
        <v/>
      </c>
      <c r="AK65" s="27" t="str">
        <f aca="false">IF(AND($E65&lt;=AK$4+6,$F65&gt;=AK$4),IF($E65=$F65,"◆","■"),"")</f>
        <v/>
      </c>
    </row>
    <row r="66" customFormat="false" ht="15" hidden="false" customHeight="false" outlineLevel="0" collapsed="false">
      <c r="A66" s="24" t="str">
        <f aca="false">'Post-LOI Checklist'!A37</f>
        <v>POST-33</v>
      </c>
      <c r="B66" s="25" t="str">
        <f aca="false">'Post-LOI Checklist'!C37</f>
        <v>Final board approval and any bring-down consent</v>
      </c>
      <c r="C66" s="24" t="str">
        <f aca="false">'Post-LOI Checklist'!G37</f>
        <v>Jon</v>
      </c>
      <c r="D66" s="24" t="str">
        <f aca="false">'Post-LOI Checklist'!E37</f>
        <v>P1 - Critical</v>
      </c>
      <c r="E66" s="26" t="n">
        <f aca="false">'Post-LOI Checklist'!I37</f>
        <v>46370</v>
      </c>
      <c r="F66" s="26" t="n">
        <f aca="false">'Post-LOI Checklist'!J37</f>
        <v>46373</v>
      </c>
      <c r="G66" s="24" t="str">
        <f aca="false">'Post-LOI Checklist'!O37</f>
        <v>Not started</v>
      </c>
      <c r="H66" s="27" t="str">
        <f aca="false">IF(AND($E66&lt;=H$4+6,$F66&gt;=H$4),IF($E66=$F66,"◆","■"),"")</f>
        <v/>
      </c>
      <c r="I66" s="27" t="str">
        <f aca="false">IF(AND($E66&lt;=I$4+6,$F66&gt;=I$4),IF($E66=$F66,"◆","■"),"")</f>
        <v/>
      </c>
      <c r="J66" s="27" t="str">
        <f aca="false">IF(AND($E66&lt;=J$4+6,$F66&gt;=J$4),IF($E66=$F66,"◆","■"),"")</f>
        <v/>
      </c>
      <c r="K66" s="27" t="str">
        <f aca="false">IF(AND($E66&lt;=K$4+6,$F66&gt;=K$4),IF($E66=$F66,"◆","■"),"")</f>
        <v/>
      </c>
      <c r="L66" s="27" t="str">
        <f aca="false">IF(AND($E66&lt;=L$4+6,$F66&gt;=L$4),IF($E66=$F66,"◆","■"),"")</f>
        <v/>
      </c>
      <c r="M66" s="27" t="str">
        <f aca="false">IF(AND($E66&lt;=M$4+6,$F66&gt;=M$4),IF($E66=$F66,"◆","■"),"")</f>
        <v/>
      </c>
      <c r="N66" s="27" t="str">
        <f aca="false">IF(AND($E66&lt;=N$4+6,$F66&gt;=N$4),IF($E66=$F66,"◆","■"),"")</f>
        <v/>
      </c>
      <c r="O66" s="27" t="str">
        <f aca="false">IF(AND($E66&lt;=O$4+6,$F66&gt;=O$4),IF($E66=$F66,"◆","■"),"")</f>
        <v/>
      </c>
      <c r="P66" s="27" t="str">
        <f aca="false">IF(AND($E66&lt;=P$4+6,$F66&gt;=P$4),IF($E66=$F66,"◆","■"),"")</f>
        <v/>
      </c>
      <c r="Q66" s="27" t="str">
        <f aca="false">IF(AND($E66&lt;=Q$4+6,$F66&gt;=Q$4),IF($E66=$F66,"◆","■"),"")</f>
        <v/>
      </c>
      <c r="R66" s="27" t="str">
        <f aca="false">IF(AND($E66&lt;=R$4+6,$F66&gt;=R$4),IF($E66=$F66,"◆","■"),"")</f>
        <v/>
      </c>
      <c r="S66" s="27" t="str">
        <f aca="false">IF(AND($E66&lt;=S$4+6,$F66&gt;=S$4),IF($E66=$F66,"◆","■"),"")</f>
        <v/>
      </c>
      <c r="T66" s="27" t="str">
        <f aca="false">IF(AND($E66&lt;=T$4+6,$F66&gt;=T$4),IF($E66=$F66,"◆","■"),"")</f>
        <v>■</v>
      </c>
      <c r="U66" s="27" t="str">
        <f aca="false">IF(AND($E66&lt;=U$4+6,$F66&gt;=U$4),IF($E66=$F66,"◆","■"),"")</f>
        <v/>
      </c>
      <c r="V66" s="27" t="str">
        <f aca="false">IF(AND($E66&lt;=V$4+6,$F66&gt;=V$4),IF($E66=$F66,"◆","■"),"")</f>
        <v/>
      </c>
      <c r="W66" s="27" t="str">
        <f aca="false">IF(AND($E66&lt;=W$4+6,$F66&gt;=W$4),IF($E66=$F66,"◆","■"),"")</f>
        <v/>
      </c>
      <c r="X66" s="27" t="str">
        <f aca="false">IF(AND($E66&lt;=X$4+6,$F66&gt;=X$4),IF($E66=$F66,"◆","■"),"")</f>
        <v/>
      </c>
      <c r="Y66" s="27" t="str">
        <f aca="false">IF(AND($E66&lt;=Y$4+6,$F66&gt;=Y$4),IF($E66=$F66,"◆","■"),"")</f>
        <v/>
      </c>
      <c r="Z66" s="27" t="str">
        <f aca="false">IF(AND($E66&lt;=Z$4+6,$F66&gt;=Z$4),IF($E66=$F66,"◆","■"),"")</f>
        <v/>
      </c>
      <c r="AA66" s="27" t="str">
        <f aca="false">IF(AND($E66&lt;=AA$4+6,$F66&gt;=AA$4),IF($E66=$F66,"◆","■"),"")</f>
        <v/>
      </c>
      <c r="AB66" s="27" t="str">
        <f aca="false">IF(AND($E66&lt;=AB$4+6,$F66&gt;=AB$4),IF($E66=$F66,"◆","■"),"")</f>
        <v/>
      </c>
      <c r="AC66" s="27" t="str">
        <f aca="false">IF(AND($E66&lt;=AC$4+6,$F66&gt;=AC$4),IF($E66=$F66,"◆","■"),"")</f>
        <v/>
      </c>
      <c r="AD66" s="27" t="str">
        <f aca="false">IF(AND($E66&lt;=AD$4+6,$F66&gt;=AD$4),IF($E66=$F66,"◆","■"),"")</f>
        <v/>
      </c>
      <c r="AE66" s="27" t="str">
        <f aca="false">IF(AND($E66&lt;=AE$4+6,$F66&gt;=AE$4),IF($E66=$F66,"◆","■"),"")</f>
        <v/>
      </c>
      <c r="AF66" s="27" t="str">
        <f aca="false">IF(AND($E66&lt;=AF$4+6,$F66&gt;=AF$4),IF($E66=$F66,"◆","■"),"")</f>
        <v/>
      </c>
      <c r="AG66" s="27" t="str">
        <f aca="false">IF(AND($E66&lt;=AG$4+6,$F66&gt;=AG$4),IF($E66=$F66,"◆","■"),"")</f>
        <v/>
      </c>
      <c r="AH66" s="27" t="str">
        <f aca="false">IF(AND($E66&lt;=AH$4+6,$F66&gt;=AH$4),IF($E66=$F66,"◆","■"),"")</f>
        <v/>
      </c>
      <c r="AI66" s="27" t="str">
        <f aca="false">IF(AND($E66&lt;=AI$4+6,$F66&gt;=AI$4),IF($E66=$F66,"◆","■"),"")</f>
        <v/>
      </c>
      <c r="AJ66" s="27" t="str">
        <f aca="false">IF(AND($E66&lt;=AJ$4+6,$F66&gt;=AJ$4),IF($E66=$F66,"◆","■"),"")</f>
        <v/>
      </c>
      <c r="AK66" s="27" t="str">
        <f aca="false">IF(AND($E66&lt;=AK$4+6,$F66&gt;=AK$4),IF($E66=$F66,"◆","■"),"")</f>
        <v/>
      </c>
    </row>
    <row r="67" customFormat="false" ht="15" hidden="false" customHeight="false" outlineLevel="0" collapsed="false">
      <c r="A67" s="24" t="str">
        <f aca="false">'Post-LOI Checklist'!A38</f>
        <v>POST-34</v>
      </c>
      <c r="B67" s="25" t="str">
        <f aca="false">'Post-LOI Checklist'!C38</f>
        <v>SIGNING – definitive agreements executed; escrow funded</v>
      </c>
      <c r="C67" s="24" t="str">
        <f aca="false">'Post-LOI Checklist'!G38</f>
        <v>Jon</v>
      </c>
      <c r="D67" s="24" t="str">
        <f aca="false">'Post-LOI Checklist'!E38</f>
        <v>P1 - Critical</v>
      </c>
      <c r="E67" s="26" t="n">
        <f aca="false">'Post-LOI Checklist'!I38</f>
        <v>46374</v>
      </c>
      <c r="F67" s="26" t="n">
        <f aca="false">'Post-LOI Checklist'!J38</f>
        <v>46374</v>
      </c>
      <c r="G67" s="24" t="str">
        <f aca="false">'Post-LOI Checklist'!O38</f>
        <v>Not started</v>
      </c>
      <c r="H67" s="27" t="str">
        <f aca="false">IF(AND($E67&lt;=H$4+6,$F67&gt;=H$4),IF($E67=$F67,"◆","■"),"")</f>
        <v/>
      </c>
      <c r="I67" s="27" t="str">
        <f aca="false">IF(AND($E67&lt;=I$4+6,$F67&gt;=I$4),IF($E67=$F67,"◆","■"),"")</f>
        <v/>
      </c>
      <c r="J67" s="27" t="str">
        <f aca="false">IF(AND($E67&lt;=J$4+6,$F67&gt;=J$4),IF($E67=$F67,"◆","■"),"")</f>
        <v/>
      </c>
      <c r="K67" s="27" t="str">
        <f aca="false">IF(AND($E67&lt;=K$4+6,$F67&gt;=K$4),IF($E67=$F67,"◆","■"),"")</f>
        <v/>
      </c>
      <c r="L67" s="27" t="str">
        <f aca="false">IF(AND($E67&lt;=L$4+6,$F67&gt;=L$4),IF($E67=$F67,"◆","■"),"")</f>
        <v/>
      </c>
      <c r="M67" s="27" t="str">
        <f aca="false">IF(AND($E67&lt;=M$4+6,$F67&gt;=M$4),IF($E67=$F67,"◆","■"),"")</f>
        <v/>
      </c>
      <c r="N67" s="27" t="str">
        <f aca="false">IF(AND($E67&lt;=N$4+6,$F67&gt;=N$4),IF($E67=$F67,"◆","■"),"")</f>
        <v/>
      </c>
      <c r="O67" s="27" t="str">
        <f aca="false">IF(AND($E67&lt;=O$4+6,$F67&gt;=O$4),IF($E67=$F67,"◆","■"),"")</f>
        <v/>
      </c>
      <c r="P67" s="27" t="str">
        <f aca="false">IF(AND($E67&lt;=P$4+6,$F67&gt;=P$4),IF($E67=$F67,"◆","■"),"")</f>
        <v/>
      </c>
      <c r="Q67" s="27" t="str">
        <f aca="false">IF(AND($E67&lt;=Q$4+6,$F67&gt;=Q$4),IF($E67=$F67,"◆","■"),"")</f>
        <v/>
      </c>
      <c r="R67" s="27" t="str">
        <f aca="false">IF(AND($E67&lt;=R$4+6,$F67&gt;=R$4),IF($E67=$F67,"◆","■"),"")</f>
        <v/>
      </c>
      <c r="S67" s="27" t="str">
        <f aca="false">IF(AND($E67&lt;=S$4+6,$F67&gt;=S$4),IF($E67=$F67,"◆","■"),"")</f>
        <v/>
      </c>
      <c r="T67" s="27" t="str">
        <f aca="false">IF(AND($E67&lt;=T$4+6,$F67&gt;=T$4),IF($E67=$F67,"◆","■"),"")</f>
        <v>◆</v>
      </c>
      <c r="U67" s="27" t="str">
        <f aca="false">IF(AND($E67&lt;=U$4+6,$F67&gt;=U$4),IF($E67=$F67,"◆","■"),"")</f>
        <v/>
      </c>
      <c r="V67" s="27" t="str">
        <f aca="false">IF(AND($E67&lt;=V$4+6,$F67&gt;=V$4),IF($E67=$F67,"◆","■"),"")</f>
        <v/>
      </c>
      <c r="W67" s="27" t="str">
        <f aca="false">IF(AND($E67&lt;=W$4+6,$F67&gt;=W$4),IF($E67=$F67,"◆","■"),"")</f>
        <v/>
      </c>
      <c r="X67" s="27" t="str">
        <f aca="false">IF(AND($E67&lt;=X$4+6,$F67&gt;=X$4),IF($E67=$F67,"◆","■"),"")</f>
        <v/>
      </c>
      <c r="Y67" s="27" t="str">
        <f aca="false">IF(AND($E67&lt;=Y$4+6,$F67&gt;=Y$4),IF($E67=$F67,"◆","■"),"")</f>
        <v/>
      </c>
      <c r="Z67" s="27" t="str">
        <f aca="false">IF(AND($E67&lt;=Z$4+6,$F67&gt;=Z$4),IF($E67=$F67,"◆","■"),"")</f>
        <v/>
      </c>
      <c r="AA67" s="27" t="str">
        <f aca="false">IF(AND($E67&lt;=AA$4+6,$F67&gt;=AA$4),IF($E67=$F67,"◆","■"),"")</f>
        <v/>
      </c>
      <c r="AB67" s="27" t="str">
        <f aca="false">IF(AND($E67&lt;=AB$4+6,$F67&gt;=AB$4),IF($E67=$F67,"◆","■"),"")</f>
        <v/>
      </c>
      <c r="AC67" s="27" t="str">
        <f aca="false">IF(AND($E67&lt;=AC$4+6,$F67&gt;=AC$4),IF($E67=$F67,"◆","■"),"")</f>
        <v/>
      </c>
      <c r="AD67" s="27" t="str">
        <f aca="false">IF(AND($E67&lt;=AD$4+6,$F67&gt;=AD$4),IF($E67=$F67,"◆","■"),"")</f>
        <v/>
      </c>
      <c r="AE67" s="27" t="str">
        <f aca="false">IF(AND($E67&lt;=AE$4+6,$F67&gt;=AE$4),IF($E67=$F67,"◆","■"),"")</f>
        <v/>
      </c>
      <c r="AF67" s="27" t="str">
        <f aca="false">IF(AND($E67&lt;=AF$4+6,$F67&gt;=AF$4),IF($E67=$F67,"◆","■"),"")</f>
        <v/>
      </c>
      <c r="AG67" s="27" t="str">
        <f aca="false">IF(AND($E67&lt;=AG$4+6,$F67&gt;=AG$4),IF($E67=$F67,"◆","■"),"")</f>
        <v/>
      </c>
      <c r="AH67" s="27" t="str">
        <f aca="false">IF(AND($E67&lt;=AH$4+6,$F67&gt;=AH$4),IF($E67=$F67,"◆","■"),"")</f>
        <v/>
      </c>
      <c r="AI67" s="27" t="str">
        <f aca="false">IF(AND($E67&lt;=AI$4+6,$F67&gt;=AI$4),IF($E67=$F67,"◆","■"),"")</f>
        <v/>
      </c>
      <c r="AJ67" s="27" t="str">
        <f aca="false">IF(AND($E67&lt;=AJ$4+6,$F67&gt;=AJ$4),IF($E67=$F67,"◆","■"),"")</f>
        <v/>
      </c>
      <c r="AK67" s="27" t="str">
        <f aca="false">IF(AND($E67&lt;=AK$4+6,$F67&gt;=AK$4),IF($E67=$F67,"◆","■"),"")</f>
        <v/>
      </c>
    </row>
    <row r="68" customFormat="false" ht="15" hidden="false" customHeight="false" outlineLevel="0" collapsed="false">
      <c r="A68" s="24" t="str">
        <f aca="false">'Post-LOI Checklist'!A39</f>
        <v>POST-35</v>
      </c>
      <c r="B68" s="25" t="str">
        <f aca="false">'Post-LOI Checklist'!C39</f>
        <v>Exclusivity window check</v>
      </c>
      <c r="C68" s="24" t="str">
        <f aca="false">'Post-LOI Checklist'!G39</f>
        <v>Frank</v>
      </c>
      <c r="D68" s="24" t="str">
        <f aca="false">'Post-LOI Checklist'!E39</f>
        <v>P2 - High</v>
      </c>
      <c r="E68" s="26" t="n">
        <f aca="false">'Post-LOI Checklist'!I39</f>
        <v>46374</v>
      </c>
      <c r="F68" s="26" t="n">
        <f aca="false">'Post-LOI Checklist'!J39</f>
        <v>46401</v>
      </c>
      <c r="G68" s="24" t="str">
        <f aca="false">'Post-LOI Checklist'!O39</f>
        <v>Not started</v>
      </c>
      <c r="H68" s="27" t="str">
        <f aca="false">IF(AND($E68&lt;=H$4+6,$F68&gt;=H$4),IF($E68=$F68,"◆","■"),"")</f>
        <v/>
      </c>
      <c r="I68" s="27" t="str">
        <f aca="false">IF(AND($E68&lt;=I$4+6,$F68&gt;=I$4),IF($E68=$F68,"◆","■"),"")</f>
        <v/>
      </c>
      <c r="J68" s="27" t="str">
        <f aca="false">IF(AND($E68&lt;=J$4+6,$F68&gt;=J$4),IF($E68=$F68,"◆","■"),"")</f>
        <v/>
      </c>
      <c r="K68" s="27" t="str">
        <f aca="false">IF(AND($E68&lt;=K$4+6,$F68&gt;=K$4),IF($E68=$F68,"◆","■"),"")</f>
        <v/>
      </c>
      <c r="L68" s="27" t="str">
        <f aca="false">IF(AND($E68&lt;=L$4+6,$F68&gt;=L$4),IF($E68=$F68,"◆","■"),"")</f>
        <v/>
      </c>
      <c r="M68" s="27" t="str">
        <f aca="false">IF(AND($E68&lt;=M$4+6,$F68&gt;=M$4),IF($E68=$F68,"◆","■"),"")</f>
        <v/>
      </c>
      <c r="N68" s="27" t="str">
        <f aca="false">IF(AND($E68&lt;=N$4+6,$F68&gt;=N$4),IF($E68=$F68,"◆","■"),"")</f>
        <v/>
      </c>
      <c r="O68" s="27" t="str">
        <f aca="false">IF(AND($E68&lt;=O$4+6,$F68&gt;=O$4),IF($E68=$F68,"◆","■"),"")</f>
        <v/>
      </c>
      <c r="P68" s="27" t="str">
        <f aca="false">IF(AND($E68&lt;=P$4+6,$F68&gt;=P$4),IF($E68=$F68,"◆","■"),"")</f>
        <v/>
      </c>
      <c r="Q68" s="27" t="str">
        <f aca="false">IF(AND($E68&lt;=Q$4+6,$F68&gt;=Q$4),IF($E68=$F68,"◆","■"),"")</f>
        <v/>
      </c>
      <c r="R68" s="27" t="str">
        <f aca="false">IF(AND($E68&lt;=R$4+6,$F68&gt;=R$4),IF($E68=$F68,"◆","■"),"")</f>
        <v/>
      </c>
      <c r="S68" s="27" t="str">
        <f aca="false">IF(AND($E68&lt;=S$4+6,$F68&gt;=S$4),IF($E68=$F68,"◆","■"),"")</f>
        <v/>
      </c>
      <c r="T68" s="27" t="str">
        <f aca="false">IF(AND($E68&lt;=T$4+6,$F68&gt;=T$4),IF($E68=$F68,"◆","■"),"")</f>
        <v>■</v>
      </c>
      <c r="U68" s="27" t="str">
        <f aca="false">IF(AND($E68&lt;=U$4+6,$F68&gt;=U$4),IF($E68=$F68,"◆","■"),"")</f>
        <v>■</v>
      </c>
      <c r="V68" s="27" t="str">
        <f aca="false">IF(AND($E68&lt;=V$4+6,$F68&gt;=V$4),IF($E68=$F68,"◆","■"),"")</f>
        <v>■</v>
      </c>
      <c r="W68" s="27" t="str">
        <f aca="false">IF(AND($E68&lt;=W$4+6,$F68&gt;=W$4),IF($E68=$F68,"◆","■"),"")</f>
        <v>■</v>
      </c>
      <c r="X68" s="27" t="str">
        <f aca="false">IF(AND($E68&lt;=X$4+6,$F68&gt;=X$4),IF($E68=$F68,"◆","■"),"")</f>
        <v>■</v>
      </c>
      <c r="Y68" s="27" t="str">
        <f aca="false">IF(AND($E68&lt;=Y$4+6,$F68&gt;=Y$4),IF($E68=$F68,"◆","■"),"")</f>
        <v/>
      </c>
      <c r="Z68" s="27" t="str">
        <f aca="false">IF(AND($E68&lt;=Z$4+6,$F68&gt;=Z$4),IF($E68=$F68,"◆","■"),"")</f>
        <v/>
      </c>
      <c r="AA68" s="27" t="str">
        <f aca="false">IF(AND($E68&lt;=AA$4+6,$F68&gt;=AA$4),IF($E68=$F68,"◆","■"),"")</f>
        <v/>
      </c>
      <c r="AB68" s="27" t="str">
        <f aca="false">IF(AND($E68&lt;=AB$4+6,$F68&gt;=AB$4),IF($E68=$F68,"◆","■"),"")</f>
        <v/>
      </c>
      <c r="AC68" s="27" t="str">
        <f aca="false">IF(AND($E68&lt;=AC$4+6,$F68&gt;=AC$4),IF($E68=$F68,"◆","■"),"")</f>
        <v/>
      </c>
      <c r="AD68" s="27" t="str">
        <f aca="false">IF(AND($E68&lt;=AD$4+6,$F68&gt;=AD$4),IF($E68=$F68,"◆","■"),"")</f>
        <v/>
      </c>
      <c r="AE68" s="27" t="str">
        <f aca="false">IF(AND($E68&lt;=AE$4+6,$F68&gt;=AE$4),IF($E68=$F68,"◆","■"),"")</f>
        <v/>
      </c>
      <c r="AF68" s="27" t="str">
        <f aca="false">IF(AND($E68&lt;=AF$4+6,$F68&gt;=AF$4),IF($E68=$F68,"◆","■"),"")</f>
        <v/>
      </c>
      <c r="AG68" s="27" t="str">
        <f aca="false">IF(AND($E68&lt;=AG$4+6,$F68&gt;=AG$4),IF($E68=$F68,"◆","■"),"")</f>
        <v/>
      </c>
      <c r="AH68" s="27" t="str">
        <f aca="false">IF(AND($E68&lt;=AH$4+6,$F68&gt;=AH$4),IF($E68=$F68,"◆","■"),"")</f>
        <v/>
      </c>
      <c r="AI68" s="27" t="str">
        <f aca="false">IF(AND($E68&lt;=AI$4+6,$F68&gt;=AI$4),IF($E68=$F68,"◆","■"),"")</f>
        <v/>
      </c>
      <c r="AJ68" s="27" t="str">
        <f aca="false">IF(AND($E68&lt;=AJ$4+6,$F68&gt;=AJ$4),IF($E68=$F68,"◆","■"),"")</f>
        <v/>
      </c>
      <c r="AK68" s="27" t="str">
        <f aca="false">IF(AND($E68&lt;=AK$4+6,$F68&gt;=AK$4),IF($E68=$F68,"◆","■"),"")</f>
        <v/>
      </c>
    </row>
    <row r="69" customFormat="false" ht="15" hidden="false" customHeight="false" outlineLevel="0" collapsed="false">
      <c r="A69" s="24" t="str">
        <f aca="false">'Post-LOI Checklist'!A40</f>
        <v>POST-36</v>
      </c>
      <c r="B69" s="25" t="str">
        <f aca="false">'Post-LOI Checklist'!C40</f>
        <v>EFFECTIVE DATE – closing</v>
      </c>
      <c r="C69" s="24" t="str">
        <f aca="false">'Post-LOI Checklist'!G40</f>
        <v>Jon</v>
      </c>
      <c r="D69" s="24" t="str">
        <f aca="false">'Post-LOI Checklist'!E40</f>
        <v>P1 - Critical</v>
      </c>
      <c r="E69" s="26" t="n">
        <f aca="false">'Post-LOI Checklist'!I40</f>
        <v>46389</v>
      </c>
      <c r="F69" s="26" t="n">
        <f aca="false">'Post-LOI Checklist'!J40</f>
        <v>46391</v>
      </c>
      <c r="G69" s="24" t="str">
        <f aca="false">'Post-LOI Checklist'!O40</f>
        <v>Not started</v>
      </c>
      <c r="H69" s="27" t="str">
        <f aca="false">IF(AND($E69&lt;=H$4+6,$F69&gt;=H$4),IF($E69=$F69,"◆","■"),"")</f>
        <v/>
      </c>
      <c r="I69" s="27" t="str">
        <f aca="false">IF(AND($E69&lt;=I$4+6,$F69&gt;=I$4),IF($E69=$F69,"◆","■"),"")</f>
        <v/>
      </c>
      <c r="J69" s="27" t="str">
        <f aca="false">IF(AND($E69&lt;=J$4+6,$F69&gt;=J$4),IF($E69=$F69,"◆","■"),"")</f>
        <v/>
      </c>
      <c r="K69" s="27" t="str">
        <f aca="false">IF(AND($E69&lt;=K$4+6,$F69&gt;=K$4),IF($E69=$F69,"◆","■"),"")</f>
        <v/>
      </c>
      <c r="L69" s="27" t="str">
        <f aca="false">IF(AND($E69&lt;=L$4+6,$F69&gt;=L$4),IF($E69=$F69,"◆","■"),"")</f>
        <v/>
      </c>
      <c r="M69" s="27" t="str">
        <f aca="false">IF(AND($E69&lt;=M$4+6,$F69&gt;=M$4),IF($E69=$F69,"◆","■"),"")</f>
        <v/>
      </c>
      <c r="N69" s="27" t="str">
        <f aca="false">IF(AND($E69&lt;=N$4+6,$F69&gt;=N$4),IF($E69=$F69,"◆","■"),"")</f>
        <v/>
      </c>
      <c r="O69" s="27" t="str">
        <f aca="false">IF(AND($E69&lt;=O$4+6,$F69&gt;=O$4),IF($E69=$F69,"◆","■"),"")</f>
        <v/>
      </c>
      <c r="P69" s="27" t="str">
        <f aca="false">IF(AND($E69&lt;=P$4+6,$F69&gt;=P$4),IF($E69=$F69,"◆","■"),"")</f>
        <v/>
      </c>
      <c r="Q69" s="27" t="str">
        <f aca="false">IF(AND($E69&lt;=Q$4+6,$F69&gt;=Q$4),IF($E69=$F69,"◆","■"),"")</f>
        <v/>
      </c>
      <c r="R69" s="27" t="str">
        <f aca="false">IF(AND($E69&lt;=R$4+6,$F69&gt;=R$4),IF($E69=$F69,"◆","■"),"")</f>
        <v/>
      </c>
      <c r="S69" s="27" t="str">
        <f aca="false">IF(AND($E69&lt;=S$4+6,$F69&gt;=S$4),IF($E69=$F69,"◆","■"),"")</f>
        <v/>
      </c>
      <c r="T69" s="27" t="str">
        <f aca="false">IF(AND($E69&lt;=T$4+6,$F69&gt;=T$4),IF($E69=$F69,"◆","■"),"")</f>
        <v/>
      </c>
      <c r="U69" s="27" t="str">
        <f aca="false">IF(AND($E69&lt;=U$4+6,$F69&gt;=U$4),IF($E69=$F69,"◆","■"),"")</f>
        <v/>
      </c>
      <c r="V69" s="27" t="str">
        <f aca="false">IF(AND($E69&lt;=V$4+6,$F69&gt;=V$4),IF($E69=$F69,"◆","■"),"")</f>
        <v>■</v>
      </c>
      <c r="W69" s="27" t="str">
        <f aca="false">IF(AND($E69&lt;=W$4+6,$F69&gt;=W$4),IF($E69=$F69,"◆","■"),"")</f>
        <v>■</v>
      </c>
      <c r="X69" s="27" t="str">
        <f aca="false">IF(AND($E69&lt;=X$4+6,$F69&gt;=X$4),IF($E69=$F69,"◆","■"),"")</f>
        <v/>
      </c>
      <c r="Y69" s="27" t="str">
        <f aca="false">IF(AND($E69&lt;=Y$4+6,$F69&gt;=Y$4),IF($E69=$F69,"◆","■"),"")</f>
        <v/>
      </c>
      <c r="Z69" s="27" t="str">
        <f aca="false">IF(AND($E69&lt;=Z$4+6,$F69&gt;=Z$4),IF($E69=$F69,"◆","■"),"")</f>
        <v/>
      </c>
      <c r="AA69" s="27" t="str">
        <f aca="false">IF(AND($E69&lt;=AA$4+6,$F69&gt;=AA$4),IF($E69=$F69,"◆","■"),"")</f>
        <v/>
      </c>
      <c r="AB69" s="27" t="str">
        <f aca="false">IF(AND($E69&lt;=AB$4+6,$F69&gt;=AB$4),IF($E69=$F69,"◆","■"),"")</f>
        <v/>
      </c>
      <c r="AC69" s="27" t="str">
        <f aca="false">IF(AND($E69&lt;=AC$4+6,$F69&gt;=AC$4),IF($E69=$F69,"◆","■"),"")</f>
        <v/>
      </c>
      <c r="AD69" s="27" t="str">
        <f aca="false">IF(AND($E69&lt;=AD$4+6,$F69&gt;=AD$4),IF($E69=$F69,"◆","■"),"")</f>
        <v/>
      </c>
      <c r="AE69" s="27" t="str">
        <f aca="false">IF(AND($E69&lt;=AE$4+6,$F69&gt;=AE$4),IF($E69=$F69,"◆","■"),"")</f>
        <v/>
      </c>
      <c r="AF69" s="27" t="str">
        <f aca="false">IF(AND($E69&lt;=AF$4+6,$F69&gt;=AF$4),IF($E69=$F69,"◆","■"),"")</f>
        <v/>
      </c>
      <c r="AG69" s="27" t="str">
        <f aca="false">IF(AND($E69&lt;=AG$4+6,$F69&gt;=AG$4),IF($E69=$F69,"◆","■"),"")</f>
        <v/>
      </c>
      <c r="AH69" s="27" t="str">
        <f aca="false">IF(AND($E69&lt;=AH$4+6,$F69&gt;=AH$4),IF($E69=$F69,"◆","■"),"")</f>
        <v/>
      </c>
      <c r="AI69" s="27" t="str">
        <f aca="false">IF(AND($E69&lt;=AI$4+6,$F69&gt;=AI$4),IF($E69=$F69,"◆","■"),"")</f>
        <v/>
      </c>
      <c r="AJ69" s="27" t="str">
        <f aca="false">IF(AND($E69&lt;=AJ$4+6,$F69&gt;=AJ$4),IF($E69=$F69,"◆","■"),"")</f>
        <v/>
      </c>
      <c r="AK69" s="27" t="str">
        <f aca="false">IF(AND($E69&lt;=AK$4+6,$F69&gt;=AK$4),IF($E69=$F69,"◆","■"),"")</f>
        <v/>
      </c>
    </row>
    <row r="70" customFormat="false" ht="15" hidden="false" customHeight="false" outlineLevel="0" collapsed="false">
      <c r="A70" s="24" t="str">
        <f aca="false">'Post-LOI Checklist'!A41</f>
        <v>POST-37</v>
      </c>
      <c r="B70" s="25" t="str">
        <f aca="false">'Post-LOI Checklist'!C41</f>
        <v>Post-close filings</v>
      </c>
      <c r="C70" s="24" t="str">
        <f aca="false">'Post-LOI Checklist'!G41</f>
        <v>Corey</v>
      </c>
      <c r="D70" s="24" t="str">
        <f aca="false">'Post-LOI Checklist'!E41</f>
        <v>P2 - High</v>
      </c>
      <c r="E70" s="26" t="n">
        <f aca="false">'Post-LOI Checklist'!I41</f>
        <v>46391</v>
      </c>
      <c r="F70" s="26" t="n">
        <f aca="false">'Post-LOI Checklist'!J41</f>
        <v>46402</v>
      </c>
      <c r="G70" s="24" t="str">
        <f aca="false">'Post-LOI Checklist'!O41</f>
        <v>Not started</v>
      </c>
      <c r="H70" s="27" t="str">
        <f aca="false">IF(AND($E70&lt;=H$4+6,$F70&gt;=H$4),IF($E70=$F70,"◆","■"),"")</f>
        <v/>
      </c>
      <c r="I70" s="27" t="str">
        <f aca="false">IF(AND($E70&lt;=I$4+6,$F70&gt;=I$4),IF($E70=$F70,"◆","■"),"")</f>
        <v/>
      </c>
      <c r="J70" s="27" t="str">
        <f aca="false">IF(AND($E70&lt;=J$4+6,$F70&gt;=J$4),IF($E70=$F70,"◆","■"),"")</f>
        <v/>
      </c>
      <c r="K70" s="27" t="str">
        <f aca="false">IF(AND($E70&lt;=K$4+6,$F70&gt;=K$4),IF($E70=$F70,"◆","■"),"")</f>
        <v/>
      </c>
      <c r="L70" s="27" t="str">
        <f aca="false">IF(AND($E70&lt;=L$4+6,$F70&gt;=L$4),IF($E70=$F70,"◆","■"),"")</f>
        <v/>
      </c>
      <c r="M70" s="27" t="str">
        <f aca="false">IF(AND($E70&lt;=M$4+6,$F70&gt;=M$4),IF($E70=$F70,"◆","■"),"")</f>
        <v/>
      </c>
      <c r="N70" s="27" t="str">
        <f aca="false">IF(AND($E70&lt;=N$4+6,$F70&gt;=N$4),IF($E70=$F70,"◆","■"),"")</f>
        <v/>
      </c>
      <c r="O70" s="27" t="str">
        <f aca="false">IF(AND($E70&lt;=O$4+6,$F70&gt;=O$4),IF($E70=$F70,"◆","■"),"")</f>
        <v/>
      </c>
      <c r="P70" s="27" t="str">
        <f aca="false">IF(AND($E70&lt;=P$4+6,$F70&gt;=P$4),IF($E70=$F70,"◆","■"),"")</f>
        <v/>
      </c>
      <c r="Q70" s="27" t="str">
        <f aca="false">IF(AND($E70&lt;=Q$4+6,$F70&gt;=Q$4),IF($E70=$F70,"◆","■"),"")</f>
        <v/>
      </c>
      <c r="R70" s="27" t="str">
        <f aca="false">IF(AND($E70&lt;=R$4+6,$F70&gt;=R$4),IF($E70=$F70,"◆","■"),"")</f>
        <v/>
      </c>
      <c r="S70" s="27" t="str">
        <f aca="false">IF(AND($E70&lt;=S$4+6,$F70&gt;=S$4),IF($E70=$F70,"◆","■"),"")</f>
        <v/>
      </c>
      <c r="T70" s="27" t="str">
        <f aca="false">IF(AND($E70&lt;=T$4+6,$F70&gt;=T$4),IF($E70=$F70,"◆","■"),"")</f>
        <v/>
      </c>
      <c r="U70" s="27" t="str">
        <f aca="false">IF(AND($E70&lt;=U$4+6,$F70&gt;=U$4),IF($E70=$F70,"◆","■"),"")</f>
        <v/>
      </c>
      <c r="V70" s="27" t="str">
        <f aca="false">IF(AND($E70&lt;=V$4+6,$F70&gt;=V$4),IF($E70=$F70,"◆","■"),"")</f>
        <v/>
      </c>
      <c r="W70" s="27" t="str">
        <f aca="false">IF(AND($E70&lt;=W$4+6,$F70&gt;=W$4),IF($E70=$F70,"◆","■"),"")</f>
        <v>■</v>
      </c>
      <c r="X70" s="27" t="str">
        <f aca="false">IF(AND($E70&lt;=X$4+6,$F70&gt;=X$4),IF($E70=$F70,"◆","■"),"")</f>
        <v>■</v>
      </c>
      <c r="Y70" s="27" t="str">
        <f aca="false">IF(AND($E70&lt;=Y$4+6,$F70&gt;=Y$4),IF($E70=$F70,"◆","■"),"")</f>
        <v/>
      </c>
      <c r="Z70" s="27" t="str">
        <f aca="false">IF(AND($E70&lt;=Z$4+6,$F70&gt;=Z$4),IF($E70=$F70,"◆","■"),"")</f>
        <v/>
      </c>
      <c r="AA70" s="27" t="str">
        <f aca="false">IF(AND($E70&lt;=AA$4+6,$F70&gt;=AA$4),IF($E70=$F70,"◆","■"),"")</f>
        <v/>
      </c>
      <c r="AB70" s="27" t="str">
        <f aca="false">IF(AND($E70&lt;=AB$4+6,$F70&gt;=AB$4),IF($E70=$F70,"◆","■"),"")</f>
        <v/>
      </c>
      <c r="AC70" s="27" t="str">
        <f aca="false">IF(AND($E70&lt;=AC$4+6,$F70&gt;=AC$4),IF($E70=$F70,"◆","■"),"")</f>
        <v/>
      </c>
      <c r="AD70" s="27" t="str">
        <f aca="false">IF(AND($E70&lt;=AD$4+6,$F70&gt;=AD$4),IF($E70=$F70,"◆","■"),"")</f>
        <v/>
      </c>
      <c r="AE70" s="27" t="str">
        <f aca="false">IF(AND($E70&lt;=AE$4+6,$F70&gt;=AE$4),IF($E70=$F70,"◆","■"),"")</f>
        <v/>
      </c>
      <c r="AF70" s="27" t="str">
        <f aca="false">IF(AND($E70&lt;=AF$4+6,$F70&gt;=AF$4),IF($E70=$F70,"◆","■"),"")</f>
        <v/>
      </c>
      <c r="AG70" s="27" t="str">
        <f aca="false">IF(AND($E70&lt;=AG$4+6,$F70&gt;=AG$4),IF($E70=$F70,"◆","■"),"")</f>
        <v/>
      </c>
      <c r="AH70" s="27" t="str">
        <f aca="false">IF(AND($E70&lt;=AH$4+6,$F70&gt;=AH$4),IF($E70=$F70,"◆","■"),"")</f>
        <v/>
      </c>
      <c r="AI70" s="27" t="str">
        <f aca="false">IF(AND($E70&lt;=AI$4+6,$F70&gt;=AI$4),IF($E70=$F70,"◆","■"),"")</f>
        <v/>
      </c>
      <c r="AJ70" s="27" t="str">
        <f aca="false">IF(AND($E70&lt;=AJ$4+6,$F70&gt;=AJ$4),IF($E70=$F70,"◆","■"),"")</f>
        <v/>
      </c>
      <c r="AK70" s="27" t="str">
        <f aca="false">IF(AND($E70&lt;=AK$4+6,$F70&gt;=AK$4),IF($E70=$F70,"◆","■"),"")</f>
        <v/>
      </c>
    </row>
    <row r="71" customFormat="false" ht="15" hidden="false" customHeight="false" outlineLevel="0" collapsed="false">
      <c r="A71" s="24" t="str">
        <f aca="false">'Post-LOI Checklist'!A42</f>
        <v>POST-38</v>
      </c>
      <c r="B71" s="25" t="str">
        <f aca="false">'Post-LOI Checklist'!C42</f>
        <v>Announcements and client communications</v>
      </c>
      <c r="C71" s="24" t="str">
        <f aca="false">'Post-LOI Checklist'!G42</f>
        <v>Ben</v>
      </c>
      <c r="D71" s="24" t="str">
        <f aca="false">'Post-LOI Checklist'!E42</f>
        <v>P2 - High</v>
      </c>
      <c r="E71" s="26" t="n">
        <f aca="false">'Post-LOI Checklist'!I42</f>
        <v>46391</v>
      </c>
      <c r="F71" s="26" t="n">
        <f aca="false">'Post-LOI Checklist'!J42</f>
        <v>46402</v>
      </c>
      <c r="G71" s="24" t="str">
        <f aca="false">'Post-LOI Checklist'!O42</f>
        <v>Not started</v>
      </c>
      <c r="H71" s="27" t="str">
        <f aca="false">IF(AND($E71&lt;=H$4+6,$F71&gt;=H$4),IF($E71=$F71,"◆","■"),"")</f>
        <v/>
      </c>
      <c r="I71" s="27" t="str">
        <f aca="false">IF(AND($E71&lt;=I$4+6,$F71&gt;=I$4),IF($E71=$F71,"◆","■"),"")</f>
        <v/>
      </c>
      <c r="J71" s="27" t="str">
        <f aca="false">IF(AND($E71&lt;=J$4+6,$F71&gt;=J$4),IF($E71=$F71,"◆","■"),"")</f>
        <v/>
      </c>
      <c r="K71" s="27" t="str">
        <f aca="false">IF(AND($E71&lt;=K$4+6,$F71&gt;=K$4),IF($E71=$F71,"◆","■"),"")</f>
        <v/>
      </c>
      <c r="L71" s="27" t="str">
        <f aca="false">IF(AND($E71&lt;=L$4+6,$F71&gt;=L$4),IF($E71=$F71,"◆","■"),"")</f>
        <v/>
      </c>
      <c r="M71" s="27" t="str">
        <f aca="false">IF(AND($E71&lt;=M$4+6,$F71&gt;=M$4),IF($E71=$F71,"◆","■"),"")</f>
        <v/>
      </c>
      <c r="N71" s="27" t="str">
        <f aca="false">IF(AND($E71&lt;=N$4+6,$F71&gt;=N$4),IF($E71=$F71,"◆","■"),"")</f>
        <v/>
      </c>
      <c r="O71" s="27" t="str">
        <f aca="false">IF(AND($E71&lt;=O$4+6,$F71&gt;=O$4),IF($E71=$F71,"◆","■"),"")</f>
        <v/>
      </c>
      <c r="P71" s="27" t="str">
        <f aca="false">IF(AND($E71&lt;=P$4+6,$F71&gt;=P$4),IF($E71=$F71,"◆","■"),"")</f>
        <v/>
      </c>
      <c r="Q71" s="27" t="str">
        <f aca="false">IF(AND($E71&lt;=Q$4+6,$F71&gt;=Q$4),IF($E71=$F71,"◆","■"),"")</f>
        <v/>
      </c>
      <c r="R71" s="27" t="str">
        <f aca="false">IF(AND($E71&lt;=R$4+6,$F71&gt;=R$4),IF($E71=$F71,"◆","■"),"")</f>
        <v/>
      </c>
      <c r="S71" s="27" t="str">
        <f aca="false">IF(AND($E71&lt;=S$4+6,$F71&gt;=S$4),IF($E71=$F71,"◆","■"),"")</f>
        <v/>
      </c>
      <c r="T71" s="27" t="str">
        <f aca="false">IF(AND($E71&lt;=T$4+6,$F71&gt;=T$4),IF($E71=$F71,"◆","■"),"")</f>
        <v/>
      </c>
      <c r="U71" s="27" t="str">
        <f aca="false">IF(AND($E71&lt;=U$4+6,$F71&gt;=U$4),IF($E71=$F71,"◆","■"),"")</f>
        <v/>
      </c>
      <c r="V71" s="27" t="str">
        <f aca="false">IF(AND($E71&lt;=V$4+6,$F71&gt;=V$4),IF($E71=$F71,"◆","■"),"")</f>
        <v/>
      </c>
      <c r="W71" s="27" t="str">
        <f aca="false">IF(AND($E71&lt;=W$4+6,$F71&gt;=W$4),IF($E71=$F71,"◆","■"),"")</f>
        <v>■</v>
      </c>
      <c r="X71" s="27" t="str">
        <f aca="false">IF(AND($E71&lt;=X$4+6,$F71&gt;=X$4),IF($E71=$F71,"◆","■"),"")</f>
        <v>■</v>
      </c>
      <c r="Y71" s="27" t="str">
        <f aca="false">IF(AND($E71&lt;=Y$4+6,$F71&gt;=Y$4),IF($E71=$F71,"◆","■"),"")</f>
        <v/>
      </c>
      <c r="Z71" s="27" t="str">
        <f aca="false">IF(AND($E71&lt;=Z$4+6,$F71&gt;=Z$4),IF($E71=$F71,"◆","■"),"")</f>
        <v/>
      </c>
      <c r="AA71" s="27" t="str">
        <f aca="false">IF(AND($E71&lt;=AA$4+6,$F71&gt;=AA$4),IF($E71=$F71,"◆","■"),"")</f>
        <v/>
      </c>
      <c r="AB71" s="27" t="str">
        <f aca="false">IF(AND($E71&lt;=AB$4+6,$F71&gt;=AB$4),IF($E71=$F71,"◆","■"),"")</f>
        <v/>
      </c>
      <c r="AC71" s="27" t="str">
        <f aca="false">IF(AND($E71&lt;=AC$4+6,$F71&gt;=AC$4),IF($E71=$F71,"◆","■"),"")</f>
        <v/>
      </c>
      <c r="AD71" s="27" t="str">
        <f aca="false">IF(AND($E71&lt;=AD$4+6,$F71&gt;=AD$4),IF($E71=$F71,"◆","■"),"")</f>
        <v/>
      </c>
      <c r="AE71" s="27" t="str">
        <f aca="false">IF(AND($E71&lt;=AE$4+6,$F71&gt;=AE$4),IF($E71=$F71,"◆","■"),"")</f>
        <v/>
      </c>
      <c r="AF71" s="27" t="str">
        <f aca="false">IF(AND($E71&lt;=AF$4+6,$F71&gt;=AF$4),IF($E71=$F71,"◆","■"),"")</f>
        <v/>
      </c>
      <c r="AG71" s="27" t="str">
        <f aca="false">IF(AND($E71&lt;=AG$4+6,$F71&gt;=AG$4),IF($E71=$F71,"◆","■"),"")</f>
        <v/>
      </c>
      <c r="AH71" s="27" t="str">
        <f aca="false">IF(AND($E71&lt;=AH$4+6,$F71&gt;=AH$4),IF($E71=$F71,"◆","■"),"")</f>
        <v/>
      </c>
      <c r="AI71" s="27" t="str">
        <f aca="false">IF(AND($E71&lt;=AI$4+6,$F71&gt;=AI$4),IF($E71=$F71,"◆","■"),"")</f>
        <v/>
      </c>
      <c r="AJ71" s="27" t="str">
        <f aca="false">IF(AND($E71&lt;=AJ$4+6,$F71&gt;=AJ$4),IF($E71=$F71,"◆","■"),"")</f>
        <v/>
      </c>
      <c r="AK71" s="27" t="str">
        <f aca="false">IF(AND($E71&lt;=AK$4+6,$F71&gt;=AK$4),IF($E71=$F71,"◆","■"),"")</f>
        <v/>
      </c>
    </row>
    <row r="72" customFormat="false" ht="15" hidden="false" customHeight="false" outlineLevel="0" collapsed="false">
      <c r="A72" s="24" t="str">
        <f aca="false">'Post-LOI Checklist'!A43</f>
        <v>POST-39</v>
      </c>
      <c r="B72" s="25" t="str">
        <f aca="false">'Post-LOI Checklist'!C43</f>
        <v>Purchase price allocation and first consolidated close</v>
      </c>
      <c r="C72" s="24" t="str">
        <f aca="false">'Post-LOI Checklist'!G43</f>
        <v>Josh</v>
      </c>
      <c r="D72" s="24" t="str">
        <f aca="false">'Post-LOI Checklist'!E43</f>
        <v>P3 - Medium</v>
      </c>
      <c r="E72" s="26" t="n">
        <f aca="false">'Post-LOI Checklist'!I43</f>
        <v>46391</v>
      </c>
      <c r="F72" s="26" t="n">
        <f aca="false">'Post-LOI Checklist'!J43</f>
        <v>46477</v>
      </c>
      <c r="G72" s="24" t="str">
        <f aca="false">'Post-LOI Checklist'!O43</f>
        <v>Not started</v>
      </c>
      <c r="H72" s="27" t="str">
        <f aca="false">IF(AND($E72&lt;=H$4+6,$F72&gt;=H$4),IF($E72=$F72,"◆","■"),"")</f>
        <v/>
      </c>
      <c r="I72" s="27" t="str">
        <f aca="false">IF(AND($E72&lt;=I$4+6,$F72&gt;=I$4),IF($E72=$F72,"◆","■"),"")</f>
        <v/>
      </c>
      <c r="J72" s="27" t="str">
        <f aca="false">IF(AND($E72&lt;=J$4+6,$F72&gt;=J$4),IF($E72=$F72,"◆","■"),"")</f>
        <v/>
      </c>
      <c r="K72" s="27" t="str">
        <f aca="false">IF(AND($E72&lt;=K$4+6,$F72&gt;=K$4),IF($E72=$F72,"◆","■"),"")</f>
        <v/>
      </c>
      <c r="L72" s="27" t="str">
        <f aca="false">IF(AND($E72&lt;=L$4+6,$F72&gt;=L$4),IF($E72=$F72,"◆","■"),"")</f>
        <v/>
      </c>
      <c r="M72" s="27" t="str">
        <f aca="false">IF(AND($E72&lt;=M$4+6,$F72&gt;=M$4),IF($E72=$F72,"◆","■"),"")</f>
        <v/>
      </c>
      <c r="N72" s="27" t="str">
        <f aca="false">IF(AND($E72&lt;=N$4+6,$F72&gt;=N$4),IF($E72=$F72,"◆","■"),"")</f>
        <v/>
      </c>
      <c r="O72" s="27" t="str">
        <f aca="false">IF(AND($E72&lt;=O$4+6,$F72&gt;=O$4),IF($E72=$F72,"◆","■"),"")</f>
        <v/>
      </c>
      <c r="P72" s="27" t="str">
        <f aca="false">IF(AND($E72&lt;=P$4+6,$F72&gt;=P$4),IF($E72=$F72,"◆","■"),"")</f>
        <v/>
      </c>
      <c r="Q72" s="27" t="str">
        <f aca="false">IF(AND($E72&lt;=Q$4+6,$F72&gt;=Q$4),IF($E72=$F72,"◆","■"),"")</f>
        <v/>
      </c>
      <c r="R72" s="27" t="str">
        <f aca="false">IF(AND($E72&lt;=R$4+6,$F72&gt;=R$4),IF($E72=$F72,"◆","■"),"")</f>
        <v/>
      </c>
      <c r="S72" s="27" t="str">
        <f aca="false">IF(AND($E72&lt;=S$4+6,$F72&gt;=S$4),IF($E72=$F72,"◆","■"),"")</f>
        <v/>
      </c>
      <c r="T72" s="27" t="str">
        <f aca="false">IF(AND($E72&lt;=T$4+6,$F72&gt;=T$4),IF($E72=$F72,"◆","■"),"")</f>
        <v/>
      </c>
      <c r="U72" s="27" t="str">
        <f aca="false">IF(AND($E72&lt;=U$4+6,$F72&gt;=U$4),IF($E72=$F72,"◆","■"),"")</f>
        <v/>
      </c>
      <c r="V72" s="27" t="str">
        <f aca="false">IF(AND($E72&lt;=V$4+6,$F72&gt;=V$4),IF($E72=$F72,"◆","■"),"")</f>
        <v/>
      </c>
      <c r="W72" s="27" t="str">
        <f aca="false">IF(AND($E72&lt;=W$4+6,$F72&gt;=W$4),IF($E72=$F72,"◆","■"),"")</f>
        <v>■</v>
      </c>
      <c r="X72" s="27" t="str">
        <f aca="false">IF(AND($E72&lt;=X$4+6,$F72&gt;=X$4),IF($E72=$F72,"◆","■"),"")</f>
        <v>■</v>
      </c>
      <c r="Y72" s="27" t="str">
        <f aca="false">IF(AND($E72&lt;=Y$4+6,$F72&gt;=Y$4),IF($E72=$F72,"◆","■"),"")</f>
        <v>■</v>
      </c>
      <c r="Z72" s="27" t="str">
        <f aca="false">IF(AND($E72&lt;=Z$4+6,$F72&gt;=Z$4),IF($E72=$F72,"◆","■"),"")</f>
        <v>■</v>
      </c>
      <c r="AA72" s="27" t="str">
        <f aca="false">IF(AND($E72&lt;=AA$4+6,$F72&gt;=AA$4),IF($E72=$F72,"◆","■"),"")</f>
        <v>■</v>
      </c>
      <c r="AB72" s="27" t="str">
        <f aca="false">IF(AND($E72&lt;=AB$4+6,$F72&gt;=AB$4),IF($E72=$F72,"◆","■"),"")</f>
        <v>■</v>
      </c>
      <c r="AC72" s="27" t="str">
        <f aca="false">IF(AND($E72&lt;=AC$4+6,$F72&gt;=AC$4),IF($E72=$F72,"◆","■"),"")</f>
        <v>■</v>
      </c>
      <c r="AD72" s="27" t="str">
        <f aca="false">IF(AND($E72&lt;=AD$4+6,$F72&gt;=AD$4),IF($E72=$F72,"◆","■"),"")</f>
        <v>■</v>
      </c>
      <c r="AE72" s="27" t="str">
        <f aca="false">IF(AND($E72&lt;=AE$4+6,$F72&gt;=AE$4),IF($E72=$F72,"◆","■"),"")</f>
        <v>■</v>
      </c>
      <c r="AF72" s="27" t="str">
        <f aca="false">IF(AND($E72&lt;=AF$4+6,$F72&gt;=AF$4),IF($E72=$F72,"◆","■"),"")</f>
        <v>■</v>
      </c>
      <c r="AG72" s="27" t="str">
        <f aca="false">IF(AND($E72&lt;=AG$4+6,$F72&gt;=AG$4),IF($E72=$F72,"◆","■"),"")</f>
        <v>■</v>
      </c>
      <c r="AH72" s="27" t="str">
        <f aca="false">IF(AND($E72&lt;=AH$4+6,$F72&gt;=AH$4),IF($E72=$F72,"◆","■"),"")</f>
        <v>■</v>
      </c>
      <c r="AI72" s="27" t="str">
        <f aca="false">IF(AND($E72&lt;=AI$4+6,$F72&gt;=AI$4),IF($E72=$F72,"◆","■"),"")</f>
        <v>■</v>
      </c>
      <c r="AJ72" s="27" t="str">
        <f aca="false">IF(AND($E72&lt;=AJ$4+6,$F72&gt;=AJ$4),IF($E72=$F72,"◆","■"),"")</f>
        <v/>
      </c>
      <c r="AK72" s="27" t="str">
        <f aca="false">IF(AND($E72&lt;=AK$4+6,$F72&gt;=AK$4),IF($E72=$F72,"◆","■"),"")</f>
        <v/>
      </c>
    </row>
    <row r="73" customFormat="false" ht="15" hidden="false" customHeight="false" outlineLevel="0" collapsed="false">
      <c r="A73" s="24" t="str">
        <f aca="false">'Post-LOI Checklist'!A44</f>
        <v>POST-40</v>
      </c>
      <c r="B73" s="25" t="str">
        <f aca="false">'Post-LOI Checklist'!C44</f>
        <v>First tax distribution; Keystone 1065 and §754 plan</v>
      </c>
      <c r="C73" s="24" t="str">
        <f aca="false">'Post-LOI Checklist'!G44</f>
        <v>Josh</v>
      </c>
      <c r="D73" s="24" t="str">
        <f aca="false">'Post-LOI Checklist'!E44</f>
        <v>P3 - Medium</v>
      </c>
      <c r="E73" s="26" t="n">
        <f aca="false">'Post-LOI Checklist'!I44</f>
        <v>46391</v>
      </c>
      <c r="F73" s="26" t="n">
        <f aca="false">'Post-LOI Checklist'!J44</f>
        <v>46492</v>
      </c>
      <c r="G73" s="24" t="str">
        <f aca="false">'Post-LOI Checklist'!O44</f>
        <v>Not started</v>
      </c>
      <c r="H73" s="27" t="str">
        <f aca="false">IF(AND($E73&lt;=H$4+6,$F73&gt;=H$4),IF($E73=$F73,"◆","■"),"")</f>
        <v/>
      </c>
      <c r="I73" s="27" t="str">
        <f aca="false">IF(AND($E73&lt;=I$4+6,$F73&gt;=I$4),IF($E73=$F73,"◆","■"),"")</f>
        <v/>
      </c>
      <c r="J73" s="27" t="str">
        <f aca="false">IF(AND($E73&lt;=J$4+6,$F73&gt;=J$4),IF($E73=$F73,"◆","■"),"")</f>
        <v/>
      </c>
      <c r="K73" s="27" t="str">
        <f aca="false">IF(AND($E73&lt;=K$4+6,$F73&gt;=K$4),IF($E73=$F73,"◆","■"),"")</f>
        <v/>
      </c>
      <c r="L73" s="27" t="str">
        <f aca="false">IF(AND($E73&lt;=L$4+6,$F73&gt;=L$4),IF($E73=$F73,"◆","■"),"")</f>
        <v/>
      </c>
      <c r="M73" s="27" t="str">
        <f aca="false">IF(AND($E73&lt;=M$4+6,$F73&gt;=M$4),IF($E73=$F73,"◆","■"),"")</f>
        <v/>
      </c>
      <c r="N73" s="27" t="str">
        <f aca="false">IF(AND($E73&lt;=N$4+6,$F73&gt;=N$4),IF($E73=$F73,"◆","■"),"")</f>
        <v/>
      </c>
      <c r="O73" s="27" t="str">
        <f aca="false">IF(AND($E73&lt;=O$4+6,$F73&gt;=O$4),IF($E73=$F73,"◆","■"),"")</f>
        <v/>
      </c>
      <c r="P73" s="27" t="str">
        <f aca="false">IF(AND($E73&lt;=P$4+6,$F73&gt;=P$4),IF($E73=$F73,"◆","■"),"")</f>
        <v/>
      </c>
      <c r="Q73" s="27" t="str">
        <f aca="false">IF(AND($E73&lt;=Q$4+6,$F73&gt;=Q$4),IF($E73=$F73,"◆","■"),"")</f>
        <v/>
      </c>
      <c r="R73" s="27" t="str">
        <f aca="false">IF(AND($E73&lt;=R$4+6,$F73&gt;=R$4),IF($E73=$F73,"◆","■"),"")</f>
        <v/>
      </c>
      <c r="S73" s="27" t="str">
        <f aca="false">IF(AND($E73&lt;=S$4+6,$F73&gt;=S$4),IF($E73=$F73,"◆","■"),"")</f>
        <v/>
      </c>
      <c r="T73" s="27" t="str">
        <f aca="false">IF(AND($E73&lt;=T$4+6,$F73&gt;=T$4),IF($E73=$F73,"◆","■"),"")</f>
        <v/>
      </c>
      <c r="U73" s="27" t="str">
        <f aca="false">IF(AND($E73&lt;=U$4+6,$F73&gt;=U$4),IF($E73=$F73,"◆","■"),"")</f>
        <v/>
      </c>
      <c r="V73" s="27" t="str">
        <f aca="false">IF(AND($E73&lt;=V$4+6,$F73&gt;=V$4),IF($E73=$F73,"◆","■"),"")</f>
        <v/>
      </c>
      <c r="W73" s="27" t="str">
        <f aca="false">IF(AND($E73&lt;=W$4+6,$F73&gt;=W$4),IF($E73=$F73,"◆","■"),"")</f>
        <v>■</v>
      </c>
      <c r="X73" s="27" t="str">
        <f aca="false">IF(AND($E73&lt;=X$4+6,$F73&gt;=X$4),IF($E73=$F73,"◆","■"),"")</f>
        <v>■</v>
      </c>
      <c r="Y73" s="27" t="str">
        <f aca="false">IF(AND($E73&lt;=Y$4+6,$F73&gt;=Y$4),IF($E73=$F73,"◆","■"),"")</f>
        <v>■</v>
      </c>
      <c r="Z73" s="27" t="str">
        <f aca="false">IF(AND($E73&lt;=Z$4+6,$F73&gt;=Z$4),IF($E73=$F73,"◆","■"),"")</f>
        <v>■</v>
      </c>
      <c r="AA73" s="27" t="str">
        <f aca="false">IF(AND($E73&lt;=AA$4+6,$F73&gt;=AA$4),IF($E73=$F73,"◆","■"),"")</f>
        <v>■</v>
      </c>
      <c r="AB73" s="27" t="str">
        <f aca="false">IF(AND($E73&lt;=AB$4+6,$F73&gt;=AB$4),IF($E73=$F73,"◆","■"),"")</f>
        <v>■</v>
      </c>
      <c r="AC73" s="27" t="str">
        <f aca="false">IF(AND($E73&lt;=AC$4+6,$F73&gt;=AC$4),IF($E73=$F73,"◆","■"),"")</f>
        <v>■</v>
      </c>
      <c r="AD73" s="27" t="str">
        <f aca="false">IF(AND($E73&lt;=AD$4+6,$F73&gt;=AD$4),IF($E73=$F73,"◆","■"),"")</f>
        <v>■</v>
      </c>
      <c r="AE73" s="27" t="str">
        <f aca="false">IF(AND($E73&lt;=AE$4+6,$F73&gt;=AE$4),IF($E73=$F73,"◆","■"),"")</f>
        <v>■</v>
      </c>
      <c r="AF73" s="27" t="str">
        <f aca="false">IF(AND($E73&lt;=AF$4+6,$F73&gt;=AF$4),IF($E73=$F73,"◆","■"),"")</f>
        <v>■</v>
      </c>
      <c r="AG73" s="27" t="str">
        <f aca="false">IF(AND($E73&lt;=AG$4+6,$F73&gt;=AG$4),IF($E73=$F73,"◆","■"),"")</f>
        <v>■</v>
      </c>
      <c r="AH73" s="27" t="str">
        <f aca="false">IF(AND($E73&lt;=AH$4+6,$F73&gt;=AH$4),IF($E73=$F73,"◆","■"),"")</f>
        <v>■</v>
      </c>
      <c r="AI73" s="27" t="str">
        <f aca="false">IF(AND($E73&lt;=AI$4+6,$F73&gt;=AI$4),IF($E73=$F73,"◆","■"),"")</f>
        <v>■</v>
      </c>
      <c r="AJ73" s="27" t="str">
        <f aca="false">IF(AND($E73&lt;=AJ$4+6,$F73&gt;=AJ$4),IF($E73=$F73,"◆","■"),"")</f>
        <v>■</v>
      </c>
      <c r="AK73" s="27" t="str">
        <f aca="false">IF(AND($E73&lt;=AK$4+6,$F73&gt;=AK$4),IF($E73=$F73,"◆","■"),"")</f>
        <v>■</v>
      </c>
    </row>
    <row r="74" customFormat="false" ht="15" hidden="false" customHeight="false" outlineLevel="0" collapsed="false">
      <c r="A74" s="24" t="str">
        <f aca="false">'Post-LOI Checklist'!A45</f>
        <v>POST-41</v>
      </c>
      <c r="B74" s="25" t="str">
        <f aca="false">'Post-LOI Checklist'!C45</f>
        <v>Migration cohort 1 readiness review</v>
      </c>
      <c r="C74" s="24" t="str">
        <f aca="false">'Post-LOI Checklist'!G45</f>
        <v>Pete</v>
      </c>
      <c r="D74" s="24" t="str">
        <f aca="false">'Post-LOI Checklist'!E45</f>
        <v>P3 - Medium</v>
      </c>
      <c r="E74" s="26" t="n">
        <f aca="false">'Post-LOI Checklist'!I45</f>
        <v>46447</v>
      </c>
      <c r="F74" s="26" t="n">
        <f aca="false">'Post-LOI Checklist'!J45</f>
        <v>46477</v>
      </c>
      <c r="G74" s="24" t="str">
        <f aca="false">'Post-LOI Checklist'!O45</f>
        <v>Not started</v>
      </c>
      <c r="H74" s="27" t="str">
        <f aca="false">IF(AND($E74&lt;=H$4+6,$F74&gt;=H$4),IF($E74=$F74,"◆","■"),"")</f>
        <v/>
      </c>
      <c r="I74" s="27" t="str">
        <f aca="false">IF(AND($E74&lt;=I$4+6,$F74&gt;=I$4),IF($E74=$F74,"◆","■"),"")</f>
        <v/>
      </c>
      <c r="J74" s="27" t="str">
        <f aca="false">IF(AND($E74&lt;=J$4+6,$F74&gt;=J$4),IF($E74=$F74,"◆","■"),"")</f>
        <v/>
      </c>
      <c r="K74" s="27" t="str">
        <f aca="false">IF(AND($E74&lt;=K$4+6,$F74&gt;=K$4),IF($E74=$F74,"◆","■"),"")</f>
        <v/>
      </c>
      <c r="L74" s="27" t="str">
        <f aca="false">IF(AND($E74&lt;=L$4+6,$F74&gt;=L$4),IF($E74=$F74,"◆","■"),"")</f>
        <v/>
      </c>
      <c r="M74" s="27" t="str">
        <f aca="false">IF(AND($E74&lt;=M$4+6,$F74&gt;=M$4),IF($E74=$F74,"◆","■"),"")</f>
        <v/>
      </c>
      <c r="N74" s="27" t="str">
        <f aca="false">IF(AND($E74&lt;=N$4+6,$F74&gt;=N$4),IF($E74=$F74,"◆","■"),"")</f>
        <v/>
      </c>
      <c r="O74" s="27" t="str">
        <f aca="false">IF(AND($E74&lt;=O$4+6,$F74&gt;=O$4),IF($E74=$F74,"◆","■"),"")</f>
        <v/>
      </c>
      <c r="P74" s="27" t="str">
        <f aca="false">IF(AND($E74&lt;=P$4+6,$F74&gt;=P$4),IF($E74=$F74,"◆","■"),"")</f>
        <v/>
      </c>
      <c r="Q74" s="27" t="str">
        <f aca="false">IF(AND($E74&lt;=Q$4+6,$F74&gt;=Q$4),IF($E74=$F74,"◆","■"),"")</f>
        <v/>
      </c>
      <c r="R74" s="27" t="str">
        <f aca="false">IF(AND($E74&lt;=R$4+6,$F74&gt;=R$4),IF($E74=$F74,"◆","■"),"")</f>
        <v/>
      </c>
      <c r="S74" s="27" t="str">
        <f aca="false">IF(AND($E74&lt;=S$4+6,$F74&gt;=S$4),IF($E74=$F74,"◆","■"),"")</f>
        <v/>
      </c>
      <c r="T74" s="27" t="str">
        <f aca="false">IF(AND($E74&lt;=T$4+6,$F74&gt;=T$4),IF($E74=$F74,"◆","■"),"")</f>
        <v/>
      </c>
      <c r="U74" s="27" t="str">
        <f aca="false">IF(AND($E74&lt;=U$4+6,$F74&gt;=U$4),IF($E74=$F74,"◆","■"),"")</f>
        <v/>
      </c>
      <c r="V74" s="27" t="str">
        <f aca="false">IF(AND($E74&lt;=V$4+6,$F74&gt;=V$4),IF($E74=$F74,"◆","■"),"")</f>
        <v/>
      </c>
      <c r="W74" s="27" t="str">
        <f aca="false">IF(AND($E74&lt;=W$4+6,$F74&gt;=W$4),IF($E74=$F74,"◆","■"),"")</f>
        <v/>
      </c>
      <c r="X74" s="27" t="str">
        <f aca="false">IF(AND($E74&lt;=X$4+6,$F74&gt;=X$4),IF($E74=$F74,"◆","■"),"")</f>
        <v/>
      </c>
      <c r="Y74" s="27" t="str">
        <f aca="false">IF(AND($E74&lt;=Y$4+6,$F74&gt;=Y$4),IF($E74=$F74,"◆","■"),"")</f>
        <v/>
      </c>
      <c r="Z74" s="27" t="str">
        <f aca="false">IF(AND($E74&lt;=Z$4+6,$F74&gt;=Z$4),IF($E74=$F74,"◆","■"),"")</f>
        <v/>
      </c>
      <c r="AA74" s="27" t="str">
        <f aca="false">IF(AND($E74&lt;=AA$4+6,$F74&gt;=AA$4),IF($E74=$F74,"◆","■"),"")</f>
        <v/>
      </c>
      <c r="AB74" s="27" t="str">
        <f aca="false">IF(AND($E74&lt;=AB$4+6,$F74&gt;=AB$4),IF($E74=$F74,"◆","■"),"")</f>
        <v/>
      </c>
      <c r="AC74" s="27" t="str">
        <f aca="false">IF(AND($E74&lt;=AC$4+6,$F74&gt;=AC$4),IF($E74=$F74,"◆","■"),"")</f>
        <v/>
      </c>
      <c r="AD74" s="27" t="str">
        <f aca="false">IF(AND($E74&lt;=AD$4+6,$F74&gt;=AD$4),IF($E74=$F74,"◆","■"),"")</f>
        <v/>
      </c>
      <c r="AE74" s="27" t="str">
        <f aca="false">IF(AND($E74&lt;=AE$4+6,$F74&gt;=AE$4),IF($E74=$F74,"◆","■"),"")</f>
        <v>■</v>
      </c>
      <c r="AF74" s="27" t="str">
        <f aca="false">IF(AND($E74&lt;=AF$4+6,$F74&gt;=AF$4),IF($E74=$F74,"◆","■"),"")</f>
        <v>■</v>
      </c>
      <c r="AG74" s="27" t="str">
        <f aca="false">IF(AND($E74&lt;=AG$4+6,$F74&gt;=AG$4),IF($E74=$F74,"◆","■"),"")</f>
        <v>■</v>
      </c>
      <c r="AH74" s="27" t="str">
        <f aca="false">IF(AND($E74&lt;=AH$4+6,$F74&gt;=AH$4),IF($E74=$F74,"◆","■"),"")</f>
        <v>■</v>
      </c>
      <c r="AI74" s="27" t="str">
        <f aca="false">IF(AND($E74&lt;=AI$4+6,$F74&gt;=AI$4),IF($E74=$F74,"◆","■"),"")</f>
        <v>■</v>
      </c>
      <c r="AJ74" s="27" t="str">
        <f aca="false">IF(AND($E74&lt;=AJ$4+6,$F74&gt;=AJ$4),IF($E74=$F74,"◆","■"),"")</f>
        <v/>
      </c>
      <c r="AK74" s="27" t="str">
        <f aca="false">IF(AND($E74&lt;=AK$4+6,$F74&gt;=AK$4),IF($E74=$F74,"◆","■"),"")</f>
        <v/>
      </c>
    </row>
  </sheetData>
  <conditionalFormatting sqref="H5:AK74">
    <cfRule type="expression" priority="2" aboveAverage="0" equalAverage="0" bottom="0" percent="0" rank="0" text="" dxfId="15">
      <formula>AND(H5&lt;&gt;"",$G5="Done")</formula>
    </cfRule>
    <cfRule type="expression" priority="3" aboveAverage="0" equalAverage="0" bottom="0" percent="0" rank="0" text="" dxfId="16">
      <formula>AND(H5&lt;&gt;"",LEFT($D5,2)="P1")</formula>
    </cfRule>
    <cfRule type="expression" priority="4" aboveAverage="0" equalAverage="0" bottom="0" percent="0" rank="0" text="" dxfId="17">
      <formula>AND(H5&lt;&gt;"",LEFT($D5,2)="P2")</formula>
    </cfRule>
    <cfRule type="expression" priority="5" aboveAverage="0" equalAverage="0" bottom="0" percent="0" rank="0" text="" dxfId="18">
      <formula>AND(H5&lt;&gt;"",LEFT($D5,2)="P3")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2026-09-25T02:29:44Z</dcterms:created>
  <dc:creator>openpyxl</dc:creator>
  <dc:description/>
  <dc:language>en-US</dc:language>
  <cp:lastModifiedBy/>
  <dcterms:modified xsi:type="dcterms:W3CDTF">2026-09-25T02:29:44Z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