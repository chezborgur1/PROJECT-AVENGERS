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"/>
    </mc:Choice>
  </mc:AlternateContent>
  <xr:revisionPtr revIDLastSave="0" documentId="11_470CEB3643C3F4C651866865039C0124D619D1CC" xr6:coauthVersionLast="47" xr6:coauthVersionMax="47" xr10:uidLastSave="{00000000-0000-0000-0000-000000000000}"/>
  <bookViews>
    <workbookView xWindow="-120" yWindow="-120" windowWidth="51840" windowHeight="21840" tabRatio="500" xr2:uid="{00000000-000D-0000-FFFF-FFFF00000000}"/>
  </bookViews>
  <sheets>
    <sheet name="Combined P&amp;L" sheetId="1" r:id="rId1"/>
    <sheet name="Raw - 2024 PL" sheetId="2" r:id="rId2"/>
    <sheet name="Raw - 2025 PL" sheetId="3" r:id="rId3"/>
    <sheet name="Raw - 2026 PL" sheetId="4" r:id="rId4"/>
  </sheets>
  <definedNames>
    <definedName name="_xlnm.Print_Titles" localSheetId="0">'Combined P&amp;L'!$6:$6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0" i="1" l="1"/>
  <c r="G130" i="1"/>
  <c r="C130" i="1"/>
  <c r="K129" i="1"/>
  <c r="G129" i="1"/>
  <c r="C129" i="1"/>
  <c r="K128" i="1"/>
  <c r="G128" i="1"/>
  <c r="C128" i="1"/>
  <c r="K127" i="1"/>
  <c r="G127" i="1"/>
  <c r="C127" i="1"/>
  <c r="K126" i="1"/>
  <c r="G126" i="1"/>
  <c r="C126" i="1"/>
  <c r="K125" i="1"/>
  <c r="G125" i="1"/>
  <c r="C125" i="1"/>
  <c r="K124" i="1"/>
  <c r="G124" i="1"/>
  <c r="C124" i="1"/>
  <c r="K123" i="1"/>
  <c r="G123" i="1"/>
  <c r="C123" i="1"/>
  <c r="K122" i="1"/>
  <c r="G122" i="1"/>
  <c r="C122" i="1"/>
  <c r="AJ112" i="1"/>
  <c r="AI112" i="1"/>
  <c r="AH112" i="1"/>
  <c r="AG112" i="1"/>
  <c r="AF112" i="1"/>
  <c r="AE112" i="1"/>
  <c r="AD112" i="1"/>
  <c r="D112" i="1" s="1"/>
  <c r="AC112" i="1"/>
  <c r="AB112" i="1"/>
  <c r="AA112" i="1"/>
  <c r="Z112" i="1"/>
  <c r="Y112" i="1"/>
  <c r="X112" i="1"/>
  <c r="W112" i="1"/>
  <c r="V112" i="1"/>
  <c r="U112" i="1"/>
  <c r="T112" i="1"/>
  <c r="S112" i="1"/>
  <c r="C112" i="1" s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B112" i="1"/>
  <c r="AJ111" i="1"/>
  <c r="AJ113" i="1" s="1"/>
  <c r="AI111" i="1"/>
  <c r="AI113" i="1" s="1"/>
  <c r="AH111" i="1"/>
  <c r="AH113" i="1" s="1"/>
  <c r="AG111" i="1"/>
  <c r="AG113" i="1" s="1"/>
  <c r="AF111" i="1"/>
  <c r="AF113" i="1" s="1"/>
  <c r="AE111" i="1"/>
  <c r="AE113" i="1" s="1"/>
  <c r="AD111" i="1"/>
  <c r="AD113" i="1" s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C111" i="1" s="1"/>
  <c r="Q111" i="1"/>
  <c r="P111" i="1"/>
  <c r="O111" i="1"/>
  <c r="N111" i="1"/>
  <c r="M111" i="1"/>
  <c r="L111" i="1"/>
  <c r="K111" i="1"/>
  <c r="J111" i="1"/>
  <c r="I111" i="1"/>
  <c r="H111" i="1"/>
  <c r="G111" i="1"/>
  <c r="F111" i="1"/>
  <c r="AC110" i="1"/>
  <c r="AB110" i="1"/>
  <c r="AA110" i="1"/>
  <c r="C110" i="1" s="1"/>
  <c r="Z110" i="1"/>
  <c r="Y110" i="1"/>
  <c r="X110" i="1"/>
  <c r="W110" i="1"/>
  <c r="V110" i="1"/>
  <c r="U110" i="1"/>
  <c r="T110" i="1"/>
  <c r="S110" i="1"/>
  <c r="R110" i="1"/>
  <c r="D110" i="1"/>
  <c r="B110" i="1"/>
  <c r="AC109" i="1"/>
  <c r="AB109" i="1"/>
  <c r="AA109" i="1"/>
  <c r="Z109" i="1"/>
  <c r="Z113" i="1" s="1"/>
  <c r="Y109" i="1"/>
  <c r="Y113" i="1" s="1"/>
  <c r="X109" i="1"/>
  <c r="X113" i="1" s="1"/>
  <c r="W109" i="1"/>
  <c r="W113" i="1" s="1"/>
  <c r="V109" i="1"/>
  <c r="V113" i="1" s="1"/>
  <c r="U109" i="1"/>
  <c r="T109" i="1"/>
  <c r="S109" i="1"/>
  <c r="S113" i="1" s="1"/>
  <c r="R109" i="1"/>
  <c r="Q109" i="1"/>
  <c r="P109" i="1"/>
  <c r="O109" i="1"/>
  <c r="O113" i="1" s="1"/>
  <c r="N109" i="1"/>
  <c r="N113" i="1" s="1"/>
  <c r="M109" i="1"/>
  <c r="M113" i="1" s="1"/>
  <c r="L109" i="1"/>
  <c r="L113" i="1" s="1"/>
  <c r="K109" i="1"/>
  <c r="K113" i="1" s="1"/>
  <c r="J109" i="1"/>
  <c r="J113" i="1" s="1"/>
  <c r="I109" i="1"/>
  <c r="I113" i="1" s="1"/>
  <c r="H109" i="1"/>
  <c r="H113" i="1" s="1"/>
  <c r="G109" i="1"/>
  <c r="G113" i="1" s="1"/>
  <c r="F109" i="1"/>
  <c r="F113" i="1" s="1"/>
  <c r="D109" i="1"/>
  <c r="AJ107" i="1"/>
  <c r="AH107" i="1"/>
  <c r="AG107" i="1"/>
  <c r="AD107" i="1"/>
  <c r="AD114" i="1" s="1"/>
  <c r="AC107" i="1"/>
  <c r="AB107" i="1"/>
  <c r="AA107" i="1"/>
  <c r="W107" i="1"/>
  <c r="W114" i="1" s="1"/>
  <c r="V107" i="1"/>
  <c r="V114" i="1" s="1"/>
  <c r="U107" i="1"/>
  <c r="T107" i="1"/>
  <c r="R107" i="1"/>
  <c r="Q107" i="1"/>
  <c r="O107" i="1"/>
  <c r="N107" i="1"/>
  <c r="M107" i="1"/>
  <c r="H107" i="1"/>
  <c r="G107" i="1"/>
  <c r="G114" i="1" s="1"/>
  <c r="AJ106" i="1"/>
  <c r="AI106" i="1"/>
  <c r="AI107" i="1" s="1"/>
  <c r="AI114" i="1" s="1"/>
  <c r="AH106" i="1"/>
  <c r="AG106" i="1"/>
  <c r="AF106" i="1"/>
  <c r="AF107" i="1" s="1"/>
  <c r="AF114" i="1" s="1"/>
  <c r="AE106" i="1"/>
  <c r="AE107" i="1" s="1"/>
  <c r="AE114" i="1" s="1"/>
  <c r="AD106" i="1"/>
  <c r="AC106" i="1"/>
  <c r="AB106" i="1"/>
  <c r="AA106" i="1"/>
  <c r="Z106" i="1"/>
  <c r="Z107" i="1" s="1"/>
  <c r="Y106" i="1"/>
  <c r="Y107" i="1" s="1"/>
  <c r="X106" i="1"/>
  <c r="X107" i="1" s="1"/>
  <c r="W106" i="1"/>
  <c r="V106" i="1"/>
  <c r="U106" i="1"/>
  <c r="T106" i="1"/>
  <c r="S106" i="1"/>
  <c r="S107" i="1" s="1"/>
  <c r="S114" i="1" s="1"/>
  <c r="R106" i="1"/>
  <c r="C106" i="1"/>
  <c r="B106" i="1"/>
  <c r="Q105" i="1"/>
  <c r="P105" i="1"/>
  <c r="P107" i="1" s="1"/>
  <c r="O105" i="1"/>
  <c r="N105" i="1"/>
  <c r="M105" i="1"/>
  <c r="L105" i="1"/>
  <c r="L107" i="1" s="1"/>
  <c r="L114" i="1" s="1"/>
  <c r="K105" i="1"/>
  <c r="K107" i="1" s="1"/>
  <c r="J105" i="1"/>
  <c r="J107" i="1" s="1"/>
  <c r="I105" i="1"/>
  <c r="I107" i="1" s="1"/>
  <c r="H105" i="1"/>
  <c r="G105" i="1"/>
  <c r="F105" i="1"/>
  <c r="F107" i="1" s="1"/>
  <c r="D105" i="1"/>
  <c r="C105" i="1"/>
  <c r="B105" i="1"/>
  <c r="I101" i="1"/>
  <c r="H101" i="1"/>
  <c r="AJ100" i="1"/>
  <c r="AI100" i="1"/>
  <c r="AH100" i="1"/>
  <c r="AG100" i="1"/>
  <c r="AF100" i="1"/>
  <c r="AE100" i="1"/>
  <c r="AD100" i="1"/>
  <c r="D100" i="1" s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C100" i="1" s="1"/>
  <c r="Q100" i="1"/>
  <c r="P100" i="1"/>
  <c r="O100" i="1"/>
  <c r="N100" i="1"/>
  <c r="M100" i="1"/>
  <c r="L100" i="1"/>
  <c r="K100" i="1"/>
  <c r="J100" i="1"/>
  <c r="I100" i="1"/>
  <c r="B100" i="1" s="1"/>
  <c r="H100" i="1"/>
  <c r="G100" i="1"/>
  <c r="F100" i="1"/>
  <c r="AJ99" i="1"/>
  <c r="AF99" i="1"/>
  <c r="T99" i="1"/>
  <c r="Q99" i="1"/>
  <c r="P99" i="1"/>
  <c r="O99" i="1"/>
  <c r="N99" i="1"/>
  <c r="M99" i="1"/>
  <c r="L99" i="1"/>
  <c r="K99" i="1"/>
  <c r="J99" i="1"/>
  <c r="I99" i="1"/>
  <c r="H99" i="1"/>
  <c r="G99" i="1"/>
  <c r="F99" i="1"/>
  <c r="B99" i="1" s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C98" i="1" s="1"/>
  <c r="B98" i="1"/>
  <c r="AC97" i="1"/>
  <c r="AB97" i="1"/>
  <c r="AA97" i="1"/>
  <c r="Z97" i="1"/>
  <c r="Y97" i="1"/>
  <c r="X97" i="1"/>
  <c r="W97" i="1"/>
  <c r="V97" i="1"/>
  <c r="U97" i="1"/>
  <c r="U99" i="1" s="1"/>
  <c r="T97" i="1"/>
  <c r="S97" i="1"/>
  <c r="R97" i="1"/>
  <c r="D97" i="1"/>
  <c r="B97" i="1"/>
  <c r="AC96" i="1"/>
  <c r="AB96" i="1"/>
  <c r="AA96" i="1"/>
  <c r="AA99" i="1" s="1"/>
  <c r="Z96" i="1"/>
  <c r="Y96" i="1"/>
  <c r="X96" i="1"/>
  <c r="W96" i="1"/>
  <c r="V96" i="1"/>
  <c r="U96" i="1"/>
  <c r="T96" i="1"/>
  <c r="S96" i="1"/>
  <c r="C96" i="1" s="1"/>
  <c r="R96" i="1"/>
  <c r="D96" i="1"/>
  <c r="B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C95" i="1" s="1"/>
  <c r="D95" i="1"/>
  <c r="B95" i="1"/>
  <c r="AJ94" i="1"/>
  <c r="AI94" i="1"/>
  <c r="AH94" i="1"/>
  <c r="AG94" i="1"/>
  <c r="AF94" i="1"/>
  <c r="AE94" i="1"/>
  <c r="AD94" i="1"/>
  <c r="D94" i="1" s="1"/>
  <c r="C94" i="1"/>
  <c r="B94" i="1"/>
  <c r="AJ93" i="1"/>
  <c r="AI93" i="1"/>
  <c r="AI99" i="1" s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V99" i="1" s="1"/>
  <c r="U93" i="1"/>
  <c r="T93" i="1"/>
  <c r="S93" i="1"/>
  <c r="S99" i="1" s="1"/>
  <c r="R93" i="1"/>
  <c r="C93" i="1" s="1"/>
  <c r="D93" i="1"/>
  <c r="B93" i="1"/>
  <c r="AJ92" i="1"/>
  <c r="AI92" i="1"/>
  <c r="AH92" i="1"/>
  <c r="AG92" i="1"/>
  <c r="AF92" i="1"/>
  <c r="AE92" i="1"/>
  <c r="D92" i="1" s="1"/>
  <c r="AD92" i="1"/>
  <c r="AC92" i="1"/>
  <c r="AB92" i="1"/>
  <c r="AB99" i="1" s="1"/>
  <c r="AA92" i="1"/>
  <c r="Z92" i="1"/>
  <c r="Y92" i="1"/>
  <c r="X92" i="1"/>
  <c r="W92" i="1"/>
  <c r="V92" i="1"/>
  <c r="U92" i="1"/>
  <c r="T92" i="1"/>
  <c r="S92" i="1"/>
  <c r="R92" i="1"/>
  <c r="C92" i="1" s="1"/>
  <c r="B92" i="1"/>
  <c r="AJ91" i="1"/>
  <c r="AI91" i="1"/>
  <c r="AH91" i="1"/>
  <c r="AG91" i="1"/>
  <c r="AF91" i="1"/>
  <c r="AE91" i="1"/>
  <c r="AE99" i="1" s="1"/>
  <c r="AD91" i="1"/>
  <c r="AC91" i="1"/>
  <c r="AC99" i="1" s="1"/>
  <c r="AB91" i="1"/>
  <c r="AA91" i="1"/>
  <c r="Z91" i="1"/>
  <c r="Y91" i="1"/>
  <c r="X91" i="1"/>
  <c r="W91" i="1"/>
  <c r="V91" i="1"/>
  <c r="U91" i="1"/>
  <c r="T91" i="1"/>
  <c r="S91" i="1"/>
  <c r="R91" i="1"/>
  <c r="B91" i="1"/>
  <c r="AJ90" i="1"/>
  <c r="AI90" i="1"/>
  <c r="AH90" i="1"/>
  <c r="AG90" i="1"/>
  <c r="AF90" i="1"/>
  <c r="AE90" i="1"/>
  <c r="AD90" i="1"/>
  <c r="D90" i="1" s="1"/>
  <c r="AC90" i="1"/>
  <c r="AB90" i="1"/>
  <c r="AA90" i="1"/>
  <c r="Z90" i="1"/>
  <c r="Y90" i="1"/>
  <c r="X90" i="1"/>
  <c r="W90" i="1"/>
  <c r="V90" i="1"/>
  <c r="U90" i="1"/>
  <c r="T90" i="1"/>
  <c r="S90" i="1"/>
  <c r="C90" i="1" s="1"/>
  <c r="R90" i="1"/>
  <c r="Q90" i="1"/>
  <c r="P90" i="1"/>
  <c r="O90" i="1"/>
  <c r="N90" i="1"/>
  <c r="B90" i="1" s="1"/>
  <c r="M90" i="1"/>
  <c r="L90" i="1"/>
  <c r="K90" i="1"/>
  <c r="J90" i="1"/>
  <c r="I90" i="1"/>
  <c r="H90" i="1"/>
  <c r="G90" i="1"/>
  <c r="F90" i="1"/>
  <c r="AJ89" i="1"/>
  <c r="AI89" i="1"/>
  <c r="AH89" i="1"/>
  <c r="AG89" i="1"/>
  <c r="AF89" i="1"/>
  <c r="D89" i="1" s="1"/>
  <c r="AE89" i="1"/>
  <c r="AD89" i="1"/>
  <c r="AC89" i="1"/>
  <c r="AB89" i="1"/>
  <c r="AA89" i="1"/>
  <c r="Z89" i="1"/>
  <c r="Y89" i="1"/>
  <c r="X89" i="1"/>
  <c r="W89" i="1"/>
  <c r="V89" i="1"/>
  <c r="U89" i="1"/>
  <c r="C89" i="1" s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AJ88" i="1"/>
  <c r="AI88" i="1"/>
  <c r="AH88" i="1"/>
  <c r="AG88" i="1"/>
  <c r="AF88" i="1"/>
  <c r="D88" i="1" s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C88" i="1"/>
  <c r="B88" i="1"/>
  <c r="AC87" i="1"/>
  <c r="AB87" i="1"/>
  <c r="AA87" i="1"/>
  <c r="Z87" i="1"/>
  <c r="Y87" i="1"/>
  <c r="X87" i="1"/>
  <c r="W87" i="1"/>
  <c r="V87" i="1"/>
  <c r="U87" i="1"/>
  <c r="T87" i="1"/>
  <c r="S87" i="1"/>
  <c r="R87" i="1"/>
  <c r="C87" i="1" s="1"/>
  <c r="Q87" i="1"/>
  <c r="P87" i="1"/>
  <c r="O87" i="1"/>
  <c r="N87" i="1"/>
  <c r="M87" i="1"/>
  <c r="L87" i="1"/>
  <c r="K87" i="1"/>
  <c r="J87" i="1"/>
  <c r="I87" i="1"/>
  <c r="H87" i="1"/>
  <c r="G87" i="1"/>
  <c r="F87" i="1"/>
  <c r="D87" i="1"/>
  <c r="AG86" i="1"/>
  <c r="AF86" i="1"/>
  <c r="AC86" i="1"/>
  <c r="Z86" i="1"/>
  <c r="M86" i="1"/>
  <c r="J86" i="1"/>
  <c r="I86" i="1"/>
  <c r="H86" i="1"/>
  <c r="AJ85" i="1"/>
  <c r="AJ86" i="1" s="1"/>
  <c r="AI85" i="1"/>
  <c r="AI86" i="1" s="1"/>
  <c r="AH85" i="1"/>
  <c r="AH86" i="1" s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T86" i="1" s="1"/>
  <c r="S85" i="1"/>
  <c r="S86" i="1" s="1"/>
  <c r="R85" i="1"/>
  <c r="B85" i="1"/>
  <c r="AJ84" i="1"/>
  <c r="AI84" i="1"/>
  <c r="AH84" i="1"/>
  <c r="AG84" i="1"/>
  <c r="AF84" i="1"/>
  <c r="D84" i="1" s="1"/>
  <c r="AE84" i="1"/>
  <c r="AD84" i="1"/>
  <c r="AC84" i="1"/>
  <c r="AB84" i="1"/>
  <c r="AA84" i="1"/>
  <c r="Z84" i="1"/>
  <c r="Y84" i="1"/>
  <c r="Y86" i="1" s="1"/>
  <c r="X84" i="1"/>
  <c r="X86" i="1" s="1"/>
  <c r="W84" i="1"/>
  <c r="V84" i="1"/>
  <c r="U84" i="1"/>
  <c r="T84" i="1"/>
  <c r="S84" i="1"/>
  <c r="R84" i="1"/>
  <c r="R86" i="1" s="1"/>
  <c r="B84" i="1"/>
  <c r="AJ83" i="1"/>
  <c r="AI83" i="1"/>
  <c r="AH83" i="1"/>
  <c r="AG83" i="1"/>
  <c r="AF83" i="1"/>
  <c r="AE83" i="1"/>
  <c r="AE86" i="1" s="1"/>
  <c r="AE101" i="1" s="1"/>
  <c r="AD83" i="1"/>
  <c r="AC83" i="1"/>
  <c r="AB83" i="1"/>
  <c r="AB86" i="1" s="1"/>
  <c r="AB101" i="1" s="1"/>
  <c r="AA83" i="1"/>
  <c r="AA86" i="1" s="1"/>
  <c r="Z83" i="1"/>
  <c r="Y83" i="1"/>
  <c r="X83" i="1"/>
  <c r="W83" i="1"/>
  <c r="W86" i="1" s="1"/>
  <c r="V83" i="1"/>
  <c r="V86" i="1" s="1"/>
  <c r="U83" i="1"/>
  <c r="T83" i="1"/>
  <c r="S83" i="1"/>
  <c r="R83" i="1"/>
  <c r="Q83" i="1"/>
  <c r="Q86" i="1" s="1"/>
  <c r="P83" i="1"/>
  <c r="P86" i="1" s="1"/>
  <c r="O83" i="1"/>
  <c r="O86" i="1" s="1"/>
  <c r="O101" i="1" s="1"/>
  <c r="N83" i="1"/>
  <c r="N86" i="1" s="1"/>
  <c r="M83" i="1"/>
  <c r="L83" i="1"/>
  <c r="L86" i="1" s="1"/>
  <c r="L101" i="1" s="1"/>
  <c r="K83" i="1"/>
  <c r="K86" i="1" s="1"/>
  <c r="J83" i="1"/>
  <c r="I83" i="1"/>
  <c r="H83" i="1"/>
  <c r="G83" i="1"/>
  <c r="G86" i="1" s="1"/>
  <c r="G101" i="1" s="1"/>
  <c r="F83" i="1"/>
  <c r="AJ82" i="1"/>
  <c r="AI82" i="1"/>
  <c r="AH82" i="1"/>
  <c r="AG82" i="1"/>
  <c r="AF82" i="1"/>
  <c r="AF101" i="1" s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P101" i="1" s="1"/>
  <c r="O82" i="1"/>
  <c r="N82" i="1"/>
  <c r="M82" i="1"/>
  <c r="M101" i="1" s="1"/>
  <c r="L82" i="1"/>
  <c r="K82" i="1"/>
  <c r="J82" i="1"/>
  <c r="J101" i="1" s="1"/>
  <c r="I82" i="1"/>
  <c r="H82" i="1"/>
  <c r="B82" i="1" s="1"/>
  <c r="G82" i="1"/>
  <c r="F82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B81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C79" i="1" s="1"/>
  <c r="Q79" i="1"/>
  <c r="P79" i="1"/>
  <c r="O79" i="1"/>
  <c r="N79" i="1"/>
  <c r="M79" i="1"/>
  <c r="L79" i="1"/>
  <c r="K79" i="1"/>
  <c r="J79" i="1"/>
  <c r="I79" i="1"/>
  <c r="H79" i="1"/>
  <c r="G79" i="1"/>
  <c r="F79" i="1"/>
  <c r="B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C78" i="1" s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D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C77" i="1" s="1"/>
  <c r="Q77" i="1"/>
  <c r="P77" i="1"/>
  <c r="O77" i="1"/>
  <c r="N77" i="1"/>
  <c r="M77" i="1"/>
  <c r="L77" i="1"/>
  <c r="K77" i="1"/>
  <c r="J77" i="1"/>
  <c r="I77" i="1"/>
  <c r="H77" i="1"/>
  <c r="G77" i="1"/>
  <c r="F77" i="1"/>
  <c r="B77" i="1" s="1"/>
  <c r="AJ76" i="1"/>
  <c r="AI76" i="1"/>
  <c r="AH76" i="1"/>
  <c r="AG76" i="1"/>
  <c r="D76" i="1" s="1"/>
  <c r="AF76" i="1"/>
  <c r="AE76" i="1"/>
  <c r="AD76" i="1"/>
  <c r="C76" i="1"/>
  <c r="B76" i="1"/>
  <c r="AJ75" i="1"/>
  <c r="AI75" i="1"/>
  <c r="AH75" i="1"/>
  <c r="AG75" i="1"/>
  <c r="AF75" i="1"/>
  <c r="AE75" i="1"/>
  <c r="AD75" i="1"/>
  <c r="D75" i="1" s="1"/>
  <c r="AC75" i="1"/>
  <c r="AB75" i="1"/>
  <c r="AA75" i="1"/>
  <c r="Z75" i="1"/>
  <c r="Y75" i="1"/>
  <c r="X75" i="1"/>
  <c r="W75" i="1"/>
  <c r="V75" i="1"/>
  <c r="U75" i="1"/>
  <c r="T75" i="1"/>
  <c r="S75" i="1"/>
  <c r="R75" i="1"/>
  <c r="C75" i="1" s="1"/>
  <c r="Q75" i="1"/>
  <c r="P75" i="1"/>
  <c r="O75" i="1"/>
  <c r="N75" i="1"/>
  <c r="M75" i="1"/>
  <c r="L75" i="1"/>
  <c r="K75" i="1"/>
  <c r="B75" i="1" s="1"/>
  <c r="J75" i="1"/>
  <c r="I75" i="1"/>
  <c r="H75" i="1"/>
  <c r="G75" i="1"/>
  <c r="F75" i="1"/>
  <c r="AJ74" i="1"/>
  <c r="AI74" i="1"/>
  <c r="AH74" i="1"/>
  <c r="AG74" i="1"/>
  <c r="AF74" i="1"/>
  <c r="AE74" i="1"/>
  <c r="AD74" i="1"/>
  <c r="D74" i="1" s="1"/>
  <c r="AC74" i="1"/>
  <c r="AB74" i="1"/>
  <c r="C74" i="1" s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Q73" i="1"/>
  <c r="P73" i="1"/>
  <c r="O73" i="1"/>
  <c r="N73" i="1"/>
  <c r="M73" i="1"/>
  <c r="L73" i="1"/>
  <c r="K73" i="1"/>
  <c r="B73" i="1" s="1"/>
  <c r="J73" i="1"/>
  <c r="I73" i="1"/>
  <c r="H73" i="1"/>
  <c r="G73" i="1"/>
  <c r="F73" i="1"/>
  <c r="D73" i="1"/>
  <c r="C73" i="1"/>
  <c r="Q72" i="1"/>
  <c r="P72" i="1"/>
  <c r="O72" i="1"/>
  <c r="N72" i="1"/>
  <c r="M72" i="1"/>
  <c r="L72" i="1"/>
  <c r="K72" i="1"/>
  <c r="J72" i="1"/>
  <c r="I72" i="1"/>
  <c r="H72" i="1"/>
  <c r="G72" i="1"/>
  <c r="B72" i="1" s="1"/>
  <c r="F72" i="1"/>
  <c r="D72" i="1"/>
  <c r="C72" i="1"/>
  <c r="AJ71" i="1"/>
  <c r="AI71" i="1"/>
  <c r="AH71" i="1"/>
  <c r="AG71" i="1"/>
  <c r="AF71" i="1"/>
  <c r="AE71" i="1"/>
  <c r="AD71" i="1"/>
  <c r="D71" i="1" s="1"/>
  <c r="AC71" i="1"/>
  <c r="AB71" i="1"/>
  <c r="C71" i="1" s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D70" i="1"/>
  <c r="AA70" i="1"/>
  <c r="X70" i="1"/>
  <c r="W70" i="1"/>
  <c r="V70" i="1"/>
  <c r="AJ69" i="1"/>
  <c r="AI69" i="1"/>
  <c r="AH69" i="1"/>
  <c r="AG69" i="1"/>
  <c r="AF69" i="1"/>
  <c r="AF70" i="1" s="1"/>
  <c r="AE69" i="1"/>
  <c r="AD69" i="1"/>
  <c r="D69" i="1" s="1"/>
  <c r="AC69" i="1"/>
  <c r="AB69" i="1"/>
  <c r="AA69" i="1"/>
  <c r="Z69" i="1"/>
  <c r="Y69" i="1"/>
  <c r="X69" i="1"/>
  <c r="W69" i="1"/>
  <c r="V69" i="1"/>
  <c r="U69" i="1"/>
  <c r="T69" i="1"/>
  <c r="S69" i="1"/>
  <c r="R69" i="1"/>
  <c r="C69" i="1" s="1"/>
  <c r="Q69" i="1"/>
  <c r="P69" i="1"/>
  <c r="B69" i="1" s="1"/>
  <c r="O69" i="1"/>
  <c r="N69" i="1"/>
  <c r="M69" i="1"/>
  <c r="L69" i="1"/>
  <c r="K69" i="1"/>
  <c r="J69" i="1"/>
  <c r="I69" i="1"/>
  <c r="H69" i="1"/>
  <c r="G69" i="1"/>
  <c r="F69" i="1"/>
  <c r="AJ68" i="1"/>
  <c r="AI68" i="1"/>
  <c r="AH68" i="1"/>
  <c r="AH70" i="1" s="1"/>
  <c r="AG68" i="1"/>
  <c r="AF68" i="1"/>
  <c r="AE68" i="1"/>
  <c r="D68" i="1" s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R70" i="1" s="1"/>
  <c r="Q68" i="1"/>
  <c r="P68" i="1"/>
  <c r="O68" i="1"/>
  <c r="B68" i="1" s="1"/>
  <c r="N68" i="1"/>
  <c r="M68" i="1"/>
  <c r="L68" i="1"/>
  <c r="K68" i="1"/>
  <c r="K70" i="1" s="1"/>
  <c r="J68" i="1"/>
  <c r="I68" i="1"/>
  <c r="H68" i="1"/>
  <c r="G68" i="1"/>
  <c r="F68" i="1"/>
  <c r="AJ67" i="1"/>
  <c r="AI67" i="1"/>
  <c r="AH67" i="1"/>
  <c r="AG67" i="1"/>
  <c r="AG70" i="1" s="1"/>
  <c r="AF67" i="1"/>
  <c r="AE67" i="1"/>
  <c r="AD67" i="1"/>
  <c r="AC67" i="1"/>
  <c r="AB67" i="1"/>
  <c r="AB70" i="1" s="1"/>
  <c r="AA67" i="1"/>
  <c r="Z67" i="1"/>
  <c r="Y67" i="1"/>
  <c r="X67" i="1"/>
  <c r="W67" i="1"/>
  <c r="V67" i="1"/>
  <c r="U67" i="1"/>
  <c r="U70" i="1" s="1"/>
  <c r="T67" i="1"/>
  <c r="S67" i="1"/>
  <c r="R67" i="1"/>
  <c r="Q67" i="1"/>
  <c r="Q70" i="1" s="1"/>
  <c r="P67" i="1"/>
  <c r="O67" i="1"/>
  <c r="N67" i="1"/>
  <c r="M67" i="1"/>
  <c r="L67" i="1"/>
  <c r="L70" i="1" s="1"/>
  <c r="K67" i="1"/>
  <c r="J67" i="1"/>
  <c r="I67" i="1"/>
  <c r="H67" i="1"/>
  <c r="G67" i="1"/>
  <c r="F67" i="1"/>
  <c r="AJ66" i="1"/>
  <c r="AI66" i="1"/>
  <c r="AH66" i="1"/>
  <c r="AG66" i="1"/>
  <c r="AF66" i="1"/>
  <c r="AE66" i="1"/>
  <c r="AD66" i="1"/>
  <c r="AC66" i="1"/>
  <c r="AC70" i="1" s="1"/>
  <c r="AB66" i="1"/>
  <c r="AA66" i="1"/>
  <c r="Z66" i="1"/>
  <c r="Z70" i="1" s="1"/>
  <c r="Y66" i="1"/>
  <c r="Y70" i="1" s="1"/>
  <c r="X66" i="1"/>
  <c r="W66" i="1"/>
  <c r="V66" i="1"/>
  <c r="U66" i="1"/>
  <c r="T66" i="1"/>
  <c r="S66" i="1"/>
  <c r="R66" i="1"/>
  <c r="Q66" i="1"/>
  <c r="P66" i="1"/>
  <c r="P70" i="1" s="1"/>
  <c r="O66" i="1"/>
  <c r="O70" i="1" s="1"/>
  <c r="N66" i="1"/>
  <c r="N70" i="1" s="1"/>
  <c r="M66" i="1"/>
  <c r="M70" i="1" s="1"/>
  <c r="L66" i="1"/>
  <c r="K66" i="1"/>
  <c r="J66" i="1"/>
  <c r="J70" i="1" s="1"/>
  <c r="I66" i="1"/>
  <c r="I70" i="1" s="1"/>
  <c r="H66" i="1"/>
  <c r="H70" i="1" s="1"/>
  <c r="G66" i="1"/>
  <c r="G70" i="1" s="1"/>
  <c r="F66" i="1"/>
  <c r="F70" i="1" s="1"/>
  <c r="AJ65" i="1"/>
  <c r="AI65" i="1"/>
  <c r="AH65" i="1"/>
  <c r="D65" i="1" s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C65" i="1" s="1"/>
  <c r="Q65" i="1"/>
  <c r="P65" i="1"/>
  <c r="O65" i="1"/>
  <c r="N65" i="1"/>
  <c r="M65" i="1"/>
  <c r="L65" i="1"/>
  <c r="K65" i="1"/>
  <c r="J65" i="1"/>
  <c r="I65" i="1"/>
  <c r="H65" i="1"/>
  <c r="G65" i="1"/>
  <c r="F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C64" i="1" s="1"/>
  <c r="Q64" i="1"/>
  <c r="P64" i="1"/>
  <c r="O64" i="1"/>
  <c r="N64" i="1"/>
  <c r="M64" i="1"/>
  <c r="L64" i="1"/>
  <c r="K64" i="1"/>
  <c r="J64" i="1"/>
  <c r="I64" i="1"/>
  <c r="H64" i="1"/>
  <c r="G64" i="1"/>
  <c r="F64" i="1"/>
  <c r="B64" i="1"/>
  <c r="AF63" i="1"/>
  <c r="O63" i="1"/>
  <c r="N63" i="1"/>
  <c r="F63" i="1"/>
  <c r="AJ62" i="1"/>
  <c r="AI62" i="1"/>
  <c r="AH62" i="1"/>
  <c r="AG62" i="1"/>
  <c r="AF62" i="1"/>
  <c r="AE62" i="1"/>
  <c r="AD62" i="1"/>
  <c r="D62" i="1" s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C61" i="1" s="1"/>
  <c r="R61" i="1"/>
  <c r="Q61" i="1"/>
  <c r="P61" i="1"/>
  <c r="P63" i="1" s="1"/>
  <c r="O61" i="1"/>
  <c r="N61" i="1"/>
  <c r="M61" i="1"/>
  <c r="L61" i="1"/>
  <c r="K61" i="1"/>
  <c r="J61" i="1"/>
  <c r="I61" i="1"/>
  <c r="H61" i="1"/>
  <c r="B61" i="1" s="1"/>
  <c r="G61" i="1"/>
  <c r="F61" i="1"/>
  <c r="AJ60" i="1"/>
  <c r="AI60" i="1"/>
  <c r="AH60" i="1"/>
  <c r="AG60" i="1"/>
  <c r="AF60" i="1"/>
  <c r="AE60" i="1"/>
  <c r="D60" i="1" s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C60" i="1" s="1"/>
  <c r="Q60" i="1"/>
  <c r="P60" i="1"/>
  <c r="O60" i="1"/>
  <c r="N60" i="1"/>
  <c r="M60" i="1"/>
  <c r="L60" i="1"/>
  <c r="K60" i="1"/>
  <c r="J60" i="1"/>
  <c r="I60" i="1"/>
  <c r="I63" i="1" s="1"/>
  <c r="H60" i="1"/>
  <c r="G60" i="1"/>
  <c r="F60" i="1"/>
  <c r="B60" i="1" s="1"/>
  <c r="AJ59" i="1"/>
  <c r="AI59" i="1"/>
  <c r="AH59" i="1"/>
  <c r="AG59" i="1"/>
  <c r="AF59" i="1"/>
  <c r="AE59" i="1"/>
  <c r="AD59" i="1"/>
  <c r="D59" i="1" s="1"/>
  <c r="AC59" i="1"/>
  <c r="AB59" i="1"/>
  <c r="AA59" i="1"/>
  <c r="Z59" i="1"/>
  <c r="Y59" i="1"/>
  <c r="X59" i="1"/>
  <c r="W59" i="1"/>
  <c r="V59" i="1"/>
  <c r="U59" i="1"/>
  <c r="T59" i="1"/>
  <c r="S59" i="1"/>
  <c r="R59" i="1"/>
  <c r="B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C58" i="1" s="1"/>
  <c r="Q58" i="1"/>
  <c r="P58" i="1"/>
  <c r="O58" i="1"/>
  <c r="N58" i="1"/>
  <c r="M58" i="1"/>
  <c r="L58" i="1"/>
  <c r="K58" i="1"/>
  <c r="J58" i="1"/>
  <c r="I58" i="1"/>
  <c r="H58" i="1"/>
  <c r="G58" i="1"/>
  <c r="F58" i="1"/>
  <c r="B58" i="1"/>
  <c r="AJ57" i="1"/>
  <c r="AJ63" i="1" s="1"/>
  <c r="AI57" i="1"/>
  <c r="AH57" i="1"/>
  <c r="AG57" i="1"/>
  <c r="AF57" i="1"/>
  <c r="AE57" i="1"/>
  <c r="AD57" i="1"/>
  <c r="AC57" i="1"/>
  <c r="AB57" i="1"/>
  <c r="AA57" i="1"/>
  <c r="Z57" i="1"/>
  <c r="Y57" i="1"/>
  <c r="Y63" i="1" s="1"/>
  <c r="X57" i="1"/>
  <c r="W57" i="1"/>
  <c r="V57" i="1"/>
  <c r="U57" i="1"/>
  <c r="C57" i="1" s="1"/>
  <c r="T57" i="1"/>
  <c r="T63" i="1" s="1"/>
  <c r="S57" i="1"/>
  <c r="S63" i="1" s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D57" i="1"/>
  <c r="B57" i="1"/>
  <c r="AJ56" i="1"/>
  <c r="AI56" i="1"/>
  <c r="AH56" i="1"/>
  <c r="AG56" i="1"/>
  <c r="AF56" i="1"/>
  <c r="AE56" i="1"/>
  <c r="AE63" i="1" s="1"/>
  <c r="AD56" i="1"/>
  <c r="D56" i="1" s="1"/>
  <c r="AC56" i="1"/>
  <c r="AB56" i="1"/>
  <c r="AA56" i="1"/>
  <c r="Z56" i="1"/>
  <c r="Y56" i="1"/>
  <c r="X56" i="1"/>
  <c r="W56" i="1"/>
  <c r="V56" i="1"/>
  <c r="U56" i="1"/>
  <c r="C56" i="1" s="1"/>
  <c r="T56" i="1"/>
  <c r="S56" i="1"/>
  <c r="R56" i="1"/>
  <c r="B56" i="1"/>
  <c r="AJ55" i="1"/>
  <c r="AI55" i="1"/>
  <c r="AH55" i="1"/>
  <c r="AG55" i="1"/>
  <c r="AF55" i="1"/>
  <c r="AE55" i="1"/>
  <c r="AD55" i="1"/>
  <c r="AD63" i="1" s="1"/>
  <c r="AC55" i="1"/>
  <c r="AC63" i="1" s="1"/>
  <c r="AB55" i="1"/>
  <c r="AB63" i="1" s="1"/>
  <c r="AA55" i="1"/>
  <c r="Z55" i="1"/>
  <c r="Y55" i="1"/>
  <c r="X55" i="1"/>
  <c r="W55" i="1"/>
  <c r="V55" i="1"/>
  <c r="V63" i="1" s="1"/>
  <c r="U55" i="1"/>
  <c r="U63" i="1" s="1"/>
  <c r="T55" i="1"/>
  <c r="S55" i="1"/>
  <c r="R55" i="1"/>
  <c r="Q55" i="1"/>
  <c r="P55" i="1"/>
  <c r="O55" i="1"/>
  <c r="N55" i="1"/>
  <c r="M55" i="1"/>
  <c r="M63" i="1" s="1"/>
  <c r="L55" i="1"/>
  <c r="L63" i="1" s="1"/>
  <c r="K55" i="1"/>
  <c r="K63" i="1" s="1"/>
  <c r="J55" i="1"/>
  <c r="I55" i="1"/>
  <c r="H55" i="1"/>
  <c r="G55" i="1"/>
  <c r="F55" i="1"/>
  <c r="AJ54" i="1"/>
  <c r="AI54" i="1"/>
  <c r="AH54" i="1"/>
  <c r="AG54" i="1"/>
  <c r="AF54" i="1"/>
  <c r="AE54" i="1"/>
  <c r="AD54" i="1"/>
  <c r="D54" i="1" s="1"/>
  <c r="AC54" i="1"/>
  <c r="AB54" i="1"/>
  <c r="AA54" i="1"/>
  <c r="Z54" i="1"/>
  <c r="C54" i="1" s="1"/>
  <c r="Y54" i="1"/>
  <c r="X54" i="1"/>
  <c r="W54" i="1"/>
  <c r="V54" i="1"/>
  <c r="U54" i="1"/>
  <c r="T54" i="1"/>
  <c r="S54" i="1"/>
  <c r="R54" i="1"/>
  <c r="B54" i="1"/>
  <c r="AJ53" i="1"/>
  <c r="AI53" i="1"/>
  <c r="AH53" i="1"/>
  <c r="AG53" i="1"/>
  <c r="AF53" i="1"/>
  <c r="AE53" i="1"/>
  <c r="D53" i="1" s="1"/>
  <c r="AD53" i="1"/>
  <c r="C53" i="1"/>
  <c r="B53" i="1"/>
  <c r="AJ52" i="1"/>
  <c r="AI52" i="1"/>
  <c r="AH52" i="1"/>
  <c r="AG52" i="1"/>
  <c r="AF52" i="1"/>
  <c r="AE52" i="1"/>
  <c r="AD52" i="1"/>
  <c r="D52" i="1" s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B52" i="1" s="1"/>
  <c r="F52" i="1"/>
  <c r="AJ51" i="1"/>
  <c r="AI51" i="1"/>
  <c r="AH51" i="1"/>
  <c r="AG51" i="1"/>
  <c r="AF51" i="1"/>
  <c r="AF80" i="1" s="1"/>
  <c r="AF102" i="1" s="1"/>
  <c r="AE51" i="1"/>
  <c r="AD51" i="1"/>
  <c r="AC51" i="1"/>
  <c r="AB51" i="1"/>
  <c r="AB80" i="1" s="1"/>
  <c r="AB102" i="1" s="1"/>
  <c r="AA51" i="1"/>
  <c r="Z51" i="1"/>
  <c r="Y51" i="1"/>
  <c r="Y80" i="1" s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L80" i="1" s="1"/>
  <c r="L102" i="1" s="1"/>
  <c r="K51" i="1"/>
  <c r="K80" i="1" s="1"/>
  <c r="J51" i="1"/>
  <c r="I51" i="1"/>
  <c r="H51" i="1"/>
  <c r="G51" i="1"/>
  <c r="F51" i="1"/>
  <c r="AJ47" i="1"/>
  <c r="AI47" i="1"/>
  <c r="AH47" i="1"/>
  <c r="AG47" i="1"/>
  <c r="AF47" i="1"/>
  <c r="AE47" i="1"/>
  <c r="AD47" i="1"/>
  <c r="D47" i="1" s="1"/>
  <c r="AC47" i="1"/>
  <c r="AB47" i="1"/>
  <c r="AA47" i="1"/>
  <c r="Z47" i="1"/>
  <c r="Y47" i="1"/>
  <c r="X47" i="1"/>
  <c r="W47" i="1"/>
  <c r="V47" i="1"/>
  <c r="U47" i="1"/>
  <c r="C47" i="1" s="1"/>
  <c r="T47" i="1"/>
  <c r="S47" i="1"/>
  <c r="R47" i="1"/>
  <c r="B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D46" i="1"/>
  <c r="B46" i="1"/>
  <c r="AJ45" i="1"/>
  <c r="AI45" i="1"/>
  <c r="AH45" i="1"/>
  <c r="D45" i="1" s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C45" i="1" s="1"/>
  <c r="Q45" i="1"/>
  <c r="P45" i="1"/>
  <c r="O45" i="1"/>
  <c r="N45" i="1"/>
  <c r="M45" i="1"/>
  <c r="L45" i="1"/>
  <c r="K45" i="1"/>
  <c r="J45" i="1"/>
  <c r="I45" i="1"/>
  <c r="H45" i="1"/>
  <c r="G45" i="1"/>
  <c r="F45" i="1"/>
  <c r="B45" i="1"/>
  <c r="AC44" i="1"/>
  <c r="C44" i="1" s="1"/>
  <c r="AB44" i="1"/>
  <c r="AA44" i="1"/>
  <c r="Z44" i="1"/>
  <c r="Y44" i="1"/>
  <c r="X44" i="1"/>
  <c r="W44" i="1"/>
  <c r="V44" i="1"/>
  <c r="U44" i="1"/>
  <c r="T44" i="1"/>
  <c r="S44" i="1"/>
  <c r="R44" i="1"/>
  <c r="D44" i="1"/>
  <c r="B44" i="1"/>
  <c r="AJ43" i="1"/>
  <c r="AI43" i="1"/>
  <c r="D43" i="1" s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C43" i="1" s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B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C42" i="1" s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D42" i="1"/>
  <c r="AJ41" i="1"/>
  <c r="AI41" i="1"/>
  <c r="AH41" i="1"/>
  <c r="AG41" i="1"/>
  <c r="AF41" i="1"/>
  <c r="AE41" i="1"/>
  <c r="D41" i="1" s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C41" i="1" s="1"/>
  <c r="B41" i="1"/>
  <c r="AB40" i="1"/>
  <c r="Y40" i="1"/>
  <c r="X40" i="1"/>
  <c r="W40" i="1"/>
  <c r="W48" i="1" s="1"/>
  <c r="I40" i="1"/>
  <c r="H40" i="1"/>
  <c r="F40" i="1"/>
  <c r="F48" i="1" s="1"/>
  <c r="AJ39" i="1"/>
  <c r="AI39" i="1"/>
  <c r="AH39" i="1"/>
  <c r="AG39" i="1"/>
  <c r="AF39" i="1"/>
  <c r="AE39" i="1"/>
  <c r="AD39" i="1"/>
  <c r="C39" i="1"/>
  <c r="B39" i="1"/>
  <c r="AJ38" i="1"/>
  <c r="AI38" i="1"/>
  <c r="AH38" i="1"/>
  <c r="AG38" i="1"/>
  <c r="AF38" i="1"/>
  <c r="AE38" i="1"/>
  <c r="AD38" i="1"/>
  <c r="D38" i="1" s="1"/>
  <c r="AC38" i="1"/>
  <c r="AB38" i="1"/>
  <c r="AA38" i="1"/>
  <c r="Z38" i="1"/>
  <c r="Y38" i="1"/>
  <c r="X38" i="1"/>
  <c r="W38" i="1"/>
  <c r="V38" i="1"/>
  <c r="U38" i="1"/>
  <c r="T38" i="1"/>
  <c r="S38" i="1"/>
  <c r="R38" i="1"/>
  <c r="C38" i="1" s="1"/>
  <c r="Q38" i="1"/>
  <c r="P38" i="1"/>
  <c r="O38" i="1"/>
  <c r="N38" i="1"/>
  <c r="M38" i="1"/>
  <c r="L38" i="1"/>
  <c r="L40" i="1" s="1"/>
  <c r="L48" i="1" s="1"/>
  <c r="K38" i="1"/>
  <c r="B38" i="1" s="1"/>
  <c r="J38" i="1"/>
  <c r="I38" i="1"/>
  <c r="H38" i="1"/>
  <c r="G38" i="1"/>
  <c r="F38" i="1"/>
  <c r="AJ37" i="1"/>
  <c r="AI37" i="1"/>
  <c r="AH37" i="1"/>
  <c r="AG37" i="1"/>
  <c r="AF37" i="1"/>
  <c r="AE37" i="1"/>
  <c r="AD37" i="1"/>
  <c r="D37" i="1" s="1"/>
  <c r="AC37" i="1"/>
  <c r="AC40" i="1" s="1"/>
  <c r="AC48" i="1" s="1"/>
  <c r="AB37" i="1"/>
  <c r="AA37" i="1"/>
  <c r="Z37" i="1"/>
  <c r="Y37" i="1"/>
  <c r="X37" i="1"/>
  <c r="W37" i="1"/>
  <c r="V37" i="1"/>
  <c r="U37" i="1"/>
  <c r="C37" i="1" s="1"/>
  <c r="T37" i="1"/>
  <c r="S37" i="1"/>
  <c r="R37" i="1"/>
  <c r="Q37" i="1"/>
  <c r="P37" i="1"/>
  <c r="O37" i="1"/>
  <c r="N37" i="1"/>
  <c r="N40" i="1" s="1"/>
  <c r="N48" i="1" s="1"/>
  <c r="M37" i="1"/>
  <c r="B37" i="1" s="1"/>
  <c r="L37" i="1"/>
  <c r="K37" i="1"/>
  <c r="J37" i="1"/>
  <c r="I37" i="1"/>
  <c r="H37" i="1"/>
  <c r="G37" i="1"/>
  <c r="F37" i="1"/>
  <c r="AJ36" i="1"/>
  <c r="AI36" i="1"/>
  <c r="AH36" i="1"/>
  <c r="AG36" i="1"/>
  <c r="AF36" i="1"/>
  <c r="AE36" i="1"/>
  <c r="D36" i="1" s="1"/>
  <c r="AD36" i="1"/>
  <c r="AC36" i="1"/>
  <c r="AB36" i="1"/>
  <c r="AA36" i="1"/>
  <c r="Z36" i="1"/>
  <c r="Y36" i="1"/>
  <c r="X36" i="1"/>
  <c r="W36" i="1"/>
  <c r="V36" i="1"/>
  <c r="U36" i="1"/>
  <c r="U40" i="1" s="1"/>
  <c r="T36" i="1"/>
  <c r="S36" i="1"/>
  <c r="R36" i="1"/>
  <c r="C36" i="1" s="1"/>
  <c r="Q36" i="1"/>
  <c r="P36" i="1"/>
  <c r="O36" i="1"/>
  <c r="N36" i="1"/>
  <c r="M36" i="1"/>
  <c r="L36" i="1"/>
  <c r="K36" i="1"/>
  <c r="J36" i="1"/>
  <c r="I36" i="1"/>
  <c r="H36" i="1"/>
  <c r="G36" i="1"/>
  <c r="F36" i="1"/>
  <c r="AJ35" i="1"/>
  <c r="AI35" i="1"/>
  <c r="AH35" i="1"/>
  <c r="AG35" i="1"/>
  <c r="AF35" i="1"/>
  <c r="AE35" i="1"/>
  <c r="AE40" i="1" s="1"/>
  <c r="AE48" i="1" s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C35" i="1" s="1"/>
  <c r="Q35" i="1"/>
  <c r="P35" i="1"/>
  <c r="O35" i="1"/>
  <c r="O40" i="1" s="1"/>
  <c r="O48" i="1" s="1"/>
  <c r="N35" i="1"/>
  <c r="M35" i="1"/>
  <c r="L35" i="1"/>
  <c r="K35" i="1"/>
  <c r="J35" i="1"/>
  <c r="I35" i="1"/>
  <c r="H35" i="1"/>
  <c r="G35" i="1"/>
  <c r="G40" i="1" s="1"/>
  <c r="G48" i="1" s="1"/>
  <c r="F35" i="1"/>
  <c r="AJ34" i="1"/>
  <c r="AI34" i="1"/>
  <c r="AI40" i="1" s="1"/>
  <c r="AI48" i="1" s="1"/>
  <c r="AH34" i="1"/>
  <c r="AH40" i="1" s="1"/>
  <c r="AG34" i="1"/>
  <c r="AG40" i="1" s="1"/>
  <c r="AF34" i="1"/>
  <c r="AF40" i="1" s="1"/>
  <c r="AF48" i="1" s="1"/>
  <c r="AE34" i="1"/>
  <c r="AD34" i="1"/>
  <c r="AC34" i="1"/>
  <c r="AB34" i="1"/>
  <c r="AA34" i="1"/>
  <c r="Z34" i="1"/>
  <c r="Z40" i="1" s="1"/>
  <c r="Y34" i="1"/>
  <c r="X34" i="1"/>
  <c r="W34" i="1"/>
  <c r="V34" i="1"/>
  <c r="V40" i="1" s="1"/>
  <c r="U34" i="1"/>
  <c r="T34" i="1"/>
  <c r="T40" i="1" s="1"/>
  <c r="S34" i="1"/>
  <c r="S40" i="1" s="1"/>
  <c r="R34" i="1"/>
  <c r="R40" i="1" s="1"/>
  <c r="Q34" i="1"/>
  <c r="Q40" i="1" s="1"/>
  <c r="P34" i="1"/>
  <c r="P40" i="1" s="1"/>
  <c r="P48" i="1" s="1"/>
  <c r="O34" i="1"/>
  <c r="N34" i="1"/>
  <c r="M34" i="1"/>
  <c r="M40" i="1" s="1"/>
  <c r="M48" i="1" s="1"/>
  <c r="L34" i="1"/>
  <c r="K34" i="1"/>
  <c r="J34" i="1"/>
  <c r="J40" i="1" s="1"/>
  <c r="I34" i="1"/>
  <c r="H34" i="1"/>
  <c r="G34" i="1"/>
  <c r="F34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S48" i="1" s="1"/>
  <c r="R33" i="1"/>
  <c r="B33" i="1"/>
  <c r="AJ32" i="1"/>
  <c r="AI32" i="1"/>
  <c r="AH32" i="1"/>
  <c r="AG32" i="1"/>
  <c r="AF32" i="1"/>
  <c r="AE32" i="1"/>
  <c r="AD32" i="1"/>
  <c r="AC32" i="1"/>
  <c r="AB32" i="1"/>
  <c r="AB48" i="1" s="1"/>
  <c r="AA32" i="1"/>
  <c r="Z32" i="1"/>
  <c r="Y32" i="1"/>
  <c r="Y48" i="1" s="1"/>
  <c r="X32" i="1"/>
  <c r="X48" i="1" s="1"/>
  <c r="W32" i="1"/>
  <c r="V32" i="1"/>
  <c r="U32" i="1"/>
  <c r="U48" i="1" s="1"/>
  <c r="T32" i="1"/>
  <c r="T48" i="1" s="1"/>
  <c r="S32" i="1"/>
  <c r="R32" i="1"/>
  <c r="Q32" i="1"/>
  <c r="P32" i="1"/>
  <c r="O32" i="1"/>
  <c r="N32" i="1"/>
  <c r="M32" i="1"/>
  <c r="L32" i="1"/>
  <c r="K32" i="1"/>
  <c r="J32" i="1"/>
  <c r="I32" i="1"/>
  <c r="I48" i="1" s="1"/>
  <c r="H32" i="1"/>
  <c r="H48" i="1" s="1"/>
  <c r="G32" i="1"/>
  <c r="F32" i="1"/>
  <c r="C32" i="1"/>
  <c r="Y29" i="1"/>
  <c r="I29" i="1"/>
  <c r="H29" i="1"/>
  <c r="G29" i="1"/>
  <c r="F29" i="1"/>
  <c r="AJ28" i="1"/>
  <c r="AI28" i="1"/>
  <c r="AH28" i="1"/>
  <c r="AG28" i="1"/>
  <c r="AF28" i="1"/>
  <c r="AE28" i="1"/>
  <c r="D28" i="1" s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C28" i="1" s="1"/>
  <c r="B28" i="1"/>
  <c r="AJ27" i="1"/>
  <c r="AI27" i="1"/>
  <c r="AH27" i="1"/>
  <c r="AG27" i="1"/>
  <c r="AF27" i="1"/>
  <c r="AE27" i="1"/>
  <c r="AD27" i="1"/>
  <c r="D27" i="1" s="1"/>
  <c r="AC27" i="1"/>
  <c r="AB27" i="1"/>
  <c r="AA27" i="1"/>
  <c r="Z27" i="1"/>
  <c r="Y27" i="1"/>
  <c r="X27" i="1"/>
  <c r="W27" i="1"/>
  <c r="V27" i="1"/>
  <c r="U27" i="1"/>
  <c r="C27" i="1" s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B26" i="1" s="1"/>
  <c r="AJ25" i="1"/>
  <c r="AI25" i="1"/>
  <c r="AH25" i="1"/>
  <c r="AG25" i="1"/>
  <c r="AF25" i="1"/>
  <c r="AE25" i="1"/>
  <c r="AD25" i="1"/>
  <c r="D25" i="1" s="1"/>
  <c r="AC25" i="1"/>
  <c r="AB25" i="1"/>
  <c r="AB29" i="1" s="1"/>
  <c r="AA25" i="1"/>
  <c r="Z25" i="1"/>
  <c r="Y25" i="1"/>
  <c r="X25" i="1"/>
  <c r="W25" i="1"/>
  <c r="V25" i="1"/>
  <c r="U25" i="1"/>
  <c r="T25" i="1"/>
  <c r="S25" i="1"/>
  <c r="R25" i="1"/>
  <c r="C25" i="1" s="1"/>
  <c r="Q25" i="1"/>
  <c r="P25" i="1"/>
  <c r="O25" i="1"/>
  <c r="N25" i="1"/>
  <c r="M25" i="1"/>
  <c r="L25" i="1"/>
  <c r="L29" i="1" s="1"/>
  <c r="K25" i="1"/>
  <c r="B25" i="1" s="1"/>
  <c r="J25" i="1"/>
  <c r="I25" i="1"/>
  <c r="H25" i="1"/>
  <c r="G25" i="1"/>
  <c r="F25" i="1"/>
  <c r="AJ24" i="1"/>
  <c r="AI24" i="1"/>
  <c r="AH24" i="1"/>
  <c r="AG24" i="1"/>
  <c r="AF24" i="1"/>
  <c r="AE24" i="1"/>
  <c r="AD24" i="1"/>
  <c r="D24" i="1" s="1"/>
  <c r="AC24" i="1"/>
  <c r="AC29" i="1" s="1"/>
  <c r="AB24" i="1"/>
  <c r="AA24" i="1"/>
  <c r="Z24" i="1"/>
  <c r="Y24" i="1"/>
  <c r="X24" i="1"/>
  <c r="W24" i="1"/>
  <c r="V24" i="1"/>
  <c r="U24" i="1"/>
  <c r="C24" i="1" s="1"/>
  <c r="T24" i="1"/>
  <c r="S24" i="1"/>
  <c r="R24" i="1"/>
  <c r="Q24" i="1"/>
  <c r="P24" i="1"/>
  <c r="O24" i="1"/>
  <c r="N24" i="1"/>
  <c r="N29" i="1" s="1"/>
  <c r="M24" i="1"/>
  <c r="M29" i="1" s="1"/>
  <c r="L24" i="1"/>
  <c r="K24" i="1"/>
  <c r="J24" i="1"/>
  <c r="I24" i="1"/>
  <c r="H24" i="1"/>
  <c r="G24" i="1"/>
  <c r="F24" i="1"/>
  <c r="AJ23" i="1"/>
  <c r="AI23" i="1"/>
  <c r="AI29" i="1" s="1"/>
  <c r="AH23" i="1"/>
  <c r="AH29" i="1" s="1"/>
  <c r="AG23" i="1"/>
  <c r="AG29" i="1" s="1"/>
  <c r="AF23" i="1"/>
  <c r="AF29" i="1" s="1"/>
  <c r="AE23" i="1"/>
  <c r="AE29" i="1" s="1"/>
  <c r="AD23" i="1"/>
  <c r="AC23" i="1"/>
  <c r="AB23" i="1"/>
  <c r="AA23" i="1"/>
  <c r="Z23" i="1"/>
  <c r="Y23" i="1"/>
  <c r="X23" i="1"/>
  <c r="X29" i="1" s="1"/>
  <c r="W23" i="1"/>
  <c r="W29" i="1" s="1"/>
  <c r="V23" i="1"/>
  <c r="V29" i="1" s="1"/>
  <c r="U23" i="1"/>
  <c r="U29" i="1" s="1"/>
  <c r="T23" i="1"/>
  <c r="S23" i="1"/>
  <c r="S29" i="1" s="1"/>
  <c r="R23" i="1"/>
  <c r="C23" i="1" s="1"/>
  <c r="Q23" i="1"/>
  <c r="Q29" i="1" s="1"/>
  <c r="P23" i="1"/>
  <c r="P29" i="1" s="1"/>
  <c r="O23" i="1"/>
  <c r="O29" i="1" s="1"/>
  <c r="N23" i="1"/>
  <c r="M23" i="1"/>
  <c r="L23" i="1"/>
  <c r="K23" i="1"/>
  <c r="J23" i="1"/>
  <c r="I23" i="1"/>
  <c r="H23" i="1"/>
  <c r="G23" i="1"/>
  <c r="F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C22" i="1" s="1"/>
  <c r="Q22" i="1"/>
  <c r="P22" i="1"/>
  <c r="O22" i="1"/>
  <c r="N22" i="1"/>
  <c r="M22" i="1"/>
  <c r="L22" i="1"/>
  <c r="K22" i="1"/>
  <c r="J22" i="1"/>
  <c r="I22" i="1"/>
  <c r="H22" i="1"/>
  <c r="G22" i="1"/>
  <c r="F22" i="1"/>
  <c r="AJ21" i="1"/>
  <c r="AH21" i="1"/>
  <c r="AG21" i="1"/>
  <c r="AF21" i="1"/>
  <c r="AC21" i="1"/>
  <c r="R21" i="1"/>
  <c r="Q21" i="1"/>
  <c r="P21" i="1"/>
  <c r="M21" i="1"/>
  <c r="L21" i="1"/>
  <c r="J21" i="1"/>
  <c r="I21" i="1"/>
  <c r="F21" i="1"/>
  <c r="AJ20" i="1"/>
  <c r="AI20" i="1"/>
  <c r="AH20" i="1"/>
  <c r="AG20" i="1"/>
  <c r="AF20" i="1"/>
  <c r="AE20" i="1"/>
  <c r="AD20" i="1"/>
  <c r="D20" i="1" s="1"/>
  <c r="AC20" i="1"/>
  <c r="AB20" i="1"/>
  <c r="AA20" i="1"/>
  <c r="Z20" i="1"/>
  <c r="Y20" i="1"/>
  <c r="X20" i="1"/>
  <c r="W20" i="1"/>
  <c r="V20" i="1"/>
  <c r="U20" i="1"/>
  <c r="T20" i="1"/>
  <c r="T21" i="1" s="1"/>
  <c r="S20" i="1"/>
  <c r="R20" i="1"/>
  <c r="C20" i="1" s="1"/>
  <c r="Q20" i="1"/>
  <c r="P20" i="1"/>
  <c r="O20" i="1"/>
  <c r="N20" i="1"/>
  <c r="M20" i="1"/>
  <c r="L20" i="1"/>
  <c r="K20" i="1"/>
  <c r="K21" i="1" s="1"/>
  <c r="J20" i="1"/>
  <c r="I20" i="1"/>
  <c r="H20" i="1"/>
  <c r="B20" i="1" s="1"/>
  <c r="G20" i="1"/>
  <c r="F20" i="1"/>
  <c r="AC19" i="1"/>
  <c r="AB19" i="1"/>
  <c r="AA19" i="1"/>
  <c r="Z19" i="1"/>
  <c r="Y19" i="1"/>
  <c r="X19" i="1"/>
  <c r="W19" i="1"/>
  <c r="V19" i="1"/>
  <c r="V21" i="1" s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B19" i="1" s="1"/>
  <c r="D19" i="1"/>
  <c r="AJ18" i="1"/>
  <c r="AI18" i="1"/>
  <c r="AI21" i="1" s="1"/>
  <c r="AH18" i="1"/>
  <c r="AG18" i="1"/>
  <c r="AF18" i="1"/>
  <c r="AE18" i="1"/>
  <c r="AD18" i="1"/>
  <c r="AC18" i="1"/>
  <c r="AB18" i="1"/>
  <c r="AB21" i="1" s="1"/>
  <c r="AA18" i="1"/>
  <c r="AA21" i="1" s="1"/>
  <c r="Z18" i="1"/>
  <c r="Z21" i="1" s="1"/>
  <c r="Y18" i="1"/>
  <c r="Y21" i="1" s="1"/>
  <c r="X18" i="1"/>
  <c r="W18" i="1"/>
  <c r="W21" i="1" s="1"/>
  <c r="V18" i="1"/>
  <c r="U18" i="1"/>
  <c r="U21" i="1" s="1"/>
  <c r="T18" i="1"/>
  <c r="S18" i="1"/>
  <c r="S21" i="1" s="1"/>
  <c r="R18" i="1"/>
  <c r="Q18" i="1"/>
  <c r="P18" i="1"/>
  <c r="O18" i="1"/>
  <c r="N18" i="1"/>
  <c r="M18" i="1"/>
  <c r="L18" i="1"/>
  <c r="K18" i="1"/>
  <c r="J18" i="1"/>
  <c r="I18" i="1"/>
  <c r="H18" i="1"/>
  <c r="G18" i="1"/>
  <c r="G21" i="1" s="1"/>
  <c r="F18" i="1"/>
  <c r="B18" i="1"/>
  <c r="AJ17" i="1"/>
  <c r="U17" i="1"/>
  <c r="T17" i="1"/>
  <c r="S17" i="1"/>
  <c r="R17" i="1"/>
  <c r="Q17" i="1"/>
  <c r="M17" i="1"/>
  <c r="M30" i="1" s="1"/>
  <c r="M49" i="1" s="1"/>
  <c r="AJ16" i="1"/>
  <c r="AI16" i="1"/>
  <c r="AH16" i="1"/>
  <c r="AG16" i="1"/>
  <c r="AF16" i="1"/>
  <c r="AE16" i="1"/>
  <c r="AD16" i="1"/>
  <c r="D16" i="1" s="1"/>
  <c r="AC16" i="1"/>
  <c r="AB16" i="1"/>
  <c r="AA16" i="1"/>
  <c r="Z16" i="1"/>
  <c r="Y16" i="1"/>
  <c r="X16" i="1"/>
  <c r="W16" i="1"/>
  <c r="V16" i="1"/>
  <c r="U16" i="1"/>
  <c r="T16" i="1"/>
  <c r="C16" i="1" s="1"/>
  <c r="S16" i="1"/>
  <c r="R16" i="1"/>
  <c r="Q16" i="1"/>
  <c r="P16" i="1"/>
  <c r="O16" i="1"/>
  <c r="N16" i="1"/>
  <c r="M16" i="1"/>
  <c r="L16" i="1"/>
  <c r="B16" i="1" s="1"/>
  <c r="K16" i="1"/>
  <c r="J16" i="1"/>
  <c r="I16" i="1"/>
  <c r="H16" i="1"/>
  <c r="G16" i="1"/>
  <c r="F16" i="1"/>
  <c r="AC15" i="1"/>
  <c r="AB15" i="1"/>
  <c r="AA15" i="1"/>
  <c r="Z15" i="1"/>
  <c r="Y15" i="1"/>
  <c r="X15" i="1"/>
  <c r="W15" i="1"/>
  <c r="W17" i="1" s="1"/>
  <c r="V15" i="1"/>
  <c r="U15" i="1"/>
  <c r="T15" i="1"/>
  <c r="S15" i="1"/>
  <c r="R15" i="1"/>
  <c r="C15" i="1" s="1"/>
  <c r="Q15" i="1"/>
  <c r="P15" i="1"/>
  <c r="O15" i="1"/>
  <c r="N15" i="1"/>
  <c r="M15" i="1"/>
  <c r="L15" i="1"/>
  <c r="K15" i="1"/>
  <c r="J15" i="1"/>
  <c r="I15" i="1"/>
  <c r="H15" i="1"/>
  <c r="G15" i="1"/>
  <c r="F15" i="1"/>
  <c r="D15" i="1"/>
  <c r="AJ14" i="1"/>
  <c r="AI14" i="1"/>
  <c r="AH14" i="1"/>
  <c r="AG14" i="1"/>
  <c r="AF14" i="1"/>
  <c r="AE14" i="1"/>
  <c r="AD14" i="1"/>
  <c r="AC14" i="1"/>
  <c r="AB14" i="1"/>
  <c r="AA14" i="1"/>
  <c r="Z14" i="1"/>
  <c r="Z17" i="1" s="1"/>
  <c r="Y14" i="1"/>
  <c r="X14" i="1"/>
  <c r="W14" i="1"/>
  <c r="V14" i="1"/>
  <c r="U14" i="1"/>
  <c r="T14" i="1"/>
  <c r="S14" i="1"/>
  <c r="C14" i="1" s="1"/>
  <c r="R14" i="1"/>
  <c r="Q14" i="1"/>
  <c r="P14" i="1"/>
  <c r="O14" i="1"/>
  <c r="N14" i="1"/>
  <c r="M14" i="1"/>
  <c r="L14" i="1"/>
  <c r="K14" i="1"/>
  <c r="J14" i="1"/>
  <c r="J17" i="1" s="1"/>
  <c r="I14" i="1"/>
  <c r="I17" i="1" s="1"/>
  <c r="H14" i="1"/>
  <c r="G14" i="1"/>
  <c r="F14" i="1"/>
  <c r="B14" i="1" s="1"/>
  <c r="AJ13" i="1"/>
  <c r="AI13" i="1"/>
  <c r="AI17" i="1" s="1"/>
  <c r="AH13" i="1"/>
  <c r="AH17" i="1" s="1"/>
  <c r="AG13" i="1"/>
  <c r="AF13" i="1"/>
  <c r="AE13" i="1"/>
  <c r="AD13" i="1"/>
  <c r="D13" i="1" s="1"/>
  <c r="AC13" i="1"/>
  <c r="AB13" i="1"/>
  <c r="AB17" i="1" s="1"/>
  <c r="AA13" i="1"/>
  <c r="C13" i="1" s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L17" i="1" s="1"/>
  <c r="K13" i="1"/>
  <c r="K17" i="1" s="1"/>
  <c r="J13" i="1"/>
  <c r="I13" i="1"/>
  <c r="H13" i="1"/>
  <c r="G13" i="1"/>
  <c r="F13" i="1"/>
  <c r="B13" i="1" s="1"/>
  <c r="AJ12" i="1"/>
  <c r="AI12" i="1"/>
  <c r="AH12" i="1"/>
  <c r="AG12" i="1"/>
  <c r="AG17" i="1" s="1"/>
  <c r="AF12" i="1"/>
  <c r="AE12" i="1"/>
  <c r="AE17" i="1" s="1"/>
  <c r="AD12" i="1"/>
  <c r="AD17" i="1" s="1"/>
  <c r="AC12" i="1"/>
  <c r="AC17" i="1" s="1"/>
  <c r="AB12" i="1"/>
  <c r="AA12" i="1"/>
  <c r="Z12" i="1"/>
  <c r="Y12" i="1"/>
  <c r="X12" i="1"/>
  <c r="W12" i="1"/>
  <c r="V12" i="1"/>
  <c r="V17" i="1" s="1"/>
  <c r="U12" i="1"/>
  <c r="T12" i="1"/>
  <c r="C12" i="1" s="1"/>
  <c r="S12" i="1"/>
  <c r="R12" i="1"/>
  <c r="Q12" i="1"/>
  <c r="P12" i="1"/>
  <c r="O12" i="1"/>
  <c r="O17" i="1" s="1"/>
  <c r="N12" i="1"/>
  <c r="N17" i="1" s="1"/>
  <c r="M12" i="1"/>
  <c r="L12" i="1"/>
  <c r="K12" i="1"/>
  <c r="J12" i="1"/>
  <c r="I12" i="1"/>
  <c r="H12" i="1"/>
  <c r="G12" i="1"/>
  <c r="G17" i="1" s="1"/>
  <c r="F12" i="1"/>
  <c r="AI11" i="1"/>
  <c r="AF11" i="1"/>
  <c r="AB11" i="1"/>
  <c r="X11" i="1"/>
  <c r="Q11" i="1"/>
  <c r="P11" i="1"/>
  <c r="O11" i="1"/>
  <c r="N11" i="1"/>
  <c r="M11" i="1"/>
  <c r="L11" i="1"/>
  <c r="K11" i="1"/>
  <c r="J11" i="1"/>
  <c r="I11" i="1"/>
  <c r="I30" i="1" s="1"/>
  <c r="H11" i="1"/>
  <c r="G11" i="1"/>
  <c r="G30" i="1" s="1"/>
  <c r="F11" i="1"/>
  <c r="B11" i="1" s="1"/>
  <c r="AJ10" i="1"/>
  <c r="AI10" i="1"/>
  <c r="AH10" i="1"/>
  <c r="AG10" i="1"/>
  <c r="AF10" i="1"/>
  <c r="AE10" i="1"/>
  <c r="AD10" i="1"/>
  <c r="D10" i="1" s="1"/>
  <c r="AC10" i="1"/>
  <c r="AB10" i="1"/>
  <c r="AA10" i="1"/>
  <c r="Z10" i="1"/>
  <c r="Z11" i="1" s="1"/>
  <c r="Y10" i="1"/>
  <c r="Y11" i="1" s="1"/>
  <c r="X10" i="1"/>
  <c r="W10" i="1"/>
  <c r="V10" i="1"/>
  <c r="U10" i="1"/>
  <c r="T10" i="1"/>
  <c r="S10" i="1"/>
  <c r="S11" i="1" s="1"/>
  <c r="R10" i="1"/>
  <c r="B10" i="1"/>
  <c r="AJ9" i="1"/>
  <c r="AI9" i="1"/>
  <c r="AH9" i="1"/>
  <c r="AH11" i="1" s="1"/>
  <c r="AH30" i="1" s="1"/>
  <c r="AG9" i="1"/>
  <c r="AF9" i="1"/>
  <c r="AE9" i="1"/>
  <c r="AE11" i="1" s="1"/>
  <c r="AD9" i="1"/>
  <c r="D9" i="1" s="1"/>
  <c r="AC9" i="1"/>
  <c r="AB9" i="1"/>
  <c r="AA9" i="1"/>
  <c r="C9" i="1" s="1"/>
  <c r="Z9" i="1"/>
  <c r="Y9" i="1"/>
  <c r="X9" i="1"/>
  <c r="W9" i="1"/>
  <c r="V9" i="1"/>
  <c r="U9" i="1"/>
  <c r="T9" i="1"/>
  <c r="S9" i="1"/>
  <c r="R9" i="1"/>
  <c r="R11" i="1" s="1"/>
  <c r="B9" i="1"/>
  <c r="AJ8" i="1"/>
  <c r="AJ11" i="1" s="1"/>
  <c r="AI8" i="1"/>
  <c r="AH8" i="1"/>
  <c r="AG8" i="1"/>
  <c r="AG11" i="1" s="1"/>
  <c r="AG30" i="1" s="1"/>
  <c r="AF8" i="1"/>
  <c r="AE8" i="1"/>
  <c r="AD8" i="1"/>
  <c r="AC8" i="1"/>
  <c r="AC11" i="1" s="1"/>
  <c r="AB8" i="1"/>
  <c r="AA8" i="1"/>
  <c r="Z8" i="1"/>
  <c r="Y8" i="1"/>
  <c r="X8" i="1"/>
  <c r="W8" i="1"/>
  <c r="W11" i="1" s="1"/>
  <c r="W30" i="1" s="1"/>
  <c r="W49" i="1" s="1"/>
  <c r="V8" i="1"/>
  <c r="V11" i="1" s="1"/>
  <c r="V30" i="1" s="1"/>
  <c r="U8" i="1"/>
  <c r="U11" i="1" s="1"/>
  <c r="U30" i="1" s="1"/>
  <c r="T8" i="1"/>
  <c r="T11" i="1" s="1"/>
  <c r="S8" i="1"/>
  <c r="R8" i="1"/>
  <c r="D8" i="1"/>
  <c r="B8" i="1"/>
  <c r="K102" i="1" l="1"/>
  <c r="L30" i="1"/>
  <c r="L49" i="1" s="1"/>
  <c r="L103" i="1" s="1"/>
  <c r="L115" i="1" s="1"/>
  <c r="C86" i="1"/>
  <c r="T30" i="1"/>
  <c r="T49" i="1" s="1"/>
  <c r="AJ30" i="1"/>
  <c r="AJ49" i="1" s="1"/>
  <c r="W101" i="1"/>
  <c r="U49" i="1"/>
  <c r="N30" i="1"/>
  <c r="N49" i="1" s="1"/>
  <c r="N103" i="1" s="1"/>
  <c r="N115" i="1" s="1"/>
  <c r="P80" i="1"/>
  <c r="P102" i="1" s="1"/>
  <c r="V48" i="1"/>
  <c r="V49" i="1" s="1"/>
  <c r="AG80" i="1"/>
  <c r="AJ48" i="1"/>
  <c r="AG49" i="1"/>
  <c r="C21" i="1"/>
  <c r="X101" i="1"/>
  <c r="AB30" i="1"/>
  <c r="AB49" i="1" s="1"/>
  <c r="AB103" i="1" s="1"/>
  <c r="U80" i="1"/>
  <c r="S30" i="1"/>
  <c r="S49" i="1" s="1"/>
  <c r="AI30" i="1"/>
  <c r="AI49" i="1" s="1"/>
  <c r="F114" i="1"/>
  <c r="B107" i="1"/>
  <c r="B127" i="1" s="1"/>
  <c r="D127" i="1" s="1"/>
  <c r="N127" i="1" s="1"/>
  <c r="AH101" i="1"/>
  <c r="AC30" i="1"/>
  <c r="AC49" i="1" s="1"/>
  <c r="AC103" i="1" s="1"/>
  <c r="X80" i="1"/>
  <c r="AA80" i="1"/>
  <c r="AA102" i="1" s="1"/>
  <c r="R101" i="1"/>
  <c r="K30" i="1"/>
  <c r="G49" i="1"/>
  <c r="I80" i="1"/>
  <c r="I102" i="1" s="1"/>
  <c r="B70" i="1"/>
  <c r="Z80" i="1"/>
  <c r="Q101" i="1"/>
  <c r="AG101" i="1"/>
  <c r="Y17" i="1"/>
  <c r="Y30" i="1" s="1"/>
  <c r="Y49" i="1" s="1"/>
  <c r="Y103" i="1" s="1"/>
  <c r="Y115" i="1" s="1"/>
  <c r="C19" i="1"/>
  <c r="D32" i="1"/>
  <c r="B42" i="1"/>
  <c r="C66" i="1"/>
  <c r="S70" i="1"/>
  <c r="S80" i="1" s="1"/>
  <c r="S102" i="1" s="1"/>
  <c r="AI70" i="1"/>
  <c r="AI80" i="1" s="1"/>
  <c r="AI102" i="1" s="1"/>
  <c r="K101" i="1"/>
  <c r="AA101" i="1"/>
  <c r="C85" i="1"/>
  <c r="D18" i="1"/>
  <c r="C33" i="1"/>
  <c r="AA63" i="1"/>
  <c r="AI63" i="1"/>
  <c r="T70" i="1"/>
  <c r="AJ70" i="1"/>
  <c r="I49" i="1"/>
  <c r="I103" i="1" s="1"/>
  <c r="I115" i="1" s="1"/>
  <c r="D26" i="1"/>
  <c r="AD29" i="1"/>
  <c r="D29" i="1" s="1"/>
  <c r="B66" i="1"/>
  <c r="C67" i="1"/>
  <c r="AC101" i="1"/>
  <c r="N101" i="1"/>
  <c r="AD86" i="1"/>
  <c r="D83" i="1"/>
  <c r="AA113" i="1"/>
  <c r="M80" i="1"/>
  <c r="M102" i="1" s="1"/>
  <c r="M103" i="1" s="1"/>
  <c r="M115" i="1" s="1"/>
  <c r="AC80" i="1"/>
  <c r="AC102" i="1" s="1"/>
  <c r="D67" i="1"/>
  <c r="D82" i="1"/>
  <c r="D91" i="1"/>
  <c r="AD99" i="1"/>
  <c r="D99" i="1" s="1"/>
  <c r="AA114" i="1"/>
  <c r="AB113" i="1"/>
  <c r="H21" i="1"/>
  <c r="X21" i="1"/>
  <c r="T29" i="1"/>
  <c r="AJ29" i="1"/>
  <c r="B34" i="1"/>
  <c r="AJ40" i="1"/>
  <c r="AD40" i="1"/>
  <c r="C46" i="1"/>
  <c r="N80" i="1"/>
  <c r="N102" i="1" s="1"/>
  <c r="AD80" i="1"/>
  <c r="B67" i="1"/>
  <c r="C68" i="1"/>
  <c r="AE70" i="1"/>
  <c r="D70" i="1" s="1"/>
  <c r="B78" i="1"/>
  <c r="D81" i="1"/>
  <c r="C97" i="1"/>
  <c r="C107" i="1"/>
  <c r="F127" i="1" s="1"/>
  <c r="H127" i="1" s="1"/>
  <c r="AB114" i="1"/>
  <c r="AC113" i="1"/>
  <c r="AC114" i="1" s="1"/>
  <c r="D111" i="1"/>
  <c r="D14" i="1"/>
  <c r="D23" i="1"/>
  <c r="B24" i="1"/>
  <c r="J48" i="1"/>
  <c r="Z48" i="1"/>
  <c r="C34" i="1"/>
  <c r="O80" i="1"/>
  <c r="O102" i="1" s="1"/>
  <c r="D61" i="1"/>
  <c r="B65" i="1"/>
  <c r="B89" i="1"/>
  <c r="D107" i="1"/>
  <c r="J127" i="1" s="1"/>
  <c r="L127" i="1" s="1"/>
  <c r="B111" i="1"/>
  <c r="B22" i="1"/>
  <c r="B23" i="1"/>
  <c r="C26" i="1"/>
  <c r="AA48" i="1"/>
  <c r="B35" i="1"/>
  <c r="B36" i="1"/>
  <c r="C59" i="1"/>
  <c r="C83" i="1"/>
  <c r="B87" i="1"/>
  <c r="I114" i="1"/>
  <c r="D114" i="1"/>
  <c r="J129" i="1" s="1"/>
  <c r="L129" i="1" s="1"/>
  <c r="Q63" i="1"/>
  <c r="Q80" i="1" s="1"/>
  <c r="Q102" i="1" s="1"/>
  <c r="AG63" i="1"/>
  <c r="C81" i="1"/>
  <c r="C82" i="1"/>
  <c r="C91" i="1"/>
  <c r="R99" i="1"/>
  <c r="AH99" i="1"/>
  <c r="J114" i="1"/>
  <c r="X114" i="1"/>
  <c r="AG114" i="1"/>
  <c r="P113" i="1"/>
  <c r="P114" i="1" s="1"/>
  <c r="O30" i="1"/>
  <c r="O49" i="1" s="1"/>
  <c r="AA17" i="1"/>
  <c r="C51" i="1"/>
  <c r="R63" i="1"/>
  <c r="C63" i="1" s="1"/>
  <c r="AH63" i="1"/>
  <c r="D63" i="1" s="1"/>
  <c r="J63" i="1"/>
  <c r="J80" i="1" s="1"/>
  <c r="J102" i="1" s="1"/>
  <c r="Z63" i="1"/>
  <c r="S101" i="1"/>
  <c r="AI101" i="1"/>
  <c r="K114" i="1"/>
  <c r="Y114" i="1"/>
  <c r="H114" i="1"/>
  <c r="AH114" i="1"/>
  <c r="Q113" i="1"/>
  <c r="AA11" i="1"/>
  <c r="D12" i="1"/>
  <c r="C52" i="1"/>
  <c r="C62" i="1"/>
  <c r="B74" i="1"/>
  <c r="T101" i="1"/>
  <c r="AJ101" i="1"/>
  <c r="U86" i="1"/>
  <c r="U101" i="1" s="1"/>
  <c r="Z114" i="1"/>
  <c r="AJ114" i="1"/>
  <c r="R113" i="1"/>
  <c r="AF17" i="1"/>
  <c r="D17" i="1" s="1"/>
  <c r="Q30" i="1"/>
  <c r="N21" i="1"/>
  <c r="B21" i="1" s="1"/>
  <c r="AD21" i="1"/>
  <c r="J29" i="1"/>
  <c r="J30" i="1" s="1"/>
  <c r="J49" i="1" s="1"/>
  <c r="Z29" i="1"/>
  <c r="Z30" i="1" s="1"/>
  <c r="Z49" i="1" s="1"/>
  <c r="R29" i="1"/>
  <c r="C29" i="1" s="1"/>
  <c r="T80" i="1"/>
  <c r="T102" i="1" s="1"/>
  <c r="AJ80" i="1"/>
  <c r="AJ102" i="1" s="1"/>
  <c r="C55" i="1"/>
  <c r="B71" i="1"/>
  <c r="F86" i="1"/>
  <c r="B83" i="1"/>
  <c r="V101" i="1"/>
  <c r="C84" i="1"/>
  <c r="Z99" i="1"/>
  <c r="Z101" i="1" s="1"/>
  <c r="M114" i="1"/>
  <c r="B109" i="1"/>
  <c r="C10" i="1"/>
  <c r="O21" i="1"/>
  <c r="AE21" i="1"/>
  <c r="AE30" i="1" s="1"/>
  <c r="AE49" i="1" s="1"/>
  <c r="K29" i="1"/>
  <c r="AA29" i="1"/>
  <c r="B27" i="1"/>
  <c r="K40" i="1"/>
  <c r="K48" i="1" s="1"/>
  <c r="B48" i="1" s="1"/>
  <c r="B123" i="1" s="1"/>
  <c r="D123" i="1" s="1"/>
  <c r="AA40" i="1"/>
  <c r="C40" i="1" s="1"/>
  <c r="D39" i="1"/>
  <c r="D51" i="1"/>
  <c r="D55" i="1"/>
  <c r="D64" i="1"/>
  <c r="D66" i="1"/>
  <c r="D77" i="1"/>
  <c r="N114" i="1"/>
  <c r="C109" i="1"/>
  <c r="T113" i="1"/>
  <c r="F17" i="1"/>
  <c r="B12" i="1"/>
  <c r="AD11" i="1"/>
  <c r="H17" i="1"/>
  <c r="H30" i="1" s="1"/>
  <c r="H49" i="1" s="1"/>
  <c r="H103" i="1" s="1"/>
  <c r="H115" i="1" s="1"/>
  <c r="X17" i="1"/>
  <c r="X30" i="1" s="1"/>
  <c r="X49" i="1" s="1"/>
  <c r="Q48" i="1"/>
  <c r="AG48" i="1"/>
  <c r="F80" i="1"/>
  <c r="V80" i="1"/>
  <c r="B55" i="1"/>
  <c r="W99" i="1"/>
  <c r="AG99" i="1"/>
  <c r="O114" i="1"/>
  <c r="U113" i="1"/>
  <c r="U114" i="1" s="1"/>
  <c r="T114" i="1"/>
  <c r="P17" i="1"/>
  <c r="P30" i="1" s="1"/>
  <c r="P49" i="1" s="1"/>
  <c r="P103" i="1" s="1"/>
  <c r="R48" i="1"/>
  <c r="C48" i="1" s="1"/>
  <c r="F123" i="1" s="1"/>
  <c r="H123" i="1" s="1"/>
  <c r="AH48" i="1"/>
  <c r="AH49" i="1" s="1"/>
  <c r="D33" i="1"/>
  <c r="G80" i="1"/>
  <c r="G102" i="1" s="1"/>
  <c r="W80" i="1"/>
  <c r="W102" i="1" s="1"/>
  <c r="W103" i="1" s="1"/>
  <c r="W115" i="1" s="1"/>
  <c r="G63" i="1"/>
  <c r="W63" i="1"/>
  <c r="D58" i="1"/>
  <c r="B62" i="1"/>
  <c r="D79" i="1"/>
  <c r="D85" i="1"/>
  <c r="X99" i="1"/>
  <c r="D98" i="1"/>
  <c r="D106" i="1"/>
  <c r="Q114" i="1"/>
  <c r="B113" i="1"/>
  <c r="B128" i="1" s="1"/>
  <c r="D128" i="1" s="1"/>
  <c r="D113" i="1"/>
  <c r="J128" i="1" s="1"/>
  <c r="L128" i="1" s="1"/>
  <c r="C8" i="1"/>
  <c r="B15" i="1"/>
  <c r="C18" i="1"/>
  <c r="D22" i="1"/>
  <c r="B32" i="1"/>
  <c r="D34" i="1"/>
  <c r="D35" i="1"/>
  <c r="B51" i="1"/>
  <c r="H63" i="1"/>
  <c r="H80" i="1" s="1"/>
  <c r="H102" i="1" s="1"/>
  <c r="X63" i="1"/>
  <c r="Y99" i="1"/>
  <c r="Y101" i="1" s="1"/>
  <c r="Y102" i="1" s="1"/>
  <c r="R114" i="1"/>
  <c r="N123" i="1" l="1"/>
  <c r="X103" i="1"/>
  <c r="X115" i="1" s="1"/>
  <c r="J103" i="1"/>
  <c r="J115" i="1" s="1"/>
  <c r="K49" i="1"/>
  <c r="K103" i="1" s="1"/>
  <c r="K115" i="1" s="1"/>
  <c r="C101" i="1"/>
  <c r="C70" i="1"/>
  <c r="X102" i="1"/>
  <c r="C17" i="1"/>
  <c r="AC115" i="1"/>
  <c r="AG103" i="1"/>
  <c r="AG115" i="1" s="1"/>
  <c r="AJ103" i="1"/>
  <c r="AJ115" i="1" s="1"/>
  <c r="O103" i="1"/>
  <c r="O115" i="1" s="1"/>
  <c r="AH80" i="1"/>
  <c r="AH102" i="1" s="1"/>
  <c r="AH103" i="1" s="1"/>
  <c r="AH115" i="1" s="1"/>
  <c r="T103" i="1"/>
  <c r="T115" i="1" s="1"/>
  <c r="AG102" i="1"/>
  <c r="Q49" i="1"/>
  <c r="Q103" i="1" s="1"/>
  <c r="Q115" i="1" s="1"/>
  <c r="D40" i="1"/>
  <c r="AD48" i="1"/>
  <c r="D48" i="1" s="1"/>
  <c r="J123" i="1" s="1"/>
  <c r="L123" i="1" s="1"/>
  <c r="B40" i="1"/>
  <c r="B29" i="1"/>
  <c r="B114" i="1"/>
  <c r="B129" i="1" s="1"/>
  <c r="D129" i="1" s="1"/>
  <c r="C114" i="1"/>
  <c r="F129" i="1" s="1"/>
  <c r="H129" i="1" s="1"/>
  <c r="AA30" i="1"/>
  <c r="AA49" i="1" s="1"/>
  <c r="AA103" i="1" s="1"/>
  <c r="AA115" i="1" s="1"/>
  <c r="Z102" i="1"/>
  <c r="Z103" i="1" s="1"/>
  <c r="Z115" i="1" s="1"/>
  <c r="AI103" i="1"/>
  <c r="AI115" i="1" s="1"/>
  <c r="B63" i="1"/>
  <c r="N128" i="1"/>
  <c r="C113" i="1"/>
  <c r="F128" i="1" s="1"/>
  <c r="H128" i="1" s="1"/>
  <c r="R80" i="1"/>
  <c r="C99" i="1"/>
  <c r="D86" i="1"/>
  <c r="AD101" i="1"/>
  <c r="D101" i="1" s="1"/>
  <c r="AF30" i="1"/>
  <c r="AF49" i="1" s="1"/>
  <c r="AF103" i="1" s="1"/>
  <c r="AF115" i="1" s="1"/>
  <c r="R30" i="1"/>
  <c r="AE80" i="1"/>
  <c r="AE102" i="1" s="1"/>
  <c r="AE103" i="1" s="1"/>
  <c r="AE115" i="1" s="1"/>
  <c r="D21" i="1"/>
  <c r="S103" i="1"/>
  <c r="S115" i="1" s="1"/>
  <c r="C11" i="1"/>
  <c r="D11" i="1"/>
  <c r="AD30" i="1"/>
  <c r="B17" i="1"/>
  <c r="U102" i="1"/>
  <c r="U103" i="1" s="1"/>
  <c r="U115" i="1" s="1"/>
  <c r="P115" i="1"/>
  <c r="F30" i="1"/>
  <c r="V102" i="1"/>
  <c r="V103" i="1" s="1"/>
  <c r="V115" i="1" s="1"/>
  <c r="F101" i="1"/>
  <c r="B101" i="1" s="1"/>
  <c r="B86" i="1"/>
  <c r="B80" i="1"/>
  <c r="G103" i="1"/>
  <c r="G115" i="1" s="1"/>
  <c r="AB115" i="1"/>
  <c r="N129" i="1" l="1"/>
  <c r="R49" i="1"/>
  <c r="C30" i="1"/>
  <c r="F122" i="1" s="1"/>
  <c r="H122" i="1" s="1"/>
  <c r="F102" i="1"/>
  <c r="B102" i="1" s="1"/>
  <c r="B125" i="1" s="1"/>
  <c r="D125" i="1" s="1"/>
  <c r="D30" i="1"/>
  <c r="J122" i="1" s="1"/>
  <c r="L122" i="1" s="1"/>
  <c r="AD49" i="1"/>
  <c r="D80" i="1"/>
  <c r="AD102" i="1"/>
  <c r="D102" i="1" s="1"/>
  <c r="J125" i="1" s="1"/>
  <c r="L125" i="1" s="1"/>
  <c r="C80" i="1"/>
  <c r="R102" i="1"/>
  <c r="C102" i="1" s="1"/>
  <c r="F125" i="1" s="1"/>
  <c r="H125" i="1" s="1"/>
  <c r="F49" i="1"/>
  <c r="B30" i="1"/>
  <c r="B122" i="1" s="1"/>
  <c r="D122" i="1" s="1"/>
  <c r="N122" i="1" s="1"/>
  <c r="F103" i="1" l="1"/>
  <c r="B49" i="1"/>
  <c r="B124" i="1" s="1"/>
  <c r="D124" i="1" s="1"/>
  <c r="D49" i="1"/>
  <c r="J124" i="1" s="1"/>
  <c r="L124" i="1" s="1"/>
  <c r="AD103" i="1"/>
  <c r="N125" i="1"/>
  <c r="R103" i="1"/>
  <c r="C49" i="1"/>
  <c r="F124" i="1" s="1"/>
  <c r="H124" i="1" s="1"/>
  <c r="R115" i="1" l="1"/>
  <c r="C115" i="1" s="1"/>
  <c r="F130" i="1" s="1"/>
  <c r="H130" i="1" s="1"/>
  <c r="C103" i="1"/>
  <c r="F126" i="1" s="1"/>
  <c r="H126" i="1" s="1"/>
  <c r="AD115" i="1"/>
  <c r="D115" i="1" s="1"/>
  <c r="J130" i="1" s="1"/>
  <c r="L130" i="1" s="1"/>
  <c r="D103" i="1"/>
  <c r="J126" i="1" s="1"/>
  <c r="L126" i="1" s="1"/>
  <c r="N124" i="1"/>
  <c r="F115" i="1"/>
  <c r="B115" i="1" s="1"/>
  <c r="B130" i="1" s="1"/>
  <c r="D130" i="1" s="1"/>
  <c r="N130" i="1" s="1"/>
  <c r="B103" i="1"/>
  <c r="B126" i="1" s="1"/>
  <c r="D126" i="1" s="1"/>
  <c r="N126" i="1" s="1"/>
</calcChain>
</file>

<file path=xl/sharedStrings.xml><?xml version="1.0" encoding="utf-8"?>
<sst xmlns="http://schemas.openxmlformats.org/spreadsheetml/2006/main" count="464" uniqueCount="259">
  <si>
    <t>Keystone Bookkeepers</t>
  </si>
  <si>
    <t>Combined Monthly Income Statement ($000s) — Jan 2024 through Jul 2026</t>
  </si>
  <si>
    <t>Source: Target-provided QuickBooks Online P&amp;L exports — Keystone P&amp;L 2024.xlsx, Keystone P&amp;L 2025.xlsx, Keystone P&amp;L 2026.xlsx (accrual basis). All figures on this tab are live formulas linking to the "Raw - 20XX PL" tabs (each detail cell = raw cell / 1,000; every subtotal and FY total is a SUM/difference formula, never a hardcoded number), so this tab recalculates automatically if the raw tabs are updated. Values are in $000s. FY2026 reflects Jan–Jul only (YTD, 7 months) as that is the period the target has reported to date. Blank monthly cells indicate the account did not yet exist in the chart of accounts for that period (treated as $0 in subtotals). See the Tie-Out / Check section at the bottom of this tab, which foots every FY total back to each Raw tab's own reported Total column.</t>
  </si>
  <si>
    <t>Line Item</t>
  </si>
  <si>
    <t>FY2024 ($000s)</t>
  </si>
  <si>
    <t>FY2025 ($000s)</t>
  </si>
  <si>
    <t>FY2026 YTD (7 mo., $000s)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</si>
  <si>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</si>
  <si>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</si>
  <si>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</si>
  <si>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</si>
  <si>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</si>
  <si>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</si>
  <si>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</si>
  <si>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</si>
  <si>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</si>
  <si>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</si>
  <si>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</si>
  <si>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</si>
  <si>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</si>
  <si>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</si>
  <si>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</si>
  <si>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</si>
  <si>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</si>
  <si>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</si>
  <si>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</si>
  <si>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</si>
  <si>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</si>
  <si>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</si>
  <si>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</si>
  <si>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</si>
  <si>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</si>
  <si>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</si>
  <si>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</si>
  <si>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</si>
  <si>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</si>
  <si>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</si>
  <si>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</si>
  <si>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</si>
  <si>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</si>
  <si>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</si>
  <si>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</si>
  <si>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</si>
  <si>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</si>
  <si>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</si>
  <si>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</si>
  <si>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</si>
  <si>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</si>
  <si>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</si>
  <si>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</si>
  <si>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</si>
  <si>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</si>
  <si>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</si>
  <si>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</si>
  <si>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</si>
  <si>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</si>
  <si>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</si>
  <si>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</si>
  <si>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</si>
  <si>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</si>
  <si>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</si>
  <si>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</si>
  <si>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</si>
  <si>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</si>
  <si>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</si>
  <si>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</si>
  <si>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</si>
  <si>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</si>
  <si>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</si>
  <si>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</si>
  <si>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</si>
  <si>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</si>
  <si>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</si>
  <si>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</si>
  <si>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</si>
  <si>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</si>
  <si>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</si>
  <si>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</si>
  <si>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</si>
  <si>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</si>
  <si>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</si>
  <si>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</si>
  <si>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</si>
  <si>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</si>
  <si>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</si>
  <si>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</si>
  <si>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</si>
  <si>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</si>
  <si>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</si>
  <si>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</si>
  <si>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</si>
  <si>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</si>
  <si>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</si>
  <si>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</si>
  <si>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</si>
  <si>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</si>
  <si>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</si>
  <si>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</si>
  <si>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</si>
  <si>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</si>
  <si>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</si>
  <si>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</si>
  <si>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</si>
  <si>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</si>
  <si>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</si>
  <si>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</si>
  <si>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</si>
  <si>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</si>
  <si>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</si>
  <si>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</si>
  <si>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</si>
  <si>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</si>
  <si>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</si>
  <si>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</si>
  <si>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</si>
  <si>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</si>
  <si>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Tie-Out / Check — Combined P&amp;L ($000s × 1,000) vs. Raw Data Tabs (own reported Total)</t>
  </si>
  <si>
    <t>Every figure below is a formula: "Combined" pulls this tab's own FY total and multiplies by 1,000 (reversing the $000s scaling); "Raw Tab Total" pulls the source file's own Total column on the matching Raw tab; "Diff" is Combined minus Raw Tab Total and should be $0 (or a sub-$0.05 rounding residual). Status flags any row that does not tie.</t>
  </si>
  <si>
    <t>FY2024</t>
  </si>
  <si>
    <t>FY2025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</si>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</sst>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_);_(* \(#,##0.0\);_(* \-_);_(@_)"/>
    <numFmt numFmtId="165" formatCode="_(* #,##0_);_(* \(#,##0\);_(* \-_);_(@_)"/>
    <numFmt numFmtId="166" formatCode="_(* #,##0.00_);_(* \(#,##0.00\);_(* \-_);_(@_)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17" fontId="4" fillId="2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0" fontId="6" fillId="0" borderId="0" xfId="0" applyFont="1" applyAlignment="1">
      <alignment indent="1"/>
    </xf>
    <xf numFmtId="164" fontId="6" fillId="0" borderId="0" xfId="0" applyNumberFormat="1" applyFont="1"/>
    <xf numFmtId="0" fontId="6" fillId="0" borderId="0" xfId="0" applyFont="1" applyAlignment="1">
      <alignment indent="2"/>
    </xf>
    <xf numFmtId="0" fontId="5" fillId="0" borderId="0" xfId="0" applyFont="1" applyAlignment="1">
      <alignment indent="1"/>
    </xf>
    <xf numFmtId="164" fontId="5" fillId="0" borderId="1" xfId="0" applyNumberFormat="1" applyFont="1" applyBorder="1"/>
    <xf numFmtId="0" fontId="5" fillId="0" borderId="0" xfId="0" applyFont="1"/>
    <xf numFmtId="0" fontId="6" fillId="0" borderId="0" xfId="0" applyFont="1" applyAlignment="1">
      <alignment indent="3"/>
    </xf>
    <xf numFmtId="0" fontId="5" fillId="0" borderId="0" xfId="0" applyFont="1" applyAlignment="1">
      <alignment indent="2"/>
    </xf>
    <xf numFmtId="164" fontId="5" fillId="0" borderId="2" xfId="0" applyNumberFormat="1" applyFont="1" applyBorder="1"/>
    <xf numFmtId="0" fontId="7" fillId="3" borderId="0" xfId="0" applyFont="1" applyFill="1" applyAlignment="1">
      <alignment horizontal="center" wrapText="1"/>
    </xf>
    <xf numFmtId="0" fontId="6" fillId="0" borderId="0" xfId="0" applyFont="1"/>
    <xf numFmtId="165" fontId="6" fillId="0" borderId="0" xfId="0" applyNumberFormat="1" applyFont="1"/>
    <xf numFmtId="166" fontId="6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0"/>
  <sheetViews>
    <sheetView showGridLines="0" tabSelected="1" zoomScaleNormal="100" workbookViewId="0">
      <pane xSplit="5" ySplit="6" topLeftCell="F25" activePane="bottomRight" state="frozen"/>
      <selection pane="topRight" activeCell="F1" sqref="F1"/>
      <selection pane="bottomLeft" activeCell="A7" sqref="A7"/>
      <selection pane="bottomRight"/>
    </sheetView>
  </sheetViews>
  <sheetFormatPr defaultColWidth="8.7109375" defaultRowHeight="15" x14ac:dyDescent="0.25"/>
  <cols>
    <col min="1" max="1" width="40" customWidth="1"/>
    <col min="2" max="4" width="13" customWidth="1"/>
    <col min="5" max="5" width="2" customWidth="1"/>
    <col min="6" max="36" width="10.5703125" customWidth="1"/>
  </cols>
  <sheetData>
    <row r="1" spans="1:36" ht="15.75" x14ac:dyDescent="0.25">
      <c r="A1" s="4" t="s">
        <v>0</v>
      </c>
    </row>
    <row r="2" spans="1:36" x14ac:dyDescent="0.25">
      <c r="A2" s="5" t="s">
        <v>1</v>
      </c>
    </row>
    <row r="3" spans="1:36" ht="42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6" spans="1:36" ht="30" customHeight="1" x14ac:dyDescent="0.25">
      <c r="A6" s="6" t="s">
        <v>3</v>
      </c>
      <c r="B6" s="7" t="s">
        <v>4</v>
      </c>
      <c r="C6" s="7" t="s">
        <v>5</v>
      </c>
      <c r="D6" s="7" t="s">
        <v>6</v>
      </c>
      <c r="F6" s="8">
        <v>45292</v>
      </c>
      <c r="G6" s="8">
        <v>45323</v>
      </c>
      <c r="H6" s="8">
        <v>45352</v>
      </c>
      <c r="I6" s="8">
        <v>45383</v>
      </c>
      <c r="J6" s="8">
        <v>45413</v>
      </c>
      <c r="K6" s="8">
        <v>45444</v>
      </c>
      <c r="L6" s="8">
        <v>45474</v>
      </c>
      <c r="M6" s="8">
        <v>45505</v>
      </c>
      <c r="N6" s="8">
        <v>45536</v>
      </c>
      <c r="O6" s="8">
        <v>45566</v>
      </c>
      <c r="P6" s="8">
        <v>45597</v>
      </c>
      <c r="Q6" s="8">
        <v>45627</v>
      </c>
      <c r="R6" s="8">
        <v>45658</v>
      </c>
      <c r="S6" s="8">
        <v>45689</v>
      </c>
      <c r="T6" s="8">
        <v>45717</v>
      </c>
      <c r="U6" s="8">
        <v>45748</v>
      </c>
      <c r="V6" s="8">
        <v>45778</v>
      </c>
      <c r="W6" s="8">
        <v>45809</v>
      </c>
      <c r="X6" s="8">
        <v>45839</v>
      </c>
      <c r="Y6" s="8">
        <v>45870</v>
      </c>
      <c r="Z6" s="8">
        <v>45901</v>
      </c>
      <c r="AA6" s="8">
        <v>45931</v>
      </c>
      <c r="AB6" s="8">
        <v>45962</v>
      </c>
      <c r="AC6" s="8">
        <v>45992</v>
      </c>
      <c r="AD6" s="8">
        <v>46023</v>
      </c>
      <c r="AE6" s="8">
        <v>46054</v>
      </c>
      <c r="AF6" s="8">
        <v>46082</v>
      </c>
      <c r="AG6" s="8">
        <v>46113</v>
      </c>
      <c r="AH6" s="8">
        <v>46143</v>
      </c>
      <c r="AI6" s="8">
        <v>46174</v>
      </c>
      <c r="AJ6" s="8">
        <v>46204</v>
      </c>
    </row>
    <row r="7" spans="1:36" x14ac:dyDescent="0.25">
      <c r="A7" s="9" t="s">
        <v>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25">
      <c r="A8" s="11" t="s">
        <v>8</v>
      </c>
      <c r="B8" s="12">
        <f t="shared" ref="B8:B30" si="0">SUM(F8:Q8)</f>
        <v>0</v>
      </c>
      <c r="C8" s="12">
        <f t="shared" ref="C8:C30" si="1">SUM(R8:AC8)</f>
        <v>0</v>
      </c>
      <c r="D8" s="12">
        <f t="shared" ref="D8:D30" si="2">SUM(AD8:AJ8)</f>
        <v>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>
        <f>'Raw - 2025 PL'!B7/1000</f>
        <v>0</v>
      </c>
      <c r="S8" s="12">
        <f>'Raw - 2025 PL'!C7/1000</f>
        <v>0</v>
      </c>
      <c r="T8" s="12">
        <f>'Raw - 2025 PL'!D7/1000</f>
        <v>0</v>
      </c>
      <c r="U8" s="12">
        <f>'Raw - 2025 PL'!E7/1000</f>
        <v>0</v>
      </c>
      <c r="V8" s="12">
        <f>'Raw - 2025 PL'!F7/1000</f>
        <v>0</v>
      </c>
      <c r="W8" s="12">
        <f>'Raw - 2025 PL'!G7/1000</f>
        <v>0</v>
      </c>
      <c r="X8" s="12">
        <f>'Raw - 2025 PL'!H7/1000</f>
        <v>0</v>
      </c>
      <c r="Y8" s="12">
        <f>'Raw - 2025 PL'!I7/1000</f>
        <v>0</v>
      </c>
      <c r="Z8" s="12">
        <f>'Raw - 2025 PL'!J7/1000</f>
        <v>0</v>
      </c>
      <c r="AA8" s="12">
        <f>'Raw - 2025 PL'!K7/1000</f>
        <v>0</v>
      </c>
      <c r="AB8" s="12">
        <f>'Raw - 2025 PL'!L7/1000</f>
        <v>0</v>
      </c>
      <c r="AC8" s="12">
        <f>'Raw - 2025 PL'!M7/1000</f>
        <v>0</v>
      </c>
      <c r="AD8" s="12">
        <f>'Raw - 2026 PL'!B7/1000</f>
        <v>0</v>
      </c>
      <c r="AE8" s="12">
        <f>'Raw - 2026 PL'!C7/1000</f>
        <v>0</v>
      </c>
      <c r="AF8" s="12">
        <f>'Raw - 2026 PL'!D7/1000</f>
        <v>0</v>
      </c>
      <c r="AG8" s="12">
        <f>'Raw - 2026 PL'!E7/1000</f>
        <v>0</v>
      </c>
      <c r="AH8" s="12">
        <f>'Raw - 2026 PL'!F7/1000</f>
        <v>0</v>
      </c>
      <c r="AI8" s="12">
        <f>'Raw - 2026 PL'!G7/1000</f>
        <v>0</v>
      </c>
      <c r="AJ8" s="12">
        <f>'Raw - 2026 PL'!H7/1000</f>
        <v>0</v>
      </c>
    </row>
    <row r="9" spans="1:36" x14ac:dyDescent="0.25">
      <c r="A9" s="13" t="s">
        <v>9</v>
      </c>
      <c r="B9" s="12">
        <f t="shared" si="0"/>
        <v>0</v>
      </c>
      <c r="C9" s="12">
        <f t="shared" si="1"/>
        <v>1.75</v>
      </c>
      <c r="D9" s="12">
        <f t="shared" si="2"/>
        <v>21.59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>
        <f>'Raw - 2025 PL'!B8/1000</f>
        <v>0</v>
      </c>
      <c r="S9" s="12">
        <f>'Raw - 2025 PL'!C8/1000</f>
        <v>0</v>
      </c>
      <c r="T9" s="12">
        <f>'Raw - 2025 PL'!D8/1000</f>
        <v>0</v>
      </c>
      <c r="U9" s="12">
        <f>'Raw - 2025 PL'!E8/1000</f>
        <v>0</v>
      </c>
      <c r="V9" s="12">
        <f>'Raw - 2025 PL'!F8/1000</f>
        <v>0</v>
      </c>
      <c r="W9" s="12">
        <f>'Raw - 2025 PL'!G8/1000</f>
        <v>0</v>
      </c>
      <c r="X9" s="12">
        <f>'Raw - 2025 PL'!H8/1000</f>
        <v>0</v>
      </c>
      <c r="Y9" s="12">
        <f>'Raw - 2025 PL'!I8/1000</f>
        <v>0</v>
      </c>
      <c r="Z9" s="12">
        <f>'Raw - 2025 PL'!J8/1000</f>
        <v>0.875</v>
      </c>
      <c r="AA9" s="12">
        <f>'Raw - 2025 PL'!K8/1000</f>
        <v>0</v>
      </c>
      <c r="AB9" s="12">
        <f>'Raw - 2025 PL'!L8/1000</f>
        <v>0</v>
      </c>
      <c r="AC9" s="12">
        <f>'Raw - 2025 PL'!M8/1000</f>
        <v>0.875</v>
      </c>
      <c r="AD9" s="12">
        <f>'Raw - 2026 PL'!B8/1000</f>
        <v>0</v>
      </c>
      <c r="AE9" s="12">
        <f>'Raw - 2026 PL'!C8/1000</f>
        <v>0</v>
      </c>
      <c r="AF9" s="12">
        <f>'Raw - 2026 PL'!D8/1000</f>
        <v>14.19</v>
      </c>
      <c r="AG9" s="12">
        <f>'Raw - 2026 PL'!E8/1000</f>
        <v>4.3</v>
      </c>
      <c r="AH9" s="12">
        <f>'Raw - 2026 PL'!F8/1000</f>
        <v>0</v>
      </c>
      <c r="AI9" s="12">
        <f>'Raw - 2026 PL'!G8/1000</f>
        <v>3.1</v>
      </c>
      <c r="AJ9" s="12">
        <f>'Raw - 2026 PL'!H8/1000</f>
        <v>0</v>
      </c>
    </row>
    <row r="10" spans="1:36" x14ac:dyDescent="0.25">
      <c r="A10" s="13" t="s">
        <v>10</v>
      </c>
      <c r="B10" s="12">
        <f t="shared" si="0"/>
        <v>0</v>
      </c>
      <c r="C10" s="12">
        <f t="shared" si="1"/>
        <v>1.65</v>
      </c>
      <c r="D10" s="12">
        <f t="shared" si="2"/>
        <v>2.3250000000000002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f>'Raw - 2025 PL'!B9/1000</f>
        <v>0</v>
      </c>
      <c r="S10" s="12">
        <f>'Raw - 2025 PL'!C9/1000</f>
        <v>0</v>
      </c>
      <c r="T10" s="12">
        <f>'Raw - 2025 PL'!D9/1000</f>
        <v>0</v>
      </c>
      <c r="U10" s="12">
        <f>'Raw - 2025 PL'!E9/1000</f>
        <v>0</v>
      </c>
      <c r="V10" s="12">
        <f>'Raw - 2025 PL'!F9/1000</f>
        <v>0</v>
      </c>
      <c r="W10" s="12">
        <f>'Raw - 2025 PL'!G9/1000</f>
        <v>0</v>
      </c>
      <c r="X10" s="12">
        <f>'Raw - 2025 PL'!H9/1000</f>
        <v>0</v>
      </c>
      <c r="Y10" s="12">
        <f>'Raw - 2025 PL'!I9/1000</f>
        <v>0</v>
      </c>
      <c r="Z10" s="12">
        <f>'Raw - 2025 PL'!J9/1000</f>
        <v>0</v>
      </c>
      <c r="AA10" s="12">
        <f>'Raw - 2025 PL'!K9/1000</f>
        <v>1.65</v>
      </c>
      <c r="AB10" s="12">
        <f>'Raw - 2025 PL'!L9/1000</f>
        <v>0</v>
      </c>
      <c r="AC10" s="12">
        <f>'Raw - 2025 PL'!M9/1000</f>
        <v>0</v>
      </c>
      <c r="AD10" s="12">
        <f>'Raw - 2026 PL'!B9/1000</f>
        <v>0</v>
      </c>
      <c r="AE10" s="12">
        <f>'Raw - 2026 PL'!C9/1000</f>
        <v>0</v>
      </c>
      <c r="AF10" s="12">
        <f>'Raw - 2026 PL'!D9/1000</f>
        <v>0</v>
      </c>
      <c r="AG10" s="12">
        <f>'Raw - 2026 PL'!E9/1000</f>
        <v>2.3250000000000002</v>
      </c>
      <c r="AH10" s="12">
        <f>'Raw - 2026 PL'!F9/1000</f>
        <v>0</v>
      </c>
      <c r="AI10" s="12">
        <f>'Raw - 2026 PL'!G9/1000</f>
        <v>0</v>
      </c>
      <c r="AJ10" s="12">
        <f>'Raw - 2026 PL'!H9/1000</f>
        <v>0</v>
      </c>
    </row>
    <row r="11" spans="1:36" x14ac:dyDescent="0.25">
      <c r="A11" s="14" t="s">
        <v>11</v>
      </c>
      <c r="B11" s="15">
        <f t="shared" si="0"/>
        <v>0</v>
      </c>
      <c r="C11" s="15">
        <f t="shared" si="1"/>
        <v>3.4</v>
      </c>
      <c r="D11" s="15">
        <f t="shared" si="2"/>
        <v>23.914999999999999</v>
      </c>
      <c r="F11" s="15">
        <f t="shared" ref="F11:AJ11" si="3">SUM(F8,F9,F10)</f>
        <v>0</v>
      </c>
      <c r="G11" s="15">
        <f t="shared" si="3"/>
        <v>0</v>
      </c>
      <c r="H11" s="15">
        <f t="shared" si="3"/>
        <v>0</v>
      </c>
      <c r="I11" s="15">
        <f t="shared" si="3"/>
        <v>0</v>
      </c>
      <c r="J11" s="15">
        <f t="shared" si="3"/>
        <v>0</v>
      </c>
      <c r="K11" s="15">
        <f t="shared" si="3"/>
        <v>0</v>
      </c>
      <c r="L11" s="15">
        <f t="shared" si="3"/>
        <v>0</v>
      </c>
      <c r="M11" s="15">
        <f t="shared" si="3"/>
        <v>0</v>
      </c>
      <c r="N11" s="15">
        <f t="shared" si="3"/>
        <v>0</v>
      </c>
      <c r="O11" s="15">
        <f t="shared" si="3"/>
        <v>0</v>
      </c>
      <c r="P11" s="15">
        <f t="shared" si="3"/>
        <v>0</v>
      </c>
      <c r="Q11" s="15">
        <f t="shared" si="3"/>
        <v>0</v>
      </c>
      <c r="R11" s="15">
        <f t="shared" si="3"/>
        <v>0</v>
      </c>
      <c r="S11" s="15">
        <f t="shared" si="3"/>
        <v>0</v>
      </c>
      <c r="T11" s="15">
        <f t="shared" si="3"/>
        <v>0</v>
      </c>
      <c r="U11" s="15">
        <f t="shared" si="3"/>
        <v>0</v>
      </c>
      <c r="V11" s="15">
        <f t="shared" si="3"/>
        <v>0</v>
      </c>
      <c r="W11" s="15">
        <f t="shared" si="3"/>
        <v>0</v>
      </c>
      <c r="X11" s="15">
        <f t="shared" si="3"/>
        <v>0</v>
      </c>
      <c r="Y11" s="15">
        <f t="shared" si="3"/>
        <v>0</v>
      </c>
      <c r="Z11" s="15">
        <f t="shared" si="3"/>
        <v>0.875</v>
      </c>
      <c r="AA11" s="15">
        <f t="shared" si="3"/>
        <v>1.65</v>
      </c>
      <c r="AB11" s="15">
        <f t="shared" si="3"/>
        <v>0</v>
      </c>
      <c r="AC11" s="15">
        <f t="shared" si="3"/>
        <v>0.875</v>
      </c>
      <c r="AD11" s="15">
        <f t="shared" si="3"/>
        <v>0</v>
      </c>
      <c r="AE11" s="15">
        <f t="shared" si="3"/>
        <v>0</v>
      </c>
      <c r="AF11" s="15">
        <f t="shared" si="3"/>
        <v>14.19</v>
      </c>
      <c r="AG11" s="15">
        <f t="shared" si="3"/>
        <v>6.625</v>
      </c>
      <c r="AH11" s="15">
        <f t="shared" si="3"/>
        <v>0</v>
      </c>
      <c r="AI11" s="15">
        <f t="shared" si="3"/>
        <v>3.1</v>
      </c>
      <c r="AJ11" s="15">
        <f t="shared" si="3"/>
        <v>0</v>
      </c>
    </row>
    <row r="12" spans="1:36" x14ac:dyDescent="0.25">
      <c r="A12" s="11" t="s">
        <v>12</v>
      </c>
      <c r="B12" s="12">
        <f t="shared" si="0"/>
        <v>0</v>
      </c>
      <c r="C12" s="12">
        <f t="shared" si="1"/>
        <v>0</v>
      </c>
      <c r="D12" s="12">
        <f t="shared" si="2"/>
        <v>0</v>
      </c>
      <c r="F12" s="12">
        <f>'Raw - 2024 PL'!B7/1000</f>
        <v>0</v>
      </c>
      <c r="G12" s="12">
        <f>'Raw - 2024 PL'!C7/1000</f>
        <v>0</v>
      </c>
      <c r="H12" s="12">
        <f>'Raw - 2024 PL'!D7/1000</f>
        <v>0</v>
      </c>
      <c r="I12" s="12">
        <f>'Raw - 2024 PL'!E7/1000</f>
        <v>0</v>
      </c>
      <c r="J12" s="12">
        <f>'Raw - 2024 PL'!F7/1000</f>
        <v>0</v>
      </c>
      <c r="K12" s="12">
        <f>'Raw - 2024 PL'!G7/1000</f>
        <v>0</v>
      </c>
      <c r="L12" s="12">
        <f>'Raw - 2024 PL'!H7/1000</f>
        <v>0</v>
      </c>
      <c r="M12" s="12">
        <f>'Raw - 2024 PL'!I7/1000</f>
        <v>0</v>
      </c>
      <c r="N12" s="12">
        <f>'Raw - 2024 PL'!J7/1000</f>
        <v>0</v>
      </c>
      <c r="O12" s="12">
        <f>'Raw - 2024 PL'!K7/1000</f>
        <v>0</v>
      </c>
      <c r="P12" s="12">
        <f>'Raw - 2024 PL'!L7/1000</f>
        <v>0</v>
      </c>
      <c r="Q12" s="12">
        <f>'Raw - 2024 PL'!M7/1000</f>
        <v>0</v>
      </c>
      <c r="R12" s="12">
        <f>'Raw - 2025 PL'!B11/1000</f>
        <v>0</v>
      </c>
      <c r="S12" s="12">
        <f>'Raw - 2025 PL'!C11/1000</f>
        <v>0</v>
      </c>
      <c r="T12" s="12">
        <f>'Raw - 2025 PL'!D11/1000</f>
        <v>0</v>
      </c>
      <c r="U12" s="12">
        <f>'Raw - 2025 PL'!E11/1000</f>
        <v>0</v>
      </c>
      <c r="V12" s="12">
        <f>'Raw - 2025 PL'!F11/1000</f>
        <v>0</v>
      </c>
      <c r="W12" s="12">
        <f>'Raw - 2025 PL'!G11/1000</f>
        <v>0</v>
      </c>
      <c r="X12" s="12">
        <f>'Raw - 2025 PL'!H11/1000</f>
        <v>0</v>
      </c>
      <c r="Y12" s="12">
        <f>'Raw - 2025 PL'!I11/1000</f>
        <v>0</v>
      </c>
      <c r="Z12" s="12">
        <f>'Raw - 2025 PL'!J11/1000</f>
        <v>0</v>
      </c>
      <c r="AA12" s="12">
        <f>'Raw - 2025 PL'!K11/1000</f>
        <v>0</v>
      </c>
      <c r="AB12" s="12">
        <f>'Raw - 2025 PL'!L11/1000</f>
        <v>0</v>
      </c>
      <c r="AC12" s="12">
        <f>'Raw - 2025 PL'!M11/1000</f>
        <v>0</v>
      </c>
      <c r="AD12" s="12">
        <f>'Raw - 2026 PL'!B11/1000</f>
        <v>0</v>
      </c>
      <c r="AE12" s="12">
        <f>'Raw - 2026 PL'!C11/1000</f>
        <v>0</v>
      </c>
      <c r="AF12" s="12">
        <f>'Raw - 2026 PL'!D11/1000</f>
        <v>0</v>
      </c>
      <c r="AG12" s="12">
        <f>'Raw - 2026 PL'!E11/1000</f>
        <v>0</v>
      </c>
      <c r="AH12" s="12">
        <f>'Raw - 2026 PL'!F11/1000</f>
        <v>0</v>
      </c>
      <c r="AI12" s="12">
        <f>'Raw - 2026 PL'!G11/1000</f>
        <v>0</v>
      </c>
      <c r="AJ12" s="12">
        <f>'Raw - 2026 PL'!H11/1000</f>
        <v>0</v>
      </c>
    </row>
    <row r="13" spans="1:36" x14ac:dyDescent="0.25">
      <c r="A13" s="13" t="s">
        <v>13</v>
      </c>
      <c r="B13" s="12">
        <f t="shared" si="0"/>
        <v>10.475000000000001</v>
      </c>
      <c r="C13" s="12">
        <f t="shared" si="1"/>
        <v>23.55</v>
      </c>
      <c r="D13" s="12">
        <f t="shared" si="2"/>
        <v>38.701499999999996</v>
      </c>
      <c r="F13" s="12">
        <f>'Raw - 2024 PL'!B8/1000</f>
        <v>6.9450000000000003</v>
      </c>
      <c r="G13" s="12">
        <f>'Raw - 2024 PL'!C8/1000</f>
        <v>3.38</v>
      </c>
      <c r="H13" s="12">
        <f>'Raw - 2024 PL'!D8/1000</f>
        <v>4.4999999999999998E-2</v>
      </c>
      <c r="I13" s="12">
        <f>'Raw - 2024 PL'!E8/1000</f>
        <v>0.06</v>
      </c>
      <c r="J13" s="12">
        <f>'Raw - 2024 PL'!F8/1000</f>
        <v>1.4999999999999999E-2</v>
      </c>
      <c r="K13" s="12">
        <f>'Raw - 2024 PL'!G8/1000</f>
        <v>0</v>
      </c>
      <c r="L13" s="12">
        <f>'Raw - 2024 PL'!H8/1000</f>
        <v>0</v>
      </c>
      <c r="M13" s="12">
        <f>'Raw - 2024 PL'!I8/1000</f>
        <v>1.4999999999999999E-2</v>
      </c>
      <c r="N13" s="12">
        <f>'Raw - 2024 PL'!J8/1000</f>
        <v>0</v>
      </c>
      <c r="O13" s="12">
        <f>'Raw - 2024 PL'!K8/1000</f>
        <v>0</v>
      </c>
      <c r="P13" s="12">
        <f>'Raw - 2024 PL'!L8/1000</f>
        <v>1.4999999999999999E-2</v>
      </c>
      <c r="Q13" s="12">
        <f>'Raw - 2024 PL'!M8/1000</f>
        <v>0</v>
      </c>
      <c r="R13" s="12">
        <f>'Raw - 2025 PL'!B12/1000</f>
        <v>13.484999999999999</v>
      </c>
      <c r="S13" s="12">
        <f>'Raw - 2025 PL'!C12/1000</f>
        <v>9.9149999999999991</v>
      </c>
      <c r="T13" s="12">
        <f>'Raw - 2025 PL'!D12/1000</f>
        <v>0.06</v>
      </c>
      <c r="U13" s="12">
        <f>'Raw - 2025 PL'!E12/1000</f>
        <v>0.03</v>
      </c>
      <c r="V13" s="12">
        <f>'Raw - 2025 PL'!F12/1000</f>
        <v>0</v>
      </c>
      <c r="W13" s="12">
        <f>'Raw - 2025 PL'!G12/1000</f>
        <v>0</v>
      </c>
      <c r="X13" s="12">
        <f>'Raw - 2025 PL'!H12/1000</f>
        <v>0</v>
      </c>
      <c r="Y13" s="12">
        <f>'Raw - 2025 PL'!I12/1000</f>
        <v>0.03</v>
      </c>
      <c r="Z13" s="12">
        <f>'Raw - 2025 PL'!J12/1000</f>
        <v>0.03</v>
      </c>
      <c r="AA13" s="12">
        <f>'Raw - 2025 PL'!K12/1000</f>
        <v>0</v>
      </c>
      <c r="AB13" s="12">
        <f>'Raw - 2025 PL'!L12/1000</f>
        <v>0</v>
      </c>
      <c r="AC13" s="12">
        <f>'Raw - 2025 PL'!M12/1000</f>
        <v>0</v>
      </c>
      <c r="AD13" s="12">
        <f>'Raw - 2026 PL'!B12/1000</f>
        <v>6.1050000000000004</v>
      </c>
      <c r="AE13" s="12">
        <f>'Raw - 2026 PL'!C12/1000</f>
        <v>31.156500000000001</v>
      </c>
      <c r="AF13" s="12">
        <f>'Raw - 2026 PL'!D12/1000</f>
        <v>1.26</v>
      </c>
      <c r="AG13" s="12">
        <f>'Raw - 2026 PL'!E12/1000</f>
        <v>0.18</v>
      </c>
      <c r="AH13" s="12">
        <f>'Raw - 2026 PL'!F12/1000</f>
        <v>0</v>
      </c>
      <c r="AI13" s="12">
        <f>'Raw - 2026 PL'!G12/1000</f>
        <v>0</v>
      </c>
      <c r="AJ13" s="12">
        <f>'Raw - 2026 PL'!H12/1000</f>
        <v>0</v>
      </c>
    </row>
    <row r="14" spans="1:36" x14ac:dyDescent="0.25">
      <c r="A14" s="13" t="s">
        <v>14</v>
      </c>
      <c r="B14" s="12">
        <f t="shared" si="0"/>
        <v>0.37469999999999998</v>
      </c>
      <c r="C14" s="12">
        <f t="shared" si="1"/>
        <v>1.1219399999999999</v>
      </c>
      <c r="D14" s="12">
        <f t="shared" si="2"/>
        <v>0.25783</v>
      </c>
      <c r="F14" s="12">
        <f>'Raw - 2024 PL'!B9/1000</f>
        <v>0.05</v>
      </c>
      <c r="G14" s="12">
        <f>'Raw - 2024 PL'!C9/1000</f>
        <v>0</v>
      </c>
      <c r="H14" s="12">
        <f>'Raw - 2024 PL'!D9/1000</f>
        <v>0</v>
      </c>
      <c r="I14" s="12">
        <f>'Raw - 2024 PL'!E9/1000</f>
        <v>2.5000000000000001E-2</v>
      </c>
      <c r="J14" s="12">
        <f>'Raw - 2024 PL'!F9/1000</f>
        <v>0</v>
      </c>
      <c r="K14" s="12">
        <f>'Raw - 2024 PL'!G9/1000</f>
        <v>0</v>
      </c>
      <c r="L14" s="12">
        <f>'Raw - 2024 PL'!H9/1000</f>
        <v>0.29969999999999997</v>
      </c>
      <c r="M14" s="12">
        <f>'Raw - 2024 PL'!I9/1000</f>
        <v>0</v>
      </c>
      <c r="N14" s="12">
        <f>'Raw - 2024 PL'!J9/1000</f>
        <v>0</v>
      </c>
      <c r="O14" s="12">
        <f>'Raw - 2024 PL'!K9/1000</f>
        <v>0</v>
      </c>
      <c r="P14" s="12">
        <f>'Raw - 2024 PL'!L9/1000</f>
        <v>0</v>
      </c>
      <c r="Q14" s="12">
        <f>'Raw - 2024 PL'!M9/1000</f>
        <v>0</v>
      </c>
      <c r="R14" s="12">
        <f>'Raw - 2025 PL'!B13/1000</f>
        <v>2.5000000000000001E-2</v>
      </c>
      <c r="S14" s="12">
        <f>'Raw - 2025 PL'!C13/1000</f>
        <v>0.39960000000000001</v>
      </c>
      <c r="T14" s="12">
        <f>'Raw - 2025 PL'!D13/1000</f>
        <v>0</v>
      </c>
      <c r="U14" s="12">
        <f>'Raw - 2025 PL'!E13/1000</f>
        <v>0</v>
      </c>
      <c r="V14" s="12">
        <f>'Raw - 2025 PL'!F13/1000</f>
        <v>7.2939999999999991E-2</v>
      </c>
      <c r="W14" s="12">
        <f>'Raw - 2025 PL'!G13/1000</f>
        <v>0</v>
      </c>
      <c r="X14" s="12">
        <f>'Raw - 2025 PL'!H13/1000</f>
        <v>0.28970999999999997</v>
      </c>
      <c r="Y14" s="12">
        <f>'Raw - 2025 PL'!I13/1000</f>
        <v>0.30969000000000002</v>
      </c>
      <c r="Z14" s="12">
        <f>'Raw - 2025 PL'!J13/1000</f>
        <v>0</v>
      </c>
      <c r="AA14" s="12">
        <f>'Raw - 2025 PL'!K13/1000</f>
        <v>0</v>
      </c>
      <c r="AB14" s="12">
        <f>'Raw - 2025 PL'!L13/1000</f>
        <v>0</v>
      </c>
      <c r="AC14" s="12">
        <f>'Raw - 2025 PL'!M13/1000</f>
        <v>2.5000000000000001E-2</v>
      </c>
      <c r="AD14" s="12">
        <f>'Raw - 2026 PL'!B13/1000</f>
        <v>0.15984000000000001</v>
      </c>
      <c r="AE14" s="12">
        <f>'Raw - 2026 PL'!C13/1000</f>
        <v>0</v>
      </c>
      <c r="AF14" s="12">
        <f>'Raw - 2026 PL'!D13/1000</f>
        <v>7.4999999999999997E-2</v>
      </c>
      <c r="AG14" s="12">
        <f>'Raw - 2026 PL'!E13/1000</f>
        <v>0</v>
      </c>
      <c r="AH14" s="12">
        <f>'Raw - 2026 PL'!F13/1000</f>
        <v>0</v>
      </c>
      <c r="AI14" s="12">
        <f>'Raw - 2026 PL'!G13/1000</f>
        <v>2.299E-2</v>
      </c>
      <c r="AJ14" s="12">
        <f>'Raw - 2026 PL'!H13/1000</f>
        <v>0</v>
      </c>
    </row>
    <row r="15" spans="1:36" x14ac:dyDescent="0.25">
      <c r="A15" s="13" t="s">
        <v>15</v>
      </c>
      <c r="B15" s="12">
        <f t="shared" si="0"/>
        <v>23.599999999999998</v>
      </c>
      <c r="C15" s="12">
        <f t="shared" si="1"/>
        <v>0.2</v>
      </c>
      <c r="D15" s="12">
        <f t="shared" si="2"/>
        <v>0</v>
      </c>
      <c r="F15" s="12">
        <f>'Raw - 2024 PL'!B10/1000</f>
        <v>0.5</v>
      </c>
      <c r="G15" s="12">
        <f>'Raw - 2024 PL'!C10/1000</f>
        <v>3</v>
      </c>
      <c r="H15" s="12">
        <f>'Raw - 2024 PL'!D10/1000</f>
        <v>0</v>
      </c>
      <c r="I15" s="12">
        <f>'Raw - 2024 PL'!E10/1000</f>
        <v>0</v>
      </c>
      <c r="J15" s="12">
        <f>'Raw - 2024 PL'!F10/1000</f>
        <v>3</v>
      </c>
      <c r="K15" s="12">
        <f>'Raw - 2024 PL'!G10/1000</f>
        <v>0.56499999999999995</v>
      </c>
      <c r="L15" s="12">
        <f>'Raw - 2024 PL'!H10/1000</f>
        <v>10.5</v>
      </c>
      <c r="M15" s="12">
        <f>'Raw - 2024 PL'!I10/1000</f>
        <v>6.5</v>
      </c>
      <c r="N15" s="12">
        <f>'Raw - 2024 PL'!J10/1000</f>
        <v>0.5</v>
      </c>
      <c r="O15" s="12">
        <f>'Raw - 2024 PL'!K10/1000</f>
        <v>-0.96499999999999997</v>
      </c>
      <c r="P15" s="12">
        <f>'Raw - 2024 PL'!L10/1000</f>
        <v>0</v>
      </c>
      <c r="Q15" s="12">
        <f>'Raw - 2024 PL'!M10/1000</f>
        <v>0</v>
      </c>
      <c r="R15" s="12">
        <f>'Raw - 2025 PL'!B14/1000</f>
        <v>0.1</v>
      </c>
      <c r="S15" s="12">
        <f>'Raw - 2025 PL'!C14/1000</f>
        <v>0</v>
      </c>
      <c r="T15" s="12">
        <f>'Raw - 2025 PL'!D14/1000</f>
        <v>0.1</v>
      </c>
      <c r="U15" s="12">
        <f>'Raw - 2025 PL'!E14/1000</f>
        <v>0</v>
      </c>
      <c r="V15" s="12">
        <f>'Raw - 2025 PL'!F14/1000</f>
        <v>0</v>
      </c>
      <c r="W15" s="12">
        <f>'Raw - 2025 PL'!G14/1000</f>
        <v>0</v>
      </c>
      <c r="X15" s="12">
        <f>'Raw - 2025 PL'!H14/1000</f>
        <v>0</v>
      </c>
      <c r="Y15" s="12">
        <f>'Raw - 2025 PL'!I14/1000</f>
        <v>0</v>
      </c>
      <c r="Z15" s="12">
        <f>'Raw - 2025 PL'!J14/1000</f>
        <v>0</v>
      </c>
      <c r="AA15" s="12">
        <f>'Raw - 2025 PL'!K14/1000</f>
        <v>0</v>
      </c>
      <c r="AB15" s="12">
        <f>'Raw - 2025 PL'!L14/1000</f>
        <v>0</v>
      </c>
      <c r="AC15" s="12">
        <f>'Raw - 2025 PL'!M14/1000</f>
        <v>0</v>
      </c>
      <c r="AD15" s="12"/>
      <c r="AE15" s="12"/>
      <c r="AF15" s="12"/>
      <c r="AG15" s="12"/>
      <c r="AH15" s="12"/>
      <c r="AI15" s="12"/>
      <c r="AJ15" s="12"/>
    </row>
    <row r="16" spans="1:36" x14ac:dyDescent="0.25">
      <c r="A16" s="13" t="s">
        <v>16</v>
      </c>
      <c r="B16" s="12">
        <f t="shared" si="0"/>
        <v>6.2004000000000001</v>
      </c>
      <c r="C16" s="12">
        <f t="shared" si="1"/>
        <v>23.261789999999998</v>
      </c>
      <c r="D16" s="12">
        <f t="shared" si="2"/>
        <v>8.0793799999999987</v>
      </c>
      <c r="F16" s="12">
        <f>'Raw - 2024 PL'!B11/1000</f>
        <v>6.8599999999999994E-2</v>
      </c>
      <c r="G16" s="12">
        <f>'Raw - 2024 PL'!C11/1000</f>
        <v>0.13119999999999998</v>
      </c>
      <c r="H16" s="12">
        <f>'Raw - 2024 PL'!D11/1000</f>
        <v>7.1199999999999999E-2</v>
      </c>
      <c r="I16" s="12">
        <f>'Raw - 2024 PL'!E11/1000</f>
        <v>5.5600000000000004E-2</v>
      </c>
      <c r="J16" s="12">
        <f>'Raw - 2024 PL'!F11/1000</f>
        <v>0.57699999999999996</v>
      </c>
      <c r="K16" s="12">
        <f>'Raw - 2024 PL'!G11/1000</f>
        <v>0.80679999999999996</v>
      </c>
      <c r="L16" s="12">
        <f>'Raw - 2024 PL'!H11/1000</f>
        <v>0.66559999999999997</v>
      </c>
      <c r="M16" s="12">
        <f>'Raw - 2024 PL'!I11/1000</f>
        <v>0.82640000000000002</v>
      </c>
      <c r="N16" s="12">
        <f>'Raw - 2024 PL'!J11/1000</f>
        <v>1.3808</v>
      </c>
      <c r="O16" s="12">
        <f>'Raw - 2024 PL'!K11/1000</f>
        <v>0.86039999999999994</v>
      </c>
      <c r="P16" s="12">
        <f>'Raw - 2024 PL'!L11/1000</f>
        <v>0.51</v>
      </c>
      <c r="Q16" s="12">
        <f>'Raw - 2024 PL'!M11/1000</f>
        <v>0.24680000000000002</v>
      </c>
      <c r="R16" s="12">
        <f>'Raw - 2025 PL'!B15/1000</f>
        <v>7.3583999999999996</v>
      </c>
      <c r="S16" s="12">
        <f>'Raw - 2025 PL'!C15/1000</f>
        <v>1.29335</v>
      </c>
      <c r="T16" s="12">
        <f>'Raw - 2025 PL'!D15/1000</f>
        <v>0.96833000000000002</v>
      </c>
      <c r="U16" s="12">
        <f>'Raw - 2025 PL'!E15/1000</f>
        <v>1.1656</v>
      </c>
      <c r="V16" s="12">
        <f>'Raw - 2025 PL'!F15/1000</f>
        <v>0.96092999999999995</v>
      </c>
      <c r="W16" s="12">
        <f>'Raw - 2025 PL'!G15/1000</f>
        <v>1.7112700000000001</v>
      </c>
      <c r="X16" s="12">
        <f>'Raw - 2025 PL'!H15/1000</f>
        <v>1.0470699999999999</v>
      </c>
      <c r="Y16" s="12">
        <f>'Raw - 2025 PL'!I15/1000</f>
        <v>2.04088</v>
      </c>
      <c r="Z16" s="12">
        <f>'Raw - 2025 PL'!J15/1000</f>
        <v>1.1362099999999999</v>
      </c>
      <c r="AA16" s="12">
        <f>'Raw - 2025 PL'!K15/1000</f>
        <v>2.01424</v>
      </c>
      <c r="AB16" s="12">
        <f>'Raw - 2025 PL'!L15/1000</f>
        <v>1.29758</v>
      </c>
      <c r="AC16" s="12">
        <f>'Raw - 2025 PL'!M15/1000</f>
        <v>2.2679299999999998</v>
      </c>
      <c r="AD16" s="12">
        <f>'Raw - 2026 PL'!B14/1000</f>
        <v>2.6778400000000002</v>
      </c>
      <c r="AE16" s="12">
        <f>'Raw - 2026 PL'!C14/1000</f>
        <v>2.3540100000000002</v>
      </c>
      <c r="AF16" s="12">
        <f>'Raw - 2026 PL'!D14/1000</f>
        <v>0.2276</v>
      </c>
      <c r="AG16" s="12">
        <f>'Raw - 2026 PL'!E14/1000</f>
        <v>1.4783599999999999</v>
      </c>
      <c r="AH16" s="12">
        <f>'Raw - 2026 PL'!F14/1000</f>
        <v>0.66824000000000006</v>
      </c>
      <c r="AI16" s="12">
        <f>'Raw - 2026 PL'!G14/1000</f>
        <v>0.58613000000000004</v>
      </c>
      <c r="AJ16" s="12">
        <f>'Raw - 2026 PL'!H14/1000</f>
        <v>8.72E-2</v>
      </c>
    </row>
    <row r="17" spans="1:36" x14ac:dyDescent="0.25">
      <c r="A17" s="14" t="s">
        <v>17</v>
      </c>
      <c r="B17" s="15">
        <f t="shared" si="0"/>
        <v>40.650099999999995</v>
      </c>
      <c r="C17" s="15">
        <f t="shared" si="1"/>
        <v>48.133729999999986</v>
      </c>
      <c r="D17" s="15">
        <f t="shared" si="2"/>
        <v>47.038710000000009</v>
      </c>
      <c r="F17" s="15">
        <f t="shared" ref="F17:AJ17" si="4">SUM(F12,F13,F14,F15,F16)</f>
        <v>7.5636000000000001</v>
      </c>
      <c r="G17" s="15">
        <f t="shared" si="4"/>
        <v>6.5111999999999997</v>
      </c>
      <c r="H17" s="15">
        <f t="shared" si="4"/>
        <v>0.1162</v>
      </c>
      <c r="I17" s="15">
        <f t="shared" si="4"/>
        <v>0.1406</v>
      </c>
      <c r="J17" s="15">
        <f t="shared" si="4"/>
        <v>3.5920000000000001</v>
      </c>
      <c r="K17" s="15">
        <f t="shared" si="4"/>
        <v>1.3717999999999999</v>
      </c>
      <c r="L17" s="15">
        <f t="shared" si="4"/>
        <v>11.465299999999999</v>
      </c>
      <c r="M17" s="15">
        <f t="shared" si="4"/>
        <v>7.3414000000000001</v>
      </c>
      <c r="N17" s="15">
        <f t="shared" si="4"/>
        <v>1.8808</v>
      </c>
      <c r="O17" s="15">
        <f t="shared" si="4"/>
        <v>-0.10460000000000003</v>
      </c>
      <c r="P17" s="15">
        <f t="shared" si="4"/>
        <v>0.52500000000000002</v>
      </c>
      <c r="Q17" s="15">
        <f t="shared" si="4"/>
        <v>0.24680000000000002</v>
      </c>
      <c r="R17" s="15">
        <f t="shared" si="4"/>
        <v>20.968399999999999</v>
      </c>
      <c r="S17" s="15">
        <f t="shared" si="4"/>
        <v>11.607949999999999</v>
      </c>
      <c r="T17" s="15">
        <f t="shared" si="4"/>
        <v>1.1283300000000001</v>
      </c>
      <c r="U17" s="15">
        <f t="shared" si="4"/>
        <v>1.1956</v>
      </c>
      <c r="V17" s="15">
        <f t="shared" si="4"/>
        <v>1.0338699999999998</v>
      </c>
      <c r="W17" s="15">
        <f t="shared" si="4"/>
        <v>1.7112700000000001</v>
      </c>
      <c r="X17" s="15">
        <f t="shared" si="4"/>
        <v>1.3367799999999999</v>
      </c>
      <c r="Y17" s="15">
        <f t="shared" si="4"/>
        <v>2.3805700000000001</v>
      </c>
      <c r="Z17" s="15">
        <f t="shared" si="4"/>
        <v>1.16621</v>
      </c>
      <c r="AA17" s="15">
        <f t="shared" si="4"/>
        <v>2.01424</v>
      </c>
      <c r="AB17" s="15">
        <f t="shared" si="4"/>
        <v>1.29758</v>
      </c>
      <c r="AC17" s="15">
        <f t="shared" si="4"/>
        <v>2.2929299999999997</v>
      </c>
      <c r="AD17" s="15">
        <f t="shared" si="4"/>
        <v>8.9426800000000011</v>
      </c>
      <c r="AE17" s="15">
        <f t="shared" si="4"/>
        <v>33.510510000000004</v>
      </c>
      <c r="AF17" s="15">
        <f t="shared" si="4"/>
        <v>1.5626</v>
      </c>
      <c r="AG17" s="15">
        <f t="shared" si="4"/>
        <v>1.6583599999999998</v>
      </c>
      <c r="AH17" s="15">
        <f t="shared" si="4"/>
        <v>0.66824000000000006</v>
      </c>
      <c r="AI17" s="15">
        <f t="shared" si="4"/>
        <v>0.60911999999999999</v>
      </c>
      <c r="AJ17" s="15">
        <f t="shared" si="4"/>
        <v>8.72E-2</v>
      </c>
    </row>
    <row r="18" spans="1:36" x14ac:dyDescent="0.25">
      <c r="A18" s="11" t="s">
        <v>18</v>
      </c>
      <c r="B18" s="12">
        <f t="shared" si="0"/>
        <v>0</v>
      </c>
      <c r="C18" s="12">
        <f t="shared" si="1"/>
        <v>0</v>
      </c>
      <c r="D18" s="12">
        <f t="shared" si="2"/>
        <v>0</v>
      </c>
      <c r="F18" s="12">
        <f>'Raw - 2024 PL'!B13/1000</f>
        <v>0</v>
      </c>
      <c r="G18" s="12">
        <f>'Raw - 2024 PL'!C13/1000</f>
        <v>0</v>
      </c>
      <c r="H18" s="12">
        <f>'Raw - 2024 PL'!D13/1000</f>
        <v>0</v>
      </c>
      <c r="I18" s="12">
        <f>'Raw - 2024 PL'!E13/1000</f>
        <v>0</v>
      </c>
      <c r="J18" s="12">
        <f>'Raw - 2024 PL'!F13/1000</f>
        <v>0</v>
      </c>
      <c r="K18" s="12">
        <f>'Raw - 2024 PL'!G13/1000</f>
        <v>0</v>
      </c>
      <c r="L18" s="12">
        <f>'Raw - 2024 PL'!H13/1000</f>
        <v>0</v>
      </c>
      <c r="M18" s="12">
        <f>'Raw - 2024 PL'!I13/1000</f>
        <v>0</v>
      </c>
      <c r="N18" s="12">
        <f>'Raw - 2024 PL'!J13/1000</f>
        <v>0</v>
      </c>
      <c r="O18" s="12">
        <f>'Raw - 2024 PL'!K13/1000</f>
        <v>0</v>
      </c>
      <c r="P18" s="12">
        <f>'Raw - 2024 PL'!L13/1000</f>
        <v>0</v>
      </c>
      <c r="Q18" s="12">
        <f>'Raw - 2024 PL'!M13/1000</f>
        <v>0</v>
      </c>
      <c r="R18" s="12">
        <f>'Raw - 2025 PL'!B17/1000</f>
        <v>0</v>
      </c>
      <c r="S18" s="12">
        <f>'Raw - 2025 PL'!C17/1000</f>
        <v>0</v>
      </c>
      <c r="T18" s="12">
        <f>'Raw - 2025 PL'!D17/1000</f>
        <v>0</v>
      </c>
      <c r="U18" s="12">
        <f>'Raw - 2025 PL'!E17/1000</f>
        <v>0</v>
      </c>
      <c r="V18" s="12">
        <f>'Raw - 2025 PL'!F17/1000</f>
        <v>0</v>
      </c>
      <c r="W18" s="12">
        <f>'Raw - 2025 PL'!G17/1000</f>
        <v>0</v>
      </c>
      <c r="X18" s="12">
        <f>'Raw - 2025 PL'!H17/1000</f>
        <v>0</v>
      </c>
      <c r="Y18" s="12">
        <f>'Raw - 2025 PL'!I17/1000</f>
        <v>0</v>
      </c>
      <c r="Z18" s="12">
        <f>'Raw - 2025 PL'!J17/1000</f>
        <v>0</v>
      </c>
      <c r="AA18" s="12">
        <f>'Raw - 2025 PL'!K17/1000</f>
        <v>0</v>
      </c>
      <c r="AB18" s="12">
        <f>'Raw - 2025 PL'!L17/1000</f>
        <v>0</v>
      </c>
      <c r="AC18" s="12">
        <f>'Raw - 2025 PL'!M17/1000</f>
        <v>0</v>
      </c>
      <c r="AD18" s="12">
        <f>'Raw - 2026 PL'!B16/1000</f>
        <v>0</v>
      </c>
      <c r="AE18" s="12">
        <f>'Raw - 2026 PL'!C16/1000</f>
        <v>0</v>
      </c>
      <c r="AF18" s="12">
        <f>'Raw - 2026 PL'!D16/1000</f>
        <v>0</v>
      </c>
      <c r="AG18" s="12">
        <f>'Raw - 2026 PL'!E16/1000</f>
        <v>0</v>
      </c>
      <c r="AH18" s="12">
        <f>'Raw - 2026 PL'!F16/1000</f>
        <v>0</v>
      </c>
      <c r="AI18" s="12">
        <f>'Raw - 2026 PL'!G16/1000</f>
        <v>0</v>
      </c>
      <c r="AJ18" s="12">
        <f>'Raw - 2026 PL'!H16/1000</f>
        <v>0</v>
      </c>
    </row>
    <row r="19" spans="1:36" x14ac:dyDescent="0.25">
      <c r="A19" s="13" t="s">
        <v>19</v>
      </c>
      <c r="B19" s="12">
        <f t="shared" si="0"/>
        <v>17.624000000000002</v>
      </c>
      <c r="C19" s="12">
        <f t="shared" si="1"/>
        <v>5.0337500000000004</v>
      </c>
      <c r="D19" s="12">
        <f t="shared" si="2"/>
        <v>0</v>
      </c>
      <c r="F19" s="12">
        <f>'Raw - 2024 PL'!B14/1000</f>
        <v>1.2</v>
      </c>
      <c r="G19" s="12">
        <f>'Raw - 2024 PL'!C14/1000</f>
        <v>1.7625</v>
      </c>
      <c r="H19" s="12">
        <f>'Raw - 2024 PL'!D14/1000</f>
        <v>0.66</v>
      </c>
      <c r="I19" s="12">
        <f>'Raw - 2024 PL'!E14/1000</f>
        <v>0.39500000000000002</v>
      </c>
      <c r="J19" s="12">
        <f>'Raw - 2024 PL'!F14/1000</f>
        <v>2.4649999999999999</v>
      </c>
      <c r="K19" s="12">
        <f>'Raw - 2024 PL'!G14/1000</f>
        <v>1.2749999999999999</v>
      </c>
      <c r="L19" s="12">
        <f>'Raw - 2024 PL'!H14/1000</f>
        <v>1.4624999999999999</v>
      </c>
      <c r="M19" s="12">
        <f>'Raw - 2024 PL'!I14/1000</f>
        <v>0</v>
      </c>
      <c r="N19" s="12">
        <f>'Raw - 2024 PL'!J14/1000</f>
        <v>1.1452500000000001</v>
      </c>
      <c r="O19" s="12">
        <f>'Raw - 2024 PL'!K14/1000</f>
        <v>1.3552500000000001</v>
      </c>
      <c r="P19" s="12">
        <f>'Raw - 2024 PL'!L14/1000</f>
        <v>1.9035</v>
      </c>
      <c r="Q19" s="12">
        <f>'Raw - 2024 PL'!M14/1000</f>
        <v>4</v>
      </c>
      <c r="R19" s="12">
        <f>'Raw - 2025 PL'!B18/1000</f>
        <v>1.08375</v>
      </c>
      <c r="S19" s="12">
        <f>'Raw - 2025 PL'!C18/1000</f>
        <v>2</v>
      </c>
      <c r="T19" s="12">
        <f>'Raw - 2025 PL'!D18/1000</f>
        <v>1.355</v>
      </c>
      <c r="U19" s="12">
        <f>'Raw - 2025 PL'!E18/1000</f>
        <v>0</v>
      </c>
      <c r="V19" s="12">
        <f>'Raw - 2025 PL'!F18/1000</f>
        <v>0</v>
      </c>
      <c r="W19" s="12">
        <f>'Raw - 2025 PL'!G18/1000</f>
        <v>0</v>
      </c>
      <c r="X19" s="12">
        <f>'Raw - 2025 PL'!H18/1000</f>
        <v>0</v>
      </c>
      <c r="Y19" s="12">
        <f>'Raw - 2025 PL'!I18/1000</f>
        <v>0</v>
      </c>
      <c r="Z19" s="12">
        <f>'Raw - 2025 PL'!J18/1000</f>
        <v>0</v>
      </c>
      <c r="AA19" s="12">
        <f>'Raw - 2025 PL'!K18/1000</f>
        <v>0.59499999999999997</v>
      </c>
      <c r="AB19" s="12">
        <f>'Raw - 2025 PL'!L18/1000</f>
        <v>0</v>
      </c>
      <c r="AC19" s="12">
        <f>'Raw - 2025 PL'!M18/1000</f>
        <v>0</v>
      </c>
      <c r="AD19" s="12"/>
      <c r="AE19" s="12"/>
      <c r="AF19" s="12"/>
      <c r="AG19" s="12"/>
      <c r="AH19" s="12"/>
      <c r="AI19" s="12"/>
      <c r="AJ19" s="12"/>
    </row>
    <row r="20" spans="1:36" x14ac:dyDescent="0.25">
      <c r="A20" s="13" t="s">
        <v>20</v>
      </c>
      <c r="B20" s="12">
        <f t="shared" si="0"/>
        <v>44.058500000000002</v>
      </c>
      <c r="C20" s="12">
        <f t="shared" si="1"/>
        <v>74.519299999999987</v>
      </c>
      <c r="D20" s="12">
        <f t="shared" si="2"/>
        <v>59.055000000000007</v>
      </c>
      <c r="F20" s="12">
        <f>'Raw - 2024 PL'!B15/1000</f>
        <v>5.4649999999999999</v>
      </c>
      <c r="G20" s="12">
        <f>'Raw - 2024 PL'!C15/1000</f>
        <v>3.9</v>
      </c>
      <c r="H20" s="12">
        <f>'Raw - 2024 PL'!D15/1000</f>
        <v>2.7549999999999999</v>
      </c>
      <c r="I20" s="12">
        <f>'Raw - 2024 PL'!E15/1000</f>
        <v>3.5019999999999998</v>
      </c>
      <c r="J20" s="12">
        <f>'Raw - 2024 PL'!F15/1000</f>
        <v>4.6589999999999998</v>
      </c>
      <c r="K20" s="12">
        <f>'Raw - 2024 PL'!G15/1000</f>
        <v>3.9369999999999998</v>
      </c>
      <c r="L20" s="12">
        <f>'Raw - 2024 PL'!H15/1000</f>
        <v>4.6020000000000003</v>
      </c>
      <c r="M20" s="12">
        <f>'Raw - 2024 PL'!I15/1000</f>
        <v>4.7380000000000004</v>
      </c>
      <c r="N20" s="12">
        <f>'Raw - 2024 PL'!J15/1000</f>
        <v>2.1190000000000002</v>
      </c>
      <c r="O20" s="12">
        <f>'Raw - 2024 PL'!K15/1000</f>
        <v>2.0640000000000001</v>
      </c>
      <c r="P20" s="12">
        <f>'Raw - 2024 PL'!L15/1000</f>
        <v>3.0125000000000002</v>
      </c>
      <c r="Q20" s="12">
        <f>'Raw - 2024 PL'!M15/1000</f>
        <v>3.3050000000000002</v>
      </c>
      <c r="R20" s="12">
        <f>'Raw - 2025 PL'!B19/1000</f>
        <v>3.0790000000000002</v>
      </c>
      <c r="S20" s="12">
        <f>'Raw - 2025 PL'!C19/1000</f>
        <v>0.7</v>
      </c>
      <c r="T20" s="12">
        <f>'Raw - 2025 PL'!D19/1000</f>
        <v>10.438549999999999</v>
      </c>
      <c r="U20" s="12">
        <f>'Raw - 2025 PL'!E19/1000</f>
        <v>4.3</v>
      </c>
      <c r="V20" s="12">
        <f>'Raw - 2025 PL'!F19/1000</f>
        <v>11.14</v>
      </c>
      <c r="W20" s="12">
        <f>'Raw - 2025 PL'!G19/1000</f>
        <v>6.1624999999999996</v>
      </c>
      <c r="X20" s="12">
        <f>'Raw - 2025 PL'!H19/1000</f>
        <v>6.4340000000000002</v>
      </c>
      <c r="Y20" s="12">
        <f>'Raw - 2025 PL'!I19/1000</f>
        <v>3.9649999999999999</v>
      </c>
      <c r="Z20" s="12">
        <f>'Raw - 2025 PL'!J19/1000</f>
        <v>3.92</v>
      </c>
      <c r="AA20" s="12">
        <f>'Raw - 2025 PL'!K19/1000</f>
        <v>9.1364999999999998</v>
      </c>
      <c r="AB20" s="12">
        <f>'Raw - 2025 PL'!L19/1000</f>
        <v>5.2537500000000001</v>
      </c>
      <c r="AC20" s="12">
        <f>'Raw - 2025 PL'!M19/1000</f>
        <v>9.99</v>
      </c>
      <c r="AD20" s="12">
        <f>'Raw - 2026 PL'!B17/1000</f>
        <v>10.2105</v>
      </c>
      <c r="AE20" s="12">
        <f>'Raw - 2026 PL'!C17/1000</f>
        <v>6.6749999999999998</v>
      </c>
      <c r="AF20" s="12">
        <f>'Raw - 2026 PL'!D17/1000</f>
        <v>9.0990000000000002</v>
      </c>
      <c r="AG20" s="12">
        <f>'Raw - 2026 PL'!E17/1000</f>
        <v>8.9544999999999995</v>
      </c>
      <c r="AH20" s="12">
        <f>'Raw - 2026 PL'!F17/1000</f>
        <v>12.606</v>
      </c>
      <c r="AI20" s="12">
        <f>'Raw - 2026 PL'!G17/1000</f>
        <v>5.4115000000000002</v>
      </c>
      <c r="AJ20" s="12">
        <f>'Raw - 2026 PL'!H17/1000</f>
        <v>6.0984999999999996</v>
      </c>
    </row>
    <row r="21" spans="1:36" x14ac:dyDescent="0.25">
      <c r="A21" s="14" t="s">
        <v>21</v>
      </c>
      <c r="B21" s="15">
        <f t="shared" si="0"/>
        <v>61.682499999999997</v>
      </c>
      <c r="C21" s="15">
        <f t="shared" si="1"/>
        <v>79.553049999999985</v>
      </c>
      <c r="D21" s="15">
        <f t="shared" si="2"/>
        <v>59.055000000000007</v>
      </c>
      <c r="F21" s="15">
        <f t="shared" ref="F21:AJ21" si="5">SUM(F18,F19,F20)</f>
        <v>6.665</v>
      </c>
      <c r="G21" s="15">
        <f t="shared" si="5"/>
        <v>5.6624999999999996</v>
      </c>
      <c r="H21" s="15">
        <f t="shared" si="5"/>
        <v>3.415</v>
      </c>
      <c r="I21" s="15">
        <f t="shared" si="5"/>
        <v>3.8969999999999998</v>
      </c>
      <c r="J21" s="15">
        <f t="shared" si="5"/>
        <v>7.1239999999999997</v>
      </c>
      <c r="K21" s="15">
        <f t="shared" si="5"/>
        <v>5.2119999999999997</v>
      </c>
      <c r="L21" s="15">
        <f t="shared" si="5"/>
        <v>6.0645000000000007</v>
      </c>
      <c r="M21" s="15">
        <f t="shared" si="5"/>
        <v>4.7380000000000004</v>
      </c>
      <c r="N21" s="15">
        <f t="shared" si="5"/>
        <v>3.2642500000000005</v>
      </c>
      <c r="O21" s="15">
        <f t="shared" si="5"/>
        <v>3.4192499999999999</v>
      </c>
      <c r="P21" s="15">
        <f t="shared" si="5"/>
        <v>4.9160000000000004</v>
      </c>
      <c r="Q21" s="15">
        <f t="shared" si="5"/>
        <v>7.3049999999999997</v>
      </c>
      <c r="R21" s="15">
        <f t="shared" si="5"/>
        <v>4.16275</v>
      </c>
      <c r="S21" s="15">
        <f t="shared" si="5"/>
        <v>2.7</v>
      </c>
      <c r="T21" s="15">
        <f t="shared" si="5"/>
        <v>11.79355</v>
      </c>
      <c r="U21" s="15">
        <f t="shared" si="5"/>
        <v>4.3</v>
      </c>
      <c r="V21" s="15">
        <f t="shared" si="5"/>
        <v>11.14</v>
      </c>
      <c r="W21" s="15">
        <f t="shared" si="5"/>
        <v>6.1624999999999996</v>
      </c>
      <c r="X21" s="15">
        <f t="shared" si="5"/>
        <v>6.4340000000000002</v>
      </c>
      <c r="Y21" s="15">
        <f t="shared" si="5"/>
        <v>3.9649999999999999</v>
      </c>
      <c r="Z21" s="15">
        <f t="shared" si="5"/>
        <v>3.92</v>
      </c>
      <c r="AA21" s="15">
        <f t="shared" si="5"/>
        <v>9.7315000000000005</v>
      </c>
      <c r="AB21" s="15">
        <f t="shared" si="5"/>
        <v>5.2537500000000001</v>
      </c>
      <c r="AC21" s="15">
        <f t="shared" si="5"/>
        <v>9.99</v>
      </c>
      <c r="AD21" s="15">
        <f t="shared" si="5"/>
        <v>10.2105</v>
      </c>
      <c r="AE21" s="15">
        <f t="shared" si="5"/>
        <v>6.6749999999999998</v>
      </c>
      <c r="AF21" s="15">
        <f t="shared" si="5"/>
        <v>9.0990000000000002</v>
      </c>
      <c r="AG21" s="15">
        <f t="shared" si="5"/>
        <v>8.9544999999999995</v>
      </c>
      <c r="AH21" s="15">
        <f t="shared" si="5"/>
        <v>12.606</v>
      </c>
      <c r="AI21" s="15">
        <f t="shared" si="5"/>
        <v>5.4115000000000002</v>
      </c>
      <c r="AJ21" s="15">
        <f t="shared" si="5"/>
        <v>6.0984999999999996</v>
      </c>
    </row>
    <row r="22" spans="1:36" x14ac:dyDescent="0.25">
      <c r="A22" s="11" t="s">
        <v>22</v>
      </c>
      <c r="B22" s="12">
        <f t="shared" si="0"/>
        <v>224.79100000000003</v>
      </c>
      <c r="C22" s="12">
        <f t="shared" si="1"/>
        <v>149.76999999999998</v>
      </c>
      <c r="D22" s="12">
        <f t="shared" si="2"/>
        <v>73.418499999999995</v>
      </c>
      <c r="F22" s="12">
        <f>'Raw - 2024 PL'!B17/1000</f>
        <v>22.001000000000001</v>
      </c>
      <c r="G22" s="12">
        <f>'Raw - 2024 PL'!C17/1000</f>
        <v>22.036000000000001</v>
      </c>
      <c r="H22" s="12">
        <f>'Raw - 2024 PL'!D17/1000</f>
        <v>22.111000000000001</v>
      </c>
      <c r="I22" s="12">
        <f>'Raw - 2024 PL'!E17/1000</f>
        <v>22.146000000000001</v>
      </c>
      <c r="J22" s="12">
        <f>'Raw - 2024 PL'!F17/1000</f>
        <v>21.966000000000001</v>
      </c>
      <c r="K22" s="12">
        <f>'Raw - 2024 PL'!G17/1000</f>
        <v>17.815999999999999</v>
      </c>
      <c r="L22" s="12">
        <f>'Raw - 2024 PL'!H17/1000</f>
        <v>17.620999999999999</v>
      </c>
      <c r="M22" s="12">
        <f>'Raw - 2024 PL'!I17/1000</f>
        <v>17.536000000000001</v>
      </c>
      <c r="N22" s="12">
        <f>'Raw - 2024 PL'!J17/1000</f>
        <v>16.425999999999998</v>
      </c>
      <c r="O22" s="12">
        <f>'Raw - 2024 PL'!K17/1000</f>
        <v>15.381</v>
      </c>
      <c r="P22" s="12">
        <f>'Raw - 2024 PL'!L17/1000</f>
        <v>14.6755</v>
      </c>
      <c r="Q22" s="12">
        <f>'Raw - 2024 PL'!M17/1000</f>
        <v>15.0755</v>
      </c>
      <c r="R22" s="12">
        <f>'Raw - 2025 PL'!B21/1000</f>
        <v>14.5625</v>
      </c>
      <c r="S22" s="12">
        <f>'Raw - 2025 PL'!C21/1000</f>
        <v>12.8025</v>
      </c>
      <c r="T22" s="12">
        <f>'Raw - 2025 PL'!D21/1000</f>
        <v>12.4025</v>
      </c>
      <c r="U22" s="12">
        <f>'Raw - 2025 PL'!E21/1000</f>
        <v>12.602499999999999</v>
      </c>
      <c r="V22" s="12">
        <f>'Raw - 2025 PL'!F21/1000</f>
        <v>12.7525</v>
      </c>
      <c r="W22" s="12">
        <f>'Raw - 2025 PL'!G21/1000</f>
        <v>12.7925</v>
      </c>
      <c r="X22" s="12">
        <f>'Raw - 2025 PL'!H21/1000</f>
        <v>12.5375</v>
      </c>
      <c r="Y22" s="12">
        <f>'Raw - 2025 PL'!I21/1000</f>
        <v>11.8575</v>
      </c>
      <c r="Z22" s="12">
        <f>'Raw - 2025 PL'!J21/1000</f>
        <v>12.3025</v>
      </c>
      <c r="AA22" s="12">
        <f>'Raw - 2025 PL'!K21/1000</f>
        <v>11.692500000000001</v>
      </c>
      <c r="AB22" s="12">
        <f>'Raw - 2025 PL'!L21/1000</f>
        <v>11.717499999999999</v>
      </c>
      <c r="AC22" s="12">
        <f>'Raw - 2025 PL'!M21/1000</f>
        <v>11.7475</v>
      </c>
      <c r="AD22" s="12">
        <f>'Raw - 2026 PL'!B19/1000</f>
        <v>11.2805</v>
      </c>
      <c r="AE22" s="12">
        <f>'Raw - 2026 PL'!C19/1000</f>
        <v>10.9305</v>
      </c>
      <c r="AF22" s="12">
        <f>'Raw - 2026 PL'!D19/1000</f>
        <v>10.625500000000001</v>
      </c>
      <c r="AG22" s="12">
        <f>'Raw - 2026 PL'!E19/1000</f>
        <v>10.3155</v>
      </c>
      <c r="AH22" s="12">
        <f>'Raw - 2026 PL'!F19/1000</f>
        <v>10.3155</v>
      </c>
      <c r="AI22" s="12">
        <f>'Raw - 2026 PL'!G19/1000</f>
        <v>9.9755000000000003</v>
      </c>
      <c r="AJ22" s="12">
        <f>'Raw - 2026 PL'!H19/1000</f>
        <v>9.9755000000000003</v>
      </c>
    </row>
    <row r="23" spans="1:36" x14ac:dyDescent="0.25">
      <c r="A23" s="11" t="s">
        <v>23</v>
      </c>
      <c r="B23" s="12">
        <f t="shared" si="0"/>
        <v>0</v>
      </c>
      <c r="C23" s="12">
        <f t="shared" si="1"/>
        <v>0</v>
      </c>
      <c r="D23" s="12">
        <f t="shared" si="2"/>
        <v>0</v>
      </c>
      <c r="F23" s="12">
        <f>'Raw - 2024 PL'!B18/1000</f>
        <v>0</v>
      </c>
      <c r="G23" s="12">
        <f>'Raw - 2024 PL'!C18/1000</f>
        <v>0</v>
      </c>
      <c r="H23" s="12">
        <f>'Raw - 2024 PL'!D18/1000</f>
        <v>0</v>
      </c>
      <c r="I23" s="12">
        <f>'Raw - 2024 PL'!E18/1000</f>
        <v>0</v>
      </c>
      <c r="J23" s="12">
        <f>'Raw - 2024 PL'!F18/1000</f>
        <v>0</v>
      </c>
      <c r="K23" s="12">
        <f>'Raw - 2024 PL'!G18/1000</f>
        <v>0</v>
      </c>
      <c r="L23" s="12">
        <f>'Raw - 2024 PL'!H18/1000</f>
        <v>0</v>
      </c>
      <c r="M23" s="12">
        <f>'Raw - 2024 PL'!I18/1000</f>
        <v>0</v>
      </c>
      <c r="N23" s="12">
        <f>'Raw - 2024 PL'!J18/1000</f>
        <v>0</v>
      </c>
      <c r="O23" s="12">
        <f>'Raw - 2024 PL'!K18/1000</f>
        <v>0</v>
      </c>
      <c r="P23" s="12">
        <f>'Raw - 2024 PL'!L18/1000</f>
        <v>0</v>
      </c>
      <c r="Q23" s="12">
        <f>'Raw - 2024 PL'!M18/1000</f>
        <v>0</v>
      </c>
      <c r="R23" s="12">
        <f>'Raw - 2025 PL'!B22/1000</f>
        <v>0</v>
      </c>
      <c r="S23" s="12">
        <f>'Raw - 2025 PL'!C22/1000</f>
        <v>0</v>
      </c>
      <c r="T23" s="12">
        <f>'Raw - 2025 PL'!D22/1000</f>
        <v>0</v>
      </c>
      <c r="U23" s="12">
        <f>'Raw - 2025 PL'!E22/1000</f>
        <v>0</v>
      </c>
      <c r="V23" s="12">
        <f>'Raw - 2025 PL'!F22/1000</f>
        <v>0</v>
      </c>
      <c r="W23" s="12">
        <f>'Raw - 2025 PL'!G22/1000</f>
        <v>0</v>
      </c>
      <c r="X23" s="12">
        <f>'Raw - 2025 PL'!H22/1000</f>
        <v>0</v>
      </c>
      <c r="Y23" s="12">
        <f>'Raw - 2025 PL'!I22/1000</f>
        <v>0</v>
      </c>
      <c r="Z23" s="12">
        <f>'Raw - 2025 PL'!J22/1000</f>
        <v>0</v>
      </c>
      <c r="AA23" s="12">
        <f>'Raw - 2025 PL'!K22/1000</f>
        <v>0</v>
      </c>
      <c r="AB23" s="12">
        <f>'Raw - 2025 PL'!L22/1000</f>
        <v>0</v>
      </c>
      <c r="AC23" s="12">
        <f>'Raw - 2025 PL'!M22/1000</f>
        <v>0</v>
      </c>
      <c r="AD23" s="12">
        <f>'Raw - 2026 PL'!B20/1000</f>
        <v>0</v>
      </c>
      <c r="AE23" s="12">
        <f>'Raw - 2026 PL'!C20/1000</f>
        <v>0</v>
      </c>
      <c r="AF23" s="12">
        <f>'Raw - 2026 PL'!D20/1000</f>
        <v>0</v>
      </c>
      <c r="AG23" s="12">
        <f>'Raw - 2026 PL'!E20/1000</f>
        <v>0</v>
      </c>
      <c r="AH23" s="12">
        <f>'Raw - 2026 PL'!F20/1000</f>
        <v>0</v>
      </c>
      <c r="AI23" s="12">
        <f>'Raw - 2026 PL'!G20/1000</f>
        <v>0</v>
      </c>
      <c r="AJ23" s="12">
        <f>'Raw - 2026 PL'!H20/1000</f>
        <v>0</v>
      </c>
    </row>
    <row r="24" spans="1:36" x14ac:dyDescent="0.25">
      <c r="A24" s="13" t="s">
        <v>24</v>
      </c>
      <c r="B24" s="12">
        <f t="shared" si="0"/>
        <v>13.75</v>
      </c>
      <c r="C24" s="12">
        <f t="shared" si="1"/>
        <v>46.400000000000006</v>
      </c>
      <c r="D24" s="12">
        <f t="shared" si="2"/>
        <v>24.25</v>
      </c>
      <c r="F24" s="12">
        <f>'Raw - 2024 PL'!B19/1000</f>
        <v>0</v>
      </c>
      <c r="G24" s="12">
        <f>'Raw - 2024 PL'!C19/1000</f>
        <v>0</v>
      </c>
      <c r="H24" s="12">
        <f>'Raw - 2024 PL'!D19/1000</f>
        <v>0</v>
      </c>
      <c r="I24" s="12">
        <f>'Raw - 2024 PL'!E19/1000</f>
        <v>0</v>
      </c>
      <c r="J24" s="12">
        <f>'Raw - 2024 PL'!F19/1000</f>
        <v>0</v>
      </c>
      <c r="K24" s="12">
        <f>'Raw - 2024 PL'!G19/1000</f>
        <v>0</v>
      </c>
      <c r="L24" s="12">
        <f>'Raw - 2024 PL'!H19/1000</f>
        <v>1.25</v>
      </c>
      <c r="M24" s="12">
        <f>'Raw - 2024 PL'!I19/1000</f>
        <v>1.25</v>
      </c>
      <c r="N24" s="12">
        <f>'Raw - 2024 PL'!J19/1000</f>
        <v>1.25</v>
      </c>
      <c r="O24" s="12">
        <f>'Raw - 2024 PL'!K19/1000</f>
        <v>1.25</v>
      </c>
      <c r="P24" s="12">
        <f>'Raw - 2024 PL'!L19/1000</f>
        <v>5.75</v>
      </c>
      <c r="Q24" s="12">
        <f>'Raw - 2024 PL'!M19/1000</f>
        <v>3</v>
      </c>
      <c r="R24" s="12">
        <f>'Raw - 2025 PL'!B23/1000</f>
        <v>4.45</v>
      </c>
      <c r="S24" s="12">
        <f>'Raw - 2025 PL'!C23/1000</f>
        <v>3.45</v>
      </c>
      <c r="T24" s="12">
        <f>'Raw - 2025 PL'!D23/1000</f>
        <v>3.45</v>
      </c>
      <c r="U24" s="12">
        <f>'Raw - 2025 PL'!E23/1000</f>
        <v>5.95</v>
      </c>
      <c r="V24" s="12">
        <f>'Raw - 2025 PL'!F23/1000</f>
        <v>5.2</v>
      </c>
      <c r="W24" s="12">
        <f>'Raw - 2025 PL'!G23/1000</f>
        <v>5</v>
      </c>
      <c r="X24" s="12">
        <f>'Raw - 2025 PL'!H23/1000</f>
        <v>4</v>
      </c>
      <c r="Y24" s="12">
        <f>'Raw - 2025 PL'!I23/1000</f>
        <v>2.95</v>
      </c>
      <c r="Z24" s="12">
        <f>'Raw - 2025 PL'!J23/1000</f>
        <v>3.0249999999999999</v>
      </c>
      <c r="AA24" s="12">
        <f>'Raw - 2025 PL'!K23/1000</f>
        <v>3.0249999999999999</v>
      </c>
      <c r="AB24" s="12">
        <f>'Raw - 2025 PL'!L23/1000</f>
        <v>2.95</v>
      </c>
      <c r="AC24" s="12">
        <f>'Raw - 2025 PL'!M23/1000</f>
        <v>2.95</v>
      </c>
      <c r="AD24" s="12">
        <f>'Raw - 2026 PL'!B21/1000</f>
        <v>2.75</v>
      </c>
      <c r="AE24" s="12">
        <f>'Raw - 2026 PL'!C21/1000</f>
        <v>3.5</v>
      </c>
      <c r="AF24" s="12">
        <f>'Raw - 2026 PL'!D21/1000</f>
        <v>2.75</v>
      </c>
      <c r="AG24" s="12">
        <f>'Raw - 2026 PL'!E21/1000</f>
        <v>4.75</v>
      </c>
      <c r="AH24" s="12">
        <f>'Raw - 2026 PL'!F21/1000</f>
        <v>3.5</v>
      </c>
      <c r="AI24" s="12">
        <f>'Raw - 2026 PL'!G21/1000</f>
        <v>3.5</v>
      </c>
      <c r="AJ24" s="12">
        <f>'Raw - 2026 PL'!H21/1000</f>
        <v>3.5</v>
      </c>
    </row>
    <row r="25" spans="1:36" x14ac:dyDescent="0.25">
      <c r="A25" s="13" t="s">
        <v>25</v>
      </c>
      <c r="B25" s="12">
        <f t="shared" si="0"/>
        <v>0.55999999999999994</v>
      </c>
      <c r="C25" s="12">
        <f t="shared" si="1"/>
        <v>55.080500000000008</v>
      </c>
      <c r="D25" s="12">
        <f t="shared" si="2"/>
        <v>91.651139999999998</v>
      </c>
      <c r="F25" s="12">
        <f>'Raw - 2024 PL'!B20/1000</f>
        <v>0</v>
      </c>
      <c r="G25" s="12">
        <f>'Raw - 2024 PL'!C20/1000</f>
        <v>0</v>
      </c>
      <c r="H25" s="12">
        <f>'Raw - 2024 PL'!D20/1000</f>
        <v>0</v>
      </c>
      <c r="I25" s="12">
        <f>'Raw - 2024 PL'!E20/1000</f>
        <v>0</v>
      </c>
      <c r="J25" s="12">
        <f>'Raw - 2024 PL'!F20/1000</f>
        <v>0</v>
      </c>
      <c r="K25" s="12">
        <f>'Raw - 2024 PL'!G20/1000</f>
        <v>0</v>
      </c>
      <c r="L25" s="12">
        <f>'Raw - 2024 PL'!H20/1000</f>
        <v>0</v>
      </c>
      <c r="M25" s="12">
        <f>'Raw - 2024 PL'!I20/1000</f>
        <v>0</v>
      </c>
      <c r="N25" s="12">
        <f>'Raw - 2024 PL'!J20/1000</f>
        <v>0</v>
      </c>
      <c r="O25" s="12">
        <f>'Raw - 2024 PL'!K20/1000</f>
        <v>0</v>
      </c>
      <c r="P25" s="12">
        <f>'Raw - 2024 PL'!L20/1000</f>
        <v>0.08</v>
      </c>
      <c r="Q25" s="12">
        <f>'Raw - 2024 PL'!M20/1000</f>
        <v>0.48</v>
      </c>
      <c r="R25" s="12">
        <f>'Raw - 2025 PL'!B24/1000</f>
        <v>1.1299999999999999</v>
      </c>
      <c r="S25" s="12">
        <f>'Raw - 2025 PL'!C24/1000</f>
        <v>2.14</v>
      </c>
      <c r="T25" s="12">
        <f>'Raw - 2025 PL'!D24/1000</f>
        <v>2.66</v>
      </c>
      <c r="U25" s="12">
        <f>'Raw - 2025 PL'!E24/1000</f>
        <v>3.65</v>
      </c>
      <c r="V25" s="12">
        <f>'Raw - 2025 PL'!F24/1000</f>
        <v>3.6230000000000002</v>
      </c>
      <c r="W25" s="12">
        <f>'Raw - 2025 PL'!G24/1000</f>
        <v>4.9640000000000004</v>
      </c>
      <c r="X25" s="12">
        <f>'Raw - 2025 PL'!H24/1000</f>
        <v>5.0585000000000004</v>
      </c>
      <c r="Y25" s="12">
        <f>'Raw - 2025 PL'!I24/1000</f>
        <v>4.7300000000000004</v>
      </c>
      <c r="Z25" s="12">
        <f>'Raw - 2025 PL'!J24/1000</f>
        <v>4.82</v>
      </c>
      <c r="AA25" s="12">
        <f>'Raw - 2025 PL'!K24/1000</f>
        <v>5.37</v>
      </c>
      <c r="AB25" s="12">
        <f>'Raw - 2025 PL'!L24/1000</f>
        <v>8.0500000000000007</v>
      </c>
      <c r="AC25" s="12">
        <f>'Raw - 2025 PL'!M24/1000</f>
        <v>8.8849999999999998</v>
      </c>
      <c r="AD25" s="12">
        <f>'Raw - 2026 PL'!B22/1000</f>
        <v>10.909520000000001</v>
      </c>
      <c r="AE25" s="12">
        <f>'Raw - 2026 PL'!C22/1000</f>
        <v>10.33497</v>
      </c>
      <c r="AF25" s="12">
        <f>'Raw - 2026 PL'!D22/1000</f>
        <v>11.175000000000001</v>
      </c>
      <c r="AG25" s="12">
        <f>'Raw - 2026 PL'!E22/1000</f>
        <v>11.953110000000001</v>
      </c>
      <c r="AH25" s="12">
        <f>'Raw - 2026 PL'!F22/1000</f>
        <v>15.040709999999999</v>
      </c>
      <c r="AI25" s="12">
        <f>'Raw - 2026 PL'!G22/1000</f>
        <v>16.168680000000002</v>
      </c>
      <c r="AJ25" s="12">
        <f>'Raw - 2026 PL'!H22/1000</f>
        <v>16.06915</v>
      </c>
    </row>
    <row r="26" spans="1:36" x14ac:dyDescent="0.25">
      <c r="A26" s="13" t="s">
        <v>26</v>
      </c>
      <c r="B26" s="12">
        <f t="shared" si="0"/>
        <v>0.06</v>
      </c>
      <c r="C26" s="12">
        <f t="shared" si="1"/>
        <v>36.606499999999997</v>
      </c>
      <c r="D26" s="12">
        <f t="shared" si="2"/>
        <v>45.129999999999995</v>
      </c>
      <c r="F26" s="12">
        <f>'Raw - 2024 PL'!B21/1000</f>
        <v>0</v>
      </c>
      <c r="G26" s="12">
        <f>'Raw - 2024 PL'!C21/1000</f>
        <v>0</v>
      </c>
      <c r="H26" s="12">
        <f>'Raw - 2024 PL'!D21/1000</f>
        <v>0</v>
      </c>
      <c r="I26" s="12">
        <f>'Raw - 2024 PL'!E21/1000</f>
        <v>0</v>
      </c>
      <c r="J26" s="12">
        <f>'Raw - 2024 PL'!F21/1000</f>
        <v>0</v>
      </c>
      <c r="K26" s="12">
        <f>'Raw - 2024 PL'!G21/1000</f>
        <v>0</v>
      </c>
      <c r="L26" s="12">
        <f>'Raw - 2024 PL'!H21/1000</f>
        <v>0</v>
      </c>
      <c r="M26" s="12">
        <f>'Raw - 2024 PL'!I21/1000</f>
        <v>0</v>
      </c>
      <c r="N26" s="12">
        <f>'Raw - 2024 PL'!J21/1000</f>
        <v>0</v>
      </c>
      <c r="O26" s="12">
        <f>'Raw - 2024 PL'!K21/1000</f>
        <v>0</v>
      </c>
      <c r="P26" s="12">
        <f>'Raw - 2024 PL'!L21/1000</f>
        <v>0</v>
      </c>
      <c r="Q26" s="12">
        <f>'Raw - 2024 PL'!M21/1000</f>
        <v>0.06</v>
      </c>
      <c r="R26" s="12">
        <f>'Raw - 2025 PL'!B25/1000</f>
        <v>0.97</v>
      </c>
      <c r="S26" s="12">
        <f>'Raw - 2025 PL'!C25/1000</f>
        <v>1.1000000000000001</v>
      </c>
      <c r="T26" s="12">
        <f>'Raw - 2025 PL'!D25/1000</f>
        <v>1.7350000000000001</v>
      </c>
      <c r="U26" s="12">
        <f>'Raw - 2025 PL'!E25/1000</f>
        <v>2.14</v>
      </c>
      <c r="V26" s="12">
        <f>'Raw - 2025 PL'!F25/1000</f>
        <v>2.363</v>
      </c>
      <c r="W26" s="12">
        <f>'Raw - 2025 PL'!G25/1000</f>
        <v>3.2635000000000001</v>
      </c>
      <c r="X26" s="12">
        <f>'Raw - 2025 PL'!H25/1000</f>
        <v>3.92</v>
      </c>
      <c r="Y26" s="12">
        <f>'Raw - 2025 PL'!I25/1000</f>
        <v>3.9049999999999998</v>
      </c>
      <c r="Z26" s="12">
        <f>'Raw - 2025 PL'!J25/1000</f>
        <v>3.78</v>
      </c>
      <c r="AA26" s="12">
        <f>'Raw - 2025 PL'!K25/1000</f>
        <v>3.7949999999999999</v>
      </c>
      <c r="AB26" s="12">
        <f>'Raw - 2025 PL'!L25/1000</f>
        <v>4.33</v>
      </c>
      <c r="AC26" s="12">
        <f>'Raw - 2025 PL'!M25/1000</f>
        <v>5.3049999999999997</v>
      </c>
      <c r="AD26" s="12">
        <f>'Raw - 2026 PL'!B23/1000</f>
        <v>6.3</v>
      </c>
      <c r="AE26" s="12">
        <f>'Raw - 2026 PL'!C23/1000</f>
        <v>6.39</v>
      </c>
      <c r="AF26" s="12">
        <f>'Raw - 2026 PL'!D23/1000</f>
        <v>6.4249999999999998</v>
      </c>
      <c r="AG26" s="12">
        <f>'Raw - 2026 PL'!E23/1000</f>
        <v>6.08</v>
      </c>
      <c r="AH26" s="12">
        <f>'Raw - 2026 PL'!F23/1000</f>
        <v>6.3250000000000002</v>
      </c>
      <c r="AI26" s="12">
        <f>'Raw - 2026 PL'!G23/1000</f>
        <v>6.6550000000000002</v>
      </c>
      <c r="AJ26" s="12">
        <f>'Raw - 2026 PL'!H23/1000</f>
        <v>6.9550000000000001</v>
      </c>
    </row>
    <row r="27" spans="1:36" x14ac:dyDescent="0.25">
      <c r="A27" s="13" t="s">
        <v>27</v>
      </c>
      <c r="B27" s="12">
        <f t="shared" si="0"/>
        <v>793.47225000000003</v>
      </c>
      <c r="C27" s="12">
        <f t="shared" si="1"/>
        <v>1450.4923499999998</v>
      </c>
      <c r="D27" s="12">
        <f t="shared" si="2"/>
        <v>1261.47685</v>
      </c>
      <c r="F27" s="12">
        <f>'Raw - 2024 PL'!B22/1000</f>
        <v>44.683500000000002</v>
      </c>
      <c r="G27" s="12">
        <f>'Raw - 2024 PL'!C22/1000</f>
        <v>47.045999999999999</v>
      </c>
      <c r="H27" s="12">
        <f>'Raw - 2024 PL'!D22/1000</f>
        <v>52.47</v>
      </c>
      <c r="I27" s="12">
        <f>'Raw - 2024 PL'!E22/1000</f>
        <v>57.169699999999999</v>
      </c>
      <c r="J27" s="12">
        <f>'Raw - 2024 PL'!F22/1000</f>
        <v>57.514150000000001</v>
      </c>
      <c r="K27" s="12">
        <f>'Raw - 2024 PL'!G22/1000</f>
        <v>65.516000000000005</v>
      </c>
      <c r="L27" s="12">
        <f>'Raw - 2024 PL'!H22/1000</f>
        <v>68.28125</v>
      </c>
      <c r="M27" s="12">
        <f>'Raw - 2024 PL'!I22/1000</f>
        <v>73.251350000000002</v>
      </c>
      <c r="N27" s="12">
        <f>'Raw - 2024 PL'!J22/1000</f>
        <v>75.551699999999997</v>
      </c>
      <c r="O27" s="12">
        <f>'Raw - 2024 PL'!K22/1000</f>
        <v>79.113249999999994</v>
      </c>
      <c r="P27" s="12">
        <f>'Raw - 2024 PL'!L22/1000</f>
        <v>83.290800000000004</v>
      </c>
      <c r="Q27" s="12">
        <f>'Raw - 2024 PL'!M22/1000</f>
        <v>89.584550000000007</v>
      </c>
      <c r="R27" s="12">
        <f>'Raw - 2025 PL'!B26/1000</f>
        <v>92.418899999999994</v>
      </c>
      <c r="S27" s="12">
        <f>'Raw - 2025 PL'!C26/1000</f>
        <v>94.00215</v>
      </c>
      <c r="T27" s="12">
        <f>'Raw - 2025 PL'!D26/1000</f>
        <v>101.50605</v>
      </c>
      <c r="U27" s="12">
        <f>'Raw - 2025 PL'!E26/1000</f>
        <v>106.1375</v>
      </c>
      <c r="V27" s="12">
        <f>'Raw - 2025 PL'!F26/1000</f>
        <v>115.93875</v>
      </c>
      <c r="W27" s="12">
        <f>'Raw - 2025 PL'!G26/1000</f>
        <v>119.43125000000001</v>
      </c>
      <c r="X27" s="12">
        <f>'Raw - 2025 PL'!H26/1000</f>
        <v>122.09399999999999</v>
      </c>
      <c r="Y27" s="12">
        <f>'Raw - 2025 PL'!I26/1000</f>
        <v>130.08525</v>
      </c>
      <c r="Z27" s="12">
        <f>'Raw - 2025 PL'!J26/1000</f>
        <v>133.59049999999999</v>
      </c>
      <c r="AA27" s="12">
        <f>'Raw - 2025 PL'!K26/1000</f>
        <v>139.60900000000001</v>
      </c>
      <c r="AB27" s="12">
        <f>'Raw - 2025 PL'!L26/1000</f>
        <v>145.28075000000001</v>
      </c>
      <c r="AC27" s="12">
        <f>'Raw - 2025 PL'!M26/1000</f>
        <v>150.39824999999999</v>
      </c>
      <c r="AD27" s="12">
        <f>'Raw - 2026 PL'!B24/1000</f>
        <v>156.53879999999998</v>
      </c>
      <c r="AE27" s="12">
        <f>'Raw - 2026 PL'!C24/1000</f>
        <v>164.9034</v>
      </c>
      <c r="AF27" s="12">
        <f>'Raw - 2026 PL'!D24/1000</f>
        <v>170.34424999999999</v>
      </c>
      <c r="AG27" s="12">
        <f>'Raw - 2026 PL'!E24/1000</f>
        <v>183.66200000000001</v>
      </c>
      <c r="AH27" s="12">
        <f>'Raw - 2026 PL'!F24/1000</f>
        <v>190.78440000000001</v>
      </c>
      <c r="AI27" s="12">
        <f>'Raw - 2026 PL'!G24/1000</f>
        <v>194.40649999999999</v>
      </c>
      <c r="AJ27" s="12">
        <f>'Raw - 2026 PL'!H24/1000</f>
        <v>200.83750000000001</v>
      </c>
    </row>
    <row r="28" spans="1:36" x14ac:dyDescent="0.25">
      <c r="A28" s="13" t="s">
        <v>28</v>
      </c>
      <c r="B28" s="12">
        <f t="shared" si="0"/>
        <v>0</v>
      </c>
      <c r="C28" s="12">
        <f t="shared" si="1"/>
        <v>9.947000000000001</v>
      </c>
      <c r="D28" s="12">
        <f t="shared" si="2"/>
        <v>45.085999999999991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>
        <f>'Raw - 2025 PL'!B27/1000</f>
        <v>0</v>
      </c>
      <c r="S28" s="12">
        <f>'Raw - 2025 PL'!C27/1000</f>
        <v>0</v>
      </c>
      <c r="T28" s="12">
        <f>'Raw - 2025 PL'!D27/1000</f>
        <v>0</v>
      </c>
      <c r="U28" s="12">
        <f>'Raw - 2025 PL'!E27/1000</f>
        <v>0</v>
      </c>
      <c r="V28" s="12">
        <f>'Raw - 2025 PL'!F27/1000</f>
        <v>0</v>
      </c>
      <c r="W28" s="12">
        <f>'Raw - 2025 PL'!G27/1000</f>
        <v>0</v>
      </c>
      <c r="X28" s="12">
        <f>'Raw - 2025 PL'!H27/1000</f>
        <v>0</v>
      </c>
      <c r="Y28" s="12">
        <f>'Raw - 2025 PL'!I27/1000</f>
        <v>0</v>
      </c>
      <c r="Z28" s="12">
        <f>'Raw - 2025 PL'!J27/1000</f>
        <v>0.52</v>
      </c>
      <c r="AA28" s="12">
        <f>'Raw - 2025 PL'!K27/1000</f>
        <v>2.3570000000000002</v>
      </c>
      <c r="AB28" s="12">
        <f>'Raw - 2025 PL'!L27/1000</f>
        <v>2.8109999999999999</v>
      </c>
      <c r="AC28" s="12">
        <f>'Raw - 2025 PL'!M27/1000</f>
        <v>4.2590000000000003</v>
      </c>
      <c r="AD28" s="12">
        <f>'Raw - 2026 PL'!B25/1000</f>
        <v>5.2539999999999996</v>
      </c>
      <c r="AE28" s="12">
        <f>'Raw - 2026 PL'!C25/1000</f>
        <v>5.6520000000000001</v>
      </c>
      <c r="AF28" s="12">
        <f>'Raw - 2026 PL'!D25/1000</f>
        <v>5.3239999999999998</v>
      </c>
      <c r="AG28" s="12">
        <f>'Raw - 2026 PL'!E25/1000</f>
        <v>6.3209999999999997</v>
      </c>
      <c r="AH28" s="12">
        <f>'Raw - 2026 PL'!F25/1000</f>
        <v>6.9589999999999996</v>
      </c>
      <c r="AI28" s="12">
        <f>'Raw - 2026 PL'!G25/1000</f>
        <v>7.673</v>
      </c>
      <c r="AJ28" s="12">
        <f>'Raw - 2026 PL'!H25/1000</f>
        <v>7.9029999999999996</v>
      </c>
    </row>
    <row r="29" spans="1:36" x14ac:dyDescent="0.25">
      <c r="A29" s="14" t="s">
        <v>29</v>
      </c>
      <c r="B29" s="15">
        <f t="shared" si="0"/>
        <v>807.84225000000004</v>
      </c>
      <c r="C29" s="15">
        <f t="shared" si="1"/>
        <v>1598.5263500000001</v>
      </c>
      <c r="D29" s="15">
        <f t="shared" si="2"/>
        <v>1467.5939900000001</v>
      </c>
      <c r="F29" s="15">
        <f t="shared" ref="F29:AJ29" si="6">SUM(F23,F24,F25,F26,F27,F28)</f>
        <v>44.683500000000002</v>
      </c>
      <c r="G29" s="15">
        <f t="shared" si="6"/>
        <v>47.045999999999999</v>
      </c>
      <c r="H29" s="15">
        <f t="shared" si="6"/>
        <v>52.47</v>
      </c>
      <c r="I29" s="15">
        <f t="shared" si="6"/>
        <v>57.169699999999999</v>
      </c>
      <c r="J29" s="15">
        <f t="shared" si="6"/>
        <v>57.514150000000001</v>
      </c>
      <c r="K29" s="15">
        <f t="shared" si="6"/>
        <v>65.516000000000005</v>
      </c>
      <c r="L29" s="15">
        <f t="shared" si="6"/>
        <v>69.53125</v>
      </c>
      <c r="M29" s="15">
        <f t="shared" si="6"/>
        <v>74.501350000000002</v>
      </c>
      <c r="N29" s="15">
        <f t="shared" si="6"/>
        <v>76.801699999999997</v>
      </c>
      <c r="O29" s="15">
        <f t="shared" si="6"/>
        <v>80.363249999999994</v>
      </c>
      <c r="P29" s="15">
        <f t="shared" si="6"/>
        <v>89.120800000000003</v>
      </c>
      <c r="Q29" s="15">
        <f t="shared" si="6"/>
        <v>93.124550000000013</v>
      </c>
      <c r="R29" s="15">
        <f t="shared" si="6"/>
        <v>98.968899999999991</v>
      </c>
      <c r="S29" s="15">
        <f t="shared" si="6"/>
        <v>100.69215</v>
      </c>
      <c r="T29" s="15">
        <f t="shared" si="6"/>
        <v>109.35105</v>
      </c>
      <c r="U29" s="15">
        <f t="shared" si="6"/>
        <v>117.8775</v>
      </c>
      <c r="V29" s="15">
        <f t="shared" si="6"/>
        <v>127.12475000000001</v>
      </c>
      <c r="W29" s="15">
        <f t="shared" si="6"/>
        <v>132.65875</v>
      </c>
      <c r="X29" s="15">
        <f t="shared" si="6"/>
        <v>135.07249999999999</v>
      </c>
      <c r="Y29" s="15">
        <f t="shared" si="6"/>
        <v>141.67025000000001</v>
      </c>
      <c r="Z29" s="15">
        <f t="shared" si="6"/>
        <v>145.7355</v>
      </c>
      <c r="AA29" s="15">
        <f t="shared" si="6"/>
        <v>154.15600000000001</v>
      </c>
      <c r="AB29" s="15">
        <f t="shared" si="6"/>
        <v>163.42175000000003</v>
      </c>
      <c r="AC29" s="15">
        <f t="shared" si="6"/>
        <v>171.79725000000002</v>
      </c>
      <c r="AD29" s="15">
        <f t="shared" si="6"/>
        <v>181.75231999999997</v>
      </c>
      <c r="AE29" s="15">
        <f t="shared" si="6"/>
        <v>190.78037</v>
      </c>
      <c r="AF29" s="15">
        <f t="shared" si="6"/>
        <v>196.01824999999999</v>
      </c>
      <c r="AG29" s="15">
        <f t="shared" si="6"/>
        <v>212.76611</v>
      </c>
      <c r="AH29" s="15">
        <f t="shared" si="6"/>
        <v>222.60911000000002</v>
      </c>
      <c r="AI29" s="15">
        <f t="shared" si="6"/>
        <v>228.40317999999999</v>
      </c>
      <c r="AJ29" s="15">
        <f t="shared" si="6"/>
        <v>235.26464999999999</v>
      </c>
    </row>
    <row r="30" spans="1:36" x14ac:dyDescent="0.25">
      <c r="A30" s="16" t="s">
        <v>30</v>
      </c>
      <c r="B30" s="15">
        <f t="shared" si="0"/>
        <v>1134.96585</v>
      </c>
      <c r="C30" s="15">
        <f t="shared" si="1"/>
        <v>1879.3831299999999</v>
      </c>
      <c r="D30" s="15">
        <f t="shared" si="2"/>
        <v>1671.0212000000001</v>
      </c>
      <c r="F30" s="15">
        <f t="shared" ref="F30:AJ30" si="7">SUM(F11,F17,F21,F22,F29)</f>
        <v>80.913100000000014</v>
      </c>
      <c r="G30" s="15">
        <f t="shared" si="7"/>
        <v>81.25569999999999</v>
      </c>
      <c r="H30" s="15">
        <f t="shared" si="7"/>
        <v>78.112200000000001</v>
      </c>
      <c r="I30" s="15">
        <f t="shared" si="7"/>
        <v>83.35329999999999</v>
      </c>
      <c r="J30" s="15">
        <f t="shared" si="7"/>
        <v>90.196150000000003</v>
      </c>
      <c r="K30" s="15">
        <f t="shared" si="7"/>
        <v>89.915800000000004</v>
      </c>
      <c r="L30" s="15">
        <f t="shared" si="7"/>
        <v>104.68205</v>
      </c>
      <c r="M30" s="15">
        <f t="shared" si="7"/>
        <v>104.11675</v>
      </c>
      <c r="N30" s="15">
        <f t="shared" si="7"/>
        <v>98.372749999999996</v>
      </c>
      <c r="O30" s="15">
        <f t="shared" si="7"/>
        <v>99.058899999999994</v>
      </c>
      <c r="P30" s="15">
        <f t="shared" si="7"/>
        <v>109.2373</v>
      </c>
      <c r="Q30" s="15">
        <f t="shared" si="7"/>
        <v>115.75185000000002</v>
      </c>
      <c r="R30" s="15">
        <f t="shared" si="7"/>
        <v>138.66254999999998</v>
      </c>
      <c r="S30" s="15">
        <f t="shared" si="7"/>
        <v>127.8026</v>
      </c>
      <c r="T30" s="15">
        <f t="shared" si="7"/>
        <v>134.67543000000001</v>
      </c>
      <c r="U30" s="15">
        <f t="shared" si="7"/>
        <v>135.97559999999999</v>
      </c>
      <c r="V30" s="15">
        <f t="shared" si="7"/>
        <v>152.05112</v>
      </c>
      <c r="W30" s="15">
        <f t="shared" si="7"/>
        <v>153.32501999999999</v>
      </c>
      <c r="X30" s="15">
        <f t="shared" si="7"/>
        <v>155.38077999999999</v>
      </c>
      <c r="Y30" s="15">
        <f t="shared" si="7"/>
        <v>159.87332000000001</v>
      </c>
      <c r="Z30" s="15">
        <f t="shared" si="7"/>
        <v>163.99921000000001</v>
      </c>
      <c r="AA30" s="15">
        <f t="shared" si="7"/>
        <v>179.24423999999999</v>
      </c>
      <c r="AB30" s="15">
        <f t="shared" si="7"/>
        <v>181.69058000000004</v>
      </c>
      <c r="AC30" s="15">
        <f t="shared" si="7"/>
        <v>196.70268000000002</v>
      </c>
      <c r="AD30" s="15">
        <f t="shared" si="7"/>
        <v>212.18599999999998</v>
      </c>
      <c r="AE30" s="15">
        <f t="shared" si="7"/>
        <v>241.89638000000002</v>
      </c>
      <c r="AF30" s="15">
        <f t="shared" si="7"/>
        <v>231.49535</v>
      </c>
      <c r="AG30" s="15">
        <f t="shared" si="7"/>
        <v>240.31947</v>
      </c>
      <c r="AH30" s="15">
        <f t="shared" si="7"/>
        <v>246.19885000000002</v>
      </c>
      <c r="AI30" s="15">
        <f t="shared" si="7"/>
        <v>247.49930000000001</v>
      </c>
      <c r="AJ30" s="15">
        <f t="shared" si="7"/>
        <v>251.42585</v>
      </c>
    </row>
    <row r="31" spans="1:36" x14ac:dyDescent="0.25">
      <c r="A31" s="9" t="s">
        <v>31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11" t="s">
        <v>32</v>
      </c>
      <c r="B32" s="12">
        <f t="shared" ref="B32:B49" si="8">SUM(F32:Q32)</f>
        <v>1.3459299999999998</v>
      </c>
      <c r="C32" s="12">
        <f t="shared" ref="C32:C49" si="9">SUM(R32:AC32)</f>
        <v>2.4943299999999997</v>
      </c>
      <c r="D32" s="12">
        <f t="shared" ref="D32:D49" si="10">SUM(AD32:AJ32)</f>
        <v>3.2046100000000002</v>
      </c>
      <c r="F32" s="12">
        <f>'Raw - 2024 PL'!B26/1000</f>
        <v>1.2993399999999999</v>
      </c>
      <c r="G32" s="12">
        <f>'Raw - 2024 PL'!C26/1000</f>
        <v>3.0120000000000001E-2</v>
      </c>
      <c r="H32" s="12">
        <f>'Raw - 2024 PL'!D26/1000</f>
        <v>1.0630000000000001E-2</v>
      </c>
      <c r="I32" s="12">
        <f>'Raw - 2024 PL'!E26/1000</f>
        <v>3.2499999999999999E-3</v>
      </c>
      <c r="J32" s="12">
        <f>'Raw - 2024 PL'!F26/1000</f>
        <v>6.4999999999999997E-4</v>
      </c>
      <c r="K32" s="12">
        <f>'Raw - 2024 PL'!G26/1000</f>
        <v>0</v>
      </c>
      <c r="L32" s="12">
        <f>'Raw - 2024 PL'!H26/1000</f>
        <v>0</v>
      </c>
      <c r="M32" s="12">
        <f>'Raw - 2024 PL'!I26/1000</f>
        <v>1.9399999999999999E-3</v>
      </c>
      <c r="N32" s="12">
        <f>'Raw - 2024 PL'!J26/1000</f>
        <v>0</v>
      </c>
      <c r="O32" s="12">
        <f>'Raw - 2024 PL'!K26/1000</f>
        <v>0</v>
      </c>
      <c r="P32" s="12">
        <f>'Raw - 2024 PL'!L26/1000</f>
        <v>0</v>
      </c>
      <c r="Q32" s="12">
        <f>'Raw - 2024 PL'!M26/1000</f>
        <v>0</v>
      </c>
      <c r="R32" s="12">
        <f>'Raw - 2025 PL'!B31/1000</f>
        <v>1.22655</v>
      </c>
      <c r="S32" s="12">
        <f>'Raw - 2025 PL'!C31/1000</f>
        <v>0</v>
      </c>
      <c r="T32" s="12">
        <f>'Raw - 2025 PL'!D31/1000</f>
        <v>1.1543299999999999</v>
      </c>
      <c r="U32" s="12">
        <f>'Raw - 2025 PL'!E31/1000</f>
        <v>0</v>
      </c>
      <c r="V32" s="12">
        <f>'Raw - 2025 PL'!F31/1000</f>
        <v>0</v>
      </c>
      <c r="W32" s="12">
        <f>'Raw - 2025 PL'!G31/1000</f>
        <v>0</v>
      </c>
      <c r="X32" s="12">
        <f>'Raw - 2025 PL'!H31/1000</f>
        <v>0</v>
      </c>
      <c r="Y32" s="12">
        <f>'Raw - 2025 PL'!I31/1000</f>
        <v>0</v>
      </c>
      <c r="Z32" s="12">
        <f>'Raw - 2025 PL'!J31/1000</f>
        <v>0</v>
      </c>
      <c r="AA32" s="12">
        <f>'Raw - 2025 PL'!K31/1000</f>
        <v>0.11345000000000001</v>
      </c>
      <c r="AB32" s="12">
        <f>'Raw - 2025 PL'!L31/1000</f>
        <v>0</v>
      </c>
      <c r="AC32" s="12">
        <f>'Raw - 2025 PL'!M31/1000</f>
        <v>0</v>
      </c>
      <c r="AD32" s="12">
        <f>'Raw - 2026 PL'!B29/1000</f>
        <v>2.4948000000000001</v>
      </c>
      <c r="AE32" s="12">
        <f>'Raw - 2026 PL'!C29/1000</f>
        <v>0</v>
      </c>
      <c r="AF32" s="12">
        <f>'Raw - 2026 PL'!D29/1000</f>
        <v>0</v>
      </c>
      <c r="AG32" s="12">
        <f>'Raw - 2026 PL'!E29/1000</f>
        <v>0.70980999999999994</v>
      </c>
      <c r="AH32" s="12">
        <f>'Raw - 2026 PL'!F29/1000</f>
        <v>0</v>
      </c>
      <c r="AI32" s="12">
        <f>'Raw - 2026 PL'!G29/1000</f>
        <v>0</v>
      </c>
      <c r="AJ32" s="12">
        <f>'Raw - 2026 PL'!H29/1000</f>
        <v>0</v>
      </c>
    </row>
    <row r="33" spans="1:36" x14ac:dyDescent="0.25">
      <c r="A33" s="11" t="s">
        <v>33</v>
      </c>
      <c r="B33" s="12">
        <f t="shared" si="8"/>
        <v>0</v>
      </c>
      <c r="C33" s="12">
        <f t="shared" si="9"/>
        <v>1.5874999999999999</v>
      </c>
      <c r="D33" s="12">
        <f t="shared" si="10"/>
        <v>30.515499999999999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>
        <f>'Raw - 2025 PL'!B32/1000</f>
        <v>0</v>
      </c>
      <c r="S33" s="12">
        <f>'Raw - 2025 PL'!C32/1000</f>
        <v>0</v>
      </c>
      <c r="T33" s="12">
        <f>'Raw - 2025 PL'!D32/1000</f>
        <v>0</v>
      </c>
      <c r="U33" s="12">
        <f>'Raw - 2025 PL'!E32/1000</f>
        <v>0</v>
      </c>
      <c r="V33" s="12">
        <f>'Raw - 2025 PL'!F32/1000</f>
        <v>0</v>
      </c>
      <c r="W33" s="12">
        <f>'Raw - 2025 PL'!G32/1000</f>
        <v>0</v>
      </c>
      <c r="X33" s="12">
        <f>'Raw - 2025 PL'!H32/1000</f>
        <v>0</v>
      </c>
      <c r="Y33" s="12">
        <f>'Raw - 2025 PL'!I32/1000</f>
        <v>0</v>
      </c>
      <c r="Z33" s="12">
        <f>'Raw - 2025 PL'!J32/1000</f>
        <v>0</v>
      </c>
      <c r="AA33" s="12">
        <f>'Raw - 2025 PL'!K32/1000</f>
        <v>1.1499999999999999</v>
      </c>
      <c r="AB33" s="12">
        <f>'Raw - 2025 PL'!L32/1000</f>
        <v>0.4375</v>
      </c>
      <c r="AC33" s="12">
        <f>'Raw - 2025 PL'!M32/1000</f>
        <v>0</v>
      </c>
      <c r="AD33" s="12">
        <f>'Raw - 2026 PL'!B30/1000</f>
        <v>0</v>
      </c>
      <c r="AE33" s="12">
        <f>'Raw - 2026 PL'!C30/1000</f>
        <v>3</v>
      </c>
      <c r="AF33" s="12">
        <f>'Raw - 2026 PL'!D30/1000</f>
        <v>16.265499999999999</v>
      </c>
      <c r="AG33" s="12">
        <f>'Raw - 2026 PL'!E30/1000</f>
        <v>2.8</v>
      </c>
      <c r="AH33" s="12">
        <f>'Raw - 2026 PL'!F30/1000</f>
        <v>0</v>
      </c>
      <c r="AI33" s="12">
        <f>'Raw - 2026 PL'!G30/1000</f>
        <v>8.4499999999999993</v>
      </c>
      <c r="AJ33" s="12">
        <f>'Raw - 2026 PL'!H30/1000</f>
        <v>0</v>
      </c>
    </row>
    <row r="34" spans="1:36" x14ac:dyDescent="0.25">
      <c r="A34" s="11" t="s">
        <v>34</v>
      </c>
      <c r="B34" s="12">
        <f t="shared" si="8"/>
        <v>0</v>
      </c>
      <c r="C34" s="12">
        <f t="shared" si="9"/>
        <v>0</v>
      </c>
      <c r="D34" s="12">
        <f t="shared" si="10"/>
        <v>0</v>
      </c>
      <c r="F34" s="12">
        <f>'Raw - 2024 PL'!B27/1000</f>
        <v>0</v>
      </c>
      <c r="G34" s="12">
        <f>'Raw - 2024 PL'!C27/1000</f>
        <v>0</v>
      </c>
      <c r="H34" s="12">
        <f>'Raw - 2024 PL'!D27/1000</f>
        <v>0</v>
      </c>
      <c r="I34" s="12">
        <f>'Raw - 2024 PL'!E27/1000</f>
        <v>0</v>
      </c>
      <c r="J34" s="12">
        <f>'Raw - 2024 PL'!F27/1000</f>
        <v>0</v>
      </c>
      <c r="K34" s="12">
        <f>'Raw - 2024 PL'!G27/1000</f>
        <v>0</v>
      </c>
      <c r="L34" s="12">
        <f>'Raw - 2024 PL'!H27/1000</f>
        <v>0</v>
      </c>
      <c r="M34" s="12">
        <f>'Raw - 2024 PL'!I27/1000</f>
        <v>0</v>
      </c>
      <c r="N34" s="12">
        <f>'Raw - 2024 PL'!J27/1000</f>
        <v>0</v>
      </c>
      <c r="O34" s="12">
        <f>'Raw - 2024 PL'!K27/1000</f>
        <v>0</v>
      </c>
      <c r="P34" s="12">
        <f>'Raw - 2024 PL'!L27/1000</f>
        <v>0</v>
      </c>
      <c r="Q34" s="12">
        <f>'Raw - 2024 PL'!M27/1000</f>
        <v>0</v>
      </c>
      <c r="R34" s="12">
        <f>'Raw - 2025 PL'!B33/1000</f>
        <v>0</v>
      </c>
      <c r="S34" s="12">
        <f>'Raw - 2025 PL'!C33/1000</f>
        <v>0</v>
      </c>
      <c r="T34" s="12">
        <f>'Raw - 2025 PL'!D33/1000</f>
        <v>0</v>
      </c>
      <c r="U34" s="12">
        <f>'Raw - 2025 PL'!E33/1000</f>
        <v>0</v>
      </c>
      <c r="V34" s="12">
        <f>'Raw - 2025 PL'!F33/1000</f>
        <v>0</v>
      </c>
      <c r="W34" s="12">
        <f>'Raw - 2025 PL'!G33/1000</f>
        <v>0</v>
      </c>
      <c r="X34" s="12">
        <f>'Raw - 2025 PL'!H33/1000</f>
        <v>0</v>
      </c>
      <c r="Y34" s="12">
        <f>'Raw - 2025 PL'!I33/1000</f>
        <v>0</v>
      </c>
      <c r="Z34" s="12">
        <f>'Raw - 2025 PL'!J33/1000</f>
        <v>0</v>
      </c>
      <c r="AA34" s="12">
        <f>'Raw - 2025 PL'!K33/1000</f>
        <v>0</v>
      </c>
      <c r="AB34" s="12">
        <f>'Raw - 2025 PL'!L33/1000</f>
        <v>0</v>
      </c>
      <c r="AC34" s="12">
        <f>'Raw - 2025 PL'!M33/1000</f>
        <v>0</v>
      </c>
      <c r="AD34" s="12">
        <f>'Raw - 2026 PL'!B31/1000</f>
        <v>0</v>
      </c>
      <c r="AE34" s="12">
        <f>'Raw - 2026 PL'!C31/1000</f>
        <v>0</v>
      </c>
      <c r="AF34" s="12">
        <f>'Raw - 2026 PL'!D31/1000</f>
        <v>0</v>
      </c>
      <c r="AG34" s="12">
        <f>'Raw - 2026 PL'!E31/1000</f>
        <v>0</v>
      </c>
      <c r="AH34" s="12">
        <f>'Raw - 2026 PL'!F31/1000</f>
        <v>0</v>
      </c>
      <c r="AI34" s="12">
        <f>'Raw - 2026 PL'!G31/1000</f>
        <v>0</v>
      </c>
      <c r="AJ34" s="12">
        <f>'Raw - 2026 PL'!H31/1000</f>
        <v>0</v>
      </c>
    </row>
    <row r="35" spans="1:36" x14ac:dyDescent="0.25">
      <c r="A35" s="13" t="s">
        <v>35</v>
      </c>
      <c r="B35" s="12">
        <f t="shared" si="8"/>
        <v>183.36902999999998</v>
      </c>
      <c r="C35" s="12">
        <f t="shared" si="9"/>
        <v>316.18462</v>
      </c>
      <c r="D35" s="12">
        <f t="shared" si="10"/>
        <v>267.75739999999996</v>
      </c>
      <c r="F35" s="12">
        <f>'Raw - 2024 PL'!B28/1000</f>
        <v>9.5549999999999997</v>
      </c>
      <c r="G35" s="12">
        <f>'Raw - 2024 PL'!C28/1000</f>
        <v>9.5549999999999997</v>
      </c>
      <c r="H35" s="12">
        <f>'Raw - 2024 PL'!D28/1000</f>
        <v>10.397200000000002</v>
      </c>
      <c r="I35" s="12">
        <f>'Raw - 2024 PL'!E28/1000</f>
        <v>14.99967</v>
      </c>
      <c r="J35" s="12">
        <f>'Raw - 2024 PL'!F28/1000</f>
        <v>18.009799999999998</v>
      </c>
      <c r="K35" s="12">
        <f>'Raw - 2024 PL'!G28/1000</f>
        <v>13.89127</v>
      </c>
      <c r="L35" s="12">
        <f>'Raw - 2024 PL'!H28/1000</f>
        <v>14.04824</v>
      </c>
      <c r="M35" s="12">
        <f>'Raw - 2024 PL'!I28/1000</f>
        <v>13.39091</v>
      </c>
      <c r="N35" s="12">
        <f>'Raw - 2024 PL'!J28/1000</f>
        <v>14.669309999999999</v>
      </c>
      <c r="O35" s="12">
        <f>'Raw - 2024 PL'!K28/1000</f>
        <v>15.882530000000001</v>
      </c>
      <c r="P35" s="12">
        <f>'Raw - 2024 PL'!L28/1000</f>
        <v>27.188669999999998</v>
      </c>
      <c r="Q35" s="12">
        <f>'Raw - 2024 PL'!M28/1000</f>
        <v>21.78143</v>
      </c>
      <c r="R35" s="12">
        <f>'Raw - 2025 PL'!B34/1000</f>
        <v>19.402330000000003</v>
      </c>
      <c r="S35" s="12">
        <f>'Raw - 2025 PL'!C34/1000</f>
        <v>16.40053</v>
      </c>
      <c r="T35" s="12">
        <f>'Raw - 2025 PL'!D34/1000</f>
        <v>19.569830000000003</v>
      </c>
      <c r="U35" s="12">
        <f>'Raw - 2025 PL'!E34/1000</f>
        <v>22.154199999999999</v>
      </c>
      <c r="V35" s="12">
        <f>'Raw - 2025 PL'!F34/1000</f>
        <v>20.791540000000001</v>
      </c>
      <c r="W35" s="12">
        <f>'Raw - 2025 PL'!G34/1000</f>
        <v>21.040790000000001</v>
      </c>
      <c r="X35" s="12">
        <f>'Raw - 2025 PL'!H34/1000</f>
        <v>27.908909999999999</v>
      </c>
      <c r="Y35" s="12">
        <f>'Raw - 2025 PL'!I34/1000</f>
        <v>29.547000000000001</v>
      </c>
      <c r="Z35" s="12">
        <f>'Raw - 2025 PL'!J34/1000</f>
        <v>33.447269999999996</v>
      </c>
      <c r="AA35" s="12">
        <f>'Raw - 2025 PL'!K34/1000</f>
        <v>37.794319999999999</v>
      </c>
      <c r="AB35" s="12">
        <f>'Raw - 2025 PL'!L34/1000</f>
        <v>34.063319999999997</v>
      </c>
      <c r="AC35" s="12">
        <f>'Raw - 2025 PL'!M34/1000</f>
        <v>34.064579999999999</v>
      </c>
      <c r="AD35" s="12">
        <f>'Raw - 2026 PL'!B32/1000</f>
        <v>38.378879999999995</v>
      </c>
      <c r="AE35" s="12">
        <f>'Raw - 2026 PL'!C32/1000</f>
        <v>29.701520000000002</v>
      </c>
      <c r="AF35" s="12">
        <f>'Raw - 2026 PL'!D32/1000</f>
        <v>37.422499999999999</v>
      </c>
      <c r="AG35" s="12">
        <f>'Raw - 2026 PL'!E32/1000</f>
        <v>38.772300000000001</v>
      </c>
      <c r="AH35" s="12">
        <f>'Raw - 2026 PL'!F32/1000</f>
        <v>38.29477</v>
      </c>
      <c r="AI35" s="12">
        <f>'Raw - 2026 PL'!G32/1000</f>
        <v>40.699829999999999</v>
      </c>
      <c r="AJ35" s="12">
        <f>'Raw - 2026 PL'!H32/1000</f>
        <v>44.4876</v>
      </c>
    </row>
    <row r="36" spans="1:36" x14ac:dyDescent="0.25">
      <c r="A36" s="13" t="s">
        <v>36</v>
      </c>
      <c r="B36" s="12">
        <f t="shared" si="8"/>
        <v>286.16129000000001</v>
      </c>
      <c r="C36" s="12">
        <f t="shared" si="9"/>
        <v>352.95844</v>
      </c>
      <c r="D36" s="12">
        <f t="shared" si="10"/>
        <v>202.05309</v>
      </c>
      <c r="F36" s="12">
        <f>'Raw - 2024 PL'!B29/1000</f>
        <v>9.961079999999999</v>
      </c>
      <c r="G36" s="12">
        <f>'Raw - 2024 PL'!C29/1000</f>
        <v>13.85026</v>
      </c>
      <c r="H36" s="12">
        <f>'Raw - 2024 PL'!D29/1000</f>
        <v>12.79054</v>
      </c>
      <c r="I36" s="12">
        <f>'Raw - 2024 PL'!E29/1000</f>
        <v>14.57145</v>
      </c>
      <c r="J36" s="12">
        <f>'Raw - 2024 PL'!F29/1000</f>
        <v>28.285630000000001</v>
      </c>
      <c r="K36" s="12">
        <f>'Raw - 2024 PL'!G29/1000</f>
        <v>26.542540000000002</v>
      </c>
      <c r="L36" s="12">
        <f>'Raw - 2024 PL'!H29/1000</f>
        <v>28.31119</v>
      </c>
      <c r="M36" s="12">
        <f>'Raw - 2024 PL'!I29/1000</f>
        <v>28.187459999999998</v>
      </c>
      <c r="N36" s="12">
        <f>'Raw - 2024 PL'!J29/1000</f>
        <v>30.868009999999998</v>
      </c>
      <c r="O36" s="12">
        <f>'Raw - 2024 PL'!K29/1000</f>
        <v>31.621279999999999</v>
      </c>
      <c r="P36" s="12">
        <f>'Raw - 2024 PL'!L29/1000</f>
        <v>28.449740000000002</v>
      </c>
      <c r="Q36" s="12">
        <f>'Raw - 2024 PL'!M29/1000</f>
        <v>32.722110000000001</v>
      </c>
      <c r="R36" s="12">
        <f>'Raw - 2025 PL'!B35/1000</f>
        <v>32.780760000000001</v>
      </c>
      <c r="S36" s="12">
        <f>'Raw - 2025 PL'!C35/1000</f>
        <v>23.361840000000001</v>
      </c>
      <c r="T36" s="12">
        <f>'Raw - 2025 PL'!D35/1000</f>
        <v>26.914270000000002</v>
      </c>
      <c r="U36" s="12">
        <f>'Raw - 2025 PL'!E35/1000</f>
        <v>28.81298</v>
      </c>
      <c r="V36" s="12">
        <f>'Raw - 2025 PL'!F35/1000</f>
        <v>30.658750000000001</v>
      </c>
      <c r="W36" s="12">
        <f>'Raw - 2025 PL'!G35/1000</f>
        <v>29.271599999999999</v>
      </c>
      <c r="X36" s="12">
        <f>'Raw - 2025 PL'!H35/1000</f>
        <v>29.47963</v>
      </c>
      <c r="Y36" s="12">
        <f>'Raw - 2025 PL'!I35/1000</f>
        <v>26.830639999999999</v>
      </c>
      <c r="Z36" s="12">
        <f>'Raw - 2025 PL'!J35/1000</f>
        <v>29.785550000000001</v>
      </c>
      <c r="AA36" s="12">
        <f>'Raw - 2025 PL'!K35/1000</f>
        <v>32.899370000000005</v>
      </c>
      <c r="AB36" s="12">
        <f>'Raw - 2025 PL'!L35/1000</f>
        <v>29.49334</v>
      </c>
      <c r="AC36" s="12">
        <f>'Raw - 2025 PL'!M35/1000</f>
        <v>32.669710000000002</v>
      </c>
      <c r="AD36" s="12">
        <f>'Raw - 2026 PL'!B33/1000</f>
        <v>26.114900000000002</v>
      </c>
      <c r="AE36" s="12">
        <f>'Raw - 2026 PL'!C33/1000</f>
        <v>21.9055</v>
      </c>
      <c r="AF36" s="12">
        <f>'Raw - 2026 PL'!D33/1000</f>
        <v>30.75844</v>
      </c>
      <c r="AG36" s="12">
        <f>'Raw - 2026 PL'!E33/1000</f>
        <v>31.59038</v>
      </c>
      <c r="AH36" s="12">
        <f>'Raw - 2026 PL'!F33/1000</f>
        <v>27.699919999999999</v>
      </c>
      <c r="AI36" s="12">
        <f>'Raw - 2026 PL'!G33/1000</f>
        <v>31.24024</v>
      </c>
      <c r="AJ36" s="12">
        <f>'Raw - 2026 PL'!H33/1000</f>
        <v>32.74371</v>
      </c>
    </row>
    <row r="37" spans="1:36" x14ac:dyDescent="0.25">
      <c r="A37" s="13" t="s">
        <v>37</v>
      </c>
      <c r="B37" s="12">
        <f t="shared" si="8"/>
        <v>1.1133499999999998</v>
      </c>
      <c r="C37" s="12">
        <f t="shared" si="9"/>
        <v>29.564150000000001</v>
      </c>
      <c r="D37" s="12">
        <f t="shared" si="10"/>
        <v>42.085049999999995</v>
      </c>
      <c r="F37" s="12">
        <f>'Raw - 2024 PL'!B30/1000</f>
        <v>0</v>
      </c>
      <c r="G37" s="12">
        <f>'Raw - 2024 PL'!C30/1000</f>
        <v>0</v>
      </c>
      <c r="H37" s="12">
        <f>'Raw - 2024 PL'!D30/1000</f>
        <v>0</v>
      </c>
      <c r="I37" s="12">
        <f>'Raw - 2024 PL'!E30/1000</f>
        <v>0</v>
      </c>
      <c r="J37" s="12">
        <f>'Raw - 2024 PL'!F30/1000</f>
        <v>0</v>
      </c>
      <c r="K37" s="12">
        <f>'Raw - 2024 PL'!G30/1000</f>
        <v>0</v>
      </c>
      <c r="L37" s="12">
        <f>'Raw - 2024 PL'!H30/1000</f>
        <v>0</v>
      </c>
      <c r="M37" s="12">
        <f>'Raw - 2024 PL'!I30/1000</f>
        <v>0</v>
      </c>
      <c r="N37" s="12">
        <f>'Raw - 2024 PL'!J30/1000</f>
        <v>0</v>
      </c>
      <c r="O37" s="12">
        <f>'Raw - 2024 PL'!K30/1000</f>
        <v>0</v>
      </c>
      <c r="P37" s="12">
        <f>'Raw - 2024 PL'!L30/1000</f>
        <v>0</v>
      </c>
      <c r="Q37" s="12">
        <f>'Raw - 2024 PL'!M30/1000</f>
        <v>1.1133499999999998</v>
      </c>
      <c r="R37" s="12">
        <f>'Raw - 2025 PL'!B36/1000</f>
        <v>2.1791700000000001</v>
      </c>
      <c r="S37" s="12">
        <f>'Raw - 2025 PL'!C36/1000</f>
        <v>1.82504</v>
      </c>
      <c r="T37" s="12">
        <f>'Raw - 2025 PL'!D36/1000</f>
        <v>1.9785299999999999</v>
      </c>
      <c r="U37" s="12">
        <f>'Raw - 2025 PL'!E36/1000</f>
        <v>2.0621300000000002</v>
      </c>
      <c r="V37" s="12">
        <f>'Raw - 2025 PL'!F36/1000</f>
        <v>2.0621300000000002</v>
      </c>
      <c r="W37" s="12">
        <f>'Raw - 2025 PL'!G36/1000</f>
        <v>1.9896800000000001</v>
      </c>
      <c r="X37" s="12">
        <f>'Raw - 2025 PL'!H36/1000</f>
        <v>2.1791700000000001</v>
      </c>
      <c r="Y37" s="12">
        <f>'Raw - 2025 PL'!I36/1000</f>
        <v>2.1229299999999998</v>
      </c>
      <c r="Z37" s="12">
        <f>'Raw - 2025 PL'!J36/1000</f>
        <v>3.1041999999999996</v>
      </c>
      <c r="AA37" s="12">
        <f>'Raw - 2025 PL'!K36/1000</f>
        <v>3.2713700000000001</v>
      </c>
      <c r="AB37" s="12">
        <f>'Raw - 2025 PL'!L36/1000</f>
        <v>3.6394699999999998</v>
      </c>
      <c r="AC37" s="12">
        <f>'Raw - 2025 PL'!M36/1000</f>
        <v>3.1503299999999999</v>
      </c>
      <c r="AD37" s="12">
        <f>'Raw - 2026 PL'!B34/1000</f>
        <v>1.69116</v>
      </c>
      <c r="AE37" s="12">
        <f>'Raw - 2026 PL'!C34/1000</f>
        <v>5.5491899999999994</v>
      </c>
      <c r="AF37" s="12">
        <f>'Raw - 2026 PL'!D34/1000</f>
        <v>7.1998999999999995</v>
      </c>
      <c r="AG37" s="12">
        <f>'Raw - 2026 PL'!E34/1000</f>
        <v>8.1927000000000003</v>
      </c>
      <c r="AH37" s="12">
        <f>'Raw - 2026 PL'!F34/1000</f>
        <v>8.2833500000000004</v>
      </c>
      <c r="AI37" s="12">
        <f>'Raw - 2026 PL'!G34/1000</f>
        <v>5.4926499999999994</v>
      </c>
      <c r="AJ37" s="12">
        <f>'Raw - 2026 PL'!H34/1000</f>
        <v>5.6760999999999999</v>
      </c>
    </row>
    <row r="38" spans="1:36" x14ac:dyDescent="0.25">
      <c r="A38" s="13" t="s">
        <v>38</v>
      </c>
      <c r="B38" s="12">
        <f t="shared" si="8"/>
        <v>122.81254999999999</v>
      </c>
      <c r="C38" s="12">
        <f t="shared" si="9"/>
        <v>152.16972000000001</v>
      </c>
      <c r="D38" s="12">
        <f t="shared" si="10"/>
        <v>111.27999</v>
      </c>
      <c r="F38" s="12">
        <f>'Raw - 2024 PL'!B31/1000</f>
        <v>9.1372800000000005</v>
      </c>
      <c r="G38" s="12">
        <f>'Raw - 2024 PL'!C31/1000</f>
        <v>8.9629599999999989</v>
      </c>
      <c r="H38" s="12">
        <f>'Raw - 2024 PL'!D31/1000</f>
        <v>10.19584</v>
      </c>
      <c r="I38" s="12">
        <f>'Raw - 2024 PL'!E31/1000</f>
        <v>15.04429</v>
      </c>
      <c r="J38" s="12">
        <f>'Raw - 2024 PL'!F31/1000</f>
        <v>16.637439999999998</v>
      </c>
      <c r="K38" s="12">
        <f>'Raw - 2024 PL'!G31/1000</f>
        <v>7.4949899999999996</v>
      </c>
      <c r="L38" s="12">
        <f>'Raw - 2024 PL'!H31/1000</f>
        <v>7.9820200000000003</v>
      </c>
      <c r="M38" s="12">
        <f>'Raw - 2024 PL'!I31/1000</f>
        <v>5.9027399999999997</v>
      </c>
      <c r="N38" s="12">
        <f>'Raw - 2024 PL'!J31/1000</f>
        <v>7.7676300000000005</v>
      </c>
      <c r="O38" s="12">
        <f>'Raw - 2024 PL'!K31/1000</f>
        <v>8.2141699999999993</v>
      </c>
      <c r="P38" s="12">
        <f>'Raw - 2024 PL'!L31/1000</f>
        <v>12.622719999999999</v>
      </c>
      <c r="Q38" s="12">
        <f>'Raw - 2024 PL'!M31/1000</f>
        <v>12.85047</v>
      </c>
      <c r="R38" s="12">
        <f>'Raw - 2025 PL'!B37/1000</f>
        <v>10.345559999999999</v>
      </c>
      <c r="S38" s="12">
        <f>'Raw - 2025 PL'!C37/1000</f>
        <v>8.0879799999999999</v>
      </c>
      <c r="T38" s="12">
        <f>'Raw - 2025 PL'!D37/1000</f>
        <v>9.7528700000000015</v>
      </c>
      <c r="U38" s="12">
        <f>'Raw - 2025 PL'!E37/1000</f>
        <v>10.28</v>
      </c>
      <c r="V38" s="12">
        <f>'Raw - 2025 PL'!F37/1000</f>
        <v>11.13632</v>
      </c>
      <c r="W38" s="12">
        <f>'Raw - 2025 PL'!G37/1000</f>
        <v>10.874319999999999</v>
      </c>
      <c r="X38" s="12">
        <f>'Raw - 2025 PL'!H37/1000</f>
        <v>13.472569999999999</v>
      </c>
      <c r="Y38" s="12">
        <f>'Raw - 2025 PL'!I37/1000</f>
        <v>12.70407</v>
      </c>
      <c r="Z38" s="12">
        <f>'Raw - 2025 PL'!J37/1000</f>
        <v>14.698840000000001</v>
      </c>
      <c r="AA38" s="12">
        <f>'Raw - 2025 PL'!K37/1000</f>
        <v>15.543059999999999</v>
      </c>
      <c r="AB38" s="12">
        <f>'Raw - 2025 PL'!L37/1000</f>
        <v>14.34361</v>
      </c>
      <c r="AC38" s="12">
        <f>'Raw - 2025 PL'!M37/1000</f>
        <v>20.930520000000001</v>
      </c>
      <c r="AD38" s="12">
        <f>'Raw - 2026 PL'!B35/1000</f>
        <v>16.553939999999997</v>
      </c>
      <c r="AE38" s="12">
        <f>'Raw - 2026 PL'!C35/1000</f>
        <v>11.52661</v>
      </c>
      <c r="AF38" s="12">
        <f>'Raw - 2026 PL'!D35/1000</f>
        <v>14.938829999999999</v>
      </c>
      <c r="AG38" s="12">
        <f>'Raw - 2026 PL'!E35/1000</f>
        <v>15.58352</v>
      </c>
      <c r="AH38" s="12">
        <f>'Raw - 2026 PL'!F35/1000</f>
        <v>19.603400000000001</v>
      </c>
      <c r="AI38" s="12">
        <f>'Raw - 2026 PL'!G35/1000</f>
        <v>16.644569999999998</v>
      </c>
      <c r="AJ38" s="12">
        <f>'Raw - 2026 PL'!H35/1000</f>
        <v>16.429119999999998</v>
      </c>
    </row>
    <row r="39" spans="1:36" x14ac:dyDescent="0.25">
      <c r="A39" s="13" t="s">
        <v>39</v>
      </c>
      <c r="B39" s="12">
        <f t="shared" si="8"/>
        <v>0</v>
      </c>
      <c r="C39" s="12">
        <f t="shared" si="9"/>
        <v>0</v>
      </c>
      <c r="D39" s="12">
        <f t="shared" si="10"/>
        <v>7.9949999999999992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>
        <f>'Raw - 2026 PL'!B36/1000</f>
        <v>0</v>
      </c>
      <c r="AE39" s="12">
        <f>'Raw - 2026 PL'!C36/1000</f>
        <v>0</v>
      </c>
      <c r="AF39" s="12">
        <f>'Raw - 2026 PL'!D36/1000</f>
        <v>0</v>
      </c>
      <c r="AG39" s="12">
        <f>'Raw - 2026 PL'!E36/1000</f>
        <v>0</v>
      </c>
      <c r="AH39" s="12">
        <f>'Raw - 2026 PL'!F36/1000</f>
        <v>2.5170599999999999</v>
      </c>
      <c r="AI39" s="12">
        <f>'Raw - 2026 PL'!G36/1000</f>
        <v>2.7211699999999999</v>
      </c>
      <c r="AJ39" s="12">
        <f>'Raw - 2026 PL'!H36/1000</f>
        <v>2.7567699999999999</v>
      </c>
    </row>
    <row r="40" spans="1:36" x14ac:dyDescent="0.25">
      <c r="A40" s="14" t="s">
        <v>40</v>
      </c>
      <c r="B40" s="15">
        <f t="shared" si="8"/>
        <v>593.45621999999992</v>
      </c>
      <c r="C40" s="15">
        <f t="shared" si="9"/>
        <v>850.87693000000002</v>
      </c>
      <c r="D40" s="15">
        <f t="shared" si="10"/>
        <v>631.17052999999999</v>
      </c>
      <c r="F40" s="15">
        <f t="shared" ref="F40:AJ40" si="11">SUM(F34,F35,F36,F37,F38,F39)</f>
        <v>28.653359999999999</v>
      </c>
      <c r="G40" s="15">
        <f t="shared" si="11"/>
        <v>32.368219999999994</v>
      </c>
      <c r="H40" s="15">
        <f t="shared" si="11"/>
        <v>33.383580000000002</v>
      </c>
      <c r="I40" s="15">
        <f t="shared" si="11"/>
        <v>44.615409999999997</v>
      </c>
      <c r="J40" s="15">
        <f t="shared" si="11"/>
        <v>62.932869999999994</v>
      </c>
      <c r="K40" s="15">
        <f t="shared" si="11"/>
        <v>47.928800000000003</v>
      </c>
      <c r="L40" s="15">
        <f t="shared" si="11"/>
        <v>50.341450000000002</v>
      </c>
      <c r="M40" s="15">
        <f t="shared" si="11"/>
        <v>47.481110000000001</v>
      </c>
      <c r="N40" s="15">
        <f t="shared" si="11"/>
        <v>53.304949999999991</v>
      </c>
      <c r="O40" s="15">
        <f t="shared" si="11"/>
        <v>55.717979999999997</v>
      </c>
      <c r="P40" s="15">
        <f t="shared" si="11"/>
        <v>68.261129999999994</v>
      </c>
      <c r="Q40" s="15">
        <f t="shared" si="11"/>
        <v>68.467359999999999</v>
      </c>
      <c r="R40" s="15">
        <f t="shared" si="11"/>
        <v>64.707819999999998</v>
      </c>
      <c r="S40" s="15">
        <f t="shared" si="11"/>
        <v>49.675390000000007</v>
      </c>
      <c r="T40" s="15">
        <f t="shared" si="11"/>
        <v>58.215500000000006</v>
      </c>
      <c r="U40" s="15">
        <f t="shared" si="11"/>
        <v>63.309310000000004</v>
      </c>
      <c r="V40" s="15">
        <f t="shared" si="11"/>
        <v>64.648740000000004</v>
      </c>
      <c r="W40" s="15">
        <f t="shared" si="11"/>
        <v>63.176389999999998</v>
      </c>
      <c r="X40" s="15">
        <f t="shared" si="11"/>
        <v>73.040279999999996</v>
      </c>
      <c r="Y40" s="15">
        <f t="shared" si="11"/>
        <v>71.204639999999998</v>
      </c>
      <c r="Z40" s="15">
        <f t="shared" si="11"/>
        <v>81.03586</v>
      </c>
      <c r="AA40" s="15">
        <f t="shared" si="11"/>
        <v>89.508120000000005</v>
      </c>
      <c r="AB40" s="15">
        <f t="shared" si="11"/>
        <v>81.539739999999995</v>
      </c>
      <c r="AC40" s="15">
        <f t="shared" si="11"/>
        <v>90.81514</v>
      </c>
      <c r="AD40" s="15">
        <f t="shared" si="11"/>
        <v>82.738879999999995</v>
      </c>
      <c r="AE40" s="15">
        <f t="shared" si="11"/>
        <v>68.682820000000007</v>
      </c>
      <c r="AF40" s="15">
        <f t="shared" si="11"/>
        <v>90.319669999999988</v>
      </c>
      <c r="AG40" s="15">
        <f t="shared" si="11"/>
        <v>94.138900000000007</v>
      </c>
      <c r="AH40" s="15">
        <f t="shared" si="11"/>
        <v>96.398499999999999</v>
      </c>
      <c r="AI40" s="15">
        <f t="shared" si="11"/>
        <v>96.798459999999992</v>
      </c>
      <c r="AJ40" s="15">
        <f t="shared" si="11"/>
        <v>102.09330000000001</v>
      </c>
    </row>
    <row r="41" spans="1:36" x14ac:dyDescent="0.25">
      <c r="A41" s="11" t="s">
        <v>41</v>
      </c>
      <c r="B41" s="12">
        <f t="shared" si="8"/>
        <v>0</v>
      </c>
      <c r="C41" s="12">
        <f t="shared" si="9"/>
        <v>1.7559100000000001</v>
      </c>
      <c r="D41" s="12">
        <f t="shared" si="10"/>
        <v>1.5394899999999998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>
        <f>'Raw - 2025 PL'!B39/1000</f>
        <v>0.1</v>
      </c>
      <c r="S41" s="12">
        <f>'Raw - 2025 PL'!C39/1000</f>
        <v>0</v>
      </c>
      <c r="T41" s="12">
        <f>'Raw - 2025 PL'!D39/1000</f>
        <v>0</v>
      </c>
      <c r="U41" s="12">
        <f>'Raw - 2025 PL'!E39/1000</f>
        <v>0.14980000000000002</v>
      </c>
      <c r="V41" s="12">
        <f>'Raw - 2025 PL'!F39/1000</f>
        <v>5.9749999999999998E-2</v>
      </c>
      <c r="W41" s="12">
        <f>'Raw - 2025 PL'!G39/1000</f>
        <v>6.9699999999999998E-2</v>
      </c>
      <c r="X41" s="12">
        <f>'Raw - 2025 PL'!H39/1000</f>
        <v>0.15969999999999998</v>
      </c>
      <c r="Y41" s="12">
        <f>'Raw - 2025 PL'!I39/1000</f>
        <v>0.31085000000000002</v>
      </c>
      <c r="Z41" s="12">
        <f>'Raw - 2025 PL'!J39/1000</f>
        <v>0.46750999999999998</v>
      </c>
      <c r="AA41" s="12">
        <f>'Raw - 2025 PL'!K39/1000</f>
        <v>0.51751000000000003</v>
      </c>
      <c r="AB41" s="12">
        <f>'Raw - 2025 PL'!L39/1000</f>
        <v>-0.18840999999999999</v>
      </c>
      <c r="AC41" s="12">
        <f>'Raw - 2025 PL'!M39/1000</f>
        <v>0.1095</v>
      </c>
      <c r="AD41" s="12">
        <f>'Raw - 2026 PL'!B38/1000</f>
        <v>0.22939999999999999</v>
      </c>
      <c r="AE41" s="12">
        <f>'Raw - 2026 PL'!C38/1000</f>
        <v>0.11940000000000001</v>
      </c>
      <c r="AF41" s="12">
        <f>'Raw - 2026 PL'!D38/1000</f>
        <v>0.17934999999999998</v>
      </c>
      <c r="AG41" s="12">
        <f>'Raw - 2026 PL'!E38/1000</f>
        <v>6.9900000000000004E-2</v>
      </c>
      <c r="AH41" s="12">
        <f>'Raw - 2026 PL'!F38/1000</f>
        <v>6.9900000000000004E-2</v>
      </c>
      <c r="AI41" s="12">
        <f>'Raw - 2026 PL'!G38/1000</f>
        <v>0.16397999999999999</v>
      </c>
      <c r="AJ41" s="12">
        <f>'Raw - 2026 PL'!H38/1000</f>
        <v>0.70755999999999997</v>
      </c>
    </row>
    <row r="42" spans="1:36" x14ac:dyDescent="0.25">
      <c r="A42" s="11" t="s">
        <v>42</v>
      </c>
      <c r="B42" s="12">
        <f t="shared" si="8"/>
        <v>8.670989999999998</v>
      </c>
      <c r="C42" s="12">
        <f t="shared" si="9"/>
        <v>13.35153</v>
      </c>
      <c r="D42" s="12">
        <f t="shared" si="10"/>
        <v>9.02684</v>
      </c>
      <c r="F42" s="12">
        <f>'Raw - 2024 PL'!B33/1000</f>
        <v>0.6179</v>
      </c>
      <c r="G42" s="12">
        <f>'Raw - 2024 PL'!C33/1000</f>
        <v>0.83739999999999992</v>
      </c>
      <c r="H42" s="12">
        <f>'Raw - 2024 PL'!D33/1000</f>
        <v>0.62936000000000003</v>
      </c>
      <c r="I42" s="12">
        <f>'Raw - 2024 PL'!E33/1000</f>
        <v>0.68245</v>
      </c>
      <c r="J42" s="12">
        <f>'Raw - 2024 PL'!F33/1000</f>
        <v>0.72150999999999998</v>
      </c>
      <c r="K42" s="12">
        <f>'Raw - 2024 PL'!G33/1000</f>
        <v>0.78747</v>
      </c>
      <c r="L42" s="12">
        <f>'Raw - 2024 PL'!H33/1000</f>
        <v>0.65561999999999998</v>
      </c>
      <c r="M42" s="12">
        <f>'Raw - 2024 PL'!I33/1000</f>
        <v>0.79491000000000001</v>
      </c>
      <c r="N42" s="12">
        <f>'Raw - 2024 PL'!J33/1000</f>
        <v>0.69062999999999997</v>
      </c>
      <c r="O42" s="12">
        <f>'Raw - 2024 PL'!K33/1000</f>
        <v>0.71760999999999997</v>
      </c>
      <c r="P42" s="12">
        <f>'Raw - 2024 PL'!L33/1000</f>
        <v>0.73794999999999999</v>
      </c>
      <c r="Q42" s="12">
        <f>'Raw - 2024 PL'!M33/1000</f>
        <v>0.79818</v>
      </c>
      <c r="R42" s="12">
        <f>'Raw - 2025 PL'!B40/1000</f>
        <v>0.83546000000000009</v>
      </c>
      <c r="S42" s="12">
        <f>'Raw - 2025 PL'!C40/1000</f>
        <v>1.0539400000000001</v>
      </c>
      <c r="T42" s="12">
        <f>'Raw - 2025 PL'!D40/1000</f>
        <v>0.87069000000000007</v>
      </c>
      <c r="U42" s="12">
        <f>'Raw - 2025 PL'!E40/1000</f>
        <v>0.90554999999999997</v>
      </c>
      <c r="V42" s="12">
        <f>'Raw - 2025 PL'!F40/1000</f>
        <v>0.9115700000000001</v>
      </c>
      <c r="W42" s="12">
        <f>'Raw - 2025 PL'!G40/1000</f>
        <v>1.0024900000000001</v>
      </c>
      <c r="X42" s="12">
        <f>'Raw - 2025 PL'!H40/1000</f>
        <v>1.22475</v>
      </c>
      <c r="Y42" s="12">
        <f>'Raw - 2025 PL'!I40/1000</f>
        <v>1.1043800000000001</v>
      </c>
      <c r="Z42" s="12">
        <f>'Raw - 2025 PL'!J40/1000</f>
        <v>1.2972300000000001</v>
      </c>
      <c r="AA42" s="12">
        <f>'Raw - 2025 PL'!K40/1000</f>
        <v>1.2173900000000002</v>
      </c>
      <c r="AB42" s="12">
        <f>'Raw - 2025 PL'!L40/1000</f>
        <v>1.62294</v>
      </c>
      <c r="AC42" s="12">
        <f>'Raw - 2025 PL'!M40/1000</f>
        <v>1.3051400000000002</v>
      </c>
      <c r="AD42" s="12">
        <f>'Raw - 2026 PL'!B39/1000</f>
        <v>1.2297400000000001</v>
      </c>
      <c r="AE42" s="12">
        <f>'Raw - 2026 PL'!C39/1000</f>
        <v>1.73847</v>
      </c>
      <c r="AF42" s="12">
        <f>'Raw - 2026 PL'!D39/1000</f>
        <v>1.35348</v>
      </c>
      <c r="AG42" s="12">
        <f>'Raw - 2026 PL'!E39/1000</f>
        <v>1.2339899999999999</v>
      </c>
      <c r="AH42" s="12">
        <f>'Raw - 2026 PL'!F39/1000</f>
        <v>1.1713699999999998</v>
      </c>
      <c r="AI42" s="12">
        <f>'Raw - 2026 PL'!G39/1000</f>
        <v>1.1539200000000001</v>
      </c>
      <c r="AJ42" s="12">
        <f>'Raw - 2026 PL'!H39/1000</f>
        <v>1.1458699999999999</v>
      </c>
    </row>
    <row r="43" spans="1:36" x14ac:dyDescent="0.25">
      <c r="A43" s="11" t="s">
        <v>43</v>
      </c>
      <c r="B43" s="12">
        <f t="shared" si="8"/>
        <v>24.819999999999997</v>
      </c>
      <c r="C43" s="12">
        <f t="shared" si="9"/>
        <v>27.153739999999999</v>
      </c>
      <c r="D43" s="12">
        <f t="shared" si="10"/>
        <v>20.62969</v>
      </c>
      <c r="F43" s="12">
        <f>'Raw - 2024 PL'!B34/1000</f>
        <v>2.21</v>
      </c>
      <c r="G43" s="12">
        <f>'Raw - 2024 PL'!C34/1000</f>
        <v>2.7349999999999999</v>
      </c>
      <c r="H43" s="12">
        <f>'Raw - 2024 PL'!D34/1000</f>
        <v>2.7149999999999999</v>
      </c>
      <c r="I43" s="12">
        <f>'Raw - 2024 PL'!E34/1000</f>
        <v>2.7349999999999999</v>
      </c>
      <c r="J43" s="12">
        <f>'Raw - 2024 PL'!F34/1000</f>
        <v>0.78</v>
      </c>
      <c r="K43" s="12">
        <f>'Raw - 2024 PL'!G34/1000</f>
        <v>3.2450000000000001</v>
      </c>
      <c r="L43" s="12">
        <f>'Raw - 2024 PL'!H34/1000</f>
        <v>1.28</v>
      </c>
      <c r="M43" s="12">
        <f>'Raw - 2024 PL'!I34/1000</f>
        <v>1.3</v>
      </c>
      <c r="N43" s="12">
        <f>'Raw - 2024 PL'!J34/1000</f>
        <v>1.81</v>
      </c>
      <c r="O43" s="12">
        <f>'Raw - 2024 PL'!K34/1000</f>
        <v>1.82</v>
      </c>
      <c r="P43" s="12">
        <f>'Raw - 2024 PL'!L34/1000</f>
        <v>1.835</v>
      </c>
      <c r="Q43" s="12">
        <f>'Raw - 2024 PL'!M34/1000</f>
        <v>2.355</v>
      </c>
      <c r="R43" s="12">
        <f>'Raw - 2025 PL'!B41/1000</f>
        <v>1.4702500000000001</v>
      </c>
      <c r="S43" s="12">
        <f>'Raw - 2025 PL'!C41/1000</f>
        <v>1.665</v>
      </c>
      <c r="T43" s="12">
        <f>'Raw - 2025 PL'!D41/1000</f>
        <v>2.6277499999999998</v>
      </c>
      <c r="U43" s="12">
        <f>'Raw - 2025 PL'!E41/1000</f>
        <v>1.24875</v>
      </c>
      <c r="V43" s="12">
        <f>'Raw - 2025 PL'!F41/1000</f>
        <v>2.1539999999999999</v>
      </c>
      <c r="W43" s="12">
        <f>'Raw - 2025 PL'!G41/1000</f>
        <v>4.1539999999999999</v>
      </c>
      <c r="X43" s="12">
        <f>'Raw - 2025 PL'!H41/1000</f>
        <v>3.7697500000000002</v>
      </c>
      <c r="Y43" s="12">
        <f>'Raw - 2025 PL'!I41/1000</f>
        <v>1.696</v>
      </c>
      <c r="Z43" s="12">
        <f>'Raw - 2025 PL'!J41/1000</f>
        <v>2.2275</v>
      </c>
      <c r="AA43" s="12">
        <f>'Raw - 2025 PL'!K41/1000</f>
        <v>1.6645000000000001</v>
      </c>
      <c r="AB43" s="12">
        <f>'Raw - 2025 PL'!L41/1000</f>
        <v>1.71879</v>
      </c>
      <c r="AC43" s="12">
        <f>'Raw - 2025 PL'!M41/1000</f>
        <v>2.75745</v>
      </c>
      <c r="AD43" s="12">
        <f>'Raw - 2026 PL'!B40/1000</f>
        <v>1.8688</v>
      </c>
      <c r="AE43" s="12">
        <f>'Raw - 2026 PL'!C40/1000</f>
        <v>4.4399100000000002</v>
      </c>
      <c r="AF43" s="12">
        <f>'Raw - 2026 PL'!D40/1000</f>
        <v>2.3936100000000002</v>
      </c>
      <c r="AG43" s="12">
        <f>'Raw - 2026 PL'!E40/1000</f>
        <v>3.6578600000000003</v>
      </c>
      <c r="AH43" s="12">
        <f>'Raw - 2026 PL'!F40/1000</f>
        <v>2.9337900000000001</v>
      </c>
      <c r="AI43" s="12">
        <f>'Raw - 2026 PL'!G40/1000</f>
        <v>1.5662</v>
      </c>
      <c r="AJ43" s="12">
        <f>'Raw - 2026 PL'!H40/1000</f>
        <v>3.76952</v>
      </c>
    </row>
    <row r="44" spans="1:36" x14ac:dyDescent="0.25">
      <c r="A44" s="11" t="s">
        <v>44</v>
      </c>
      <c r="B44" s="12">
        <f t="shared" si="8"/>
        <v>0</v>
      </c>
      <c r="C44" s="12">
        <f t="shared" si="9"/>
        <v>4.6399999999999997</v>
      </c>
      <c r="D44" s="12">
        <f t="shared" si="10"/>
        <v>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>
        <f>'Raw - 2025 PL'!B42/1000</f>
        <v>0</v>
      </c>
      <c r="S44" s="12">
        <f>'Raw - 2025 PL'!C42/1000</f>
        <v>0</v>
      </c>
      <c r="T44" s="12">
        <f>'Raw - 2025 PL'!D42/1000</f>
        <v>4.6399999999999997</v>
      </c>
      <c r="U44" s="12">
        <f>'Raw - 2025 PL'!E42/1000</f>
        <v>0</v>
      </c>
      <c r="V44" s="12">
        <f>'Raw - 2025 PL'!F42/1000</f>
        <v>0</v>
      </c>
      <c r="W44" s="12">
        <f>'Raw - 2025 PL'!G42/1000</f>
        <v>0</v>
      </c>
      <c r="X44" s="12">
        <f>'Raw - 2025 PL'!H42/1000</f>
        <v>0</v>
      </c>
      <c r="Y44" s="12">
        <f>'Raw - 2025 PL'!I42/1000</f>
        <v>0</v>
      </c>
      <c r="Z44" s="12">
        <f>'Raw - 2025 PL'!J42/1000</f>
        <v>0</v>
      </c>
      <c r="AA44" s="12">
        <f>'Raw - 2025 PL'!K42/1000</f>
        <v>0</v>
      </c>
      <c r="AB44" s="12">
        <f>'Raw - 2025 PL'!L42/1000</f>
        <v>0</v>
      </c>
      <c r="AC44" s="12">
        <f>'Raw - 2025 PL'!M42/1000</f>
        <v>0</v>
      </c>
      <c r="AD44" s="12"/>
      <c r="AE44" s="12"/>
      <c r="AF44" s="12"/>
      <c r="AG44" s="12"/>
      <c r="AH44" s="12"/>
      <c r="AI44" s="12"/>
      <c r="AJ44" s="12"/>
    </row>
    <row r="45" spans="1:36" x14ac:dyDescent="0.25">
      <c r="A45" s="11" t="s">
        <v>45</v>
      </c>
      <c r="B45" s="12">
        <f t="shared" si="8"/>
        <v>114.42268999999999</v>
      </c>
      <c r="C45" s="12">
        <f t="shared" si="9"/>
        <v>157.49471000000003</v>
      </c>
      <c r="D45" s="12">
        <f t="shared" si="10"/>
        <v>152.28157000000002</v>
      </c>
      <c r="F45" s="12">
        <f>'Raw - 2024 PL'!B35/1000</f>
        <v>7.0730000000000004</v>
      </c>
      <c r="G45" s="12">
        <f>'Raw - 2024 PL'!C35/1000</f>
        <v>7.0181800000000001</v>
      </c>
      <c r="H45" s="12">
        <f>'Raw - 2024 PL'!D35/1000</f>
        <v>7.7778799999999997</v>
      </c>
      <c r="I45" s="12">
        <f>'Raw - 2024 PL'!E35/1000</f>
        <v>7.7612399999999999</v>
      </c>
      <c r="J45" s="12">
        <f>'Raw - 2024 PL'!F35/1000</f>
        <v>7.71821</v>
      </c>
      <c r="K45" s="12">
        <f>'Raw - 2024 PL'!G35/1000</f>
        <v>8.9126399999999997</v>
      </c>
      <c r="L45" s="12">
        <f>'Raw - 2024 PL'!H35/1000</f>
        <v>10.846680000000001</v>
      </c>
      <c r="M45" s="12">
        <f>'Raw - 2024 PL'!I35/1000</f>
        <v>11.13514</v>
      </c>
      <c r="N45" s="12">
        <f>'Raw - 2024 PL'!J35/1000</f>
        <v>11.0345</v>
      </c>
      <c r="O45" s="12">
        <f>'Raw - 2024 PL'!K35/1000</f>
        <v>11.728729999999999</v>
      </c>
      <c r="P45" s="12">
        <f>'Raw - 2024 PL'!L35/1000</f>
        <v>11.446909999999999</v>
      </c>
      <c r="Q45" s="12">
        <f>'Raw - 2024 PL'!M35/1000</f>
        <v>11.969580000000001</v>
      </c>
      <c r="R45" s="12">
        <f>'Raw - 2025 PL'!B43/1000</f>
        <v>10.84853</v>
      </c>
      <c r="S45" s="12">
        <f>'Raw - 2025 PL'!C43/1000</f>
        <v>12.21311</v>
      </c>
      <c r="T45" s="12">
        <f>'Raw - 2025 PL'!D43/1000</f>
        <v>11.571669999999999</v>
      </c>
      <c r="U45" s="12">
        <f>'Raw - 2025 PL'!E43/1000</f>
        <v>11.810870000000001</v>
      </c>
      <c r="V45" s="12">
        <f>'Raw - 2025 PL'!F43/1000</f>
        <v>12.52563</v>
      </c>
      <c r="W45" s="12">
        <f>'Raw - 2025 PL'!G43/1000</f>
        <v>12.863329999999999</v>
      </c>
      <c r="X45" s="12">
        <f>'Raw - 2025 PL'!H43/1000</f>
        <v>13.135450000000001</v>
      </c>
      <c r="Y45" s="12">
        <f>'Raw - 2025 PL'!I43/1000</f>
        <v>14.257149999999999</v>
      </c>
      <c r="Z45" s="12">
        <f>'Raw - 2025 PL'!J43/1000</f>
        <v>13.595120000000001</v>
      </c>
      <c r="AA45" s="12">
        <f>'Raw - 2025 PL'!K43/1000</f>
        <v>12.347620000000001</v>
      </c>
      <c r="AB45" s="12">
        <f>'Raw - 2025 PL'!L43/1000</f>
        <v>15.21781</v>
      </c>
      <c r="AC45" s="12">
        <f>'Raw - 2025 PL'!M43/1000</f>
        <v>17.108419999999999</v>
      </c>
      <c r="AD45" s="12">
        <f>'Raw - 2026 PL'!B41/1000</f>
        <v>18.468299999999999</v>
      </c>
      <c r="AE45" s="12">
        <f>'Raw - 2026 PL'!C41/1000</f>
        <v>17.920270000000002</v>
      </c>
      <c r="AF45" s="12">
        <f>'Raw - 2026 PL'!D41/1000</f>
        <v>18.40906</v>
      </c>
      <c r="AG45" s="12">
        <f>'Raw - 2026 PL'!E41/1000</f>
        <v>21.38775</v>
      </c>
      <c r="AH45" s="12">
        <f>'Raw - 2026 PL'!F41/1000</f>
        <v>23.44584</v>
      </c>
      <c r="AI45" s="12">
        <f>'Raw - 2026 PL'!G41/1000</f>
        <v>24.674669999999999</v>
      </c>
      <c r="AJ45" s="12">
        <f>'Raw - 2026 PL'!H41/1000</f>
        <v>27.975680000000001</v>
      </c>
    </row>
    <row r="46" spans="1:36" x14ac:dyDescent="0.25">
      <c r="A46" s="11" t="s">
        <v>46</v>
      </c>
      <c r="B46" s="12">
        <f t="shared" si="8"/>
        <v>0</v>
      </c>
      <c r="C46" s="12">
        <f t="shared" si="9"/>
        <v>0.39694999999999997</v>
      </c>
      <c r="D46" s="12">
        <f t="shared" si="10"/>
        <v>3.7883500000000003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>
        <f>'Raw - 2025 PL'!B44/1000</f>
        <v>0</v>
      </c>
      <c r="S46" s="12">
        <f>'Raw - 2025 PL'!C44/1000</f>
        <v>0</v>
      </c>
      <c r="T46" s="12">
        <f>'Raw - 2025 PL'!D44/1000</f>
        <v>0</v>
      </c>
      <c r="U46" s="12">
        <f>'Raw - 2025 PL'!E44/1000</f>
        <v>0</v>
      </c>
      <c r="V46" s="12">
        <f>'Raw - 2025 PL'!F44/1000</f>
        <v>0</v>
      </c>
      <c r="W46" s="12">
        <f>'Raw - 2025 PL'!G44/1000</f>
        <v>0</v>
      </c>
      <c r="X46" s="12">
        <f>'Raw - 2025 PL'!H44/1000</f>
        <v>0</v>
      </c>
      <c r="Y46" s="12">
        <f>'Raw - 2025 PL'!I44/1000</f>
        <v>0</v>
      </c>
      <c r="Z46" s="12">
        <f>'Raw - 2025 PL'!J44/1000</f>
        <v>0.39694999999999997</v>
      </c>
      <c r="AA46" s="12">
        <f>'Raw - 2025 PL'!K44/1000</f>
        <v>0</v>
      </c>
      <c r="AB46" s="12">
        <f>'Raw - 2025 PL'!L44/1000</f>
        <v>0</v>
      </c>
      <c r="AC46" s="12">
        <f>'Raw - 2025 PL'!M44/1000</f>
        <v>0</v>
      </c>
      <c r="AD46" s="12">
        <f>'Raw - 2026 PL'!B42/1000</f>
        <v>0</v>
      </c>
      <c r="AE46" s="12">
        <f>'Raw - 2026 PL'!C42/1000</f>
        <v>2.18405</v>
      </c>
      <c r="AF46" s="12">
        <f>'Raw - 2026 PL'!D42/1000</f>
        <v>1.6043000000000001</v>
      </c>
      <c r="AG46" s="12">
        <f>'Raw - 2026 PL'!E42/1000</f>
        <v>0</v>
      </c>
      <c r="AH46" s="12">
        <f>'Raw - 2026 PL'!F42/1000</f>
        <v>0</v>
      </c>
      <c r="AI46" s="12">
        <f>'Raw - 2026 PL'!G42/1000</f>
        <v>0</v>
      </c>
      <c r="AJ46" s="12">
        <f>'Raw - 2026 PL'!H42/1000</f>
        <v>0</v>
      </c>
    </row>
    <row r="47" spans="1:36" x14ac:dyDescent="0.25">
      <c r="A47" s="11" t="s">
        <v>47</v>
      </c>
      <c r="B47" s="12">
        <f t="shared" si="8"/>
        <v>0</v>
      </c>
      <c r="C47" s="12">
        <f t="shared" si="9"/>
        <v>7.1412499999999994</v>
      </c>
      <c r="D47" s="12">
        <f t="shared" si="10"/>
        <v>28.827750000000002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>
        <f>'Raw - 2025 PL'!B45/1000</f>
        <v>0</v>
      </c>
      <c r="S47" s="12">
        <f>'Raw - 2025 PL'!C45/1000</f>
        <v>0</v>
      </c>
      <c r="T47" s="12">
        <f>'Raw - 2025 PL'!D45/1000</f>
        <v>0</v>
      </c>
      <c r="U47" s="12">
        <f>'Raw - 2025 PL'!E45/1000</f>
        <v>0</v>
      </c>
      <c r="V47" s="12">
        <f>'Raw - 2025 PL'!F45/1000</f>
        <v>0</v>
      </c>
      <c r="W47" s="12">
        <f>'Raw - 2025 PL'!G45/1000</f>
        <v>0</v>
      </c>
      <c r="X47" s="12">
        <f>'Raw - 2025 PL'!H45/1000</f>
        <v>0</v>
      </c>
      <c r="Y47" s="12">
        <f>'Raw - 2025 PL'!I45/1000</f>
        <v>0</v>
      </c>
      <c r="Z47" s="12">
        <f>'Raw - 2025 PL'!J45/1000</f>
        <v>0.93725000000000003</v>
      </c>
      <c r="AA47" s="12">
        <f>'Raw - 2025 PL'!K45/1000</f>
        <v>1.39225</v>
      </c>
      <c r="AB47" s="12">
        <f>'Raw - 2025 PL'!L45/1000</f>
        <v>2.3612500000000001</v>
      </c>
      <c r="AC47" s="12">
        <f>'Raw - 2025 PL'!M45/1000</f>
        <v>2.4504999999999999</v>
      </c>
      <c r="AD47" s="12">
        <f>'Raw - 2026 PL'!B43/1000</f>
        <v>2.9497499999999999</v>
      </c>
      <c r="AE47" s="12">
        <f>'Raw - 2026 PL'!C43/1000</f>
        <v>3.42</v>
      </c>
      <c r="AF47" s="12">
        <f>'Raw - 2026 PL'!D43/1000</f>
        <v>3.6779999999999999</v>
      </c>
      <c r="AG47" s="12">
        <f>'Raw - 2026 PL'!E43/1000</f>
        <v>4.218</v>
      </c>
      <c r="AH47" s="12">
        <f>'Raw - 2026 PL'!F43/1000</f>
        <v>4.2839999999999998</v>
      </c>
      <c r="AI47" s="12">
        <f>'Raw - 2026 PL'!G43/1000</f>
        <v>5.2080000000000002</v>
      </c>
      <c r="AJ47" s="12">
        <f>'Raw - 2026 PL'!H43/1000</f>
        <v>5.07</v>
      </c>
    </row>
    <row r="48" spans="1:36" x14ac:dyDescent="0.25">
      <c r="A48" s="16" t="s">
        <v>48</v>
      </c>
      <c r="B48" s="15">
        <f t="shared" si="8"/>
        <v>742.71582999999987</v>
      </c>
      <c r="C48" s="15">
        <f t="shared" si="9"/>
        <v>1066.89285</v>
      </c>
      <c r="D48" s="15">
        <f t="shared" si="10"/>
        <v>880.98433</v>
      </c>
      <c r="F48" s="15">
        <f t="shared" ref="F48:AJ48" si="12">SUM(F32,F33,F40,F41,F42,F43,F44,F45,F46,F47)</f>
        <v>39.8536</v>
      </c>
      <c r="G48" s="15">
        <f t="shared" si="12"/>
        <v>42.988919999999993</v>
      </c>
      <c r="H48" s="15">
        <f t="shared" si="12"/>
        <v>44.516449999999992</v>
      </c>
      <c r="I48" s="15">
        <f t="shared" si="12"/>
        <v>55.797350000000002</v>
      </c>
      <c r="J48" s="15">
        <f t="shared" si="12"/>
        <v>72.153239999999997</v>
      </c>
      <c r="K48" s="15">
        <f t="shared" si="12"/>
        <v>60.873909999999995</v>
      </c>
      <c r="L48" s="15">
        <f t="shared" si="12"/>
        <v>63.123750000000001</v>
      </c>
      <c r="M48" s="15">
        <f t="shared" si="12"/>
        <v>60.713099999999997</v>
      </c>
      <c r="N48" s="15">
        <f t="shared" si="12"/>
        <v>66.840079999999986</v>
      </c>
      <c r="O48" s="15">
        <f t="shared" si="12"/>
        <v>69.984319999999997</v>
      </c>
      <c r="P48" s="15">
        <f t="shared" si="12"/>
        <v>82.280989999999989</v>
      </c>
      <c r="Q48" s="15">
        <f t="shared" si="12"/>
        <v>83.590120000000013</v>
      </c>
      <c r="R48" s="15">
        <f t="shared" si="12"/>
        <v>79.188609999999997</v>
      </c>
      <c r="S48" s="15">
        <f t="shared" si="12"/>
        <v>64.607439999999997</v>
      </c>
      <c r="T48" s="15">
        <f t="shared" si="12"/>
        <v>79.079940000000008</v>
      </c>
      <c r="U48" s="15">
        <f t="shared" si="12"/>
        <v>77.42428000000001</v>
      </c>
      <c r="V48" s="15">
        <f t="shared" si="12"/>
        <v>80.299689999999998</v>
      </c>
      <c r="W48" s="15">
        <f t="shared" si="12"/>
        <v>81.265909999999991</v>
      </c>
      <c r="X48" s="15">
        <f t="shared" si="12"/>
        <v>91.329930000000004</v>
      </c>
      <c r="Y48" s="15">
        <f t="shared" si="12"/>
        <v>88.57302</v>
      </c>
      <c r="Z48" s="15">
        <f t="shared" si="12"/>
        <v>99.957420000000013</v>
      </c>
      <c r="AA48" s="15">
        <f t="shared" si="12"/>
        <v>107.91084000000002</v>
      </c>
      <c r="AB48" s="15">
        <f t="shared" si="12"/>
        <v>102.70961999999999</v>
      </c>
      <c r="AC48" s="15">
        <f t="shared" si="12"/>
        <v>114.54615</v>
      </c>
      <c r="AD48" s="15">
        <f t="shared" si="12"/>
        <v>109.97966999999998</v>
      </c>
      <c r="AE48" s="15">
        <f t="shared" si="12"/>
        <v>101.50492000000001</v>
      </c>
      <c r="AF48" s="15">
        <f t="shared" si="12"/>
        <v>134.20296999999999</v>
      </c>
      <c r="AG48" s="15">
        <f t="shared" si="12"/>
        <v>128.21621000000002</v>
      </c>
      <c r="AH48" s="15">
        <f t="shared" si="12"/>
        <v>128.30340000000001</v>
      </c>
      <c r="AI48" s="15">
        <f t="shared" si="12"/>
        <v>138.01522999999997</v>
      </c>
      <c r="AJ48" s="15">
        <f t="shared" si="12"/>
        <v>140.76193000000001</v>
      </c>
    </row>
    <row r="49" spans="1:36" x14ac:dyDescent="0.25">
      <c r="A49" s="16" t="s">
        <v>49</v>
      </c>
      <c r="B49" s="15">
        <f t="shared" si="8"/>
        <v>392.25002000000006</v>
      </c>
      <c r="C49" s="15">
        <f t="shared" si="9"/>
        <v>812.49027999999998</v>
      </c>
      <c r="D49" s="15">
        <f t="shared" si="10"/>
        <v>790.03686999999991</v>
      </c>
      <c r="F49" s="15">
        <f t="shared" ref="F49:AJ49" si="13">F30-F48</f>
        <v>41.059500000000014</v>
      </c>
      <c r="G49" s="15">
        <f t="shared" si="13"/>
        <v>38.266779999999997</v>
      </c>
      <c r="H49" s="15">
        <f t="shared" si="13"/>
        <v>33.59575000000001</v>
      </c>
      <c r="I49" s="15">
        <f t="shared" si="13"/>
        <v>27.555949999999989</v>
      </c>
      <c r="J49" s="15">
        <f t="shared" si="13"/>
        <v>18.042910000000006</v>
      </c>
      <c r="K49" s="15">
        <f t="shared" si="13"/>
        <v>29.041890000000009</v>
      </c>
      <c r="L49" s="15">
        <f t="shared" si="13"/>
        <v>41.558300000000003</v>
      </c>
      <c r="M49" s="15">
        <f t="shared" si="13"/>
        <v>43.403649999999999</v>
      </c>
      <c r="N49" s="15">
        <f t="shared" si="13"/>
        <v>31.53267000000001</v>
      </c>
      <c r="O49" s="15">
        <f t="shared" si="13"/>
        <v>29.074579999999997</v>
      </c>
      <c r="P49" s="15">
        <f t="shared" si="13"/>
        <v>26.956310000000016</v>
      </c>
      <c r="Q49" s="15">
        <f t="shared" si="13"/>
        <v>32.161730000000006</v>
      </c>
      <c r="R49" s="15">
        <f t="shared" si="13"/>
        <v>59.473939999999985</v>
      </c>
      <c r="S49" s="15">
        <f t="shared" si="13"/>
        <v>63.195160000000001</v>
      </c>
      <c r="T49" s="15">
        <f t="shared" si="13"/>
        <v>55.595489999999998</v>
      </c>
      <c r="U49" s="15">
        <f t="shared" si="13"/>
        <v>58.551319999999976</v>
      </c>
      <c r="V49" s="15">
        <f t="shared" si="13"/>
        <v>71.751429999999999</v>
      </c>
      <c r="W49" s="15">
        <f t="shared" si="13"/>
        <v>72.059110000000004</v>
      </c>
      <c r="X49" s="15">
        <f t="shared" si="13"/>
        <v>64.050849999999983</v>
      </c>
      <c r="Y49" s="15">
        <f t="shared" si="13"/>
        <v>71.300300000000007</v>
      </c>
      <c r="Z49" s="15">
        <f t="shared" si="13"/>
        <v>64.041789999999992</v>
      </c>
      <c r="AA49" s="15">
        <f t="shared" si="13"/>
        <v>71.333399999999969</v>
      </c>
      <c r="AB49" s="15">
        <f t="shared" si="13"/>
        <v>78.980960000000053</v>
      </c>
      <c r="AC49" s="15">
        <f t="shared" si="13"/>
        <v>82.156530000000018</v>
      </c>
      <c r="AD49" s="15">
        <f t="shared" si="13"/>
        <v>102.20632999999999</v>
      </c>
      <c r="AE49" s="15">
        <f t="shared" si="13"/>
        <v>140.39146</v>
      </c>
      <c r="AF49" s="15">
        <f t="shared" si="13"/>
        <v>97.292380000000009</v>
      </c>
      <c r="AG49" s="15">
        <f t="shared" si="13"/>
        <v>112.10325999999998</v>
      </c>
      <c r="AH49" s="15">
        <f t="shared" si="13"/>
        <v>117.89545000000001</v>
      </c>
      <c r="AI49" s="15">
        <f t="shared" si="13"/>
        <v>109.48407000000003</v>
      </c>
      <c r="AJ49" s="15">
        <f t="shared" si="13"/>
        <v>110.66391999999999</v>
      </c>
    </row>
    <row r="50" spans="1:36" x14ac:dyDescent="0.25">
      <c r="A50" s="9" t="s">
        <v>50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11" t="s">
        <v>51</v>
      </c>
      <c r="B51" s="12">
        <f t="shared" ref="B51:B82" si="14">SUM(F51:Q51)</f>
        <v>0</v>
      </c>
      <c r="C51" s="12">
        <f t="shared" ref="C51:C82" si="15">SUM(R51:AC51)</f>
        <v>0</v>
      </c>
      <c r="D51" s="12">
        <f t="shared" ref="D51:D82" si="16">SUM(AD51:AJ51)</f>
        <v>0</v>
      </c>
      <c r="F51" s="12">
        <f>'Raw - 2024 PL'!B39/1000</f>
        <v>0</v>
      </c>
      <c r="G51" s="12">
        <f>'Raw - 2024 PL'!C39/1000</f>
        <v>0</v>
      </c>
      <c r="H51" s="12">
        <f>'Raw - 2024 PL'!D39/1000</f>
        <v>0</v>
      </c>
      <c r="I51" s="12">
        <f>'Raw - 2024 PL'!E39/1000</f>
        <v>0</v>
      </c>
      <c r="J51" s="12">
        <f>'Raw - 2024 PL'!F39/1000</f>
        <v>0</v>
      </c>
      <c r="K51" s="12">
        <f>'Raw - 2024 PL'!G39/1000</f>
        <v>0</v>
      </c>
      <c r="L51" s="12">
        <f>'Raw - 2024 PL'!H39/1000</f>
        <v>0</v>
      </c>
      <c r="M51" s="12">
        <f>'Raw - 2024 PL'!I39/1000</f>
        <v>0</v>
      </c>
      <c r="N51" s="12">
        <f>'Raw - 2024 PL'!J39/1000</f>
        <v>0</v>
      </c>
      <c r="O51" s="12">
        <f>'Raw - 2024 PL'!K39/1000</f>
        <v>0</v>
      </c>
      <c r="P51" s="12">
        <f>'Raw - 2024 PL'!L39/1000</f>
        <v>0</v>
      </c>
      <c r="Q51" s="12">
        <f>'Raw - 2024 PL'!M39/1000</f>
        <v>0</v>
      </c>
      <c r="R51" s="12">
        <f>'Raw - 2025 PL'!B49/1000</f>
        <v>0</v>
      </c>
      <c r="S51" s="12">
        <f>'Raw - 2025 PL'!C49/1000</f>
        <v>0</v>
      </c>
      <c r="T51" s="12">
        <f>'Raw - 2025 PL'!D49/1000</f>
        <v>0</v>
      </c>
      <c r="U51" s="12">
        <f>'Raw - 2025 PL'!E49/1000</f>
        <v>0</v>
      </c>
      <c r="V51" s="12">
        <f>'Raw - 2025 PL'!F49/1000</f>
        <v>0</v>
      </c>
      <c r="W51" s="12">
        <f>'Raw - 2025 PL'!G49/1000</f>
        <v>0</v>
      </c>
      <c r="X51" s="12">
        <f>'Raw - 2025 PL'!H49/1000</f>
        <v>0</v>
      </c>
      <c r="Y51" s="12">
        <f>'Raw - 2025 PL'!I49/1000</f>
        <v>0</v>
      </c>
      <c r="Z51" s="12">
        <f>'Raw - 2025 PL'!J49/1000</f>
        <v>0</v>
      </c>
      <c r="AA51" s="12">
        <f>'Raw - 2025 PL'!K49/1000</f>
        <v>0</v>
      </c>
      <c r="AB51" s="12">
        <f>'Raw - 2025 PL'!L49/1000</f>
        <v>0</v>
      </c>
      <c r="AC51" s="12">
        <f>'Raw - 2025 PL'!M49/1000</f>
        <v>0</v>
      </c>
      <c r="AD51" s="12">
        <f>'Raw - 2026 PL'!B47/1000</f>
        <v>0</v>
      </c>
      <c r="AE51" s="12">
        <f>'Raw - 2026 PL'!C47/1000</f>
        <v>0</v>
      </c>
      <c r="AF51" s="12">
        <f>'Raw - 2026 PL'!D47/1000</f>
        <v>0</v>
      </c>
      <c r="AG51" s="12">
        <f>'Raw - 2026 PL'!E47/1000</f>
        <v>0</v>
      </c>
      <c r="AH51" s="12">
        <f>'Raw - 2026 PL'!F47/1000</f>
        <v>0</v>
      </c>
      <c r="AI51" s="12">
        <f>'Raw - 2026 PL'!G47/1000</f>
        <v>0</v>
      </c>
      <c r="AJ51" s="12">
        <f>'Raw - 2026 PL'!H47/1000</f>
        <v>0</v>
      </c>
    </row>
    <row r="52" spans="1:36" x14ac:dyDescent="0.25">
      <c r="A52" s="13" t="s">
        <v>52</v>
      </c>
      <c r="B52" s="12">
        <f t="shared" si="14"/>
        <v>0.14789000000000002</v>
      </c>
      <c r="C52" s="12">
        <f t="shared" si="15"/>
        <v>1.8349799999999998</v>
      </c>
      <c r="D52" s="12">
        <f t="shared" si="16"/>
        <v>1.4402499999999998</v>
      </c>
      <c r="F52" s="12">
        <f>'Raw - 2024 PL'!B40/1000</f>
        <v>1E-3</v>
      </c>
      <c r="G52" s="12">
        <f>'Raw - 2024 PL'!C40/1000</f>
        <v>1E-3</v>
      </c>
      <c r="H52" s="12">
        <f>'Raw - 2024 PL'!D40/1000</f>
        <v>1E-3</v>
      </c>
      <c r="I52" s="12">
        <f>'Raw - 2024 PL'!E40/1000</f>
        <v>9.6000000000000002E-2</v>
      </c>
      <c r="J52" s="12">
        <f>'Raw - 2024 PL'!F40/1000</f>
        <v>2E-3</v>
      </c>
      <c r="K52" s="12">
        <f>'Raw - 2024 PL'!G40/1000</f>
        <v>1E-3</v>
      </c>
      <c r="L52" s="12">
        <f>'Raw - 2024 PL'!H40/1000</f>
        <v>5.6299999999999996E-3</v>
      </c>
      <c r="M52" s="12">
        <f>'Raw - 2024 PL'!I40/1000</f>
        <v>1E-3</v>
      </c>
      <c r="N52" s="12">
        <f>'Raw - 2024 PL'!J40/1000</f>
        <v>1E-3</v>
      </c>
      <c r="O52" s="12">
        <f>'Raw - 2024 PL'!K40/1000</f>
        <v>4.1700000000000001E-3</v>
      </c>
      <c r="P52" s="12">
        <f>'Raw - 2024 PL'!L40/1000</f>
        <v>9.4199999999999996E-3</v>
      </c>
      <c r="Q52" s="12">
        <f>'Raw - 2024 PL'!M40/1000</f>
        <v>2.4670000000000001E-2</v>
      </c>
      <c r="R52" s="12">
        <f>'Raw - 2025 PL'!B50/1000</f>
        <v>0.13744000000000001</v>
      </c>
      <c r="S52" s="12">
        <f>'Raw - 2025 PL'!C50/1000</f>
        <v>0.12214</v>
      </c>
      <c r="T52" s="12">
        <f>'Raw - 2025 PL'!D50/1000</f>
        <v>4.3499999999999997E-2</v>
      </c>
      <c r="U52" s="12">
        <f>'Raw - 2025 PL'!E50/1000</f>
        <v>0.39900000000000002</v>
      </c>
      <c r="V52" s="12">
        <f>'Raw - 2025 PL'!F50/1000</f>
        <v>0.1013</v>
      </c>
      <c r="W52" s="12">
        <f>'Raw - 2025 PL'!G50/1000</f>
        <v>6.9599999999999995E-2</v>
      </c>
      <c r="X52" s="12">
        <f>'Raw - 2025 PL'!H50/1000</f>
        <v>0.1472</v>
      </c>
      <c r="Y52" s="12">
        <f>'Raw - 2025 PL'!I50/1000</f>
        <v>0.10979999999999999</v>
      </c>
      <c r="Z52" s="12">
        <f>'Raw - 2025 PL'!J50/1000</f>
        <v>0.1166</v>
      </c>
      <c r="AA52" s="12">
        <f>'Raw - 2025 PL'!K50/1000</f>
        <v>0.1489</v>
      </c>
      <c r="AB52" s="12">
        <f>'Raw - 2025 PL'!L50/1000</f>
        <v>0.1258</v>
      </c>
      <c r="AC52" s="12">
        <f>'Raw - 2025 PL'!M50/1000</f>
        <v>0.31369999999999998</v>
      </c>
      <c r="AD52" s="12">
        <f>'Raw - 2026 PL'!B48/1000</f>
        <v>0.14709999999999998</v>
      </c>
      <c r="AE52" s="12">
        <f>'Raw - 2026 PL'!C48/1000</f>
        <v>0.15559999999999999</v>
      </c>
      <c r="AF52" s="12">
        <f>'Raw - 2026 PL'!D48/1000</f>
        <v>0.17065</v>
      </c>
      <c r="AG52" s="12">
        <f>'Raw - 2026 PL'!E48/1000</f>
        <v>0.30319999999999997</v>
      </c>
      <c r="AH52" s="12">
        <f>'Raw - 2026 PL'!F48/1000</f>
        <v>0.18284999999999998</v>
      </c>
      <c r="AI52" s="12">
        <f>'Raw - 2026 PL'!G48/1000</f>
        <v>0.1777</v>
      </c>
      <c r="AJ52" s="12">
        <f>'Raw - 2026 PL'!H48/1000</f>
        <v>0.30314999999999998</v>
      </c>
    </row>
    <row r="53" spans="1:36" x14ac:dyDescent="0.25">
      <c r="A53" s="13" t="s">
        <v>53</v>
      </c>
      <c r="B53" s="12">
        <f t="shared" si="14"/>
        <v>0</v>
      </c>
      <c r="C53" s="12">
        <f t="shared" si="15"/>
        <v>0</v>
      </c>
      <c r="D53" s="12">
        <f t="shared" si="16"/>
        <v>1.984E-2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>
        <f>'Raw - 2026 PL'!B49/1000</f>
        <v>0</v>
      </c>
      <c r="AE53" s="12">
        <f>'Raw - 2026 PL'!C49/1000</f>
        <v>0</v>
      </c>
      <c r="AF53" s="12">
        <f>'Raw - 2026 PL'!D49/1000</f>
        <v>0</v>
      </c>
      <c r="AG53" s="12">
        <f>'Raw - 2026 PL'!E49/1000</f>
        <v>1.984E-2</v>
      </c>
      <c r="AH53" s="12">
        <f>'Raw - 2026 PL'!F49/1000</f>
        <v>0</v>
      </c>
      <c r="AI53" s="12">
        <f>'Raw - 2026 PL'!G49/1000</f>
        <v>0</v>
      </c>
      <c r="AJ53" s="12">
        <f>'Raw - 2026 PL'!H49/1000</f>
        <v>0</v>
      </c>
    </row>
    <row r="54" spans="1:36" x14ac:dyDescent="0.25">
      <c r="A54" s="13" t="s">
        <v>54</v>
      </c>
      <c r="B54" s="12">
        <f t="shared" si="14"/>
        <v>0</v>
      </c>
      <c r="C54" s="12">
        <f t="shared" si="15"/>
        <v>2.6310700000000002</v>
      </c>
      <c r="D54" s="12">
        <f t="shared" si="16"/>
        <v>1.66852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>
        <f>'Raw - 2025 PL'!B51/1000</f>
        <v>0</v>
      </c>
      <c r="S54" s="12">
        <f>'Raw - 2025 PL'!C51/1000</f>
        <v>0</v>
      </c>
      <c r="T54" s="12">
        <f>'Raw - 2025 PL'!D51/1000</f>
        <v>0</v>
      </c>
      <c r="U54" s="12">
        <f>'Raw - 2025 PL'!E51/1000</f>
        <v>1.84999</v>
      </c>
      <c r="V54" s="12">
        <f>'Raw - 2025 PL'!F51/1000</f>
        <v>0</v>
      </c>
      <c r="W54" s="12">
        <f>'Raw - 2025 PL'!G51/1000</f>
        <v>0</v>
      </c>
      <c r="X54" s="12">
        <f>'Raw - 2025 PL'!H51/1000</f>
        <v>0</v>
      </c>
      <c r="Y54" s="12">
        <f>'Raw - 2025 PL'!I51/1000</f>
        <v>0</v>
      </c>
      <c r="Z54" s="12">
        <f>'Raw - 2025 PL'!J51/1000</f>
        <v>0</v>
      </c>
      <c r="AA54" s="12">
        <f>'Raw - 2025 PL'!K51/1000</f>
        <v>0.78108</v>
      </c>
      <c r="AB54" s="12">
        <f>'Raw - 2025 PL'!L51/1000</f>
        <v>0</v>
      </c>
      <c r="AC54" s="12">
        <f>'Raw - 2025 PL'!M51/1000</f>
        <v>0</v>
      </c>
      <c r="AD54" s="12">
        <f>'Raw - 2026 PL'!B50/1000</f>
        <v>0.79967999999999995</v>
      </c>
      <c r="AE54" s="12">
        <f>'Raw - 2026 PL'!C50/1000</f>
        <v>0.86884000000000006</v>
      </c>
      <c r="AF54" s="12">
        <f>'Raw - 2026 PL'!D50/1000</f>
        <v>0</v>
      </c>
      <c r="AG54" s="12">
        <f>'Raw - 2026 PL'!E50/1000</f>
        <v>0</v>
      </c>
      <c r="AH54" s="12">
        <f>'Raw - 2026 PL'!F50/1000</f>
        <v>0</v>
      </c>
      <c r="AI54" s="12">
        <f>'Raw - 2026 PL'!G50/1000</f>
        <v>0</v>
      </c>
      <c r="AJ54" s="12">
        <f>'Raw - 2026 PL'!H50/1000</f>
        <v>0</v>
      </c>
    </row>
    <row r="55" spans="1:36" x14ac:dyDescent="0.25">
      <c r="A55" s="13" t="s">
        <v>55</v>
      </c>
      <c r="B55" s="12">
        <f t="shared" si="14"/>
        <v>0</v>
      </c>
      <c r="C55" s="12">
        <f t="shared" si="15"/>
        <v>0</v>
      </c>
      <c r="D55" s="12">
        <f t="shared" si="16"/>
        <v>0</v>
      </c>
      <c r="F55" s="12">
        <f>'Raw - 2024 PL'!B41/1000</f>
        <v>0</v>
      </c>
      <c r="G55" s="12">
        <f>'Raw - 2024 PL'!C41/1000</f>
        <v>0</v>
      </c>
      <c r="H55" s="12">
        <f>'Raw - 2024 PL'!D41/1000</f>
        <v>0</v>
      </c>
      <c r="I55" s="12">
        <f>'Raw - 2024 PL'!E41/1000</f>
        <v>0</v>
      </c>
      <c r="J55" s="12">
        <f>'Raw - 2024 PL'!F41/1000</f>
        <v>0</v>
      </c>
      <c r="K55" s="12">
        <f>'Raw - 2024 PL'!G41/1000</f>
        <v>0</v>
      </c>
      <c r="L55" s="12">
        <f>'Raw - 2024 PL'!H41/1000</f>
        <v>0</v>
      </c>
      <c r="M55" s="12">
        <f>'Raw - 2024 PL'!I41/1000</f>
        <v>0</v>
      </c>
      <c r="N55" s="12">
        <f>'Raw - 2024 PL'!J41/1000</f>
        <v>0</v>
      </c>
      <c r="O55" s="12">
        <f>'Raw - 2024 PL'!K41/1000</f>
        <v>0</v>
      </c>
      <c r="P55" s="12">
        <f>'Raw - 2024 PL'!L41/1000</f>
        <v>0</v>
      </c>
      <c r="Q55" s="12">
        <f>'Raw - 2024 PL'!M41/1000</f>
        <v>0</v>
      </c>
      <c r="R55" s="12">
        <f>'Raw - 2025 PL'!B52/1000</f>
        <v>0</v>
      </c>
      <c r="S55" s="12">
        <f>'Raw - 2025 PL'!C52/1000</f>
        <v>0</v>
      </c>
      <c r="T55" s="12">
        <f>'Raw - 2025 PL'!D52/1000</f>
        <v>0</v>
      </c>
      <c r="U55" s="12">
        <f>'Raw - 2025 PL'!E52/1000</f>
        <v>0</v>
      </c>
      <c r="V55" s="12">
        <f>'Raw - 2025 PL'!F52/1000</f>
        <v>0</v>
      </c>
      <c r="W55" s="12">
        <f>'Raw - 2025 PL'!G52/1000</f>
        <v>0</v>
      </c>
      <c r="X55" s="12">
        <f>'Raw - 2025 PL'!H52/1000</f>
        <v>0</v>
      </c>
      <c r="Y55" s="12">
        <f>'Raw - 2025 PL'!I52/1000</f>
        <v>0</v>
      </c>
      <c r="Z55" s="12">
        <f>'Raw - 2025 PL'!J52/1000</f>
        <v>0</v>
      </c>
      <c r="AA55" s="12">
        <f>'Raw - 2025 PL'!K52/1000</f>
        <v>0</v>
      </c>
      <c r="AB55" s="12">
        <f>'Raw - 2025 PL'!L52/1000</f>
        <v>0</v>
      </c>
      <c r="AC55" s="12">
        <f>'Raw - 2025 PL'!M52/1000</f>
        <v>0</v>
      </c>
      <c r="AD55" s="12">
        <f>'Raw - 2026 PL'!B51/1000</f>
        <v>0</v>
      </c>
      <c r="AE55" s="12">
        <f>'Raw - 2026 PL'!C51/1000</f>
        <v>0</v>
      </c>
      <c r="AF55" s="12">
        <f>'Raw - 2026 PL'!D51/1000</f>
        <v>0</v>
      </c>
      <c r="AG55" s="12">
        <f>'Raw - 2026 PL'!E51/1000</f>
        <v>0</v>
      </c>
      <c r="AH55" s="12">
        <f>'Raw - 2026 PL'!F51/1000</f>
        <v>0</v>
      </c>
      <c r="AI55" s="12">
        <f>'Raw - 2026 PL'!G51/1000</f>
        <v>0</v>
      </c>
      <c r="AJ55" s="12">
        <f>'Raw - 2026 PL'!H51/1000</f>
        <v>0</v>
      </c>
    </row>
    <row r="56" spans="1:36" x14ac:dyDescent="0.25">
      <c r="A56" s="17" t="s">
        <v>56</v>
      </c>
      <c r="B56" s="12">
        <f t="shared" si="14"/>
        <v>0</v>
      </c>
      <c r="C56" s="12">
        <f t="shared" si="15"/>
        <v>0.33599999999999997</v>
      </c>
      <c r="D56" s="12">
        <f t="shared" si="16"/>
        <v>1.6199999999999999E-2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>
        <f>'Raw - 2025 PL'!B53/1000</f>
        <v>0</v>
      </c>
      <c r="S56" s="12">
        <f>'Raw - 2025 PL'!C53/1000</f>
        <v>0</v>
      </c>
      <c r="T56" s="12">
        <f>'Raw - 2025 PL'!D53/1000</f>
        <v>0</v>
      </c>
      <c r="U56" s="12">
        <f>'Raw - 2025 PL'!E53/1000</f>
        <v>0</v>
      </c>
      <c r="V56" s="12">
        <f>'Raw - 2025 PL'!F53/1000</f>
        <v>0.3</v>
      </c>
      <c r="W56" s="12">
        <f>'Raw - 2025 PL'!G53/1000</f>
        <v>3.5999999999999997E-2</v>
      </c>
      <c r="X56" s="12">
        <f>'Raw - 2025 PL'!H53/1000</f>
        <v>0</v>
      </c>
      <c r="Y56" s="12">
        <f>'Raw - 2025 PL'!I53/1000</f>
        <v>0</v>
      </c>
      <c r="Z56" s="12">
        <f>'Raw - 2025 PL'!J53/1000</f>
        <v>0</v>
      </c>
      <c r="AA56" s="12">
        <f>'Raw - 2025 PL'!K53/1000</f>
        <v>0</v>
      </c>
      <c r="AB56" s="12">
        <f>'Raw - 2025 PL'!L53/1000</f>
        <v>0</v>
      </c>
      <c r="AC56" s="12">
        <f>'Raw - 2025 PL'!M53/1000</f>
        <v>0</v>
      </c>
      <c r="AD56" s="12">
        <f>'Raw - 2026 PL'!B52/1000</f>
        <v>1.6199999999999999E-2</v>
      </c>
      <c r="AE56" s="12">
        <f>'Raw - 2026 PL'!C52/1000</f>
        <v>0</v>
      </c>
      <c r="AF56" s="12">
        <f>'Raw - 2026 PL'!D52/1000</f>
        <v>0</v>
      </c>
      <c r="AG56" s="12">
        <f>'Raw - 2026 PL'!E52/1000</f>
        <v>0</v>
      </c>
      <c r="AH56" s="12">
        <f>'Raw - 2026 PL'!F52/1000</f>
        <v>0</v>
      </c>
      <c r="AI56" s="12">
        <f>'Raw - 2026 PL'!G52/1000</f>
        <v>0</v>
      </c>
      <c r="AJ56" s="12">
        <f>'Raw - 2026 PL'!H52/1000</f>
        <v>0</v>
      </c>
    </row>
    <row r="57" spans="1:36" x14ac:dyDescent="0.25">
      <c r="A57" s="17" t="s">
        <v>57</v>
      </c>
      <c r="B57" s="12">
        <f t="shared" si="14"/>
        <v>1.6062599999999998</v>
      </c>
      <c r="C57" s="12">
        <f t="shared" si="15"/>
        <v>6.12</v>
      </c>
      <c r="D57" s="12">
        <f t="shared" si="16"/>
        <v>4.1059999999999999</v>
      </c>
      <c r="F57" s="12">
        <f>'Raw - 2024 PL'!B42/1000</f>
        <v>0</v>
      </c>
      <c r="G57" s="12">
        <f>'Raw - 2024 PL'!C42/1000</f>
        <v>0</v>
      </c>
      <c r="H57" s="12">
        <f>'Raw - 2024 PL'!D42/1000</f>
        <v>0</v>
      </c>
      <c r="I57" s="12">
        <f>'Raw - 2024 PL'!E42/1000</f>
        <v>0</v>
      </c>
      <c r="J57" s="12">
        <f>'Raw - 2024 PL'!F42/1000</f>
        <v>0</v>
      </c>
      <c r="K57" s="12">
        <f>'Raw - 2024 PL'!G42/1000</f>
        <v>0</v>
      </c>
      <c r="L57" s="12">
        <f>'Raw - 2024 PL'!H42/1000</f>
        <v>0.38100000000000001</v>
      </c>
      <c r="M57" s="12">
        <f>'Raw - 2024 PL'!I42/1000</f>
        <v>0.31925999999999999</v>
      </c>
      <c r="N57" s="12">
        <f>'Raw - 2024 PL'!J42/1000</f>
        <v>0</v>
      </c>
      <c r="O57" s="12">
        <f>'Raw - 2024 PL'!K42/1000</f>
        <v>0</v>
      </c>
      <c r="P57" s="12">
        <f>'Raw - 2024 PL'!L42/1000</f>
        <v>0.81299999999999994</v>
      </c>
      <c r="Q57" s="12">
        <f>'Raw - 2024 PL'!M42/1000</f>
        <v>9.2999999999999999E-2</v>
      </c>
      <c r="R57" s="12">
        <f>'Raw - 2025 PL'!B54/1000</f>
        <v>0</v>
      </c>
      <c r="S57" s="12">
        <f>'Raw - 2025 PL'!C54/1000</f>
        <v>0.17299999999999999</v>
      </c>
      <c r="T57" s="12">
        <f>'Raw - 2025 PL'!D54/1000</f>
        <v>0.14499999999999999</v>
      </c>
      <c r="U57" s="12">
        <f>'Raw - 2025 PL'!E54/1000</f>
        <v>0.28999999999999998</v>
      </c>
      <c r="V57" s="12">
        <f>'Raw - 2025 PL'!F54/1000</f>
        <v>1.004</v>
      </c>
      <c r="W57" s="12">
        <f>'Raw - 2025 PL'!G54/1000</f>
        <v>1.224</v>
      </c>
      <c r="X57" s="12">
        <f>'Raw - 2025 PL'!H54/1000</f>
        <v>0.78300000000000003</v>
      </c>
      <c r="Y57" s="12">
        <f>'Raw - 2025 PL'!I54/1000</f>
        <v>0.32800000000000001</v>
      </c>
      <c r="Z57" s="12">
        <f>'Raw - 2025 PL'!J54/1000</f>
        <v>0.23599999999999999</v>
      </c>
      <c r="AA57" s="12">
        <f>'Raw - 2025 PL'!K54/1000</f>
        <v>0.77200000000000002</v>
      </c>
      <c r="AB57" s="12">
        <f>'Raw - 2025 PL'!L54/1000</f>
        <v>0.53700000000000003</v>
      </c>
      <c r="AC57" s="12">
        <f>'Raw - 2025 PL'!M54/1000</f>
        <v>0.628</v>
      </c>
      <c r="AD57" s="12">
        <f>'Raw - 2026 PL'!B53/1000</f>
        <v>0.64800000000000002</v>
      </c>
      <c r="AE57" s="12">
        <f>'Raw - 2026 PL'!C53/1000</f>
        <v>7.0999999999999994E-2</v>
      </c>
      <c r="AF57" s="12">
        <f>'Raw - 2026 PL'!D53/1000</f>
        <v>1.0589999999999999</v>
      </c>
      <c r="AG57" s="12">
        <f>'Raw - 2026 PL'!E53/1000</f>
        <v>0.749</v>
      </c>
      <c r="AH57" s="12">
        <f>'Raw - 2026 PL'!F53/1000</f>
        <v>0.47699999999999998</v>
      </c>
      <c r="AI57" s="12">
        <f>'Raw - 2026 PL'!G53/1000</f>
        <v>0.58199999999999996</v>
      </c>
      <c r="AJ57" s="12">
        <f>'Raw - 2026 PL'!H53/1000</f>
        <v>0.52</v>
      </c>
    </row>
    <row r="58" spans="1:36" x14ac:dyDescent="0.25">
      <c r="A58" s="17" t="s">
        <v>58</v>
      </c>
      <c r="B58" s="12">
        <f t="shared" si="14"/>
        <v>0.4103</v>
      </c>
      <c r="C58" s="12">
        <f t="shared" si="15"/>
        <v>2.3864000000000001</v>
      </c>
      <c r="D58" s="12">
        <f t="shared" si="16"/>
        <v>2.3970000000000002</v>
      </c>
      <c r="F58" s="12">
        <f>'Raw - 2024 PL'!B43/1000</f>
        <v>0</v>
      </c>
      <c r="G58" s="12">
        <f>'Raw - 2024 PL'!C43/1000</f>
        <v>0</v>
      </c>
      <c r="H58" s="12">
        <f>'Raw - 2024 PL'!D43/1000</f>
        <v>0</v>
      </c>
      <c r="I58" s="12">
        <f>'Raw - 2024 PL'!E43/1000</f>
        <v>0</v>
      </c>
      <c r="J58" s="12">
        <f>'Raw - 2024 PL'!F43/1000</f>
        <v>0</v>
      </c>
      <c r="K58" s="12">
        <f>'Raw - 2024 PL'!G43/1000</f>
        <v>0</v>
      </c>
      <c r="L58" s="12">
        <f>'Raw - 2024 PL'!H43/1000</f>
        <v>4.2000000000000003E-2</v>
      </c>
      <c r="M58" s="12">
        <f>'Raw - 2024 PL'!I43/1000</f>
        <v>4.0299999999999996E-2</v>
      </c>
      <c r="N58" s="12">
        <f>'Raw - 2024 PL'!J43/1000</f>
        <v>1.7999999999999999E-2</v>
      </c>
      <c r="O58" s="12">
        <f>'Raw - 2024 PL'!K43/1000</f>
        <v>0.06</v>
      </c>
      <c r="P58" s="12">
        <f>'Raw - 2024 PL'!L43/1000</f>
        <v>0.104</v>
      </c>
      <c r="Q58" s="12">
        <f>'Raw - 2024 PL'!M43/1000</f>
        <v>0.14599999999999999</v>
      </c>
      <c r="R58" s="12">
        <f>'Raw - 2025 PL'!B55/1000</f>
        <v>0.15</v>
      </c>
      <c r="S58" s="12">
        <f>'Raw - 2025 PL'!C55/1000</f>
        <v>0.24299999999999999</v>
      </c>
      <c r="T58" s="12">
        <f>'Raw - 2025 PL'!D55/1000</f>
        <v>0.13600000000000001</v>
      </c>
      <c r="U58" s="12">
        <f>'Raw - 2025 PL'!E55/1000</f>
        <v>0.14399999999999999</v>
      </c>
      <c r="V58" s="12">
        <f>'Raw - 2025 PL'!F55/1000</f>
        <v>0.1704</v>
      </c>
      <c r="W58" s="12">
        <f>'Raw - 2025 PL'!G55/1000</f>
        <v>0.185</v>
      </c>
      <c r="X58" s="12">
        <f>'Raw - 2025 PL'!H55/1000</f>
        <v>0.161</v>
      </c>
      <c r="Y58" s="12">
        <f>'Raw - 2025 PL'!I55/1000</f>
        <v>0.16800000000000001</v>
      </c>
      <c r="Z58" s="12">
        <f>'Raw - 2025 PL'!J55/1000</f>
        <v>0.21099999999999999</v>
      </c>
      <c r="AA58" s="12">
        <f>'Raw - 2025 PL'!K55/1000</f>
        <v>0.38100000000000001</v>
      </c>
      <c r="AB58" s="12">
        <f>'Raw - 2025 PL'!L55/1000</f>
        <v>0.24</v>
      </c>
      <c r="AC58" s="12">
        <f>'Raw - 2025 PL'!M55/1000</f>
        <v>0.19700000000000001</v>
      </c>
      <c r="AD58" s="12">
        <f>'Raw - 2026 PL'!B54/1000</f>
        <v>0.254</v>
      </c>
      <c r="AE58" s="12">
        <f>'Raw - 2026 PL'!C54/1000</f>
        <v>0.314</v>
      </c>
      <c r="AF58" s="12">
        <f>'Raw - 2026 PL'!D54/1000</f>
        <v>0.33800000000000002</v>
      </c>
      <c r="AG58" s="12">
        <f>'Raw - 2026 PL'!E54/1000</f>
        <v>0.28999999999999998</v>
      </c>
      <c r="AH58" s="12">
        <f>'Raw - 2026 PL'!F54/1000</f>
        <v>0.443</v>
      </c>
      <c r="AI58" s="12">
        <f>'Raw - 2026 PL'!G54/1000</f>
        <v>0.38800000000000001</v>
      </c>
      <c r="AJ58" s="12">
        <f>'Raw - 2026 PL'!H54/1000</f>
        <v>0.37</v>
      </c>
    </row>
    <row r="59" spans="1:36" x14ac:dyDescent="0.25">
      <c r="A59" s="17" t="s">
        <v>59</v>
      </c>
      <c r="B59" s="12">
        <f t="shared" si="14"/>
        <v>0</v>
      </c>
      <c r="C59" s="12">
        <f t="shared" si="15"/>
        <v>2.5190000000000001</v>
      </c>
      <c r="D59" s="12">
        <f t="shared" si="16"/>
        <v>4.0999999999999996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>
        <f>'Raw - 2025 PL'!B56/1000</f>
        <v>0</v>
      </c>
      <c r="S59" s="12">
        <f>'Raw - 2025 PL'!C56/1000</f>
        <v>0</v>
      </c>
      <c r="T59" s="12">
        <f>'Raw - 2025 PL'!D56/1000</f>
        <v>0</v>
      </c>
      <c r="U59" s="12">
        <f>'Raw - 2025 PL'!E56/1000</f>
        <v>0</v>
      </c>
      <c r="V59" s="12">
        <f>'Raw - 2025 PL'!F56/1000</f>
        <v>0</v>
      </c>
      <c r="W59" s="12">
        <f>'Raw - 2025 PL'!G56/1000</f>
        <v>0</v>
      </c>
      <c r="X59" s="12">
        <f>'Raw - 2025 PL'!H56/1000</f>
        <v>0</v>
      </c>
      <c r="Y59" s="12">
        <f>'Raw - 2025 PL'!I56/1000</f>
        <v>0</v>
      </c>
      <c r="Z59" s="12">
        <f>'Raw - 2025 PL'!J56/1000</f>
        <v>0</v>
      </c>
      <c r="AA59" s="12">
        <f>'Raw - 2025 PL'!K56/1000</f>
        <v>0</v>
      </c>
      <c r="AB59" s="12">
        <f>'Raw - 2025 PL'!L56/1000</f>
        <v>0</v>
      </c>
      <c r="AC59" s="12">
        <f>'Raw - 2025 PL'!M56/1000</f>
        <v>2.5190000000000001</v>
      </c>
      <c r="AD59" s="12">
        <f>'Raw - 2026 PL'!B55/1000</f>
        <v>0</v>
      </c>
      <c r="AE59" s="12">
        <f>'Raw - 2026 PL'!C55/1000</f>
        <v>0</v>
      </c>
      <c r="AF59" s="12">
        <f>'Raw - 2026 PL'!D55/1000</f>
        <v>1.55</v>
      </c>
      <c r="AG59" s="12">
        <f>'Raw - 2026 PL'!E55/1000</f>
        <v>0.52400000000000002</v>
      </c>
      <c r="AH59" s="12">
        <f>'Raw - 2026 PL'!F55/1000</f>
        <v>0.223</v>
      </c>
      <c r="AI59" s="12">
        <f>'Raw - 2026 PL'!G55/1000</f>
        <v>1.282</v>
      </c>
      <c r="AJ59" s="12">
        <f>'Raw - 2026 PL'!H55/1000</f>
        <v>0.52100000000000002</v>
      </c>
    </row>
    <row r="60" spans="1:36" x14ac:dyDescent="0.25">
      <c r="A60" s="17" t="s">
        <v>60</v>
      </c>
      <c r="B60" s="12">
        <f t="shared" si="14"/>
        <v>0.60000000000000009</v>
      </c>
      <c r="C60" s="12">
        <f t="shared" si="15"/>
        <v>3.1999999999999997</v>
      </c>
      <c r="D60" s="12">
        <f t="shared" si="16"/>
        <v>2.806</v>
      </c>
      <c r="F60" s="12">
        <f>'Raw - 2024 PL'!B44/1000</f>
        <v>0</v>
      </c>
      <c r="G60" s="12">
        <f>'Raw - 2024 PL'!C44/1000</f>
        <v>0</v>
      </c>
      <c r="H60" s="12">
        <f>'Raw - 2024 PL'!D44/1000</f>
        <v>0</v>
      </c>
      <c r="I60" s="12">
        <f>'Raw - 2024 PL'!E44/1000</f>
        <v>0</v>
      </c>
      <c r="J60" s="12">
        <f>'Raw - 2024 PL'!F44/1000</f>
        <v>0</v>
      </c>
      <c r="K60" s="12">
        <f>'Raw - 2024 PL'!G44/1000</f>
        <v>0</v>
      </c>
      <c r="L60" s="12">
        <f>'Raw - 2024 PL'!H44/1000</f>
        <v>0</v>
      </c>
      <c r="M60" s="12">
        <f>'Raw - 2024 PL'!I44/1000</f>
        <v>0</v>
      </c>
      <c r="N60" s="12">
        <f>'Raw - 2024 PL'!J44/1000</f>
        <v>0.2</v>
      </c>
      <c r="O60" s="12">
        <f>'Raw - 2024 PL'!K44/1000</f>
        <v>0.2</v>
      </c>
      <c r="P60" s="12">
        <f>'Raw - 2024 PL'!L44/1000</f>
        <v>0</v>
      </c>
      <c r="Q60" s="12">
        <f>'Raw - 2024 PL'!M44/1000</f>
        <v>0.2</v>
      </c>
      <c r="R60" s="12">
        <f>'Raw - 2025 PL'!B57/1000</f>
        <v>0</v>
      </c>
      <c r="S60" s="12">
        <f>'Raw - 2025 PL'!C57/1000</f>
        <v>0.4</v>
      </c>
      <c r="T60" s="12">
        <f>'Raw - 2025 PL'!D57/1000</f>
        <v>0.2</v>
      </c>
      <c r="U60" s="12">
        <f>'Raw - 2025 PL'!E57/1000</f>
        <v>0</v>
      </c>
      <c r="V60" s="12">
        <f>'Raw - 2025 PL'!F57/1000</f>
        <v>0.6</v>
      </c>
      <c r="W60" s="12">
        <f>'Raw - 2025 PL'!G57/1000</f>
        <v>0.2</v>
      </c>
      <c r="X60" s="12">
        <f>'Raw - 2025 PL'!H57/1000</f>
        <v>0.2</v>
      </c>
      <c r="Y60" s="12">
        <f>'Raw - 2025 PL'!I57/1000</f>
        <v>0</v>
      </c>
      <c r="Z60" s="12">
        <f>'Raw - 2025 PL'!J57/1000</f>
        <v>0.2</v>
      </c>
      <c r="AA60" s="12">
        <f>'Raw - 2025 PL'!K57/1000</f>
        <v>1</v>
      </c>
      <c r="AB60" s="12">
        <f>'Raw - 2025 PL'!L57/1000</f>
        <v>0</v>
      </c>
      <c r="AC60" s="12">
        <f>'Raw - 2025 PL'!M57/1000</f>
        <v>0.4</v>
      </c>
      <c r="AD60" s="12">
        <f>'Raw - 2026 PL'!B56/1000</f>
        <v>0.4</v>
      </c>
      <c r="AE60" s="12">
        <f>'Raw - 2026 PL'!C56/1000</f>
        <v>0.4</v>
      </c>
      <c r="AF60" s="12">
        <f>'Raw - 2026 PL'!D56/1000</f>
        <v>1.006</v>
      </c>
      <c r="AG60" s="12">
        <f>'Raw - 2026 PL'!E56/1000</f>
        <v>0</v>
      </c>
      <c r="AH60" s="12">
        <f>'Raw - 2026 PL'!F56/1000</f>
        <v>0</v>
      </c>
      <c r="AI60" s="12">
        <f>'Raw - 2026 PL'!G56/1000</f>
        <v>0.8</v>
      </c>
      <c r="AJ60" s="12">
        <f>'Raw - 2026 PL'!H56/1000</f>
        <v>0.2</v>
      </c>
    </row>
    <row r="61" spans="1:36" x14ac:dyDescent="0.25">
      <c r="A61" s="17" t="s">
        <v>61</v>
      </c>
      <c r="B61" s="12">
        <f t="shared" si="14"/>
        <v>0.26145000000000002</v>
      </c>
      <c r="C61" s="12">
        <f t="shared" si="15"/>
        <v>1.8979800000000002</v>
      </c>
      <c r="D61" s="12">
        <f t="shared" si="16"/>
        <v>2.6736</v>
      </c>
      <c r="F61" s="12">
        <f>'Raw - 2024 PL'!B45/1000</f>
        <v>0</v>
      </c>
      <c r="G61" s="12">
        <f>'Raw - 2024 PL'!C45/1000</f>
        <v>0</v>
      </c>
      <c r="H61" s="12">
        <f>'Raw - 2024 PL'!D45/1000</f>
        <v>0</v>
      </c>
      <c r="I61" s="12">
        <f>'Raw - 2024 PL'!E45/1000</f>
        <v>0</v>
      </c>
      <c r="J61" s="12">
        <f>'Raw - 2024 PL'!F45/1000</f>
        <v>0</v>
      </c>
      <c r="K61" s="12">
        <f>'Raw - 2024 PL'!G45/1000</f>
        <v>6.1450000000000005E-2</v>
      </c>
      <c r="L61" s="12">
        <f>'Raw - 2024 PL'!H45/1000</f>
        <v>0.1</v>
      </c>
      <c r="M61" s="12">
        <f>'Raw - 2024 PL'!I45/1000</f>
        <v>0</v>
      </c>
      <c r="N61" s="12">
        <f>'Raw - 2024 PL'!J45/1000</f>
        <v>0</v>
      </c>
      <c r="O61" s="12">
        <f>'Raw - 2024 PL'!K45/1000</f>
        <v>0.1</v>
      </c>
      <c r="P61" s="12">
        <f>'Raw - 2024 PL'!L45/1000</f>
        <v>0</v>
      </c>
      <c r="Q61" s="12">
        <f>'Raw - 2024 PL'!M45/1000</f>
        <v>0</v>
      </c>
      <c r="R61" s="12">
        <f>'Raw - 2025 PL'!B58/1000</f>
        <v>0</v>
      </c>
      <c r="S61" s="12">
        <f>'Raw - 2025 PL'!C58/1000</f>
        <v>3.4540000000000001E-2</v>
      </c>
      <c r="T61" s="12">
        <f>'Raw - 2025 PL'!D58/1000</f>
        <v>0</v>
      </c>
      <c r="U61" s="12">
        <f>'Raw - 2025 PL'!E58/1000</f>
        <v>0.1</v>
      </c>
      <c r="V61" s="12">
        <f>'Raw - 2025 PL'!F58/1000</f>
        <v>0</v>
      </c>
      <c r="W61" s="12">
        <f>'Raw - 2025 PL'!G58/1000</f>
        <v>3.5999999999999997E-2</v>
      </c>
      <c r="X61" s="12">
        <f>'Raw - 2025 PL'!H58/1000</f>
        <v>0.23630000000000001</v>
      </c>
      <c r="Y61" s="12">
        <f>'Raw - 2025 PL'!I58/1000</f>
        <v>1.0711400000000002</v>
      </c>
      <c r="Z61" s="12">
        <f>'Raw - 2025 PL'!J58/1000</f>
        <v>0.08</v>
      </c>
      <c r="AA61" s="12">
        <f>'Raw - 2025 PL'!K58/1000</f>
        <v>0.18</v>
      </c>
      <c r="AB61" s="12">
        <f>'Raw - 2025 PL'!L58/1000</f>
        <v>0.08</v>
      </c>
      <c r="AC61" s="12">
        <f>'Raw - 2025 PL'!M58/1000</f>
        <v>0.08</v>
      </c>
      <c r="AD61" s="12">
        <f>'Raw - 2026 PL'!B57/1000</f>
        <v>0.08</v>
      </c>
      <c r="AE61" s="12">
        <f>'Raw - 2026 PL'!C57/1000</f>
        <v>0.18</v>
      </c>
      <c r="AF61" s="12">
        <f>'Raw - 2026 PL'!D57/1000</f>
        <v>1.0049999999999999</v>
      </c>
      <c r="AG61" s="12">
        <f>'Raw - 2026 PL'!E57/1000</f>
        <v>0.18</v>
      </c>
      <c r="AH61" s="12">
        <f>'Raw - 2026 PL'!F57/1000</f>
        <v>0.14000000000000001</v>
      </c>
      <c r="AI61" s="12">
        <f>'Raw - 2026 PL'!G57/1000</f>
        <v>0.1986</v>
      </c>
      <c r="AJ61" s="12">
        <f>'Raw - 2026 PL'!H57/1000</f>
        <v>0.89</v>
      </c>
    </row>
    <row r="62" spans="1:36" x14ac:dyDescent="0.25">
      <c r="A62" s="17" t="s">
        <v>62</v>
      </c>
      <c r="B62" s="12">
        <f t="shared" si="14"/>
        <v>2.4960400000000003</v>
      </c>
      <c r="C62" s="12">
        <f t="shared" si="15"/>
        <v>2.7730700000000006</v>
      </c>
      <c r="D62" s="12">
        <f t="shared" si="16"/>
        <v>1.2637100000000001</v>
      </c>
      <c r="F62" s="12">
        <f>'Raw - 2024 PL'!B46/1000</f>
        <v>0</v>
      </c>
      <c r="G62" s="12">
        <f>'Raw - 2024 PL'!C46/1000</f>
        <v>0.62770000000000004</v>
      </c>
      <c r="H62" s="12">
        <f>'Raw - 2024 PL'!D46/1000</f>
        <v>0</v>
      </c>
      <c r="I62" s="12">
        <f>'Raw - 2024 PL'!E46/1000</f>
        <v>0.33889999999999998</v>
      </c>
      <c r="J62" s="12">
        <f>'Raw - 2024 PL'!F46/1000</f>
        <v>0.33889999999999998</v>
      </c>
      <c r="K62" s="12">
        <f>'Raw - 2024 PL'!G46/1000</f>
        <v>0</v>
      </c>
      <c r="L62" s="12">
        <f>'Raw - 2024 PL'!H46/1000</f>
        <v>0.33889999999999998</v>
      </c>
      <c r="M62" s="12">
        <f>'Raw - 2024 PL'!I46/1000</f>
        <v>0</v>
      </c>
      <c r="N62" s="12">
        <f>'Raw - 2024 PL'!J46/1000</f>
        <v>0.16944999999999999</v>
      </c>
      <c r="O62" s="12">
        <f>'Raw - 2024 PL'!K46/1000</f>
        <v>0.33889999999999998</v>
      </c>
      <c r="P62" s="12">
        <f>'Raw - 2024 PL'!L46/1000</f>
        <v>0</v>
      </c>
      <c r="Q62" s="12">
        <f>'Raw - 2024 PL'!M46/1000</f>
        <v>0.34329000000000004</v>
      </c>
      <c r="R62" s="12">
        <f>'Raw - 2025 PL'!B59/1000</f>
        <v>0.78724000000000005</v>
      </c>
      <c r="S62" s="12">
        <f>'Raw - 2025 PL'!C59/1000</f>
        <v>0.18053</v>
      </c>
      <c r="T62" s="12">
        <f>'Raw - 2025 PL'!D59/1000</f>
        <v>0.18053</v>
      </c>
      <c r="U62" s="12">
        <f>'Raw - 2025 PL'!E59/1000</f>
        <v>0.18053</v>
      </c>
      <c r="V62" s="12">
        <f>'Raw - 2025 PL'!F59/1000</f>
        <v>0.18053</v>
      </c>
      <c r="W62" s="12">
        <f>'Raw - 2025 PL'!G59/1000</f>
        <v>0.18053</v>
      </c>
      <c r="X62" s="12">
        <f>'Raw - 2025 PL'!H59/1000</f>
        <v>0.18053</v>
      </c>
      <c r="Y62" s="12">
        <f>'Raw - 2025 PL'!I59/1000</f>
        <v>0.18053</v>
      </c>
      <c r="Z62" s="12">
        <f>'Raw - 2025 PL'!J59/1000</f>
        <v>0.18053</v>
      </c>
      <c r="AA62" s="12">
        <f>'Raw - 2025 PL'!K59/1000</f>
        <v>0.18053</v>
      </c>
      <c r="AB62" s="12">
        <f>'Raw - 2025 PL'!L59/1000</f>
        <v>0.18053</v>
      </c>
      <c r="AC62" s="12">
        <f>'Raw - 2025 PL'!M59/1000</f>
        <v>0.18053</v>
      </c>
      <c r="AD62" s="12">
        <f>'Raw - 2026 PL'!B58/1000</f>
        <v>0.18053</v>
      </c>
      <c r="AE62" s="12">
        <f>'Raw - 2026 PL'!C58/1000</f>
        <v>0.18053</v>
      </c>
      <c r="AF62" s="12">
        <f>'Raw - 2026 PL'!D58/1000</f>
        <v>0.18053</v>
      </c>
      <c r="AG62" s="12">
        <f>'Raw - 2026 PL'!E58/1000</f>
        <v>0.18053</v>
      </c>
      <c r="AH62" s="12">
        <f>'Raw - 2026 PL'!F58/1000</f>
        <v>0.18053</v>
      </c>
      <c r="AI62" s="12">
        <f>'Raw - 2026 PL'!G58/1000</f>
        <v>0.18053</v>
      </c>
      <c r="AJ62" s="12">
        <f>'Raw - 2026 PL'!H58/1000</f>
        <v>0.18053</v>
      </c>
    </row>
    <row r="63" spans="1:36" x14ac:dyDescent="0.25">
      <c r="A63" s="18" t="s">
        <v>63</v>
      </c>
      <c r="B63" s="15">
        <f t="shared" si="14"/>
        <v>5.3740499999999995</v>
      </c>
      <c r="C63" s="15">
        <f t="shared" si="15"/>
        <v>19.23245</v>
      </c>
      <c r="D63" s="15">
        <f t="shared" si="16"/>
        <v>17.36251</v>
      </c>
      <c r="F63" s="15">
        <f t="shared" ref="F63:AJ63" si="17">SUM(F55,F56,F57,F58,F59,F60,F61,F62)</f>
        <v>0</v>
      </c>
      <c r="G63" s="15">
        <f t="shared" si="17"/>
        <v>0.62770000000000004</v>
      </c>
      <c r="H63" s="15">
        <f t="shared" si="17"/>
        <v>0</v>
      </c>
      <c r="I63" s="15">
        <f t="shared" si="17"/>
        <v>0.33889999999999998</v>
      </c>
      <c r="J63" s="15">
        <f t="shared" si="17"/>
        <v>0.33889999999999998</v>
      </c>
      <c r="K63" s="15">
        <f t="shared" si="17"/>
        <v>6.1450000000000005E-2</v>
      </c>
      <c r="L63" s="15">
        <f t="shared" si="17"/>
        <v>0.8619</v>
      </c>
      <c r="M63" s="15">
        <f t="shared" si="17"/>
        <v>0.35955999999999999</v>
      </c>
      <c r="N63" s="15">
        <f t="shared" si="17"/>
        <v>0.38744999999999996</v>
      </c>
      <c r="O63" s="15">
        <f t="shared" si="17"/>
        <v>0.69889999999999997</v>
      </c>
      <c r="P63" s="15">
        <f t="shared" si="17"/>
        <v>0.91699999999999993</v>
      </c>
      <c r="Q63" s="15">
        <f t="shared" si="17"/>
        <v>0.78229000000000004</v>
      </c>
      <c r="R63" s="15">
        <f t="shared" si="17"/>
        <v>0.93724000000000007</v>
      </c>
      <c r="S63" s="15">
        <f t="shared" si="17"/>
        <v>1.0310700000000002</v>
      </c>
      <c r="T63" s="15">
        <f t="shared" si="17"/>
        <v>0.66153000000000006</v>
      </c>
      <c r="U63" s="15">
        <f t="shared" si="17"/>
        <v>0.71452999999999989</v>
      </c>
      <c r="V63" s="15">
        <f t="shared" si="17"/>
        <v>2.2549300000000003</v>
      </c>
      <c r="W63" s="15">
        <f t="shared" si="17"/>
        <v>1.8615300000000001</v>
      </c>
      <c r="X63" s="15">
        <f t="shared" si="17"/>
        <v>1.5608300000000002</v>
      </c>
      <c r="Y63" s="15">
        <f t="shared" si="17"/>
        <v>1.7476700000000003</v>
      </c>
      <c r="Z63" s="15">
        <f t="shared" si="17"/>
        <v>0.90752999999999995</v>
      </c>
      <c r="AA63" s="15">
        <f t="shared" si="17"/>
        <v>2.5135300000000003</v>
      </c>
      <c r="AB63" s="15">
        <f t="shared" si="17"/>
        <v>1.0375300000000001</v>
      </c>
      <c r="AC63" s="15">
        <f t="shared" si="17"/>
        <v>4.0045299999999999</v>
      </c>
      <c r="AD63" s="15">
        <f t="shared" si="17"/>
        <v>1.5787300000000002</v>
      </c>
      <c r="AE63" s="15">
        <f t="shared" si="17"/>
        <v>1.1455300000000002</v>
      </c>
      <c r="AF63" s="15">
        <f t="shared" si="17"/>
        <v>5.1385300000000003</v>
      </c>
      <c r="AG63" s="15">
        <f t="shared" si="17"/>
        <v>1.92353</v>
      </c>
      <c r="AH63" s="15">
        <f t="shared" si="17"/>
        <v>1.46353</v>
      </c>
      <c r="AI63" s="15">
        <f t="shared" si="17"/>
        <v>3.4311299999999996</v>
      </c>
      <c r="AJ63" s="15">
        <f t="shared" si="17"/>
        <v>2.68153</v>
      </c>
    </row>
    <row r="64" spans="1:36" x14ac:dyDescent="0.25">
      <c r="A64" s="13" t="s">
        <v>64</v>
      </c>
      <c r="B64" s="12">
        <f t="shared" si="14"/>
        <v>101.37520000000001</v>
      </c>
      <c r="C64" s="12">
        <f t="shared" si="15"/>
        <v>281.24054000000001</v>
      </c>
      <c r="D64" s="12">
        <f t="shared" si="16"/>
        <v>357.27472</v>
      </c>
      <c r="F64" s="12">
        <f>'Raw - 2024 PL'!B48/1000</f>
        <v>3.0934599999999999</v>
      </c>
      <c r="G64" s="12">
        <f>'Raw - 2024 PL'!C48/1000</f>
        <v>4.6301699999999997</v>
      </c>
      <c r="H64" s="12">
        <f>'Raw - 2024 PL'!D48/1000</f>
        <v>4.3950699999999996</v>
      </c>
      <c r="I64" s="12">
        <f>'Raw - 2024 PL'!E48/1000</f>
        <v>5.8638699999999995</v>
      </c>
      <c r="J64" s="12">
        <f>'Raw - 2024 PL'!F48/1000</f>
        <v>7.3723299999999998</v>
      </c>
      <c r="K64" s="12">
        <f>'Raw - 2024 PL'!G48/1000</f>
        <v>4.9503999999999992</v>
      </c>
      <c r="L64" s="12">
        <f>'Raw - 2024 PL'!H48/1000</f>
        <v>4.9503999999999992</v>
      </c>
      <c r="M64" s="12">
        <f>'Raw - 2024 PL'!I48/1000</f>
        <v>4.7003500000000003</v>
      </c>
      <c r="N64" s="12">
        <f>'Raw - 2024 PL'!J48/1000</f>
        <v>4.9503999999999992</v>
      </c>
      <c r="O64" s="12">
        <f>'Raw - 2024 PL'!K48/1000</f>
        <v>5.9998699999999996</v>
      </c>
      <c r="P64" s="12">
        <f>'Raw - 2024 PL'!L48/1000</f>
        <v>26.028759999999998</v>
      </c>
      <c r="Q64" s="12">
        <f>'Raw - 2024 PL'!M48/1000</f>
        <v>24.44012</v>
      </c>
      <c r="R64" s="12">
        <f>'Raw - 2025 PL'!B61/1000</f>
        <v>21.052340000000001</v>
      </c>
      <c r="S64" s="12">
        <f>'Raw - 2025 PL'!C61/1000</f>
        <v>19.916029999999999</v>
      </c>
      <c r="T64" s="12">
        <f>'Raw - 2025 PL'!D61/1000</f>
        <v>11.743870000000001</v>
      </c>
      <c r="U64" s="12">
        <f>'Raw - 2025 PL'!E61/1000</f>
        <v>19.617919999999998</v>
      </c>
      <c r="V64" s="12">
        <f>'Raw - 2025 PL'!F61/1000</f>
        <v>20.669779999999999</v>
      </c>
      <c r="W64" s="12">
        <f>'Raw - 2025 PL'!G61/1000</f>
        <v>20.693900000000003</v>
      </c>
      <c r="X64" s="12">
        <f>'Raw - 2025 PL'!H61/1000</f>
        <v>22.602640000000001</v>
      </c>
      <c r="Y64" s="12">
        <f>'Raw - 2025 PL'!I61/1000</f>
        <v>19.961279999999999</v>
      </c>
      <c r="Z64" s="12">
        <f>'Raw - 2025 PL'!J61/1000</f>
        <v>27.605630000000001</v>
      </c>
      <c r="AA64" s="12">
        <f>'Raw - 2025 PL'!K61/1000</f>
        <v>34.185890000000001</v>
      </c>
      <c r="AB64" s="12">
        <f>'Raw - 2025 PL'!L61/1000</f>
        <v>29.731570000000001</v>
      </c>
      <c r="AC64" s="12">
        <f>'Raw - 2025 PL'!M61/1000</f>
        <v>33.459690000000002</v>
      </c>
      <c r="AD64" s="12">
        <f>'Raw - 2026 PL'!B60/1000</f>
        <v>36.253599999999999</v>
      </c>
      <c r="AE64" s="12">
        <f>'Raw - 2026 PL'!C60/1000</f>
        <v>33.607510000000005</v>
      </c>
      <c r="AF64" s="12">
        <f>'Raw - 2026 PL'!D60/1000</f>
        <v>57.199239999999996</v>
      </c>
      <c r="AG64" s="12">
        <f>'Raw - 2026 PL'!E60/1000</f>
        <v>58.245950000000001</v>
      </c>
      <c r="AH64" s="12">
        <f>'Raw - 2026 PL'!F60/1000</f>
        <v>54.069230000000005</v>
      </c>
      <c r="AI64" s="12">
        <f>'Raw - 2026 PL'!G60/1000</f>
        <v>60.003809999999994</v>
      </c>
      <c r="AJ64" s="12">
        <f>'Raw - 2026 PL'!H60/1000</f>
        <v>57.895379999999996</v>
      </c>
    </row>
    <row r="65" spans="1:36" x14ac:dyDescent="0.25">
      <c r="A65" s="13" t="s">
        <v>65</v>
      </c>
      <c r="B65" s="12">
        <f t="shared" si="14"/>
        <v>2.0899399999999999</v>
      </c>
      <c r="C65" s="12">
        <f t="shared" si="15"/>
        <v>2.6198199999999998</v>
      </c>
      <c r="D65" s="12">
        <f t="shared" si="16"/>
        <v>3.7097100000000003</v>
      </c>
      <c r="F65" s="12">
        <f>'Raw - 2024 PL'!B49/1000</f>
        <v>0.14746999999999999</v>
      </c>
      <c r="G65" s="12">
        <f>'Raw - 2024 PL'!C49/1000</f>
        <v>0.14746999999999999</v>
      </c>
      <c r="H65" s="12">
        <f>'Raw - 2024 PL'!D49/1000</f>
        <v>0.17755000000000001</v>
      </c>
      <c r="I65" s="12">
        <f>'Raw - 2024 PL'!E49/1000</f>
        <v>0.19166999999999998</v>
      </c>
      <c r="J65" s="12">
        <f>'Raw - 2024 PL'!F49/1000</f>
        <v>0.18013999999999999</v>
      </c>
      <c r="K65" s="12">
        <f>'Raw - 2024 PL'!G49/1000</f>
        <v>0.17621999999999999</v>
      </c>
      <c r="L65" s="12">
        <f>'Raw - 2024 PL'!H49/1000</f>
        <v>0.1762</v>
      </c>
      <c r="M65" s="12">
        <f>'Raw - 2024 PL'!I49/1000</f>
        <v>0.17621999999999999</v>
      </c>
      <c r="N65" s="12">
        <f>'Raw - 2024 PL'!J49/1000</f>
        <v>0.18712000000000001</v>
      </c>
      <c r="O65" s="12">
        <f>'Raw - 2024 PL'!K49/1000</f>
        <v>0.17743999999999999</v>
      </c>
      <c r="P65" s="12">
        <f>'Raw - 2024 PL'!L49/1000</f>
        <v>0.17621999999999999</v>
      </c>
      <c r="Q65" s="12">
        <f>'Raw - 2024 PL'!M49/1000</f>
        <v>0.17621999999999999</v>
      </c>
      <c r="R65" s="12">
        <f>'Raw - 2025 PL'!B62/1000</f>
        <v>0.17677999999999999</v>
      </c>
      <c r="S65" s="12">
        <f>'Raw - 2025 PL'!C62/1000</f>
        <v>0.20899000000000001</v>
      </c>
      <c r="T65" s="12">
        <f>'Raw - 2025 PL'!D62/1000</f>
        <v>0.18959999999999999</v>
      </c>
      <c r="U65" s="12">
        <f>'Raw - 2025 PL'!E62/1000</f>
        <v>0.1759</v>
      </c>
      <c r="V65" s="12">
        <f>'Raw - 2025 PL'!F62/1000</f>
        <v>0.23569999999999999</v>
      </c>
      <c r="W65" s="12">
        <f>'Raw - 2025 PL'!G62/1000</f>
        <v>0.22675999999999999</v>
      </c>
      <c r="X65" s="12">
        <f>'Raw - 2025 PL'!H62/1000</f>
        <v>0.22675999999999999</v>
      </c>
      <c r="Y65" s="12">
        <f>'Raw - 2025 PL'!I62/1000</f>
        <v>0.22675999999999999</v>
      </c>
      <c r="Z65" s="12">
        <f>'Raw - 2025 PL'!J62/1000</f>
        <v>0.24324999999999999</v>
      </c>
      <c r="AA65" s="12">
        <f>'Raw - 2025 PL'!K62/1000</f>
        <v>0.24228</v>
      </c>
      <c r="AB65" s="12">
        <f>'Raw - 2025 PL'!L62/1000</f>
        <v>0.23352000000000001</v>
      </c>
      <c r="AC65" s="12">
        <f>'Raw - 2025 PL'!M62/1000</f>
        <v>0.23352000000000001</v>
      </c>
      <c r="AD65" s="12">
        <f>'Raw - 2026 PL'!B61/1000</f>
        <v>0.22943</v>
      </c>
      <c r="AE65" s="12">
        <f>'Raw - 2026 PL'!C61/1000</f>
        <v>2.22858</v>
      </c>
      <c r="AF65" s="12">
        <f>'Raw - 2026 PL'!D61/1000</f>
        <v>0.25447999999999998</v>
      </c>
      <c r="AG65" s="12">
        <f>'Raw - 2026 PL'!E61/1000</f>
        <v>0.25563999999999998</v>
      </c>
      <c r="AH65" s="12">
        <f>'Raw - 2026 PL'!F61/1000</f>
        <v>0.26163999999999998</v>
      </c>
      <c r="AI65" s="12">
        <f>'Raw - 2026 PL'!G61/1000</f>
        <v>0.26183000000000001</v>
      </c>
      <c r="AJ65" s="12">
        <f>'Raw - 2026 PL'!H61/1000</f>
        <v>0.21811000000000003</v>
      </c>
    </row>
    <row r="66" spans="1:36" x14ac:dyDescent="0.25">
      <c r="A66" s="13" t="s">
        <v>66</v>
      </c>
      <c r="B66" s="12">
        <f t="shared" si="14"/>
        <v>0</v>
      </c>
      <c r="C66" s="12">
        <f t="shared" si="15"/>
        <v>0</v>
      </c>
      <c r="D66" s="12">
        <f t="shared" si="16"/>
        <v>0</v>
      </c>
      <c r="F66" s="12">
        <f>'Raw - 2024 PL'!B50/1000</f>
        <v>0</v>
      </c>
      <c r="G66" s="12">
        <f>'Raw - 2024 PL'!C50/1000</f>
        <v>0</v>
      </c>
      <c r="H66" s="12">
        <f>'Raw - 2024 PL'!D50/1000</f>
        <v>0</v>
      </c>
      <c r="I66" s="12">
        <f>'Raw - 2024 PL'!E50/1000</f>
        <v>0</v>
      </c>
      <c r="J66" s="12">
        <f>'Raw - 2024 PL'!F50/1000</f>
        <v>0</v>
      </c>
      <c r="K66" s="12">
        <f>'Raw - 2024 PL'!G50/1000</f>
        <v>0</v>
      </c>
      <c r="L66" s="12">
        <f>'Raw - 2024 PL'!H50/1000</f>
        <v>0</v>
      </c>
      <c r="M66" s="12">
        <f>'Raw - 2024 PL'!I50/1000</f>
        <v>0</v>
      </c>
      <c r="N66" s="12">
        <f>'Raw - 2024 PL'!J50/1000</f>
        <v>0</v>
      </c>
      <c r="O66" s="12">
        <f>'Raw - 2024 PL'!K50/1000</f>
        <v>0</v>
      </c>
      <c r="P66" s="12">
        <f>'Raw - 2024 PL'!L50/1000</f>
        <v>0</v>
      </c>
      <c r="Q66" s="12">
        <f>'Raw - 2024 PL'!M50/1000</f>
        <v>0</v>
      </c>
      <c r="R66" s="12">
        <f>'Raw - 2025 PL'!B63/1000</f>
        <v>0</v>
      </c>
      <c r="S66" s="12">
        <f>'Raw - 2025 PL'!C63/1000</f>
        <v>0</v>
      </c>
      <c r="T66" s="12">
        <f>'Raw - 2025 PL'!D63/1000</f>
        <v>0</v>
      </c>
      <c r="U66" s="12">
        <f>'Raw - 2025 PL'!E63/1000</f>
        <v>0</v>
      </c>
      <c r="V66" s="12">
        <f>'Raw - 2025 PL'!F63/1000</f>
        <v>0</v>
      </c>
      <c r="W66" s="12">
        <f>'Raw - 2025 PL'!G63/1000</f>
        <v>0</v>
      </c>
      <c r="X66" s="12">
        <f>'Raw - 2025 PL'!H63/1000</f>
        <v>0</v>
      </c>
      <c r="Y66" s="12">
        <f>'Raw - 2025 PL'!I63/1000</f>
        <v>0</v>
      </c>
      <c r="Z66" s="12">
        <f>'Raw - 2025 PL'!J63/1000</f>
        <v>0</v>
      </c>
      <c r="AA66" s="12">
        <f>'Raw - 2025 PL'!K63/1000</f>
        <v>0</v>
      </c>
      <c r="AB66" s="12">
        <f>'Raw - 2025 PL'!L63/1000</f>
        <v>0</v>
      </c>
      <c r="AC66" s="12">
        <f>'Raw - 2025 PL'!M63/1000</f>
        <v>0</v>
      </c>
      <c r="AD66" s="12">
        <f>'Raw - 2026 PL'!B62/1000</f>
        <v>0</v>
      </c>
      <c r="AE66" s="12">
        <f>'Raw - 2026 PL'!C62/1000</f>
        <v>0</v>
      </c>
      <c r="AF66" s="12">
        <f>'Raw - 2026 PL'!D62/1000</f>
        <v>0</v>
      </c>
      <c r="AG66" s="12">
        <f>'Raw - 2026 PL'!E62/1000</f>
        <v>0</v>
      </c>
      <c r="AH66" s="12">
        <f>'Raw - 2026 PL'!F62/1000</f>
        <v>0</v>
      </c>
      <c r="AI66" s="12">
        <f>'Raw - 2026 PL'!G62/1000</f>
        <v>0</v>
      </c>
      <c r="AJ66" s="12">
        <f>'Raw - 2026 PL'!H62/1000</f>
        <v>0</v>
      </c>
    </row>
    <row r="67" spans="1:36" x14ac:dyDescent="0.25">
      <c r="A67" s="17" t="s">
        <v>67</v>
      </c>
      <c r="B67" s="12">
        <f t="shared" si="14"/>
        <v>3.4925000000000002</v>
      </c>
      <c r="C67" s="12">
        <f t="shared" si="15"/>
        <v>1.4</v>
      </c>
      <c r="D67" s="12">
        <f t="shared" si="16"/>
        <v>0.95</v>
      </c>
      <c r="F67" s="12">
        <f>'Raw - 2024 PL'!B51/1000</f>
        <v>0</v>
      </c>
      <c r="G67" s="12">
        <f>'Raw - 2024 PL'!C51/1000</f>
        <v>0</v>
      </c>
      <c r="H67" s="12">
        <f>'Raw - 2024 PL'!D51/1000</f>
        <v>2.6</v>
      </c>
      <c r="I67" s="12">
        <f>'Raw - 2024 PL'!E51/1000</f>
        <v>0</v>
      </c>
      <c r="J67" s="12">
        <f>'Raw - 2024 PL'!F51/1000</f>
        <v>0</v>
      </c>
      <c r="K67" s="12">
        <f>'Raw - 2024 PL'!G51/1000</f>
        <v>0</v>
      </c>
      <c r="L67" s="12">
        <f>'Raw - 2024 PL'!H51/1000</f>
        <v>0</v>
      </c>
      <c r="M67" s="12">
        <f>'Raw - 2024 PL'!I51/1000</f>
        <v>0</v>
      </c>
      <c r="N67" s="12">
        <f>'Raw - 2024 PL'!J51/1000</f>
        <v>0.89249999999999996</v>
      </c>
      <c r="O67" s="12">
        <f>'Raw - 2024 PL'!K51/1000</f>
        <v>0</v>
      </c>
      <c r="P67" s="12">
        <f>'Raw - 2024 PL'!L51/1000</f>
        <v>0</v>
      </c>
      <c r="Q67" s="12">
        <f>'Raw - 2024 PL'!M51/1000</f>
        <v>0</v>
      </c>
      <c r="R67" s="12">
        <f>'Raw - 2025 PL'!B64/1000</f>
        <v>0</v>
      </c>
      <c r="S67" s="12">
        <f>'Raw - 2025 PL'!C64/1000</f>
        <v>0</v>
      </c>
      <c r="T67" s="12">
        <f>'Raw - 2025 PL'!D64/1000</f>
        <v>0</v>
      </c>
      <c r="U67" s="12">
        <f>'Raw - 2025 PL'!E64/1000</f>
        <v>1.4</v>
      </c>
      <c r="V67" s="12">
        <f>'Raw - 2025 PL'!F64/1000</f>
        <v>0</v>
      </c>
      <c r="W67" s="12">
        <f>'Raw - 2025 PL'!G64/1000</f>
        <v>0</v>
      </c>
      <c r="X67" s="12">
        <f>'Raw - 2025 PL'!H64/1000</f>
        <v>0</v>
      </c>
      <c r="Y67" s="12">
        <f>'Raw - 2025 PL'!I64/1000</f>
        <v>0</v>
      </c>
      <c r="Z67" s="12">
        <f>'Raw - 2025 PL'!J64/1000</f>
        <v>0</v>
      </c>
      <c r="AA67" s="12">
        <f>'Raw - 2025 PL'!K64/1000</f>
        <v>0</v>
      </c>
      <c r="AB67" s="12">
        <f>'Raw - 2025 PL'!L64/1000</f>
        <v>0</v>
      </c>
      <c r="AC67" s="12">
        <f>'Raw - 2025 PL'!M64/1000</f>
        <v>0</v>
      </c>
      <c r="AD67" s="12">
        <f>'Raw - 2026 PL'!B63/1000</f>
        <v>0</v>
      </c>
      <c r="AE67" s="12">
        <f>'Raw - 2026 PL'!C63/1000</f>
        <v>0</v>
      </c>
      <c r="AF67" s="12">
        <f>'Raw - 2026 PL'!D63/1000</f>
        <v>0.95</v>
      </c>
      <c r="AG67" s="12">
        <f>'Raw - 2026 PL'!E63/1000</f>
        <v>0</v>
      </c>
      <c r="AH67" s="12">
        <f>'Raw - 2026 PL'!F63/1000</f>
        <v>0</v>
      </c>
      <c r="AI67" s="12">
        <f>'Raw - 2026 PL'!G63/1000</f>
        <v>0</v>
      </c>
      <c r="AJ67" s="12">
        <f>'Raw - 2026 PL'!H63/1000</f>
        <v>0</v>
      </c>
    </row>
    <row r="68" spans="1:36" x14ac:dyDescent="0.25">
      <c r="A68" s="17" t="s">
        <v>68</v>
      </c>
      <c r="B68" s="12">
        <f t="shared" si="14"/>
        <v>18.234249999999999</v>
      </c>
      <c r="C68" s="12">
        <f t="shared" si="15"/>
        <v>27.040950000000002</v>
      </c>
      <c r="D68" s="12">
        <f t="shared" si="16"/>
        <v>57.55</v>
      </c>
      <c r="F68" s="12">
        <f>'Raw - 2024 PL'!B52/1000</f>
        <v>0</v>
      </c>
      <c r="G68" s="12">
        <f>'Raw - 2024 PL'!C52/1000</f>
        <v>1.1665000000000001</v>
      </c>
      <c r="H68" s="12">
        <f>'Raw - 2024 PL'!D52/1000</f>
        <v>1.1665000000000001</v>
      </c>
      <c r="I68" s="12">
        <f>'Raw - 2024 PL'!E52/1000</f>
        <v>1.1666700000000001</v>
      </c>
      <c r="J68" s="12">
        <f>'Raw - 2024 PL'!F52/1000</f>
        <v>1.1666700000000001</v>
      </c>
      <c r="K68" s="12">
        <f>'Raw - 2024 PL'!G52/1000</f>
        <v>2.6666599999999998</v>
      </c>
      <c r="L68" s="12">
        <f>'Raw - 2024 PL'!H52/1000</f>
        <v>1.1666700000000001</v>
      </c>
      <c r="M68" s="12">
        <f>'Raw - 2024 PL'!I52/1000</f>
        <v>1.1666700000000001</v>
      </c>
      <c r="N68" s="12">
        <f>'Raw - 2024 PL'!J52/1000</f>
        <v>3.0679099999999999</v>
      </c>
      <c r="O68" s="12">
        <f>'Raw - 2024 PL'!K52/1000</f>
        <v>1.1666700000000001</v>
      </c>
      <c r="P68" s="12">
        <f>'Raw - 2024 PL'!L52/1000</f>
        <v>2.1666699999999999</v>
      </c>
      <c r="Q68" s="12">
        <f>'Raw - 2024 PL'!M52/1000</f>
        <v>2.1666599999999998</v>
      </c>
      <c r="R68" s="12">
        <f>'Raw - 2025 PL'!B65/1000</f>
        <v>2.1666699999999999</v>
      </c>
      <c r="S68" s="12">
        <f>'Raw - 2025 PL'!C65/1000</f>
        <v>2.1666699999999999</v>
      </c>
      <c r="T68" s="12">
        <f>'Raw - 2025 PL'!D65/1000</f>
        <v>2.1666599999999998</v>
      </c>
      <c r="U68" s="12">
        <f>'Raw - 2025 PL'!E65/1000</f>
        <v>2.7606700000000002</v>
      </c>
      <c r="V68" s="12">
        <f>'Raw - 2025 PL'!F65/1000</f>
        <v>1.58667</v>
      </c>
      <c r="W68" s="12">
        <f>'Raw - 2025 PL'!G65/1000</f>
        <v>1.16666</v>
      </c>
      <c r="X68" s="12">
        <f>'Raw - 2025 PL'!H65/1000</f>
        <v>0</v>
      </c>
      <c r="Y68" s="12">
        <f>'Raw - 2025 PL'!I65/1000</f>
        <v>0.2</v>
      </c>
      <c r="Z68" s="12">
        <f>'Raw - 2025 PL'!J65/1000</f>
        <v>1.3269500000000001</v>
      </c>
      <c r="AA68" s="12">
        <f>'Raw - 2025 PL'!K65/1000</f>
        <v>0</v>
      </c>
      <c r="AB68" s="12">
        <f>'Raw - 2025 PL'!L65/1000</f>
        <v>6</v>
      </c>
      <c r="AC68" s="12">
        <f>'Raw - 2025 PL'!M65/1000</f>
        <v>7.5</v>
      </c>
      <c r="AD68" s="12">
        <f>'Raw - 2026 PL'!B64/1000</f>
        <v>0</v>
      </c>
      <c r="AE68" s="12">
        <f>'Raw - 2026 PL'!C64/1000</f>
        <v>0</v>
      </c>
      <c r="AF68" s="12">
        <f>'Raw - 2026 PL'!D64/1000</f>
        <v>6.6</v>
      </c>
      <c r="AG68" s="12">
        <f>'Raw - 2026 PL'!E64/1000</f>
        <v>14</v>
      </c>
      <c r="AH68" s="12">
        <f>'Raw - 2026 PL'!F64/1000</f>
        <v>18</v>
      </c>
      <c r="AI68" s="12">
        <f>'Raw - 2026 PL'!G64/1000</f>
        <v>0</v>
      </c>
      <c r="AJ68" s="12">
        <f>'Raw - 2026 PL'!H64/1000</f>
        <v>18.95</v>
      </c>
    </row>
    <row r="69" spans="1:36" x14ac:dyDescent="0.25">
      <c r="A69" s="17" t="s">
        <v>69</v>
      </c>
      <c r="B69" s="12">
        <f t="shared" si="14"/>
        <v>14.902050000000003</v>
      </c>
      <c r="C69" s="12">
        <f t="shared" si="15"/>
        <v>31.604100000000003</v>
      </c>
      <c r="D69" s="12">
        <f t="shared" si="16"/>
        <v>5.5646000000000004</v>
      </c>
      <c r="F69" s="12">
        <f>'Raw - 2024 PL'!B53/1000</f>
        <v>2.4920000000000001E-2</v>
      </c>
      <c r="G69" s="12">
        <f>'Raw - 2024 PL'!C53/1000</f>
        <v>1.0249200000000001</v>
      </c>
      <c r="H69" s="12">
        <f>'Raw - 2024 PL'!D53/1000</f>
        <v>1.0249200000000001</v>
      </c>
      <c r="I69" s="12">
        <f>'Raw - 2024 PL'!E53/1000</f>
        <v>1.22492</v>
      </c>
      <c r="J69" s="12">
        <f>'Raw - 2024 PL'!F53/1000</f>
        <v>1.0249200000000001</v>
      </c>
      <c r="K69" s="12">
        <f>'Raw - 2024 PL'!G53/1000</f>
        <v>1.5180199999999999</v>
      </c>
      <c r="L69" s="12">
        <f>'Raw - 2024 PL'!H53/1000</f>
        <v>2.0133100000000002</v>
      </c>
      <c r="M69" s="12">
        <f>'Raw - 2024 PL'!I53/1000</f>
        <v>1.6009</v>
      </c>
      <c r="N69" s="12">
        <f>'Raw - 2024 PL'!J53/1000</f>
        <v>1.58969</v>
      </c>
      <c r="O69" s="12">
        <f>'Raw - 2024 PL'!K53/1000</f>
        <v>1.12582</v>
      </c>
      <c r="P69" s="12">
        <f>'Raw - 2024 PL'!L53/1000</f>
        <v>1.4419900000000001</v>
      </c>
      <c r="Q69" s="12">
        <f>'Raw - 2024 PL'!M53/1000</f>
        <v>1.28772</v>
      </c>
      <c r="R69" s="12">
        <f>'Raw - 2025 PL'!B66/1000</f>
        <v>2.4129499999999999</v>
      </c>
      <c r="S69" s="12">
        <f>'Raw - 2025 PL'!C66/1000</f>
        <v>22.379300000000001</v>
      </c>
      <c r="T69" s="12">
        <f>'Raw - 2025 PL'!D66/1000</f>
        <v>0.72983000000000009</v>
      </c>
      <c r="U69" s="12">
        <f>'Raw - 2025 PL'!E66/1000</f>
        <v>0.59597</v>
      </c>
      <c r="V69" s="12">
        <f>'Raw - 2025 PL'!F66/1000</f>
        <v>0.87534000000000001</v>
      </c>
      <c r="W69" s="12">
        <f>'Raw - 2025 PL'!G66/1000</f>
        <v>0.52966999999999997</v>
      </c>
      <c r="X69" s="12">
        <f>'Raw - 2025 PL'!H66/1000</f>
        <v>0.77688000000000001</v>
      </c>
      <c r="Y69" s="12">
        <f>'Raw - 2025 PL'!I66/1000</f>
        <v>0.21671000000000001</v>
      </c>
      <c r="Z69" s="12">
        <f>'Raw - 2025 PL'!J66/1000</f>
        <v>0.74951999999999996</v>
      </c>
      <c r="AA69" s="12">
        <f>'Raw - 2025 PL'!K66/1000</f>
        <v>0.92573000000000005</v>
      </c>
      <c r="AB69" s="12">
        <f>'Raw - 2025 PL'!L66/1000</f>
        <v>0.66044000000000003</v>
      </c>
      <c r="AC69" s="12">
        <f>'Raw - 2025 PL'!M66/1000</f>
        <v>0.75175999999999998</v>
      </c>
      <c r="AD69" s="12">
        <f>'Raw - 2026 PL'!B65/1000</f>
        <v>0.82029999999999992</v>
      </c>
      <c r="AE69" s="12">
        <f>'Raw - 2026 PL'!C65/1000</f>
        <v>0.68046000000000006</v>
      </c>
      <c r="AF69" s="12">
        <f>'Raw - 2026 PL'!D65/1000</f>
        <v>0.77239000000000002</v>
      </c>
      <c r="AG69" s="12">
        <f>'Raw - 2026 PL'!E65/1000</f>
        <v>0.71608000000000005</v>
      </c>
      <c r="AH69" s="12">
        <f>'Raw - 2026 PL'!F65/1000</f>
        <v>0.64019999999999999</v>
      </c>
      <c r="AI69" s="12">
        <f>'Raw - 2026 PL'!G65/1000</f>
        <v>1.1353800000000001</v>
      </c>
      <c r="AJ69" s="12">
        <f>'Raw - 2026 PL'!H65/1000</f>
        <v>0.79979</v>
      </c>
    </row>
    <row r="70" spans="1:36" x14ac:dyDescent="0.25">
      <c r="A70" s="18" t="s">
        <v>70</v>
      </c>
      <c r="B70" s="15">
        <f t="shared" si="14"/>
        <v>36.628799999999998</v>
      </c>
      <c r="C70" s="15">
        <f t="shared" si="15"/>
        <v>60.045050000000003</v>
      </c>
      <c r="D70" s="15">
        <f t="shared" si="16"/>
        <v>64.064599999999999</v>
      </c>
      <c r="F70" s="15">
        <f t="shared" ref="F70:AJ70" si="18">SUM(F66,F67,F68,F69)</f>
        <v>2.4920000000000001E-2</v>
      </c>
      <c r="G70" s="15">
        <f t="shared" si="18"/>
        <v>2.1914199999999999</v>
      </c>
      <c r="H70" s="15">
        <f t="shared" si="18"/>
        <v>4.7914200000000005</v>
      </c>
      <c r="I70" s="15">
        <f t="shared" si="18"/>
        <v>2.3915899999999999</v>
      </c>
      <c r="J70" s="15">
        <f t="shared" si="18"/>
        <v>2.1915900000000001</v>
      </c>
      <c r="K70" s="15">
        <f t="shared" si="18"/>
        <v>4.1846800000000002</v>
      </c>
      <c r="L70" s="15">
        <f t="shared" si="18"/>
        <v>3.1799800000000005</v>
      </c>
      <c r="M70" s="15">
        <f t="shared" si="18"/>
        <v>2.7675700000000001</v>
      </c>
      <c r="N70" s="15">
        <f t="shared" si="18"/>
        <v>5.5501000000000005</v>
      </c>
      <c r="O70" s="15">
        <f t="shared" si="18"/>
        <v>2.2924899999999999</v>
      </c>
      <c r="P70" s="15">
        <f t="shared" si="18"/>
        <v>3.60866</v>
      </c>
      <c r="Q70" s="15">
        <f t="shared" si="18"/>
        <v>3.4543799999999996</v>
      </c>
      <c r="R70" s="15">
        <f t="shared" si="18"/>
        <v>4.5796200000000002</v>
      </c>
      <c r="S70" s="15">
        <f t="shared" si="18"/>
        <v>24.545970000000001</v>
      </c>
      <c r="T70" s="15">
        <f t="shared" si="18"/>
        <v>2.89649</v>
      </c>
      <c r="U70" s="15">
        <f t="shared" si="18"/>
        <v>4.75664</v>
      </c>
      <c r="V70" s="15">
        <f t="shared" si="18"/>
        <v>2.4620100000000003</v>
      </c>
      <c r="W70" s="15">
        <f t="shared" si="18"/>
        <v>1.6963300000000001</v>
      </c>
      <c r="X70" s="15">
        <f t="shared" si="18"/>
        <v>0.77688000000000001</v>
      </c>
      <c r="Y70" s="15">
        <f t="shared" si="18"/>
        <v>0.41671000000000002</v>
      </c>
      <c r="Z70" s="15">
        <f t="shared" si="18"/>
        <v>2.07647</v>
      </c>
      <c r="AA70" s="15">
        <f t="shared" si="18"/>
        <v>0.92573000000000005</v>
      </c>
      <c r="AB70" s="15">
        <f t="shared" si="18"/>
        <v>6.6604400000000004</v>
      </c>
      <c r="AC70" s="15">
        <f t="shared" si="18"/>
        <v>8.2517600000000009</v>
      </c>
      <c r="AD70" s="15">
        <f t="shared" si="18"/>
        <v>0.82029999999999992</v>
      </c>
      <c r="AE70" s="15">
        <f t="shared" si="18"/>
        <v>0.68046000000000006</v>
      </c>
      <c r="AF70" s="15">
        <f t="shared" si="18"/>
        <v>8.3223900000000004</v>
      </c>
      <c r="AG70" s="15">
        <f t="shared" si="18"/>
        <v>14.71608</v>
      </c>
      <c r="AH70" s="15">
        <f t="shared" si="18"/>
        <v>18.6402</v>
      </c>
      <c r="AI70" s="15">
        <f t="shared" si="18"/>
        <v>1.1353800000000001</v>
      </c>
      <c r="AJ70" s="15">
        <f t="shared" si="18"/>
        <v>19.749790000000001</v>
      </c>
    </row>
    <row r="71" spans="1:36" x14ac:dyDescent="0.25">
      <c r="A71" s="13" t="s">
        <v>71</v>
      </c>
      <c r="B71" s="12">
        <f t="shared" si="14"/>
        <v>3.1089799999999999</v>
      </c>
      <c r="C71" s="12">
        <f t="shared" si="15"/>
        <v>1.3864999999999998</v>
      </c>
      <c r="D71" s="12">
        <f t="shared" si="16"/>
        <v>0.71667999999999998</v>
      </c>
      <c r="F71" s="12">
        <f>'Raw - 2024 PL'!B55/1000</f>
        <v>0</v>
      </c>
      <c r="G71" s="12">
        <f>'Raw - 2024 PL'!C55/1000</f>
        <v>0</v>
      </c>
      <c r="H71" s="12">
        <f>'Raw - 2024 PL'!D55/1000</f>
        <v>0</v>
      </c>
      <c r="I71" s="12">
        <f>'Raw - 2024 PL'!E55/1000</f>
        <v>2.1589800000000001</v>
      </c>
      <c r="J71" s="12">
        <f>'Raw - 2024 PL'!F55/1000</f>
        <v>0</v>
      </c>
      <c r="K71" s="12">
        <f>'Raw - 2024 PL'!G55/1000</f>
        <v>0</v>
      </c>
      <c r="L71" s="12">
        <f>'Raw - 2024 PL'!H55/1000</f>
        <v>0</v>
      </c>
      <c r="M71" s="12">
        <f>'Raw - 2024 PL'!I55/1000</f>
        <v>0</v>
      </c>
      <c r="N71" s="12">
        <f>'Raw - 2024 PL'!J55/1000</f>
        <v>0</v>
      </c>
      <c r="O71" s="12">
        <f>'Raw - 2024 PL'!K55/1000</f>
        <v>0</v>
      </c>
      <c r="P71" s="12">
        <f>'Raw - 2024 PL'!L55/1000</f>
        <v>0</v>
      </c>
      <c r="Q71" s="12">
        <f>'Raw - 2024 PL'!M55/1000</f>
        <v>0.95</v>
      </c>
      <c r="R71" s="12">
        <f>'Raw - 2025 PL'!B68/1000</f>
        <v>2.997E-2</v>
      </c>
      <c r="S71" s="12">
        <f>'Raw - 2025 PL'!C68/1000</f>
        <v>0</v>
      </c>
      <c r="T71" s="12">
        <f>'Raw - 2025 PL'!D68/1000</f>
        <v>0.38208999999999999</v>
      </c>
      <c r="U71" s="12">
        <f>'Raw - 2025 PL'!E68/1000</f>
        <v>0</v>
      </c>
      <c r="V71" s="12">
        <f>'Raw - 2025 PL'!F68/1000</f>
        <v>0.56155999999999995</v>
      </c>
      <c r="W71" s="12">
        <f>'Raw - 2025 PL'!G68/1000</f>
        <v>0</v>
      </c>
      <c r="X71" s="12">
        <f>'Raw - 2025 PL'!H68/1000</f>
        <v>0</v>
      </c>
      <c r="Y71" s="12">
        <f>'Raw - 2025 PL'!I68/1000</f>
        <v>0.34999000000000002</v>
      </c>
      <c r="Z71" s="12">
        <f>'Raw - 2025 PL'!J68/1000</f>
        <v>0</v>
      </c>
      <c r="AA71" s="12">
        <f>'Raw - 2025 PL'!K68/1000</f>
        <v>0</v>
      </c>
      <c r="AB71" s="12">
        <f>'Raw - 2025 PL'!L68/1000</f>
        <v>0</v>
      </c>
      <c r="AC71" s="12">
        <f>'Raw - 2025 PL'!M68/1000</f>
        <v>6.2890000000000001E-2</v>
      </c>
      <c r="AD71" s="12">
        <f>'Raw - 2026 PL'!B67/1000</f>
        <v>4.0030000000000003E-2</v>
      </c>
      <c r="AE71" s="12">
        <f>'Raw - 2026 PL'!C67/1000</f>
        <v>2.1399999999999999E-2</v>
      </c>
      <c r="AF71" s="12">
        <f>'Raw - 2026 PL'!D67/1000</f>
        <v>0</v>
      </c>
      <c r="AG71" s="12">
        <f>'Raw - 2026 PL'!E67/1000</f>
        <v>5.7349999999999998E-2</v>
      </c>
      <c r="AH71" s="12">
        <f>'Raw - 2026 PL'!F67/1000</f>
        <v>0.47175</v>
      </c>
      <c r="AI71" s="12">
        <f>'Raw - 2026 PL'!G67/1000</f>
        <v>-1.4999999999999999E-2</v>
      </c>
      <c r="AJ71" s="12">
        <f>'Raw - 2026 PL'!H67/1000</f>
        <v>0.14115</v>
      </c>
    </row>
    <row r="72" spans="1:36" x14ac:dyDescent="0.25">
      <c r="A72" s="13" t="s">
        <v>72</v>
      </c>
      <c r="B72" s="12">
        <f t="shared" si="14"/>
        <v>6.4989999999999992E-2</v>
      </c>
      <c r="C72" s="12">
        <f t="shared" si="15"/>
        <v>0</v>
      </c>
      <c r="D72" s="12">
        <f t="shared" si="16"/>
        <v>0</v>
      </c>
      <c r="F72" s="12">
        <f>'Raw - 2024 PL'!B56/1000</f>
        <v>0</v>
      </c>
      <c r="G72" s="12">
        <f>'Raw - 2024 PL'!C56/1000</f>
        <v>0</v>
      </c>
      <c r="H72" s="12">
        <f>'Raw - 2024 PL'!D56/1000</f>
        <v>0</v>
      </c>
      <c r="I72" s="12">
        <f>'Raw - 2024 PL'!E56/1000</f>
        <v>0</v>
      </c>
      <c r="J72" s="12">
        <f>'Raw - 2024 PL'!F56/1000</f>
        <v>6.4989999999999992E-2</v>
      </c>
      <c r="K72" s="12">
        <f>'Raw - 2024 PL'!G56/1000</f>
        <v>0</v>
      </c>
      <c r="L72" s="12">
        <f>'Raw - 2024 PL'!H56/1000</f>
        <v>0</v>
      </c>
      <c r="M72" s="12">
        <f>'Raw - 2024 PL'!I56/1000</f>
        <v>0</v>
      </c>
      <c r="N72" s="12">
        <f>'Raw - 2024 PL'!J56/1000</f>
        <v>0</v>
      </c>
      <c r="O72" s="12">
        <f>'Raw - 2024 PL'!K56/1000</f>
        <v>0</v>
      </c>
      <c r="P72" s="12">
        <f>'Raw - 2024 PL'!L56/1000</f>
        <v>0</v>
      </c>
      <c r="Q72" s="12">
        <f>'Raw - 2024 PL'!M56/1000</f>
        <v>0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1:36" x14ac:dyDescent="0.25">
      <c r="A73" s="13" t="s">
        <v>73</v>
      </c>
      <c r="B73" s="12">
        <f t="shared" si="14"/>
        <v>1.75</v>
      </c>
      <c r="C73" s="12">
        <f t="shared" si="15"/>
        <v>0</v>
      </c>
      <c r="D73" s="12">
        <f t="shared" si="16"/>
        <v>0</v>
      </c>
      <c r="F73" s="12">
        <f>'Raw - 2024 PL'!B57/1000</f>
        <v>0</v>
      </c>
      <c r="G73" s="12">
        <f>'Raw - 2024 PL'!C57/1000</f>
        <v>0</v>
      </c>
      <c r="H73" s="12">
        <f>'Raw - 2024 PL'!D57/1000</f>
        <v>0</v>
      </c>
      <c r="I73" s="12">
        <f>'Raw - 2024 PL'!E57/1000</f>
        <v>1.75</v>
      </c>
      <c r="J73" s="12">
        <f>'Raw - 2024 PL'!F57/1000</f>
        <v>0</v>
      </c>
      <c r="K73" s="12">
        <f>'Raw - 2024 PL'!G57/1000</f>
        <v>0</v>
      </c>
      <c r="L73" s="12">
        <f>'Raw - 2024 PL'!H57/1000</f>
        <v>0</v>
      </c>
      <c r="M73" s="12">
        <f>'Raw - 2024 PL'!I57/1000</f>
        <v>0</v>
      </c>
      <c r="N73" s="12">
        <f>'Raw - 2024 PL'!J57/1000</f>
        <v>0</v>
      </c>
      <c r="O73" s="12">
        <f>'Raw - 2024 PL'!K57/1000</f>
        <v>0</v>
      </c>
      <c r="P73" s="12">
        <f>'Raw - 2024 PL'!L57/1000</f>
        <v>0</v>
      </c>
      <c r="Q73" s="12">
        <f>'Raw - 2024 PL'!M57/1000</f>
        <v>0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1:36" x14ac:dyDescent="0.25">
      <c r="A74" s="13" t="s">
        <v>74</v>
      </c>
      <c r="B74" s="12">
        <f t="shared" si="14"/>
        <v>0.48075999999999997</v>
      </c>
      <c r="C74" s="12">
        <f t="shared" si="15"/>
        <v>0.40106999999999998</v>
      </c>
      <c r="D74" s="12">
        <f t="shared" si="16"/>
        <v>0.39126999999999995</v>
      </c>
      <c r="F74" s="12">
        <f>'Raw - 2024 PL'!B58/1000</f>
        <v>5.2829999999999995E-2</v>
      </c>
      <c r="G74" s="12">
        <f>'Raw - 2024 PL'!C58/1000</f>
        <v>0.34499000000000002</v>
      </c>
      <c r="H74" s="12">
        <f>'Raw - 2024 PL'!D58/1000</f>
        <v>3.075E-2</v>
      </c>
      <c r="I74" s="12">
        <f>'Raw - 2024 PL'!E58/1000</f>
        <v>0</v>
      </c>
      <c r="J74" s="12">
        <f>'Raw - 2024 PL'!F58/1000</f>
        <v>0</v>
      </c>
      <c r="K74" s="12">
        <f>'Raw - 2024 PL'!G58/1000</f>
        <v>1.12E-2</v>
      </c>
      <c r="L74" s="12">
        <f>'Raw - 2024 PL'!H58/1000</f>
        <v>0</v>
      </c>
      <c r="M74" s="12">
        <f>'Raw - 2024 PL'!I58/1000</f>
        <v>0</v>
      </c>
      <c r="N74" s="12">
        <f>'Raw - 2024 PL'!J58/1000</f>
        <v>0</v>
      </c>
      <c r="O74" s="12">
        <f>'Raw - 2024 PL'!K58/1000</f>
        <v>6.0800000000000003E-3</v>
      </c>
      <c r="P74" s="12">
        <f>'Raw - 2024 PL'!L58/1000</f>
        <v>2.5000000000000001E-2</v>
      </c>
      <c r="Q74" s="12">
        <f>'Raw - 2024 PL'!M58/1000</f>
        <v>9.9100000000000004E-3</v>
      </c>
      <c r="R74" s="12">
        <f>'Raw - 2025 PL'!B69/1000</f>
        <v>2.9899999999999999E-2</v>
      </c>
      <c r="S74" s="12">
        <f>'Raw - 2025 PL'!C69/1000</f>
        <v>0.33999000000000001</v>
      </c>
      <c r="T74" s="12">
        <f>'Raw - 2025 PL'!D69/1000</f>
        <v>0</v>
      </c>
      <c r="U74" s="12">
        <f>'Raw - 2025 PL'!E69/1000</f>
        <v>1.0829999999999999E-2</v>
      </c>
      <c r="V74" s="12">
        <f>'Raw - 2025 PL'!F69/1000</f>
        <v>5.0000000000000001E-3</v>
      </c>
      <c r="W74" s="12">
        <f>'Raw - 2025 PL'!G69/1000</f>
        <v>-9.5500000000000012E-3</v>
      </c>
      <c r="X74" s="12">
        <f>'Raw - 2025 PL'!H69/1000</f>
        <v>0</v>
      </c>
      <c r="Y74" s="12">
        <f>'Raw - 2025 PL'!I69/1000</f>
        <v>0</v>
      </c>
      <c r="Z74" s="12">
        <f>'Raw - 2025 PL'!J69/1000</f>
        <v>0</v>
      </c>
      <c r="AA74" s="12">
        <f>'Raw - 2025 PL'!K69/1000</f>
        <v>2.1149999999999999E-2</v>
      </c>
      <c r="AB74" s="12">
        <f>'Raw - 2025 PL'!L69/1000</f>
        <v>3.7499999999999999E-3</v>
      </c>
      <c r="AC74" s="12">
        <f>'Raw - 2025 PL'!M69/1000</f>
        <v>0</v>
      </c>
      <c r="AD74" s="12">
        <f>'Raw - 2026 PL'!B68/1000</f>
        <v>7.4999999999999997E-3</v>
      </c>
      <c r="AE74" s="12">
        <f>'Raw - 2026 PL'!C68/1000</f>
        <v>0.12741</v>
      </c>
      <c r="AF74" s="12">
        <f>'Raw - 2026 PL'!D68/1000</f>
        <v>1.225E-2</v>
      </c>
      <c r="AG74" s="12">
        <f>'Raw - 2026 PL'!E68/1000</f>
        <v>2.2249999999999999E-2</v>
      </c>
      <c r="AH74" s="12">
        <f>'Raw - 2026 PL'!F68/1000</f>
        <v>0</v>
      </c>
      <c r="AI74" s="12">
        <f>'Raw - 2026 PL'!G68/1000</f>
        <v>0.21045</v>
      </c>
      <c r="AJ74" s="12">
        <f>'Raw - 2026 PL'!H68/1000</f>
        <v>1.141E-2</v>
      </c>
    </row>
    <row r="75" spans="1:36" x14ac:dyDescent="0.25">
      <c r="A75" s="13" t="s">
        <v>75</v>
      </c>
      <c r="B75" s="12">
        <f t="shared" si="14"/>
        <v>5.4433199999999999</v>
      </c>
      <c r="C75" s="12">
        <f t="shared" si="15"/>
        <v>11.22296</v>
      </c>
      <c r="D75" s="12">
        <f t="shared" si="16"/>
        <v>6.5788099999999998</v>
      </c>
      <c r="F75" s="12">
        <f>'Raw - 2024 PL'!B59/1000</f>
        <v>0.33417000000000002</v>
      </c>
      <c r="G75" s="12">
        <f>'Raw - 2024 PL'!C59/1000</f>
        <v>0.33417000000000002</v>
      </c>
      <c r="H75" s="12">
        <f>'Raw - 2024 PL'!D59/1000</f>
        <v>0.33417000000000002</v>
      </c>
      <c r="I75" s="12">
        <f>'Raw - 2024 PL'!E59/1000</f>
        <v>0.33417000000000002</v>
      </c>
      <c r="J75" s="12">
        <f>'Raw - 2024 PL'!F59/1000</f>
        <v>0.255</v>
      </c>
      <c r="K75" s="12">
        <f>'Raw - 2024 PL'!G59/1000</f>
        <v>0.255</v>
      </c>
      <c r="L75" s="12">
        <f>'Raw - 2024 PL'!H59/1000</f>
        <v>0.25496000000000002</v>
      </c>
      <c r="M75" s="12">
        <f>'Raw - 2024 PL'!I59/1000</f>
        <v>0.20499999999999999</v>
      </c>
      <c r="N75" s="12">
        <f>'Raw - 2024 PL'!J59/1000</f>
        <v>0.78416999999999992</v>
      </c>
      <c r="O75" s="12">
        <f>'Raw - 2024 PL'!K59/1000</f>
        <v>0.78416999999999992</v>
      </c>
      <c r="P75" s="12">
        <f>'Raw - 2024 PL'!L59/1000</f>
        <v>0.78416999999999992</v>
      </c>
      <c r="Q75" s="12">
        <f>'Raw - 2024 PL'!M59/1000</f>
        <v>0.78416999999999992</v>
      </c>
      <c r="R75" s="12">
        <f>'Raw - 2025 PL'!B70/1000</f>
        <v>0.78416999999999992</v>
      </c>
      <c r="S75" s="12">
        <f>'Raw - 2025 PL'!C70/1000</f>
        <v>0.78416999999999992</v>
      </c>
      <c r="T75" s="12">
        <f>'Raw - 2025 PL'!D70/1000</f>
        <v>0.78416999999999992</v>
      </c>
      <c r="U75" s="12">
        <f>'Raw - 2025 PL'!E70/1000</f>
        <v>0.78416999999999992</v>
      </c>
      <c r="V75" s="12">
        <f>'Raw - 2025 PL'!F70/1000</f>
        <v>0.78416999999999992</v>
      </c>
      <c r="W75" s="12">
        <f>'Raw - 2025 PL'!G70/1000</f>
        <v>0.78416999999999992</v>
      </c>
      <c r="X75" s="12">
        <f>'Raw - 2025 PL'!H70/1000</f>
        <v>1.4859800000000001</v>
      </c>
      <c r="Y75" s="12">
        <f>'Raw - 2025 PL'!I70/1000</f>
        <v>0.96329999999999993</v>
      </c>
      <c r="Z75" s="12">
        <f>'Raw - 2025 PL'!J70/1000</f>
        <v>0.98041999999999996</v>
      </c>
      <c r="AA75" s="12">
        <f>'Raw - 2025 PL'!K70/1000</f>
        <v>1.02942</v>
      </c>
      <c r="AB75" s="12">
        <f>'Raw - 2025 PL'!L70/1000</f>
        <v>1.02942</v>
      </c>
      <c r="AC75" s="12">
        <f>'Raw - 2025 PL'!M70/1000</f>
        <v>1.0294000000000001</v>
      </c>
      <c r="AD75" s="12">
        <f>'Raw - 2026 PL'!B69/1000</f>
        <v>0.93983000000000005</v>
      </c>
      <c r="AE75" s="12">
        <f>'Raw - 2026 PL'!C69/1000</f>
        <v>0.93983000000000005</v>
      </c>
      <c r="AF75" s="12">
        <f>'Raw - 2026 PL'!D69/1000</f>
        <v>0.93983000000000005</v>
      </c>
      <c r="AG75" s="12">
        <f>'Raw - 2026 PL'!E69/1000</f>
        <v>0.93983000000000005</v>
      </c>
      <c r="AH75" s="12">
        <f>'Raw - 2026 PL'!F69/1000</f>
        <v>0.93983000000000005</v>
      </c>
      <c r="AI75" s="12">
        <f>'Raw - 2026 PL'!G69/1000</f>
        <v>0.93983000000000005</v>
      </c>
      <c r="AJ75" s="12">
        <f>'Raw - 2026 PL'!H69/1000</f>
        <v>0.93983000000000005</v>
      </c>
    </row>
    <row r="76" spans="1:36" x14ac:dyDescent="0.25">
      <c r="A76" s="13" t="s">
        <v>76</v>
      </c>
      <c r="B76" s="12">
        <f t="shared" si="14"/>
        <v>0</v>
      </c>
      <c r="C76" s="12">
        <f t="shared" si="15"/>
        <v>0</v>
      </c>
      <c r="D76" s="12">
        <f t="shared" si="16"/>
        <v>6.52752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>
        <f>'Raw - 2026 PL'!B70/1000</f>
        <v>0.12</v>
      </c>
      <c r="AE76" s="12">
        <f>'Raw - 2026 PL'!C70/1000</f>
        <v>0.12</v>
      </c>
      <c r="AF76" s="12">
        <f>'Raw - 2026 PL'!D70/1000</f>
        <v>0.70165999999999995</v>
      </c>
      <c r="AG76" s="12">
        <f>'Raw - 2026 PL'!E70/1000</f>
        <v>2.20736</v>
      </c>
      <c r="AH76" s="12">
        <f>'Raw - 2026 PL'!F70/1000</f>
        <v>0.91486999999999996</v>
      </c>
      <c r="AI76" s="12">
        <f>'Raw - 2026 PL'!G70/1000</f>
        <v>1.1516500000000001</v>
      </c>
      <c r="AJ76" s="12">
        <f>'Raw - 2026 PL'!H70/1000</f>
        <v>1.3119799999999999</v>
      </c>
    </row>
    <row r="77" spans="1:36" x14ac:dyDescent="0.25">
      <c r="A77" s="13" t="s">
        <v>77</v>
      </c>
      <c r="B77" s="12">
        <f t="shared" si="14"/>
        <v>60.915939999999999</v>
      </c>
      <c r="C77" s="12">
        <f t="shared" si="15"/>
        <v>117.05866</v>
      </c>
      <c r="D77" s="12">
        <f t="shared" si="16"/>
        <v>97.04798000000001</v>
      </c>
      <c r="F77" s="12">
        <f>'Raw - 2024 PL'!B60/1000</f>
        <v>3.4528499999999998</v>
      </c>
      <c r="G77" s="12">
        <f>'Raw - 2024 PL'!C60/1000</f>
        <v>3.6175300000000004</v>
      </c>
      <c r="H77" s="12">
        <f>'Raw - 2024 PL'!D60/1000</f>
        <v>3.9740700000000002</v>
      </c>
      <c r="I77" s="12">
        <f>'Raw - 2024 PL'!E60/1000</f>
        <v>4.2236499999999992</v>
      </c>
      <c r="J77" s="12">
        <f>'Raw - 2024 PL'!F60/1000</f>
        <v>5.0972499999999998</v>
      </c>
      <c r="K77" s="12">
        <f>'Raw - 2024 PL'!G60/1000</f>
        <v>5.3335100000000004</v>
      </c>
      <c r="L77" s="12">
        <f>'Raw - 2024 PL'!H60/1000</f>
        <v>5.5136899999999995</v>
      </c>
      <c r="M77" s="12">
        <f>'Raw - 2024 PL'!I60/1000</f>
        <v>5.2316899999999995</v>
      </c>
      <c r="N77" s="12">
        <f>'Raw - 2024 PL'!J60/1000</f>
        <v>5.5162200000000006</v>
      </c>
      <c r="O77" s="12">
        <f>'Raw - 2024 PL'!K60/1000</f>
        <v>6.1279700000000004</v>
      </c>
      <c r="P77" s="12">
        <f>'Raw - 2024 PL'!L60/1000</f>
        <v>6.15097</v>
      </c>
      <c r="Q77" s="12">
        <f>'Raw - 2024 PL'!M60/1000</f>
        <v>6.6765400000000001</v>
      </c>
      <c r="R77" s="12">
        <f>'Raw - 2025 PL'!B71/1000</f>
        <v>7.7464599999999999</v>
      </c>
      <c r="S77" s="12">
        <f>'Raw - 2025 PL'!C71/1000</f>
        <v>7.8918100000000004</v>
      </c>
      <c r="T77" s="12">
        <f>'Raw - 2025 PL'!D71/1000</f>
        <v>7.8908500000000004</v>
      </c>
      <c r="U77" s="12">
        <f>'Raw - 2025 PL'!E71/1000</f>
        <v>7.8346299999999998</v>
      </c>
      <c r="V77" s="12">
        <f>'Raw - 2025 PL'!F71/1000</f>
        <v>8.1172299999999993</v>
      </c>
      <c r="W77" s="12">
        <f>'Raw - 2025 PL'!G71/1000</f>
        <v>8.3458400000000008</v>
      </c>
      <c r="X77" s="12">
        <f>'Raw - 2025 PL'!H71/1000</f>
        <v>8.9846800000000009</v>
      </c>
      <c r="Y77" s="12">
        <f>'Raw - 2025 PL'!I71/1000</f>
        <v>9.8566000000000003</v>
      </c>
      <c r="Z77" s="12">
        <f>'Raw - 2025 PL'!J71/1000</f>
        <v>10.73391</v>
      </c>
      <c r="AA77" s="12">
        <f>'Raw - 2025 PL'!K71/1000</f>
        <v>12.08939</v>
      </c>
      <c r="AB77" s="12">
        <f>'Raw - 2025 PL'!L71/1000</f>
        <v>13.14583</v>
      </c>
      <c r="AC77" s="12">
        <f>'Raw - 2025 PL'!M71/1000</f>
        <v>14.421430000000001</v>
      </c>
      <c r="AD77" s="12">
        <f>'Raw - 2026 PL'!B71/1000</f>
        <v>13.263159999999999</v>
      </c>
      <c r="AE77" s="12">
        <f>'Raw - 2026 PL'!C71/1000</f>
        <v>14.7201</v>
      </c>
      <c r="AF77" s="12">
        <f>'Raw - 2026 PL'!D71/1000</f>
        <v>14.99072</v>
      </c>
      <c r="AG77" s="12">
        <f>'Raw - 2026 PL'!E71/1000</f>
        <v>14.744590000000001</v>
      </c>
      <c r="AH77" s="12">
        <f>'Raw - 2026 PL'!F71/1000</f>
        <v>13.229200000000001</v>
      </c>
      <c r="AI77" s="12">
        <f>'Raw - 2026 PL'!G71/1000</f>
        <v>13.114990000000001</v>
      </c>
      <c r="AJ77" s="12">
        <f>'Raw - 2026 PL'!H71/1000</f>
        <v>12.98522</v>
      </c>
    </row>
    <row r="78" spans="1:36" x14ac:dyDescent="0.25">
      <c r="A78" s="13" t="s">
        <v>78</v>
      </c>
      <c r="B78" s="12">
        <f t="shared" si="14"/>
        <v>0.10199999999999999</v>
      </c>
      <c r="C78" s="12">
        <f t="shared" si="15"/>
        <v>0.5</v>
      </c>
      <c r="D78" s="12">
        <f t="shared" si="16"/>
        <v>0.52300000000000002</v>
      </c>
      <c r="F78" s="12">
        <f>'Raw - 2024 PL'!B61/1000</f>
        <v>0</v>
      </c>
      <c r="G78" s="12">
        <f>'Raw - 2024 PL'!C61/1000</f>
        <v>0</v>
      </c>
      <c r="H78" s="12">
        <f>'Raw - 2024 PL'!D61/1000</f>
        <v>0.10199999999999999</v>
      </c>
      <c r="I78" s="12">
        <f>'Raw - 2024 PL'!E61/1000</f>
        <v>0</v>
      </c>
      <c r="J78" s="12">
        <f>'Raw - 2024 PL'!F61/1000</f>
        <v>0</v>
      </c>
      <c r="K78" s="12">
        <f>'Raw - 2024 PL'!G61/1000</f>
        <v>0</v>
      </c>
      <c r="L78" s="12">
        <f>'Raw - 2024 PL'!H61/1000</f>
        <v>0</v>
      </c>
      <c r="M78" s="12">
        <f>'Raw - 2024 PL'!I61/1000</f>
        <v>0</v>
      </c>
      <c r="N78" s="12">
        <f>'Raw - 2024 PL'!J61/1000</f>
        <v>0</v>
      </c>
      <c r="O78" s="12">
        <f>'Raw - 2024 PL'!K61/1000</f>
        <v>0</v>
      </c>
      <c r="P78" s="12">
        <f>'Raw - 2024 PL'!L61/1000</f>
        <v>0</v>
      </c>
      <c r="Q78" s="12">
        <f>'Raw - 2024 PL'!M61/1000</f>
        <v>0</v>
      </c>
      <c r="R78" s="12">
        <f>'Raw - 2025 PL'!B72/1000</f>
        <v>0.10199999999999999</v>
      </c>
      <c r="S78" s="12">
        <f>'Raw - 2025 PL'!C72/1000</f>
        <v>0</v>
      </c>
      <c r="T78" s="12">
        <f>'Raw - 2025 PL'!D72/1000</f>
        <v>0</v>
      </c>
      <c r="U78" s="12">
        <f>'Raw - 2025 PL'!E72/1000</f>
        <v>0.39800000000000002</v>
      </c>
      <c r="V78" s="12">
        <f>'Raw - 2025 PL'!F72/1000</f>
        <v>0</v>
      </c>
      <c r="W78" s="12">
        <f>'Raw - 2025 PL'!G72/1000</f>
        <v>0</v>
      </c>
      <c r="X78" s="12">
        <f>'Raw - 2025 PL'!H72/1000</f>
        <v>0</v>
      </c>
      <c r="Y78" s="12">
        <f>'Raw - 2025 PL'!I72/1000</f>
        <v>0</v>
      </c>
      <c r="Z78" s="12">
        <f>'Raw - 2025 PL'!J72/1000</f>
        <v>0</v>
      </c>
      <c r="AA78" s="12">
        <f>'Raw - 2025 PL'!K72/1000</f>
        <v>0</v>
      </c>
      <c r="AB78" s="12">
        <f>'Raw - 2025 PL'!L72/1000</f>
        <v>0</v>
      </c>
      <c r="AC78" s="12">
        <f>'Raw - 2025 PL'!M72/1000</f>
        <v>0</v>
      </c>
      <c r="AD78" s="12">
        <f>'Raw - 2026 PL'!B72/1000</f>
        <v>0</v>
      </c>
      <c r="AE78" s="12">
        <f>'Raw - 2026 PL'!C72/1000</f>
        <v>0.10199999999999999</v>
      </c>
      <c r="AF78" s="12">
        <f>'Raw - 2026 PL'!D72/1000</f>
        <v>0.40100000000000002</v>
      </c>
      <c r="AG78" s="12">
        <f>'Raw - 2026 PL'!E72/1000</f>
        <v>5.0000000000000001E-3</v>
      </c>
      <c r="AH78" s="12">
        <f>'Raw - 2026 PL'!F72/1000</f>
        <v>5.0000000000000001E-3</v>
      </c>
      <c r="AI78" s="12">
        <f>'Raw - 2026 PL'!G72/1000</f>
        <v>5.0000000000000001E-3</v>
      </c>
      <c r="AJ78" s="12">
        <f>'Raw - 2026 PL'!H72/1000</f>
        <v>5.0000000000000001E-3</v>
      </c>
    </row>
    <row r="79" spans="1:36" x14ac:dyDescent="0.25">
      <c r="A79" s="13" t="s">
        <v>79</v>
      </c>
      <c r="B79" s="12">
        <f t="shared" si="14"/>
        <v>1.0598299999999998</v>
      </c>
      <c r="C79" s="12">
        <f t="shared" si="15"/>
        <v>3.2913300000000008</v>
      </c>
      <c r="D79" s="12">
        <f t="shared" si="16"/>
        <v>1.9429999999999996</v>
      </c>
      <c r="F79" s="12">
        <f>'Raw - 2024 PL'!B62/1000</f>
        <v>8.5000000000000006E-2</v>
      </c>
      <c r="G79" s="12">
        <f>'Raw - 2024 PL'!C62/1000</f>
        <v>8.5000000000000006E-2</v>
      </c>
      <c r="H79" s="12">
        <f>'Raw - 2024 PL'!D62/1000</f>
        <v>9.7000000000000003E-2</v>
      </c>
      <c r="I79" s="12">
        <f>'Raw - 2024 PL'!E62/1000</f>
        <v>0.11283</v>
      </c>
      <c r="J79" s="12">
        <f>'Raw - 2024 PL'!F62/1000</f>
        <v>8.5000000000000006E-2</v>
      </c>
      <c r="K79" s="12">
        <f>'Raw - 2024 PL'!G62/1000</f>
        <v>8.5000000000000006E-2</v>
      </c>
      <c r="L79" s="12">
        <f>'Raw - 2024 PL'!H62/1000</f>
        <v>8.5000000000000006E-2</v>
      </c>
      <c r="M79" s="12">
        <f>'Raw - 2024 PL'!I62/1000</f>
        <v>8.5000000000000006E-2</v>
      </c>
      <c r="N79" s="12">
        <f>'Raw - 2024 PL'!J62/1000</f>
        <v>8.5000000000000006E-2</v>
      </c>
      <c r="O79" s="12">
        <f>'Raw - 2024 PL'!K62/1000</f>
        <v>8.5000000000000006E-2</v>
      </c>
      <c r="P79" s="12">
        <f>'Raw - 2024 PL'!L62/1000</f>
        <v>8.5000000000000006E-2</v>
      </c>
      <c r="Q79" s="12">
        <f>'Raw - 2024 PL'!M62/1000</f>
        <v>8.5000000000000006E-2</v>
      </c>
      <c r="R79" s="12">
        <f>'Raw - 2025 PL'!B73/1000</f>
        <v>8.5000000000000006E-2</v>
      </c>
      <c r="S79" s="12">
        <f>'Raw - 2025 PL'!C73/1000</f>
        <v>9.4489999999999991E-2</v>
      </c>
      <c r="T79" s="12">
        <f>'Raw - 2025 PL'!D73/1000</f>
        <v>0.82489000000000001</v>
      </c>
      <c r="U79" s="12">
        <f>'Raw - 2025 PL'!E73/1000</f>
        <v>0.253</v>
      </c>
      <c r="V79" s="12">
        <f>'Raw - 2025 PL'!F73/1000</f>
        <v>0.26294999999999996</v>
      </c>
      <c r="W79" s="12">
        <f>'Raw - 2025 PL'!G73/1000</f>
        <v>0.253</v>
      </c>
      <c r="X79" s="12">
        <f>'Raw - 2025 PL'!H73/1000</f>
        <v>0.253</v>
      </c>
      <c r="Y79" s="12">
        <f>'Raw - 2025 PL'!I73/1000</f>
        <v>0.253</v>
      </c>
      <c r="Z79" s="12">
        <f>'Raw - 2025 PL'!J73/1000</f>
        <v>0.253</v>
      </c>
      <c r="AA79" s="12">
        <f>'Raw - 2025 PL'!K73/1000</f>
        <v>0.253</v>
      </c>
      <c r="AB79" s="12">
        <f>'Raw - 2025 PL'!L73/1000</f>
        <v>0.253</v>
      </c>
      <c r="AC79" s="12">
        <f>'Raw - 2025 PL'!M73/1000</f>
        <v>0.253</v>
      </c>
      <c r="AD79" s="12">
        <f>'Raw - 2026 PL'!B73/1000</f>
        <v>0.253</v>
      </c>
      <c r="AE79" s="12">
        <f>'Raw - 2026 PL'!C73/1000</f>
        <v>0.255</v>
      </c>
      <c r="AF79" s="12">
        <f>'Raw - 2026 PL'!D73/1000</f>
        <v>0.28299999999999997</v>
      </c>
      <c r="AG79" s="12">
        <f>'Raw - 2026 PL'!E73/1000</f>
        <v>0.28299999999999997</v>
      </c>
      <c r="AH79" s="12">
        <f>'Raw - 2026 PL'!F73/1000</f>
        <v>0.28299999999999997</v>
      </c>
      <c r="AI79" s="12">
        <f>'Raw - 2026 PL'!G73/1000</f>
        <v>0.29299999999999998</v>
      </c>
      <c r="AJ79" s="12">
        <f>'Raw - 2026 PL'!H73/1000</f>
        <v>0.29299999999999998</v>
      </c>
    </row>
    <row r="80" spans="1:36" x14ac:dyDescent="0.25">
      <c r="A80" s="14" t="s">
        <v>80</v>
      </c>
      <c r="B80" s="15">
        <f t="shared" si="14"/>
        <v>218.54169999999999</v>
      </c>
      <c r="C80" s="15">
        <f t="shared" si="15"/>
        <v>501.46443000000005</v>
      </c>
      <c r="D80" s="15">
        <f t="shared" si="16"/>
        <v>559.2684099999999</v>
      </c>
      <c r="F80" s="15">
        <f t="shared" ref="F80:AJ80" si="19">SUM(F51,F52,F53,F54,F63,F64,F65,F70,F71,F72,F73,F74,F75,F76,F77,F78,F79)</f>
        <v>7.1917</v>
      </c>
      <c r="G80" s="15">
        <f t="shared" si="19"/>
        <v>11.979450000000002</v>
      </c>
      <c r="H80" s="15">
        <f t="shared" si="19"/>
        <v>13.903029999999999</v>
      </c>
      <c r="I80" s="15">
        <f t="shared" si="19"/>
        <v>17.461659999999998</v>
      </c>
      <c r="J80" s="15">
        <f t="shared" si="19"/>
        <v>15.587199999999999</v>
      </c>
      <c r="K80" s="15">
        <f t="shared" si="19"/>
        <v>15.058460000000002</v>
      </c>
      <c r="L80" s="15">
        <f t="shared" si="19"/>
        <v>15.027760000000001</v>
      </c>
      <c r="M80" s="15">
        <f t="shared" si="19"/>
        <v>13.526389999999999</v>
      </c>
      <c r="N80" s="15">
        <f t="shared" si="19"/>
        <v>17.461460000000002</v>
      </c>
      <c r="O80" s="15">
        <f t="shared" si="19"/>
        <v>16.176090000000002</v>
      </c>
      <c r="P80" s="15">
        <f t="shared" si="19"/>
        <v>37.785199999999996</v>
      </c>
      <c r="Q80" s="15">
        <f t="shared" si="19"/>
        <v>37.383300000000006</v>
      </c>
      <c r="R80" s="15">
        <f t="shared" si="19"/>
        <v>35.660919999999997</v>
      </c>
      <c r="S80" s="15">
        <f t="shared" si="19"/>
        <v>54.934660000000008</v>
      </c>
      <c r="T80" s="15">
        <f t="shared" si="19"/>
        <v>25.416990000000002</v>
      </c>
      <c r="U80" s="15">
        <f t="shared" si="19"/>
        <v>36.794609999999999</v>
      </c>
      <c r="V80" s="15">
        <f t="shared" si="19"/>
        <v>35.454629999999995</v>
      </c>
      <c r="W80" s="15">
        <f t="shared" si="19"/>
        <v>33.921579999999999</v>
      </c>
      <c r="X80" s="15">
        <f t="shared" si="19"/>
        <v>36.037970000000001</v>
      </c>
      <c r="Y80" s="15">
        <f t="shared" si="19"/>
        <v>33.885109999999997</v>
      </c>
      <c r="Z80" s="15">
        <f t="shared" si="19"/>
        <v>42.916809999999998</v>
      </c>
      <c r="AA80" s="15">
        <f t="shared" si="19"/>
        <v>52.190370000000009</v>
      </c>
      <c r="AB80" s="15">
        <f t="shared" si="19"/>
        <v>52.220860000000002</v>
      </c>
      <c r="AC80" s="15">
        <f t="shared" si="19"/>
        <v>62.029920000000004</v>
      </c>
      <c r="AD80" s="15">
        <f t="shared" si="19"/>
        <v>54.452359999999999</v>
      </c>
      <c r="AE80" s="15">
        <f t="shared" si="19"/>
        <v>54.972259999999999</v>
      </c>
      <c r="AF80" s="15">
        <f t="shared" si="19"/>
        <v>88.413749999999993</v>
      </c>
      <c r="AG80" s="15">
        <f t="shared" si="19"/>
        <v>93.723619999999997</v>
      </c>
      <c r="AH80" s="15">
        <f t="shared" si="19"/>
        <v>90.461100000000002</v>
      </c>
      <c r="AI80" s="15">
        <f t="shared" si="19"/>
        <v>80.709770000000006</v>
      </c>
      <c r="AJ80" s="15">
        <f t="shared" si="19"/>
        <v>96.535550000000001</v>
      </c>
    </row>
    <row r="81" spans="1:36" x14ac:dyDescent="0.25">
      <c r="A81" s="11" t="s">
        <v>81</v>
      </c>
      <c r="B81" s="12">
        <f t="shared" si="14"/>
        <v>0</v>
      </c>
      <c r="C81" s="12">
        <f t="shared" si="15"/>
        <v>90.66704</v>
      </c>
      <c r="D81" s="12">
        <f t="shared" si="16"/>
        <v>63.143019999999993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>
        <f>'Raw - 2025 PL'!B75/1000</f>
        <v>0</v>
      </c>
      <c r="S81" s="12">
        <f>'Raw - 2025 PL'!C75/1000</f>
        <v>0</v>
      </c>
      <c r="T81" s="12">
        <f>'Raw - 2025 PL'!D75/1000</f>
        <v>8.90639</v>
      </c>
      <c r="U81" s="12">
        <f>'Raw - 2025 PL'!E75/1000</f>
        <v>9.2332299999999989</v>
      </c>
      <c r="V81" s="12">
        <f>'Raw - 2025 PL'!F75/1000</f>
        <v>9.1088400000000007</v>
      </c>
      <c r="W81" s="12">
        <f>'Raw - 2025 PL'!G75/1000</f>
        <v>8.6947900000000011</v>
      </c>
      <c r="X81" s="12">
        <f>'Raw - 2025 PL'!H75/1000</f>
        <v>9.5228700000000011</v>
      </c>
      <c r="Y81" s="12">
        <f>'Raw - 2025 PL'!I75/1000</f>
        <v>8.6948100000000004</v>
      </c>
      <c r="Z81" s="12">
        <f>'Raw - 2025 PL'!J75/1000</f>
        <v>9.1088400000000007</v>
      </c>
      <c r="AA81" s="12">
        <f>'Raw - 2025 PL'!K75/1000</f>
        <v>9.5228700000000011</v>
      </c>
      <c r="AB81" s="12">
        <f>'Raw - 2025 PL'!L75/1000</f>
        <v>8.2807600000000008</v>
      </c>
      <c r="AC81" s="12">
        <f>'Raw - 2025 PL'!M75/1000</f>
        <v>9.5936399999999988</v>
      </c>
      <c r="AD81" s="12">
        <f>'Raw - 2026 PL'!B75/1000</f>
        <v>9.276209999999999</v>
      </c>
      <c r="AE81" s="12">
        <f>'Raw - 2026 PL'!C75/1000</f>
        <v>8.3226299999999984</v>
      </c>
      <c r="AF81" s="12">
        <f>'Raw - 2026 PL'!D75/1000</f>
        <v>9.1088299999999993</v>
      </c>
      <c r="AG81" s="12">
        <f>'Raw - 2026 PL'!E75/1000</f>
        <v>9.1088299999999993</v>
      </c>
      <c r="AH81" s="12">
        <f>'Raw - 2026 PL'!F75/1000</f>
        <v>8.6948100000000004</v>
      </c>
      <c r="AI81" s="12">
        <f>'Raw - 2026 PL'!G75/1000</f>
        <v>9.1088400000000007</v>
      </c>
      <c r="AJ81" s="12">
        <f>'Raw - 2026 PL'!H75/1000</f>
        <v>9.5228700000000011</v>
      </c>
    </row>
    <row r="82" spans="1:36" x14ac:dyDescent="0.25">
      <c r="A82" s="11" t="s">
        <v>82</v>
      </c>
      <c r="B82" s="12">
        <f t="shared" si="14"/>
        <v>0</v>
      </c>
      <c r="C82" s="12">
        <f t="shared" si="15"/>
        <v>0</v>
      </c>
      <c r="D82" s="12">
        <f t="shared" si="16"/>
        <v>0</v>
      </c>
      <c r="F82" s="12">
        <f>'Raw - 2024 PL'!B64/1000</f>
        <v>0</v>
      </c>
      <c r="G82" s="12">
        <f>'Raw - 2024 PL'!C64/1000</f>
        <v>0</v>
      </c>
      <c r="H82" s="12">
        <f>'Raw - 2024 PL'!D64/1000</f>
        <v>0</v>
      </c>
      <c r="I82" s="12">
        <f>'Raw - 2024 PL'!E64/1000</f>
        <v>0</v>
      </c>
      <c r="J82" s="12">
        <f>'Raw - 2024 PL'!F64/1000</f>
        <v>0</v>
      </c>
      <c r="K82" s="12">
        <f>'Raw - 2024 PL'!G64/1000</f>
        <v>0</v>
      </c>
      <c r="L82" s="12">
        <f>'Raw - 2024 PL'!H64/1000</f>
        <v>0</v>
      </c>
      <c r="M82" s="12">
        <f>'Raw - 2024 PL'!I64/1000</f>
        <v>0</v>
      </c>
      <c r="N82" s="12">
        <f>'Raw - 2024 PL'!J64/1000</f>
        <v>0</v>
      </c>
      <c r="O82" s="12">
        <f>'Raw - 2024 PL'!K64/1000</f>
        <v>0</v>
      </c>
      <c r="P82" s="12">
        <f>'Raw - 2024 PL'!L64/1000</f>
        <v>0</v>
      </c>
      <c r="Q82" s="12">
        <f>'Raw - 2024 PL'!M64/1000</f>
        <v>0</v>
      </c>
      <c r="R82" s="12">
        <f>'Raw - 2025 PL'!B76/1000</f>
        <v>0</v>
      </c>
      <c r="S82" s="12">
        <f>'Raw - 2025 PL'!C76/1000</f>
        <v>0</v>
      </c>
      <c r="T82" s="12">
        <f>'Raw - 2025 PL'!D76/1000</f>
        <v>0</v>
      </c>
      <c r="U82" s="12">
        <f>'Raw - 2025 PL'!E76/1000</f>
        <v>0</v>
      </c>
      <c r="V82" s="12">
        <f>'Raw - 2025 PL'!F76/1000</f>
        <v>0</v>
      </c>
      <c r="W82" s="12">
        <f>'Raw - 2025 PL'!G76/1000</f>
        <v>0</v>
      </c>
      <c r="X82" s="12">
        <f>'Raw - 2025 PL'!H76/1000</f>
        <v>0</v>
      </c>
      <c r="Y82" s="12">
        <f>'Raw - 2025 PL'!I76/1000</f>
        <v>0</v>
      </c>
      <c r="Z82" s="12">
        <f>'Raw - 2025 PL'!J76/1000</f>
        <v>0</v>
      </c>
      <c r="AA82" s="12">
        <f>'Raw - 2025 PL'!K76/1000</f>
        <v>0</v>
      </c>
      <c r="AB82" s="12">
        <f>'Raw - 2025 PL'!L76/1000</f>
        <v>0</v>
      </c>
      <c r="AC82" s="12">
        <f>'Raw - 2025 PL'!M76/1000</f>
        <v>0</v>
      </c>
      <c r="AD82" s="12">
        <f>'Raw - 2026 PL'!B76/1000</f>
        <v>0</v>
      </c>
      <c r="AE82" s="12">
        <f>'Raw - 2026 PL'!C76/1000</f>
        <v>0</v>
      </c>
      <c r="AF82" s="12">
        <f>'Raw - 2026 PL'!D76/1000</f>
        <v>0</v>
      </c>
      <c r="AG82" s="12">
        <f>'Raw - 2026 PL'!E76/1000</f>
        <v>0</v>
      </c>
      <c r="AH82" s="12">
        <f>'Raw - 2026 PL'!F76/1000</f>
        <v>0</v>
      </c>
      <c r="AI82" s="12">
        <f>'Raw - 2026 PL'!G76/1000</f>
        <v>0</v>
      </c>
      <c r="AJ82" s="12">
        <f>'Raw - 2026 PL'!H76/1000</f>
        <v>0</v>
      </c>
    </row>
    <row r="83" spans="1:36" x14ac:dyDescent="0.25">
      <c r="A83" s="13" t="s">
        <v>83</v>
      </c>
      <c r="B83" s="12">
        <f t="shared" ref="B83:B103" si="20">SUM(F83:Q83)</f>
        <v>0.31046000000000001</v>
      </c>
      <c r="C83" s="12">
        <f t="shared" ref="C83:C103" si="21">SUM(R83:AC83)</f>
        <v>0</v>
      </c>
      <c r="D83" s="12">
        <f t="shared" ref="D83:D103" si="22">SUM(AD83:AJ83)</f>
        <v>0</v>
      </c>
      <c r="F83" s="12">
        <f>'Raw - 2024 PL'!B65/1000</f>
        <v>0</v>
      </c>
      <c r="G83" s="12">
        <f>'Raw - 2024 PL'!C65/1000</f>
        <v>0</v>
      </c>
      <c r="H83" s="12">
        <f>'Raw - 2024 PL'!D65/1000</f>
        <v>0.25</v>
      </c>
      <c r="I83" s="12">
        <f>'Raw - 2024 PL'!E65/1000</f>
        <v>6.046E-2</v>
      </c>
      <c r="J83" s="12">
        <f>'Raw - 2024 PL'!F65/1000</f>
        <v>0</v>
      </c>
      <c r="K83" s="12">
        <f>'Raw - 2024 PL'!G65/1000</f>
        <v>0</v>
      </c>
      <c r="L83" s="12">
        <f>'Raw - 2024 PL'!H65/1000</f>
        <v>0</v>
      </c>
      <c r="M83" s="12">
        <f>'Raw - 2024 PL'!I65/1000</f>
        <v>0</v>
      </c>
      <c r="N83" s="12">
        <f>'Raw - 2024 PL'!J65/1000</f>
        <v>0</v>
      </c>
      <c r="O83" s="12">
        <f>'Raw - 2024 PL'!K65/1000</f>
        <v>0</v>
      </c>
      <c r="P83" s="12">
        <f>'Raw - 2024 PL'!L65/1000</f>
        <v>0</v>
      </c>
      <c r="Q83" s="12">
        <f>'Raw - 2024 PL'!M65/1000</f>
        <v>0</v>
      </c>
      <c r="R83" s="12">
        <f>'Raw - 2025 PL'!B77/1000</f>
        <v>0</v>
      </c>
      <c r="S83" s="12">
        <f>'Raw - 2025 PL'!C77/1000</f>
        <v>0</v>
      </c>
      <c r="T83" s="12">
        <f>'Raw - 2025 PL'!D77/1000</f>
        <v>0</v>
      </c>
      <c r="U83" s="12">
        <f>'Raw - 2025 PL'!E77/1000</f>
        <v>0</v>
      </c>
      <c r="V83" s="12">
        <f>'Raw - 2025 PL'!F77/1000</f>
        <v>0</v>
      </c>
      <c r="W83" s="12">
        <f>'Raw - 2025 PL'!G77/1000</f>
        <v>0</v>
      </c>
      <c r="X83" s="12">
        <f>'Raw - 2025 PL'!H77/1000</f>
        <v>0</v>
      </c>
      <c r="Y83" s="12">
        <f>'Raw - 2025 PL'!I77/1000</f>
        <v>0</v>
      </c>
      <c r="Z83" s="12">
        <f>'Raw - 2025 PL'!J77/1000</f>
        <v>0</v>
      </c>
      <c r="AA83" s="12">
        <f>'Raw - 2025 PL'!K77/1000</f>
        <v>0</v>
      </c>
      <c r="AB83" s="12">
        <f>'Raw - 2025 PL'!L77/1000</f>
        <v>0</v>
      </c>
      <c r="AC83" s="12">
        <f>'Raw - 2025 PL'!M77/1000</f>
        <v>0</v>
      </c>
      <c r="AD83" s="12">
        <f>'Raw - 2026 PL'!B77/1000</f>
        <v>0</v>
      </c>
      <c r="AE83" s="12">
        <f>'Raw - 2026 PL'!C77/1000</f>
        <v>0</v>
      </c>
      <c r="AF83" s="12">
        <f>'Raw - 2026 PL'!D77/1000</f>
        <v>0</v>
      </c>
      <c r="AG83" s="12">
        <f>'Raw - 2026 PL'!E77/1000</f>
        <v>0</v>
      </c>
      <c r="AH83" s="12">
        <f>'Raw - 2026 PL'!F77/1000</f>
        <v>0</v>
      </c>
      <c r="AI83" s="12">
        <f>'Raw - 2026 PL'!G77/1000</f>
        <v>0</v>
      </c>
      <c r="AJ83" s="12">
        <f>'Raw - 2026 PL'!H77/1000</f>
        <v>0</v>
      </c>
    </row>
    <row r="84" spans="1:36" x14ac:dyDescent="0.25">
      <c r="A84" s="17" t="s">
        <v>84</v>
      </c>
      <c r="B84" s="12">
        <f t="shared" si="20"/>
        <v>0</v>
      </c>
      <c r="C84" s="12">
        <f t="shared" si="21"/>
        <v>8.8288000000000011</v>
      </c>
      <c r="D84" s="12">
        <f t="shared" si="22"/>
        <v>11.695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>
        <f>'Raw - 2025 PL'!B78/1000</f>
        <v>0</v>
      </c>
      <c r="S84" s="12">
        <f>'Raw - 2025 PL'!C78/1000</f>
        <v>0</v>
      </c>
      <c r="T84" s="12">
        <f>'Raw - 2025 PL'!D78/1000</f>
        <v>0</v>
      </c>
      <c r="U84" s="12">
        <f>'Raw - 2025 PL'!E78/1000</f>
        <v>0</v>
      </c>
      <c r="V84" s="12">
        <f>'Raw - 2025 PL'!F78/1000</f>
        <v>0</v>
      </c>
      <c r="W84" s="12">
        <f>'Raw - 2025 PL'!G78/1000</f>
        <v>0</v>
      </c>
      <c r="X84" s="12">
        <f>'Raw - 2025 PL'!H78/1000</f>
        <v>0</v>
      </c>
      <c r="Y84" s="12">
        <f>'Raw - 2025 PL'!I78/1000</f>
        <v>6.4</v>
      </c>
      <c r="Z84" s="12">
        <f>'Raw - 2025 PL'!J78/1000</f>
        <v>0</v>
      </c>
      <c r="AA84" s="12">
        <f>'Raw - 2025 PL'!K78/1000</f>
        <v>2.4288000000000003</v>
      </c>
      <c r="AB84" s="12">
        <f>'Raw - 2025 PL'!L78/1000</f>
        <v>0</v>
      </c>
      <c r="AC84" s="12">
        <f>'Raw - 2025 PL'!M78/1000</f>
        <v>0</v>
      </c>
      <c r="AD84" s="12">
        <f>'Raw - 2026 PL'!B78/1000</f>
        <v>0</v>
      </c>
      <c r="AE84" s="12">
        <f>'Raw - 2026 PL'!C78/1000</f>
        <v>0</v>
      </c>
      <c r="AF84" s="12">
        <f>'Raw - 2026 PL'!D78/1000</f>
        <v>0</v>
      </c>
      <c r="AG84" s="12">
        <f>'Raw - 2026 PL'!E78/1000</f>
        <v>0</v>
      </c>
      <c r="AH84" s="12">
        <f>'Raw - 2026 PL'!F78/1000</f>
        <v>0</v>
      </c>
      <c r="AI84" s="12">
        <f>'Raw - 2026 PL'!G78/1000</f>
        <v>0</v>
      </c>
      <c r="AJ84" s="12">
        <f>'Raw - 2026 PL'!H78/1000</f>
        <v>11.695</v>
      </c>
    </row>
    <row r="85" spans="1:36" x14ac:dyDescent="0.25">
      <c r="A85" s="17" t="s">
        <v>85</v>
      </c>
      <c r="B85" s="12">
        <f t="shared" si="20"/>
        <v>0</v>
      </c>
      <c r="C85" s="12">
        <f t="shared" si="21"/>
        <v>2.6695000000000002</v>
      </c>
      <c r="D85" s="12">
        <f t="shared" si="22"/>
        <v>0.15048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>
        <f>'Raw - 2025 PL'!B79/1000</f>
        <v>0</v>
      </c>
      <c r="S85" s="12">
        <f>'Raw - 2025 PL'!C79/1000</f>
        <v>0</v>
      </c>
      <c r="T85" s="12">
        <f>'Raw - 2025 PL'!D79/1000</f>
        <v>0</v>
      </c>
      <c r="U85" s="12">
        <f>'Raw - 2025 PL'!E79/1000</f>
        <v>0</v>
      </c>
      <c r="V85" s="12">
        <f>'Raw - 2025 PL'!F79/1000</f>
        <v>0</v>
      </c>
      <c r="W85" s="12">
        <f>'Raw - 2025 PL'!G79/1000</f>
        <v>0</v>
      </c>
      <c r="X85" s="12">
        <f>'Raw - 2025 PL'!H79/1000</f>
        <v>0</v>
      </c>
      <c r="Y85" s="12">
        <f>'Raw - 2025 PL'!I79/1000</f>
        <v>0.77</v>
      </c>
      <c r="Z85" s="12">
        <f>'Raw - 2025 PL'!J79/1000</f>
        <v>1.6495</v>
      </c>
      <c r="AA85" s="12">
        <f>'Raw - 2025 PL'!K79/1000</f>
        <v>0.25</v>
      </c>
      <c r="AB85" s="12">
        <f>'Raw - 2025 PL'!L79/1000</f>
        <v>0</v>
      </c>
      <c r="AC85" s="12">
        <f>'Raw - 2025 PL'!M79/1000</f>
        <v>0</v>
      </c>
      <c r="AD85" s="12">
        <f>'Raw - 2026 PL'!B79/1000</f>
        <v>0.05</v>
      </c>
      <c r="AE85" s="12">
        <f>'Raw - 2026 PL'!C79/1000</f>
        <v>0</v>
      </c>
      <c r="AF85" s="12">
        <f>'Raw - 2026 PL'!D79/1000</f>
        <v>0</v>
      </c>
      <c r="AG85" s="12">
        <f>'Raw - 2026 PL'!E79/1000</f>
        <v>0</v>
      </c>
      <c r="AH85" s="12">
        <f>'Raw - 2026 PL'!F79/1000</f>
        <v>9.8049999999999998E-2</v>
      </c>
      <c r="AI85" s="12">
        <f>'Raw - 2026 PL'!G79/1000</f>
        <v>2.4300000000000003E-3</v>
      </c>
      <c r="AJ85" s="12">
        <f>'Raw - 2026 PL'!H79/1000</f>
        <v>0</v>
      </c>
    </row>
    <row r="86" spans="1:36" x14ac:dyDescent="0.25">
      <c r="A86" s="18" t="s">
        <v>86</v>
      </c>
      <c r="B86" s="15">
        <f t="shared" si="20"/>
        <v>0.31046000000000001</v>
      </c>
      <c r="C86" s="15">
        <f t="shared" si="21"/>
        <v>11.4983</v>
      </c>
      <c r="D86" s="15">
        <f t="shared" si="22"/>
        <v>11.84548</v>
      </c>
      <c r="F86" s="15">
        <f t="shared" ref="F86:AJ86" si="23">SUM(F83,F84,F85)</f>
        <v>0</v>
      </c>
      <c r="G86" s="15">
        <f t="shared" si="23"/>
        <v>0</v>
      </c>
      <c r="H86" s="15">
        <f t="shared" si="23"/>
        <v>0.25</v>
      </c>
      <c r="I86" s="15">
        <f t="shared" si="23"/>
        <v>6.046E-2</v>
      </c>
      <c r="J86" s="15">
        <f t="shared" si="23"/>
        <v>0</v>
      </c>
      <c r="K86" s="15">
        <f t="shared" si="23"/>
        <v>0</v>
      </c>
      <c r="L86" s="15">
        <f t="shared" si="23"/>
        <v>0</v>
      </c>
      <c r="M86" s="15">
        <f t="shared" si="23"/>
        <v>0</v>
      </c>
      <c r="N86" s="15">
        <f t="shared" si="23"/>
        <v>0</v>
      </c>
      <c r="O86" s="15">
        <f t="shared" si="23"/>
        <v>0</v>
      </c>
      <c r="P86" s="15">
        <f t="shared" si="23"/>
        <v>0</v>
      </c>
      <c r="Q86" s="15">
        <f t="shared" si="23"/>
        <v>0</v>
      </c>
      <c r="R86" s="15">
        <f t="shared" si="23"/>
        <v>0</v>
      </c>
      <c r="S86" s="15">
        <f t="shared" si="23"/>
        <v>0</v>
      </c>
      <c r="T86" s="15">
        <f t="shared" si="23"/>
        <v>0</v>
      </c>
      <c r="U86" s="15">
        <f t="shared" si="23"/>
        <v>0</v>
      </c>
      <c r="V86" s="15">
        <f t="shared" si="23"/>
        <v>0</v>
      </c>
      <c r="W86" s="15">
        <f t="shared" si="23"/>
        <v>0</v>
      </c>
      <c r="X86" s="15">
        <f t="shared" si="23"/>
        <v>0</v>
      </c>
      <c r="Y86" s="15">
        <f t="shared" si="23"/>
        <v>7.17</v>
      </c>
      <c r="Z86" s="15">
        <f t="shared" si="23"/>
        <v>1.6495</v>
      </c>
      <c r="AA86" s="15">
        <f t="shared" si="23"/>
        <v>2.6788000000000003</v>
      </c>
      <c r="AB86" s="15">
        <f t="shared" si="23"/>
        <v>0</v>
      </c>
      <c r="AC86" s="15">
        <f t="shared" si="23"/>
        <v>0</v>
      </c>
      <c r="AD86" s="15">
        <f t="shared" si="23"/>
        <v>0.05</v>
      </c>
      <c r="AE86" s="15">
        <f t="shared" si="23"/>
        <v>0</v>
      </c>
      <c r="AF86" s="15">
        <f t="shared" si="23"/>
        <v>0</v>
      </c>
      <c r="AG86" s="15">
        <f t="shared" si="23"/>
        <v>0</v>
      </c>
      <c r="AH86" s="15">
        <f t="shared" si="23"/>
        <v>9.8049999999999998E-2</v>
      </c>
      <c r="AI86" s="15">
        <f t="shared" si="23"/>
        <v>2.4300000000000003E-3</v>
      </c>
      <c r="AJ86" s="15">
        <f t="shared" si="23"/>
        <v>11.695</v>
      </c>
    </row>
    <row r="87" spans="1:36" x14ac:dyDescent="0.25">
      <c r="A87" s="13" t="s">
        <v>87</v>
      </c>
      <c r="B87" s="12">
        <f t="shared" si="20"/>
        <v>0.1</v>
      </c>
      <c r="C87" s="12">
        <f t="shared" si="21"/>
        <v>0.1</v>
      </c>
      <c r="D87" s="12">
        <f t="shared" si="22"/>
        <v>0</v>
      </c>
      <c r="F87" s="12">
        <f>'Raw - 2024 PL'!B66/1000</f>
        <v>0</v>
      </c>
      <c r="G87" s="12">
        <f>'Raw - 2024 PL'!C66/1000</f>
        <v>0</v>
      </c>
      <c r="H87" s="12">
        <f>'Raw - 2024 PL'!D66/1000</f>
        <v>0</v>
      </c>
      <c r="I87" s="12">
        <f>'Raw - 2024 PL'!E66/1000</f>
        <v>0</v>
      </c>
      <c r="J87" s="12">
        <f>'Raw - 2024 PL'!F66/1000</f>
        <v>0</v>
      </c>
      <c r="K87" s="12">
        <f>'Raw - 2024 PL'!G66/1000</f>
        <v>0</v>
      </c>
      <c r="L87" s="12">
        <f>'Raw - 2024 PL'!H66/1000</f>
        <v>0</v>
      </c>
      <c r="M87" s="12">
        <f>'Raw - 2024 PL'!I66/1000</f>
        <v>0</v>
      </c>
      <c r="N87" s="12">
        <f>'Raw - 2024 PL'!J66/1000</f>
        <v>0.1</v>
      </c>
      <c r="O87" s="12">
        <f>'Raw - 2024 PL'!K66/1000</f>
        <v>0</v>
      </c>
      <c r="P87" s="12">
        <f>'Raw - 2024 PL'!L66/1000</f>
        <v>0</v>
      </c>
      <c r="Q87" s="12">
        <f>'Raw - 2024 PL'!M66/1000</f>
        <v>0</v>
      </c>
      <c r="R87" s="12">
        <f>'Raw - 2025 PL'!B81/1000</f>
        <v>0</v>
      </c>
      <c r="S87" s="12">
        <f>'Raw - 2025 PL'!C81/1000</f>
        <v>0</v>
      </c>
      <c r="T87" s="12">
        <f>'Raw - 2025 PL'!D81/1000</f>
        <v>0</v>
      </c>
      <c r="U87" s="12">
        <f>'Raw - 2025 PL'!E81/1000</f>
        <v>0</v>
      </c>
      <c r="V87" s="12">
        <f>'Raw - 2025 PL'!F81/1000</f>
        <v>0</v>
      </c>
      <c r="W87" s="12">
        <f>'Raw - 2025 PL'!G81/1000</f>
        <v>0</v>
      </c>
      <c r="X87" s="12">
        <f>'Raw - 2025 PL'!H81/1000</f>
        <v>0.1</v>
      </c>
      <c r="Y87" s="12">
        <f>'Raw - 2025 PL'!I81/1000</f>
        <v>0</v>
      </c>
      <c r="Z87" s="12">
        <f>'Raw - 2025 PL'!J81/1000</f>
        <v>0</v>
      </c>
      <c r="AA87" s="12">
        <f>'Raw - 2025 PL'!K81/1000</f>
        <v>0</v>
      </c>
      <c r="AB87" s="12">
        <f>'Raw - 2025 PL'!L81/1000</f>
        <v>0</v>
      </c>
      <c r="AC87" s="12">
        <f>'Raw - 2025 PL'!M81/1000</f>
        <v>0</v>
      </c>
      <c r="AD87" s="12"/>
      <c r="AE87" s="12"/>
      <c r="AF87" s="12"/>
      <c r="AG87" s="12"/>
      <c r="AH87" s="12"/>
      <c r="AI87" s="12"/>
      <c r="AJ87" s="12"/>
    </row>
    <row r="88" spans="1:36" x14ac:dyDescent="0.25">
      <c r="A88" s="13" t="s">
        <v>88</v>
      </c>
      <c r="B88" s="12">
        <f t="shared" si="20"/>
        <v>0</v>
      </c>
      <c r="C88" s="12">
        <f t="shared" si="21"/>
        <v>19.149630000000002</v>
      </c>
      <c r="D88" s="12">
        <f t="shared" si="22"/>
        <v>51.941310000000001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>
        <f>'Raw - 2025 PL'!B82/1000</f>
        <v>0</v>
      </c>
      <c r="S88" s="12">
        <f>'Raw - 2025 PL'!C82/1000</f>
        <v>0</v>
      </c>
      <c r="T88" s="12">
        <f>'Raw - 2025 PL'!D82/1000</f>
        <v>0</v>
      </c>
      <c r="U88" s="12">
        <f>'Raw - 2025 PL'!E82/1000</f>
        <v>0</v>
      </c>
      <c r="V88" s="12">
        <f>'Raw - 2025 PL'!F82/1000</f>
        <v>0</v>
      </c>
      <c r="W88" s="12">
        <f>'Raw - 2025 PL'!G82/1000</f>
        <v>1.4667999999999999</v>
      </c>
      <c r="X88" s="12">
        <f>'Raw - 2025 PL'!H82/1000</f>
        <v>1.6326500000000002</v>
      </c>
      <c r="Y88" s="12">
        <f>'Raw - 2025 PL'!I82/1000</f>
        <v>1.7180499999999999</v>
      </c>
      <c r="Z88" s="12">
        <f>'Raw - 2025 PL'!J82/1000</f>
        <v>1.9145999999999999</v>
      </c>
      <c r="AA88" s="12">
        <f>'Raw - 2025 PL'!K82/1000</f>
        <v>2.3529</v>
      </c>
      <c r="AB88" s="12">
        <f>'Raw - 2025 PL'!L82/1000</f>
        <v>2.2452399999999999</v>
      </c>
      <c r="AC88" s="12">
        <f>'Raw - 2025 PL'!M82/1000</f>
        <v>7.8193900000000003</v>
      </c>
      <c r="AD88" s="12">
        <f>'Raw - 2026 PL'!B81/1000</f>
        <v>5.6533999999999995</v>
      </c>
      <c r="AE88" s="12">
        <f>'Raw - 2026 PL'!C81/1000</f>
        <v>5.9568900000000005</v>
      </c>
      <c r="AF88" s="12">
        <f>'Raw - 2026 PL'!D81/1000</f>
        <v>7.7827999999999999</v>
      </c>
      <c r="AG88" s="12">
        <f>'Raw - 2026 PL'!E81/1000</f>
        <v>8.1370100000000001</v>
      </c>
      <c r="AH88" s="12">
        <f>'Raw - 2026 PL'!F81/1000</f>
        <v>7.8082500000000001</v>
      </c>
      <c r="AI88" s="12">
        <f>'Raw - 2026 PL'!G81/1000</f>
        <v>8.4072000000000013</v>
      </c>
      <c r="AJ88" s="12">
        <f>'Raw - 2026 PL'!H81/1000</f>
        <v>8.1957599999999999</v>
      </c>
    </row>
    <row r="89" spans="1:36" x14ac:dyDescent="0.25">
      <c r="A89" s="13" t="s">
        <v>89</v>
      </c>
      <c r="B89" s="12">
        <f t="shared" si="20"/>
        <v>5.1440000000000001</v>
      </c>
      <c r="C89" s="12">
        <f t="shared" si="21"/>
        <v>0.14399999999999999</v>
      </c>
      <c r="D89" s="12">
        <f t="shared" si="22"/>
        <v>0.14399999999999999</v>
      </c>
      <c r="F89" s="12">
        <f>'Raw - 2024 PL'!B67/1000</f>
        <v>1.1439999999999999</v>
      </c>
      <c r="G89" s="12">
        <f>'Raw - 2024 PL'!C67/1000</f>
        <v>1</v>
      </c>
      <c r="H89" s="12">
        <f>'Raw - 2024 PL'!D67/1000</f>
        <v>1</v>
      </c>
      <c r="I89" s="12">
        <f>'Raw - 2024 PL'!E67/1000</f>
        <v>0</v>
      </c>
      <c r="J89" s="12">
        <f>'Raw - 2024 PL'!F67/1000</f>
        <v>1</v>
      </c>
      <c r="K89" s="12">
        <f>'Raw - 2024 PL'!G67/1000</f>
        <v>1</v>
      </c>
      <c r="L89" s="12">
        <f>'Raw - 2024 PL'!H67/1000</f>
        <v>0</v>
      </c>
      <c r="M89" s="12">
        <f>'Raw - 2024 PL'!I67/1000</f>
        <v>0</v>
      </c>
      <c r="N89" s="12">
        <f>'Raw - 2024 PL'!J67/1000</f>
        <v>0</v>
      </c>
      <c r="O89" s="12">
        <f>'Raw - 2024 PL'!K67/1000</f>
        <v>0</v>
      </c>
      <c r="P89" s="12">
        <f>'Raw - 2024 PL'!L67/1000</f>
        <v>0</v>
      </c>
      <c r="Q89" s="12">
        <f>'Raw - 2024 PL'!M67/1000</f>
        <v>0</v>
      </c>
      <c r="R89" s="12">
        <f>'Raw - 2025 PL'!B83/1000</f>
        <v>0.14399999999999999</v>
      </c>
      <c r="S89" s="12">
        <f>'Raw - 2025 PL'!C83/1000</f>
        <v>0</v>
      </c>
      <c r="T89" s="12">
        <f>'Raw - 2025 PL'!D83/1000</f>
        <v>0</v>
      </c>
      <c r="U89" s="12">
        <f>'Raw - 2025 PL'!E83/1000</f>
        <v>0</v>
      </c>
      <c r="V89" s="12">
        <f>'Raw - 2025 PL'!F83/1000</f>
        <v>0</v>
      </c>
      <c r="W89" s="12">
        <f>'Raw - 2025 PL'!G83/1000</f>
        <v>0</v>
      </c>
      <c r="X89" s="12">
        <f>'Raw - 2025 PL'!H83/1000</f>
        <v>0</v>
      </c>
      <c r="Y89" s="12">
        <f>'Raw - 2025 PL'!I83/1000</f>
        <v>0</v>
      </c>
      <c r="Z89" s="12">
        <f>'Raw - 2025 PL'!J83/1000</f>
        <v>0</v>
      </c>
      <c r="AA89" s="12">
        <f>'Raw - 2025 PL'!K83/1000</f>
        <v>0</v>
      </c>
      <c r="AB89" s="12">
        <f>'Raw - 2025 PL'!L83/1000</f>
        <v>0</v>
      </c>
      <c r="AC89" s="12">
        <f>'Raw - 2025 PL'!M83/1000</f>
        <v>0</v>
      </c>
      <c r="AD89" s="12">
        <f>'Raw - 2026 PL'!B82/1000</f>
        <v>0.14399999999999999</v>
      </c>
      <c r="AE89" s="12">
        <f>'Raw - 2026 PL'!C82/1000</f>
        <v>0</v>
      </c>
      <c r="AF89" s="12">
        <f>'Raw - 2026 PL'!D82/1000</f>
        <v>0</v>
      </c>
      <c r="AG89" s="12">
        <f>'Raw - 2026 PL'!E82/1000</f>
        <v>0</v>
      </c>
      <c r="AH89" s="12">
        <f>'Raw - 2026 PL'!F82/1000</f>
        <v>0</v>
      </c>
      <c r="AI89" s="12">
        <f>'Raw - 2026 PL'!G82/1000</f>
        <v>0</v>
      </c>
      <c r="AJ89" s="12">
        <f>'Raw - 2026 PL'!H82/1000</f>
        <v>0</v>
      </c>
    </row>
    <row r="90" spans="1:36" x14ac:dyDescent="0.25">
      <c r="A90" s="13" t="s">
        <v>90</v>
      </c>
      <c r="B90" s="12">
        <f t="shared" si="20"/>
        <v>1.198</v>
      </c>
      <c r="C90" s="12">
        <f t="shared" si="21"/>
        <v>3.2394300000000005</v>
      </c>
      <c r="D90" s="12">
        <f t="shared" si="22"/>
        <v>2.13</v>
      </c>
      <c r="F90" s="12">
        <f>'Raw - 2024 PL'!B68/1000</f>
        <v>0</v>
      </c>
      <c r="G90" s="12">
        <f>'Raw - 2024 PL'!C68/1000</f>
        <v>0</v>
      </c>
      <c r="H90" s="12">
        <f>'Raw - 2024 PL'!D68/1000</f>
        <v>0</v>
      </c>
      <c r="I90" s="12">
        <f>'Raw - 2024 PL'!E68/1000</f>
        <v>0</v>
      </c>
      <c r="J90" s="12">
        <f>'Raw - 2024 PL'!F68/1000</f>
        <v>0</v>
      </c>
      <c r="K90" s="12">
        <f>'Raw - 2024 PL'!G68/1000</f>
        <v>0</v>
      </c>
      <c r="L90" s="12">
        <f>'Raw - 2024 PL'!H68/1000</f>
        <v>0</v>
      </c>
      <c r="M90" s="12">
        <f>'Raw - 2024 PL'!I68/1000</f>
        <v>0.17</v>
      </c>
      <c r="N90" s="12">
        <f>'Raw - 2024 PL'!J68/1000</f>
        <v>0.17</v>
      </c>
      <c r="O90" s="12">
        <f>'Raw - 2024 PL'!K68/1000</f>
        <v>0.51800000000000002</v>
      </c>
      <c r="P90" s="12">
        <f>'Raw - 2024 PL'!L68/1000</f>
        <v>0.17</v>
      </c>
      <c r="Q90" s="12">
        <f>'Raw - 2024 PL'!M68/1000</f>
        <v>0.17</v>
      </c>
      <c r="R90" s="12">
        <f>'Raw - 2025 PL'!B84/1000</f>
        <v>0.17</v>
      </c>
      <c r="S90" s="12">
        <f>'Raw - 2025 PL'!C84/1000</f>
        <v>0.17</v>
      </c>
      <c r="T90" s="12">
        <f>'Raw - 2025 PL'!D84/1000</f>
        <v>0.31642999999999999</v>
      </c>
      <c r="U90" s="12">
        <f>'Raw - 2025 PL'!E84/1000</f>
        <v>0.27</v>
      </c>
      <c r="V90" s="12">
        <f>'Raw - 2025 PL'!F84/1000</f>
        <v>0.27</v>
      </c>
      <c r="W90" s="12">
        <f>'Raw - 2025 PL'!G84/1000</f>
        <v>0.27</v>
      </c>
      <c r="X90" s="12">
        <f>'Raw - 2025 PL'!H84/1000</f>
        <v>0.27</v>
      </c>
      <c r="Y90" s="12">
        <f>'Raw - 2025 PL'!I84/1000</f>
        <v>0.22</v>
      </c>
      <c r="Z90" s="12">
        <f>'Raw - 2025 PL'!J84/1000</f>
        <v>0.22</v>
      </c>
      <c r="AA90" s="12">
        <f>'Raw - 2025 PL'!K84/1000</f>
        <v>0.56799999999999995</v>
      </c>
      <c r="AB90" s="12">
        <f>'Raw - 2025 PL'!L84/1000</f>
        <v>0.22</v>
      </c>
      <c r="AC90" s="12">
        <f>'Raw - 2025 PL'!M84/1000</f>
        <v>0.27500000000000002</v>
      </c>
      <c r="AD90" s="12">
        <f>'Raw - 2026 PL'!B83/1000</f>
        <v>0.27</v>
      </c>
      <c r="AE90" s="12">
        <f>'Raw - 2026 PL'!C83/1000</f>
        <v>0.27</v>
      </c>
      <c r="AF90" s="12">
        <f>'Raw - 2026 PL'!D83/1000</f>
        <v>0.27</v>
      </c>
      <c r="AG90" s="12">
        <f>'Raw - 2026 PL'!E83/1000</f>
        <v>0.27</v>
      </c>
      <c r="AH90" s="12">
        <f>'Raw - 2026 PL'!F83/1000</f>
        <v>0.27</v>
      </c>
      <c r="AI90" s="12">
        <f>'Raw - 2026 PL'!G83/1000</f>
        <v>0.27</v>
      </c>
      <c r="AJ90" s="12">
        <f>'Raw - 2026 PL'!H83/1000</f>
        <v>0.51</v>
      </c>
    </row>
    <row r="91" spans="1:36" x14ac:dyDescent="0.25">
      <c r="A91" s="13" t="s">
        <v>91</v>
      </c>
      <c r="B91" s="12">
        <f t="shared" si="20"/>
        <v>0</v>
      </c>
      <c r="C91" s="12">
        <f t="shared" si="21"/>
        <v>0</v>
      </c>
      <c r="D91" s="12">
        <f t="shared" si="22"/>
        <v>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>
        <f>'Raw - 2025 PL'!B85/1000</f>
        <v>0</v>
      </c>
      <c r="S91" s="12">
        <f>'Raw - 2025 PL'!C85/1000</f>
        <v>0</v>
      </c>
      <c r="T91" s="12">
        <f>'Raw - 2025 PL'!D85/1000</f>
        <v>0</v>
      </c>
      <c r="U91" s="12">
        <f>'Raw - 2025 PL'!E85/1000</f>
        <v>0</v>
      </c>
      <c r="V91" s="12">
        <f>'Raw - 2025 PL'!F85/1000</f>
        <v>0</v>
      </c>
      <c r="W91" s="12">
        <f>'Raw - 2025 PL'!G85/1000</f>
        <v>0</v>
      </c>
      <c r="X91" s="12">
        <f>'Raw - 2025 PL'!H85/1000</f>
        <v>0</v>
      </c>
      <c r="Y91" s="12">
        <f>'Raw - 2025 PL'!I85/1000</f>
        <v>0</v>
      </c>
      <c r="Z91" s="12">
        <f>'Raw - 2025 PL'!J85/1000</f>
        <v>0</v>
      </c>
      <c r="AA91" s="12">
        <f>'Raw - 2025 PL'!K85/1000</f>
        <v>0</v>
      </c>
      <c r="AB91" s="12">
        <f>'Raw - 2025 PL'!L85/1000</f>
        <v>0</v>
      </c>
      <c r="AC91" s="12">
        <f>'Raw - 2025 PL'!M85/1000</f>
        <v>0</v>
      </c>
      <c r="AD91" s="12">
        <f>'Raw - 2026 PL'!B84/1000</f>
        <v>0</v>
      </c>
      <c r="AE91" s="12">
        <f>'Raw - 2026 PL'!C84/1000</f>
        <v>0</v>
      </c>
      <c r="AF91" s="12">
        <f>'Raw - 2026 PL'!D84/1000</f>
        <v>0</v>
      </c>
      <c r="AG91" s="12">
        <f>'Raw - 2026 PL'!E84/1000</f>
        <v>0</v>
      </c>
      <c r="AH91" s="12">
        <f>'Raw - 2026 PL'!F84/1000</f>
        <v>0</v>
      </c>
      <c r="AI91" s="12">
        <f>'Raw - 2026 PL'!G84/1000</f>
        <v>0</v>
      </c>
      <c r="AJ91" s="12">
        <f>'Raw - 2026 PL'!H84/1000</f>
        <v>0</v>
      </c>
    </row>
    <row r="92" spans="1:36" x14ac:dyDescent="0.25">
      <c r="A92" s="17" t="s">
        <v>92</v>
      </c>
      <c r="B92" s="12">
        <f t="shared" si="20"/>
        <v>0</v>
      </c>
      <c r="C92" s="12">
        <f t="shared" si="21"/>
        <v>10.467269999999999</v>
      </c>
      <c r="D92" s="12">
        <f t="shared" si="22"/>
        <v>7.3721899999999998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>
        <f>'Raw - 2025 PL'!B86/1000</f>
        <v>0</v>
      </c>
      <c r="S92" s="12">
        <f>'Raw - 2025 PL'!C86/1000</f>
        <v>0</v>
      </c>
      <c r="T92" s="12">
        <f>'Raw - 2025 PL'!D86/1000</f>
        <v>0</v>
      </c>
      <c r="U92" s="12">
        <f>'Raw - 2025 PL'!E86/1000</f>
        <v>3.76065</v>
      </c>
      <c r="V92" s="12">
        <f>'Raw - 2025 PL'!F86/1000</f>
        <v>3.3761799999999997</v>
      </c>
      <c r="W92" s="12">
        <f>'Raw - 2025 PL'!G86/1000</f>
        <v>0</v>
      </c>
      <c r="X92" s="12">
        <f>'Raw - 2025 PL'!H86/1000</f>
        <v>0</v>
      </c>
      <c r="Y92" s="12">
        <f>'Raw - 2025 PL'!I86/1000</f>
        <v>0.53010999999999997</v>
      </c>
      <c r="Z92" s="12">
        <f>'Raw - 2025 PL'!J86/1000</f>
        <v>1.00579</v>
      </c>
      <c r="AA92" s="12">
        <f>'Raw - 2025 PL'!K86/1000</f>
        <v>0.29931999999999997</v>
      </c>
      <c r="AB92" s="12">
        <f>'Raw - 2025 PL'!L86/1000</f>
        <v>1.07236</v>
      </c>
      <c r="AC92" s="12">
        <f>'Raw - 2025 PL'!M86/1000</f>
        <v>0.42286000000000001</v>
      </c>
      <c r="AD92" s="12">
        <f>'Raw - 2026 PL'!B85/1000</f>
        <v>0</v>
      </c>
      <c r="AE92" s="12">
        <f>'Raw - 2026 PL'!C85/1000</f>
        <v>0</v>
      </c>
      <c r="AF92" s="12">
        <f>'Raw - 2026 PL'!D85/1000</f>
        <v>0</v>
      </c>
      <c r="AG92" s="12">
        <f>'Raw - 2026 PL'!E85/1000</f>
        <v>6.0151000000000003</v>
      </c>
      <c r="AH92" s="12">
        <f>'Raw - 2026 PL'!F85/1000</f>
        <v>1.3570899999999999</v>
      </c>
      <c r="AI92" s="12">
        <f>'Raw - 2026 PL'!G85/1000</f>
        <v>0</v>
      </c>
      <c r="AJ92" s="12">
        <f>'Raw - 2026 PL'!H85/1000</f>
        <v>0</v>
      </c>
    </row>
    <row r="93" spans="1:36" x14ac:dyDescent="0.25">
      <c r="A93" s="17" t="s">
        <v>93</v>
      </c>
      <c r="B93" s="12">
        <f t="shared" si="20"/>
        <v>0</v>
      </c>
      <c r="C93" s="12">
        <f t="shared" si="21"/>
        <v>11.971899999999998</v>
      </c>
      <c r="D93" s="12">
        <f t="shared" si="22"/>
        <v>6.4632299999999994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>
        <f>'Raw - 2025 PL'!B87/1000</f>
        <v>0</v>
      </c>
      <c r="S93" s="12">
        <f>'Raw - 2025 PL'!C87/1000</f>
        <v>0</v>
      </c>
      <c r="T93" s="12">
        <f>'Raw - 2025 PL'!D87/1000</f>
        <v>0</v>
      </c>
      <c r="U93" s="12">
        <f>'Raw - 2025 PL'!E87/1000</f>
        <v>6.54148</v>
      </c>
      <c r="V93" s="12">
        <f>'Raw - 2025 PL'!F87/1000</f>
        <v>3.3552199999999996</v>
      </c>
      <c r="W93" s="12">
        <f>'Raw - 2025 PL'!G87/1000</f>
        <v>0</v>
      </c>
      <c r="X93" s="12">
        <f>'Raw - 2025 PL'!H87/1000</f>
        <v>0</v>
      </c>
      <c r="Y93" s="12">
        <f>'Raw - 2025 PL'!I87/1000</f>
        <v>0.35841000000000001</v>
      </c>
      <c r="Z93" s="12">
        <f>'Raw - 2025 PL'!J87/1000</f>
        <v>0.88096000000000008</v>
      </c>
      <c r="AA93" s="12">
        <f>'Raw - 2025 PL'!K87/1000</f>
        <v>0.37697000000000003</v>
      </c>
      <c r="AB93" s="12">
        <f>'Raw - 2025 PL'!L87/1000</f>
        <v>0.45885999999999999</v>
      </c>
      <c r="AC93" s="12">
        <f>'Raw - 2025 PL'!M87/1000</f>
        <v>0</v>
      </c>
      <c r="AD93" s="12">
        <f>'Raw - 2026 PL'!B86/1000</f>
        <v>0</v>
      </c>
      <c r="AE93" s="12">
        <f>'Raw - 2026 PL'!C86/1000</f>
        <v>0</v>
      </c>
      <c r="AF93" s="12">
        <f>'Raw - 2026 PL'!D86/1000</f>
        <v>0</v>
      </c>
      <c r="AG93" s="12">
        <f>'Raw - 2026 PL'!E86/1000</f>
        <v>3.75</v>
      </c>
      <c r="AH93" s="12">
        <f>'Raw - 2026 PL'!F86/1000</f>
        <v>2.7132299999999998</v>
      </c>
      <c r="AI93" s="12">
        <f>'Raw - 2026 PL'!G86/1000</f>
        <v>0</v>
      </c>
      <c r="AJ93" s="12">
        <f>'Raw - 2026 PL'!H86/1000</f>
        <v>0</v>
      </c>
    </row>
    <row r="94" spans="1:36" x14ac:dyDescent="0.25">
      <c r="A94" s="17" t="s">
        <v>94</v>
      </c>
      <c r="B94" s="12">
        <f t="shared" si="20"/>
        <v>0</v>
      </c>
      <c r="C94" s="12">
        <f t="shared" si="21"/>
        <v>0</v>
      </c>
      <c r="D94" s="12">
        <f t="shared" si="22"/>
        <v>1.5970299999999999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>
        <f>'Raw - 2026 PL'!B87/1000</f>
        <v>0</v>
      </c>
      <c r="AE94" s="12">
        <f>'Raw - 2026 PL'!C87/1000</f>
        <v>0</v>
      </c>
      <c r="AF94" s="12">
        <f>'Raw - 2026 PL'!D87/1000</f>
        <v>0</v>
      </c>
      <c r="AG94" s="12">
        <f>'Raw - 2026 PL'!E87/1000</f>
        <v>0</v>
      </c>
      <c r="AH94" s="12">
        <f>'Raw - 2026 PL'!F87/1000</f>
        <v>1.5970299999999999</v>
      </c>
      <c r="AI94" s="12">
        <f>'Raw - 2026 PL'!G87/1000</f>
        <v>0</v>
      </c>
      <c r="AJ94" s="12">
        <f>'Raw - 2026 PL'!H87/1000</f>
        <v>0</v>
      </c>
    </row>
    <row r="95" spans="1:36" x14ac:dyDescent="0.25">
      <c r="A95" s="17" t="s">
        <v>95</v>
      </c>
      <c r="B95" s="12">
        <f t="shared" si="20"/>
        <v>0</v>
      </c>
      <c r="C95" s="12">
        <f t="shared" si="21"/>
        <v>4.6601799999999987</v>
      </c>
      <c r="D95" s="12">
        <f t="shared" si="22"/>
        <v>4.2244400000000004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>
        <f>'Raw - 2025 PL'!B88/1000</f>
        <v>6.9100000000000003E-3</v>
      </c>
      <c r="S95" s="12">
        <f>'Raw - 2025 PL'!C88/1000</f>
        <v>0</v>
      </c>
      <c r="T95" s="12">
        <f>'Raw - 2025 PL'!D88/1000</f>
        <v>0</v>
      </c>
      <c r="U95" s="12">
        <f>'Raw - 2025 PL'!E88/1000</f>
        <v>0.99224999999999997</v>
      </c>
      <c r="V95" s="12">
        <f>'Raw - 2025 PL'!F88/1000</f>
        <v>2.4259299999999997</v>
      </c>
      <c r="W95" s="12">
        <f>'Raw - 2025 PL'!G88/1000</f>
        <v>0</v>
      </c>
      <c r="X95" s="12">
        <f>'Raw - 2025 PL'!H88/1000</f>
        <v>9.7659999999999997E-2</v>
      </c>
      <c r="Y95" s="12">
        <f>'Raw - 2025 PL'!I88/1000</f>
        <v>3.3000000000000002E-2</v>
      </c>
      <c r="Z95" s="12">
        <f>'Raw - 2025 PL'!J88/1000</f>
        <v>0.68761000000000005</v>
      </c>
      <c r="AA95" s="12">
        <f>'Raw - 2025 PL'!K88/1000</f>
        <v>0.25004999999999999</v>
      </c>
      <c r="AB95" s="12">
        <f>'Raw - 2025 PL'!L88/1000</f>
        <v>0.15688999999999997</v>
      </c>
      <c r="AC95" s="12">
        <f>'Raw - 2025 PL'!M88/1000</f>
        <v>9.8800000000000016E-3</v>
      </c>
      <c r="AD95" s="12">
        <f>'Raw - 2026 PL'!B88/1000</f>
        <v>0</v>
      </c>
      <c r="AE95" s="12">
        <f>'Raw - 2026 PL'!C88/1000</f>
        <v>0</v>
      </c>
      <c r="AF95" s="12">
        <f>'Raw - 2026 PL'!D88/1000</f>
        <v>0</v>
      </c>
      <c r="AG95" s="12">
        <f>'Raw - 2026 PL'!E88/1000</f>
        <v>0</v>
      </c>
      <c r="AH95" s="12">
        <f>'Raw - 2026 PL'!F88/1000</f>
        <v>4.0712600000000005</v>
      </c>
      <c r="AI95" s="12">
        <f>'Raw - 2026 PL'!G88/1000</f>
        <v>0.15318000000000001</v>
      </c>
      <c r="AJ95" s="12">
        <f>'Raw - 2026 PL'!H88/1000</f>
        <v>0</v>
      </c>
    </row>
    <row r="96" spans="1:36" x14ac:dyDescent="0.25">
      <c r="A96" s="17" t="s">
        <v>96</v>
      </c>
      <c r="B96" s="12">
        <f t="shared" si="20"/>
        <v>0</v>
      </c>
      <c r="C96" s="12">
        <f t="shared" si="21"/>
        <v>0.71548999999999996</v>
      </c>
      <c r="D96" s="12">
        <f t="shared" si="22"/>
        <v>0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>
        <f>'Raw - 2025 PL'!B89/1000</f>
        <v>0</v>
      </c>
      <c r="S96" s="12">
        <f>'Raw - 2025 PL'!C89/1000</f>
        <v>0</v>
      </c>
      <c r="T96" s="12">
        <f>'Raw - 2025 PL'!D89/1000</f>
        <v>0</v>
      </c>
      <c r="U96" s="12">
        <f>'Raw - 2025 PL'!E89/1000</f>
        <v>0</v>
      </c>
      <c r="V96" s="12">
        <f>'Raw - 2025 PL'!F89/1000</f>
        <v>0.71548999999999996</v>
      </c>
      <c r="W96" s="12">
        <f>'Raw - 2025 PL'!G89/1000</f>
        <v>0</v>
      </c>
      <c r="X96" s="12">
        <f>'Raw - 2025 PL'!H89/1000</f>
        <v>0</v>
      </c>
      <c r="Y96" s="12">
        <f>'Raw - 2025 PL'!I89/1000</f>
        <v>0</v>
      </c>
      <c r="Z96" s="12">
        <f>'Raw - 2025 PL'!J89/1000</f>
        <v>0</v>
      </c>
      <c r="AA96" s="12">
        <f>'Raw - 2025 PL'!K89/1000</f>
        <v>0</v>
      </c>
      <c r="AB96" s="12">
        <f>'Raw - 2025 PL'!L89/1000</f>
        <v>0</v>
      </c>
      <c r="AC96" s="12">
        <f>'Raw - 2025 PL'!M89/1000</f>
        <v>0</v>
      </c>
      <c r="AD96" s="12"/>
      <c r="AE96" s="12"/>
      <c r="AF96" s="12"/>
      <c r="AG96" s="12"/>
      <c r="AH96" s="12"/>
      <c r="AI96" s="12"/>
      <c r="AJ96" s="12"/>
    </row>
    <row r="97" spans="1:36" x14ac:dyDescent="0.25">
      <c r="A97" s="17" t="s">
        <v>97</v>
      </c>
      <c r="B97" s="12">
        <f t="shared" si="20"/>
        <v>0</v>
      </c>
      <c r="C97" s="12">
        <f t="shared" si="21"/>
        <v>0.23499999999999999</v>
      </c>
      <c r="D97" s="12">
        <f t="shared" si="22"/>
        <v>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>
        <f>'Raw - 2025 PL'!B90/1000</f>
        <v>0</v>
      </c>
      <c r="S97" s="12">
        <f>'Raw - 2025 PL'!C90/1000</f>
        <v>0</v>
      </c>
      <c r="T97" s="12">
        <f>'Raw - 2025 PL'!D90/1000</f>
        <v>0</v>
      </c>
      <c r="U97" s="12">
        <f>'Raw - 2025 PL'!E90/1000</f>
        <v>0</v>
      </c>
      <c r="V97" s="12">
        <f>'Raw - 2025 PL'!F90/1000</f>
        <v>0</v>
      </c>
      <c r="W97" s="12">
        <f>'Raw - 2025 PL'!G90/1000</f>
        <v>0</v>
      </c>
      <c r="X97" s="12">
        <f>'Raw - 2025 PL'!H90/1000</f>
        <v>0</v>
      </c>
      <c r="Y97" s="12">
        <f>'Raw - 2025 PL'!I90/1000</f>
        <v>0</v>
      </c>
      <c r="Z97" s="12">
        <f>'Raw - 2025 PL'!J90/1000</f>
        <v>0.14799999999999999</v>
      </c>
      <c r="AA97" s="12">
        <f>'Raw - 2025 PL'!K90/1000</f>
        <v>0</v>
      </c>
      <c r="AB97" s="12">
        <f>'Raw - 2025 PL'!L90/1000</f>
        <v>8.6999999999999994E-2</v>
      </c>
      <c r="AC97" s="12">
        <f>'Raw - 2025 PL'!M90/1000</f>
        <v>0</v>
      </c>
      <c r="AD97" s="12"/>
      <c r="AE97" s="12"/>
      <c r="AF97" s="12"/>
      <c r="AG97" s="12"/>
      <c r="AH97" s="12"/>
      <c r="AI97" s="12"/>
      <c r="AJ97" s="12"/>
    </row>
    <row r="98" spans="1:36" x14ac:dyDescent="0.25">
      <c r="A98" s="17" t="s">
        <v>98</v>
      </c>
      <c r="B98" s="12">
        <f t="shared" si="20"/>
        <v>0</v>
      </c>
      <c r="C98" s="12">
        <f t="shared" si="21"/>
        <v>1.7113799999999999</v>
      </c>
      <c r="D98" s="12">
        <f t="shared" si="22"/>
        <v>1.0285300000000002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>
        <f>'Raw - 2025 PL'!B91/1000</f>
        <v>0</v>
      </c>
      <c r="S98" s="12">
        <f>'Raw - 2025 PL'!C91/1000</f>
        <v>0</v>
      </c>
      <c r="T98" s="12">
        <f>'Raw - 2025 PL'!D91/1000</f>
        <v>0</v>
      </c>
      <c r="U98" s="12">
        <f>'Raw - 2025 PL'!E91/1000</f>
        <v>0.11191</v>
      </c>
      <c r="V98" s="12">
        <f>'Raw - 2025 PL'!F91/1000</f>
        <v>0.91189999999999993</v>
      </c>
      <c r="W98" s="12">
        <f>'Raw - 2025 PL'!G91/1000</f>
        <v>0</v>
      </c>
      <c r="X98" s="12">
        <f>'Raw - 2025 PL'!H91/1000</f>
        <v>0</v>
      </c>
      <c r="Y98" s="12">
        <f>'Raw - 2025 PL'!I91/1000</f>
        <v>0</v>
      </c>
      <c r="Z98" s="12">
        <f>'Raw - 2025 PL'!J91/1000</f>
        <v>0.24187</v>
      </c>
      <c r="AA98" s="12">
        <f>'Raw - 2025 PL'!K91/1000</f>
        <v>0.11045000000000001</v>
      </c>
      <c r="AB98" s="12">
        <f>'Raw - 2025 PL'!L91/1000</f>
        <v>0.33524999999999999</v>
      </c>
      <c r="AC98" s="12">
        <f>'Raw - 2025 PL'!M91/1000</f>
        <v>0</v>
      </c>
      <c r="AD98" s="12">
        <f>'Raw - 2026 PL'!B89/1000</f>
        <v>0</v>
      </c>
      <c r="AE98" s="12">
        <f>'Raw - 2026 PL'!C89/1000</f>
        <v>0</v>
      </c>
      <c r="AF98" s="12">
        <f>'Raw - 2026 PL'!D89/1000</f>
        <v>0</v>
      </c>
      <c r="AG98" s="12">
        <f>'Raw - 2026 PL'!E89/1000</f>
        <v>0</v>
      </c>
      <c r="AH98" s="12">
        <f>'Raw - 2026 PL'!F89/1000</f>
        <v>0.51582000000000006</v>
      </c>
      <c r="AI98" s="12">
        <f>'Raw - 2026 PL'!G89/1000</f>
        <v>0.50272000000000006</v>
      </c>
      <c r="AJ98" s="12">
        <f>'Raw - 2026 PL'!H89/1000</f>
        <v>9.9900000000000006E-3</v>
      </c>
    </row>
    <row r="99" spans="1:36" x14ac:dyDescent="0.25">
      <c r="A99" s="18" t="s">
        <v>99</v>
      </c>
      <c r="B99" s="15">
        <f t="shared" si="20"/>
        <v>0</v>
      </c>
      <c r="C99" s="15">
        <f t="shared" si="21"/>
        <v>29.761219999999998</v>
      </c>
      <c r="D99" s="15">
        <f t="shared" si="22"/>
        <v>20.685420000000001</v>
      </c>
      <c r="F99" s="15">
        <f t="shared" ref="F99:AJ99" si="24">SUM(F91,F92,F93,F94,F95,F96,F97,F98)</f>
        <v>0</v>
      </c>
      <c r="G99" s="15">
        <f t="shared" si="24"/>
        <v>0</v>
      </c>
      <c r="H99" s="15">
        <f t="shared" si="24"/>
        <v>0</v>
      </c>
      <c r="I99" s="15">
        <f t="shared" si="24"/>
        <v>0</v>
      </c>
      <c r="J99" s="15">
        <f t="shared" si="24"/>
        <v>0</v>
      </c>
      <c r="K99" s="15">
        <f t="shared" si="24"/>
        <v>0</v>
      </c>
      <c r="L99" s="15">
        <f t="shared" si="24"/>
        <v>0</v>
      </c>
      <c r="M99" s="15">
        <f t="shared" si="24"/>
        <v>0</v>
      </c>
      <c r="N99" s="15">
        <f t="shared" si="24"/>
        <v>0</v>
      </c>
      <c r="O99" s="15">
        <f t="shared" si="24"/>
        <v>0</v>
      </c>
      <c r="P99" s="15">
        <f t="shared" si="24"/>
        <v>0</v>
      </c>
      <c r="Q99" s="15">
        <f t="shared" si="24"/>
        <v>0</v>
      </c>
      <c r="R99" s="15">
        <f t="shared" si="24"/>
        <v>6.9100000000000003E-3</v>
      </c>
      <c r="S99" s="15">
        <f t="shared" si="24"/>
        <v>0</v>
      </c>
      <c r="T99" s="15">
        <f t="shared" si="24"/>
        <v>0</v>
      </c>
      <c r="U99" s="15">
        <f t="shared" si="24"/>
        <v>11.40629</v>
      </c>
      <c r="V99" s="15">
        <f t="shared" si="24"/>
        <v>10.784719999999997</v>
      </c>
      <c r="W99" s="15">
        <f t="shared" si="24"/>
        <v>0</v>
      </c>
      <c r="X99" s="15">
        <f t="shared" si="24"/>
        <v>9.7659999999999997E-2</v>
      </c>
      <c r="Y99" s="15">
        <f t="shared" si="24"/>
        <v>0.92152000000000001</v>
      </c>
      <c r="Z99" s="15">
        <f t="shared" si="24"/>
        <v>2.9642300000000006</v>
      </c>
      <c r="AA99" s="15">
        <f t="shared" si="24"/>
        <v>1.0367900000000001</v>
      </c>
      <c r="AB99" s="15">
        <f t="shared" si="24"/>
        <v>2.11036</v>
      </c>
      <c r="AC99" s="15">
        <f t="shared" si="24"/>
        <v>0.43274000000000001</v>
      </c>
      <c r="AD99" s="15">
        <f t="shared" si="24"/>
        <v>0</v>
      </c>
      <c r="AE99" s="15">
        <f t="shared" si="24"/>
        <v>0</v>
      </c>
      <c r="AF99" s="15">
        <f t="shared" si="24"/>
        <v>0</v>
      </c>
      <c r="AG99" s="15">
        <f t="shared" si="24"/>
        <v>9.7651000000000003</v>
      </c>
      <c r="AH99" s="15">
        <f t="shared" si="24"/>
        <v>10.254430000000001</v>
      </c>
      <c r="AI99" s="15">
        <f t="shared" si="24"/>
        <v>0.65590000000000004</v>
      </c>
      <c r="AJ99" s="15">
        <f t="shared" si="24"/>
        <v>9.9900000000000006E-3</v>
      </c>
    </row>
    <row r="100" spans="1:36" x14ac:dyDescent="0.25">
      <c r="A100" s="13" t="s">
        <v>100</v>
      </c>
      <c r="B100" s="12">
        <f t="shared" si="20"/>
        <v>7.2617299999999982</v>
      </c>
      <c r="C100" s="12">
        <f t="shared" si="21"/>
        <v>4.91967</v>
      </c>
      <c r="D100" s="12">
        <f t="shared" si="22"/>
        <v>2.9085700000000001</v>
      </c>
      <c r="F100" s="12">
        <f>'Raw - 2024 PL'!B69/1000</f>
        <v>0.43325999999999998</v>
      </c>
      <c r="G100" s="12">
        <f>'Raw - 2024 PL'!C69/1000</f>
        <v>1.6317600000000001</v>
      </c>
      <c r="H100" s="12">
        <f>'Raw - 2024 PL'!D69/1000</f>
        <v>0.43368000000000001</v>
      </c>
      <c r="I100" s="12">
        <f>'Raw - 2024 PL'!E69/1000</f>
        <v>0.48413</v>
      </c>
      <c r="J100" s="12">
        <f>'Raw - 2024 PL'!F69/1000</f>
        <v>0.48413</v>
      </c>
      <c r="K100" s="12">
        <f>'Raw - 2024 PL'!G69/1000</f>
        <v>0.48413</v>
      </c>
      <c r="L100" s="12">
        <f>'Raw - 2024 PL'!H69/1000</f>
        <v>0.49343999999999999</v>
      </c>
      <c r="M100" s="12">
        <f>'Raw - 2024 PL'!I69/1000</f>
        <v>0.84344000000000008</v>
      </c>
      <c r="N100" s="12">
        <f>'Raw - 2024 PL'!J69/1000</f>
        <v>0.49343999999999999</v>
      </c>
      <c r="O100" s="12">
        <f>'Raw - 2024 PL'!K69/1000</f>
        <v>0.49343999999999999</v>
      </c>
      <c r="P100" s="12">
        <f>'Raw - 2024 PL'!L69/1000</f>
        <v>0.49343999999999999</v>
      </c>
      <c r="Q100" s="12">
        <f>'Raw - 2024 PL'!M69/1000</f>
        <v>0.49343999999999999</v>
      </c>
      <c r="R100" s="12">
        <f>'Raw - 2025 PL'!B93/1000</f>
        <v>0.53066999999999998</v>
      </c>
      <c r="S100" s="12">
        <f>'Raw - 2025 PL'!C93/1000</f>
        <v>0.39900000000000002</v>
      </c>
      <c r="T100" s="12">
        <f>'Raw - 2025 PL'!D93/1000</f>
        <v>0.39900000000000002</v>
      </c>
      <c r="U100" s="12">
        <f>'Raw - 2025 PL'!E93/1000</f>
        <v>0.39900000000000002</v>
      </c>
      <c r="V100" s="12">
        <f>'Raw - 2025 PL'!F93/1000</f>
        <v>0.39900000000000002</v>
      </c>
      <c r="W100" s="12">
        <f>'Raw - 2025 PL'!G93/1000</f>
        <v>0.39900000000000002</v>
      </c>
      <c r="X100" s="12">
        <f>'Raw - 2025 PL'!H93/1000</f>
        <v>0.39900000000000002</v>
      </c>
      <c r="Y100" s="12">
        <f>'Raw - 2025 PL'!I93/1000</f>
        <v>0.39900000000000002</v>
      </c>
      <c r="Z100" s="12">
        <f>'Raw - 2025 PL'!J93/1000</f>
        <v>0.39900000000000002</v>
      </c>
      <c r="AA100" s="12">
        <f>'Raw - 2025 PL'!K93/1000</f>
        <v>0.39900000000000002</v>
      </c>
      <c r="AB100" s="12">
        <f>'Raw - 2025 PL'!L93/1000</f>
        <v>0.39900000000000002</v>
      </c>
      <c r="AC100" s="12">
        <f>'Raw - 2025 PL'!M93/1000</f>
        <v>0.39900000000000002</v>
      </c>
      <c r="AD100" s="12">
        <f>'Raw - 2026 PL'!B91/1000</f>
        <v>0.43619000000000002</v>
      </c>
      <c r="AE100" s="12">
        <f>'Raw - 2026 PL'!C91/1000</f>
        <v>0.39900000000000002</v>
      </c>
      <c r="AF100" s="12">
        <f>'Raw - 2026 PL'!D91/1000</f>
        <v>0.47737999999999997</v>
      </c>
      <c r="AG100" s="12">
        <f>'Raw - 2026 PL'!E91/1000</f>
        <v>0.39900000000000002</v>
      </c>
      <c r="AH100" s="12">
        <f>'Raw - 2026 PL'!F91/1000</f>
        <v>0.39900000000000002</v>
      </c>
      <c r="AI100" s="12">
        <f>'Raw - 2026 PL'!G91/1000</f>
        <v>0.39900000000000002</v>
      </c>
      <c r="AJ100" s="12">
        <f>'Raw - 2026 PL'!H91/1000</f>
        <v>0.39900000000000002</v>
      </c>
    </row>
    <row r="101" spans="1:36" x14ac:dyDescent="0.25">
      <c r="A101" s="14" t="s">
        <v>101</v>
      </c>
      <c r="B101" s="15">
        <f t="shared" si="20"/>
        <v>14.014189999999999</v>
      </c>
      <c r="C101" s="15">
        <f t="shared" si="21"/>
        <v>68.812250000000006</v>
      </c>
      <c r="D101" s="15">
        <f t="shared" si="22"/>
        <v>89.654780000000017</v>
      </c>
      <c r="F101" s="15">
        <f t="shared" ref="F101:AJ101" si="25">SUM(F82,F86,F87,F88,F89,F90,F99,F100)</f>
        <v>1.5772599999999999</v>
      </c>
      <c r="G101" s="15">
        <f t="shared" si="25"/>
        <v>2.6317599999999999</v>
      </c>
      <c r="H101" s="15">
        <f t="shared" si="25"/>
        <v>1.6836800000000001</v>
      </c>
      <c r="I101" s="15">
        <f t="shared" si="25"/>
        <v>0.54459000000000002</v>
      </c>
      <c r="J101" s="15">
        <f t="shared" si="25"/>
        <v>1.4841299999999999</v>
      </c>
      <c r="K101" s="15">
        <f t="shared" si="25"/>
        <v>1.4841299999999999</v>
      </c>
      <c r="L101" s="15">
        <f t="shared" si="25"/>
        <v>0.49343999999999999</v>
      </c>
      <c r="M101" s="15">
        <f t="shared" si="25"/>
        <v>1.0134400000000001</v>
      </c>
      <c r="N101" s="15">
        <f t="shared" si="25"/>
        <v>0.76344000000000001</v>
      </c>
      <c r="O101" s="15">
        <f t="shared" si="25"/>
        <v>1.0114399999999999</v>
      </c>
      <c r="P101" s="15">
        <f t="shared" si="25"/>
        <v>0.66344000000000003</v>
      </c>
      <c r="Q101" s="15">
        <f t="shared" si="25"/>
        <v>0.66344000000000003</v>
      </c>
      <c r="R101" s="15">
        <f t="shared" si="25"/>
        <v>0.85158</v>
      </c>
      <c r="S101" s="15">
        <f t="shared" si="25"/>
        <v>0.56900000000000006</v>
      </c>
      <c r="T101" s="15">
        <f t="shared" si="25"/>
        <v>0.71543000000000001</v>
      </c>
      <c r="U101" s="15">
        <f t="shared" si="25"/>
        <v>12.075289999999999</v>
      </c>
      <c r="V101" s="15">
        <f t="shared" si="25"/>
        <v>11.453719999999997</v>
      </c>
      <c r="W101" s="15">
        <f t="shared" si="25"/>
        <v>2.1357999999999997</v>
      </c>
      <c r="X101" s="15">
        <f t="shared" si="25"/>
        <v>2.4993099999999999</v>
      </c>
      <c r="Y101" s="15">
        <f t="shared" si="25"/>
        <v>10.428570000000001</v>
      </c>
      <c r="Z101" s="15">
        <f t="shared" si="25"/>
        <v>7.1473300000000011</v>
      </c>
      <c r="AA101" s="15">
        <f t="shared" si="25"/>
        <v>7.0354900000000002</v>
      </c>
      <c r="AB101" s="15">
        <f t="shared" si="25"/>
        <v>4.9745999999999997</v>
      </c>
      <c r="AC101" s="15">
        <f t="shared" si="25"/>
        <v>8.9261300000000006</v>
      </c>
      <c r="AD101" s="15">
        <f t="shared" si="25"/>
        <v>6.5535899999999998</v>
      </c>
      <c r="AE101" s="15">
        <f t="shared" si="25"/>
        <v>6.6258900000000009</v>
      </c>
      <c r="AF101" s="15">
        <f t="shared" si="25"/>
        <v>8.5301799999999997</v>
      </c>
      <c r="AG101" s="15">
        <f t="shared" si="25"/>
        <v>18.571110000000001</v>
      </c>
      <c r="AH101" s="15">
        <f t="shared" si="25"/>
        <v>18.829730000000001</v>
      </c>
      <c r="AI101" s="15">
        <f t="shared" si="25"/>
        <v>9.734530000000003</v>
      </c>
      <c r="AJ101" s="15">
        <f t="shared" si="25"/>
        <v>20.809750000000001</v>
      </c>
    </row>
    <row r="102" spans="1:36" x14ac:dyDescent="0.25">
      <c r="A102" s="16" t="s">
        <v>102</v>
      </c>
      <c r="B102" s="15">
        <f t="shared" si="20"/>
        <v>232.55588999999998</v>
      </c>
      <c r="C102" s="15">
        <f t="shared" si="21"/>
        <v>660.94371999999998</v>
      </c>
      <c r="D102" s="15">
        <f t="shared" si="22"/>
        <v>712.06620999999996</v>
      </c>
      <c r="F102" s="15">
        <f t="shared" ref="F102:AJ102" si="26">SUM(F80,F81,F101)</f>
        <v>8.7689599999999999</v>
      </c>
      <c r="G102" s="15">
        <f t="shared" si="26"/>
        <v>14.611210000000002</v>
      </c>
      <c r="H102" s="15">
        <f t="shared" si="26"/>
        <v>15.58671</v>
      </c>
      <c r="I102" s="15">
        <f t="shared" si="26"/>
        <v>18.006249999999998</v>
      </c>
      <c r="J102" s="15">
        <f t="shared" si="26"/>
        <v>17.07133</v>
      </c>
      <c r="K102" s="15">
        <f t="shared" si="26"/>
        <v>16.542590000000001</v>
      </c>
      <c r="L102" s="15">
        <f t="shared" si="26"/>
        <v>15.5212</v>
      </c>
      <c r="M102" s="15">
        <f t="shared" si="26"/>
        <v>14.539829999999998</v>
      </c>
      <c r="N102" s="15">
        <f t="shared" si="26"/>
        <v>18.224900000000002</v>
      </c>
      <c r="O102" s="15">
        <f t="shared" si="26"/>
        <v>17.187530000000002</v>
      </c>
      <c r="P102" s="15">
        <f t="shared" si="26"/>
        <v>38.448639999999997</v>
      </c>
      <c r="Q102" s="15">
        <f t="shared" si="26"/>
        <v>38.046740000000007</v>
      </c>
      <c r="R102" s="15">
        <f t="shared" si="26"/>
        <v>36.512499999999996</v>
      </c>
      <c r="S102" s="15">
        <f t="shared" si="26"/>
        <v>55.503660000000011</v>
      </c>
      <c r="T102" s="15">
        <f t="shared" si="26"/>
        <v>35.038809999999998</v>
      </c>
      <c r="U102" s="15">
        <f t="shared" si="26"/>
        <v>58.103129999999993</v>
      </c>
      <c r="V102" s="15">
        <f t="shared" si="26"/>
        <v>56.017189999999992</v>
      </c>
      <c r="W102" s="15">
        <f t="shared" si="26"/>
        <v>44.752170000000007</v>
      </c>
      <c r="X102" s="15">
        <f t="shared" si="26"/>
        <v>48.06015</v>
      </c>
      <c r="Y102" s="15">
        <f t="shared" si="26"/>
        <v>53.008490000000002</v>
      </c>
      <c r="Z102" s="15">
        <f t="shared" si="26"/>
        <v>59.172980000000003</v>
      </c>
      <c r="AA102" s="15">
        <f t="shared" si="26"/>
        <v>68.748730000000009</v>
      </c>
      <c r="AB102" s="15">
        <f t="shared" si="26"/>
        <v>65.476219999999998</v>
      </c>
      <c r="AC102" s="15">
        <f t="shared" si="26"/>
        <v>80.549689999999998</v>
      </c>
      <c r="AD102" s="15">
        <f t="shared" si="26"/>
        <v>70.282160000000005</v>
      </c>
      <c r="AE102" s="15">
        <f t="shared" si="26"/>
        <v>69.920779999999993</v>
      </c>
      <c r="AF102" s="15">
        <f t="shared" si="26"/>
        <v>106.05275999999999</v>
      </c>
      <c r="AG102" s="15">
        <f t="shared" si="26"/>
        <v>121.40356</v>
      </c>
      <c r="AH102" s="15">
        <f t="shared" si="26"/>
        <v>117.98564</v>
      </c>
      <c r="AI102" s="15">
        <f t="shared" si="26"/>
        <v>99.553140000000013</v>
      </c>
      <c r="AJ102" s="15">
        <f t="shared" si="26"/>
        <v>126.86816999999999</v>
      </c>
    </row>
    <row r="103" spans="1:36" x14ac:dyDescent="0.25">
      <c r="A103" s="16" t="s">
        <v>103</v>
      </c>
      <c r="B103" s="15">
        <f t="shared" si="20"/>
        <v>159.69413000000003</v>
      </c>
      <c r="C103" s="15">
        <f t="shared" si="21"/>
        <v>151.54656</v>
      </c>
      <c r="D103" s="15">
        <f t="shared" si="22"/>
        <v>77.970660000000009</v>
      </c>
      <c r="F103" s="15">
        <f t="shared" ref="F103:AJ103" si="27">F49-F102</f>
        <v>32.290540000000014</v>
      </c>
      <c r="G103" s="15">
        <f t="shared" si="27"/>
        <v>23.655569999999997</v>
      </c>
      <c r="H103" s="15">
        <f t="shared" si="27"/>
        <v>18.009040000000009</v>
      </c>
      <c r="I103" s="15">
        <f t="shared" si="27"/>
        <v>9.5496999999999908</v>
      </c>
      <c r="J103" s="15">
        <f t="shared" si="27"/>
        <v>0.97158000000000655</v>
      </c>
      <c r="K103" s="15">
        <f t="shared" si="27"/>
        <v>12.499300000000009</v>
      </c>
      <c r="L103" s="15">
        <f t="shared" si="27"/>
        <v>26.037100000000002</v>
      </c>
      <c r="M103" s="15">
        <f t="shared" si="27"/>
        <v>28.86382</v>
      </c>
      <c r="N103" s="15">
        <f t="shared" si="27"/>
        <v>13.307770000000009</v>
      </c>
      <c r="O103" s="15">
        <f t="shared" si="27"/>
        <v>11.887049999999995</v>
      </c>
      <c r="P103" s="15">
        <f t="shared" si="27"/>
        <v>-11.492329999999981</v>
      </c>
      <c r="Q103" s="15">
        <f t="shared" si="27"/>
        <v>-5.8850100000000012</v>
      </c>
      <c r="R103" s="15">
        <f t="shared" si="27"/>
        <v>22.961439999999989</v>
      </c>
      <c r="S103" s="15">
        <f t="shared" si="27"/>
        <v>7.6914999999999907</v>
      </c>
      <c r="T103" s="15">
        <f t="shared" si="27"/>
        <v>20.55668</v>
      </c>
      <c r="U103" s="15">
        <f t="shared" si="27"/>
        <v>0.44818999999998255</v>
      </c>
      <c r="V103" s="15">
        <f t="shared" si="27"/>
        <v>15.734240000000007</v>
      </c>
      <c r="W103" s="15">
        <f t="shared" si="27"/>
        <v>27.306939999999997</v>
      </c>
      <c r="X103" s="15">
        <f t="shared" si="27"/>
        <v>15.990699999999983</v>
      </c>
      <c r="Y103" s="15">
        <f t="shared" si="27"/>
        <v>18.291810000000005</v>
      </c>
      <c r="Z103" s="15">
        <f t="shared" si="27"/>
        <v>4.8688099999999892</v>
      </c>
      <c r="AA103" s="15">
        <f t="shared" si="27"/>
        <v>2.5846699999999601</v>
      </c>
      <c r="AB103" s="15">
        <f t="shared" si="27"/>
        <v>13.504740000000055</v>
      </c>
      <c r="AC103" s="15">
        <f t="shared" si="27"/>
        <v>1.6068400000000196</v>
      </c>
      <c r="AD103" s="15">
        <f t="shared" si="27"/>
        <v>31.924169999999989</v>
      </c>
      <c r="AE103" s="15">
        <f t="shared" si="27"/>
        <v>70.470680000000002</v>
      </c>
      <c r="AF103" s="15">
        <f t="shared" si="27"/>
        <v>-8.7603799999999836</v>
      </c>
      <c r="AG103" s="15">
        <f t="shared" si="27"/>
        <v>-9.3003000000000213</v>
      </c>
      <c r="AH103" s="15">
        <f t="shared" si="27"/>
        <v>-9.0189999999992665E-2</v>
      </c>
      <c r="AI103" s="15">
        <f t="shared" si="27"/>
        <v>9.9309300000000178</v>
      </c>
      <c r="AJ103" s="15">
        <f t="shared" si="27"/>
        <v>-16.204250000000002</v>
      </c>
    </row>
    <row r="104" spans="1:36" x14ac:dyDescent="0.25">
      <c r="A104" s="9" t="s">
        <v>104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x14ac:dyDescent="0.25">
      <c r="A105" s="11" t="s">
        <v>105</v>
      </c>
      <c r="B105" s="12">
        <f>SUM(F105:Q105)</f>
        <v>2.7359999999999999E-2</v>
      </c>
      <c r="C105" s="12">
        <f>SUM(R105:AC105)</f>
        <v>0</v>
      </c>
      <c r="D105" s="12">
        <f>SUM(AD105:AJ105)</f>
        <v>0</v>
      </c>
      <c r="F105" s="12">
        <f>'Raw - 2024 PL'!B74/1000</f>
        <v>0</v>
      </c>
      <c r="G105" s="12">
        <f>'Raw - 2024 PL'!C74/1000</f>
        <v>0</v>
      </c>
      <c r="H105" s="12">
        <f>'Raw - 2024 PL'!D74/1000</f>
        <v>0</v>
      </c>
      <c r="I105" s="12">
        <f>'Raw - 2024 PL'!E74/1000</f>
        <v>0</v>
      </c>
      <c r="J105" s="12">
        <f>'Raw - 2024 PL'!F74/1000</f>
        <v>0</v>
      </c>
      <c r="K105" s="12">
        <f>'Raw - 2024 PL'!G74/1000</f>
        <v>0</v>
      </c>
      <c r="L105" s="12">
        <f>'Raw - 2024 PL'!H74/1000</f>
        <v>0</v>
      </c>
      <c r="M105" s="12">
        <f>'Raw - 2024 PL'!I74/1000</f>
        <v>0</v>
      </c>
      <c r="N105" s="12">
        <f>'Raw - 2024 PL'!J74/1000</f>
        <v>0</v>
      </c>
      <c r="O105" s="12">
        <f>'Raw - 2024 PL'!K74/1000</f>
        <v>0</v>
      </c>
      <c r="P105" s="12">
        <f>'Raw - 2024 PL'!L74/1000</f>
        <v>0</v>
      </c>
      <c r="Q105" s="12">
        <f>'Raw - 2024 PL'!M74/1000</f>
        <v>2.7359999999999999E-2</v>
      </c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1:36" x14ac:dyDescent="0.25">
      <c r="A106" s="11" t="s">
        <v>106</v>
      </c>
      <c r="B106" s="12">
        <f>SUM(F106:Q106)</f>
        <v>0</v>
      </c>
      <c r="C106" s="12">
        <f>SUM(R106:AC106)</f>
        <v>0.21722</v>
      </c>
      <c r="D106" s="12">
        <f>SUM(AD106:AJ106)</f>
        <v>0.15586999999999998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>
        <f>'Raw - 2025 PL'!B98/1000</f>
        <v>0</v>
      </c>
      <c r="S106" s="12">
        <f>'Raw - 2025 PL'!C98/1000</f>
        <v>1.993E-2</v>
      </c>
      <c r="T106" s="12">
        <f>'Raw - 2025 PL'!D98/1000</f>
        <v>1.2930000000000001E-2</v>
      </c>
      <c r="U106" s="12">
        <f>'Raw - 2025 PL'!E98/1000</f>
        <v>1.9629999999999998E-2</v>
      </c>
      <c r="V106" s="12">
        <f>'Raw - 2025 PL'!F98/1000</f>
        <v>2.3149999999999997E-2</v>
      </c>
      <c r="W106" s="12">
        <f>'Raw - 2025 PL'!G98/1000</f>
        <v>9.6200000000000001E-3</v>
      </c>
      <c r="X106" s="12">
        <f>'Raw - 2025 PL'!H98/1000</f>
        <v>3.2070000000000001E-2</v>
      </c>
      <c r="Y106" s="12">
        <f>'Raw - 2025 PL'!I98/1000</f>
        <v>1.634E-2</v>
      </c>
      <c r="Z106" s="12">
        <f>'Raw - 2025 PL'!J98/1000</f>
        <v>1.584E-2</v>
      </c>
      <c r="AA106" s="12">
        <f>'Raw - 2025 PL'!K98/1000</f>
        <v>2.3960000000000002E-2</v>
      </c>
      <c r="AB106" s="12">
        <f>'Raw - 2025 PL'!L98/1000</f>
        <v>2.513E-2</v>
      </c>
      <c r="AC106" s="12">
        <f>'Raw - 2025 PL'!M98/1000</f>
        <v>1.8620000000000001E-2</v>
      </c>
      <c r="AD106" s="12">
        <f>'Raw - 2026 PL'!B96/1000</f>
        <v>1.03E-2</v>
      </c>
      <c r="AE106" s="12">
        <f>'Raw - 2026 PL'!C96/1000</f>
        <v>1.3800000000000002E-2</v>
      </c>
      <c r="AF106" s="12">
        <f>'Raw - 2026 PL'!D96/1000</f>
        <v>9.2499999999999995E-3</v>
      </c>
      <c r="AG106" s="12">
        <f>'Raw - 2026 PL'!E96/1000</f>
        <v>6.1810000000000004E-2</v>
      </c>
      <c r="AH106" s="12">
        <f>'Raw - 2026 PL'!F96/1000</f>
        <v>3.3159999999999995E-2</v>
      </c>
      <c r="AI106" s="12">
        <f>'Raw - 2026 PL'!G96/1000</f>
        <v>1.6140000000000002E-2</v>
      </c>
      <c r="AJ106" s="12">
        <f>'Raw - 2026 PL'!H96/1000</f>
        <v>1.141E-2</v>
      </c>
    </row>
    <row r="107" spans="1:36" x14ac:dyDescent="0.25">
      <c r="A107" s="16" t="s">
        <v>107</v>
      </c>
      <c r="B107" s="15">
        <f>SUM(F107:Q107)</f>
        <v>2.7359999999999999E-2</v>
      </c>
      <c r="C107" s="15">
        <f>SUM(R107:AC107)</f>
        <v>0.21722</v>
      </c>
      <c r="D107" s="15">
        <f>SUM(AD107:AJ107)</f>
        <v>0.15586999999999998</v>
      </c>
      <c r="F107" s="15">
        <f t="shared" ref="F107:AJ107" si="28">SUM(F105,F106)</f>
        <v>0</v>
      </c>
      <c r="G107" s="15">
        <f t="shared" si="28"/>
        <v>0</v>
      </c>
      <c r="H107" s="15">
        <f t="shared" si="28"/>
        <v>0</v>
      </c>
      <c r="I107" s="15">
        <f t="shared" si="28"/>
        <v>0</v>
      </c>
      <c r="J107" s="15">
        <f t="shared" si="28"/>
        <v>0</v>
      </c>
      <c r="K107" s="15">
        <f t="shared" si="28"/>
        <v>0</v>
      </c>
      <c r="L107" s="15">
        <f t="shared" si="28"/>
        <v>0</v>
      </c>
      <c r="M107" s="15">
        <f t="shared" si="28"/>
        <v>0</v>
      </c>
      <c r="N107" s="15">
        <f t="shared" si="28"/>
        <v>0</v>
      </c>
      <c r="O107" s="15">
        <f t="shared" si="28"/>
        <v>0</v>
      </c>
      <c r="P107" s="15">
        <f t="shared" si="28"/>
        <v>0</v>
      </c>
      <c r="Q107" s="15">
        <f t="shared" si="28"/>
        <v>2.7359999999999999E-2</v>
      </c>
      <c r="R107" s="15">
        <f t="shared" si="28"/>
        <v>0</v>
      </c>
      <c r="S107" s="15">
        <f t="shared" si="28"/>
        <v>1.993E-2</v>
      </c>
      <c r="T107" s="15">
        <f t="shared" si="28"/>
        <v>1.2930000000000001E-2</v>
      </c>
      <c r="U107" s="15">
        <f t="shared" si="28"/>
        <v>1.9629999999999998E-2</v>
      </c>
      <c r="V107" s="15">
        <f t="shared" si="28"/>
        <v>2.3149999999999997E-2</v>
      </c>
      <c r="W107" s="15">
        <f t="shared" si="28"/>
        <v>9.6200000000000001E-3</v>
      </c>
      <c r="X107" s="15">
        <f t="shared" si="28"/>
        <v>3.2070000000000001E-2</v>
      </c>
      <c r="Y107" s="15">
        <f t="shared" si="28"/>
        <v>1.634E-2</v>
      </c>
      <c r="Z107" s="15">
        <f t="shared" si="28"/>
        <v>1.584E-2</v>
      </c>
      <c r="AA107" s="15">
        <f t="shared" si="28"/>
        <v>2.3960000000000002E-2</v>
      </c>
      <c r="AB107" s="15">
        <f t="shared" si="28"/>
        <v>2.513E-2</v>
      </c>
      <c r="AC107" s="15">
        <f t="shared" si="28"/>
        <v>1.8620000000000001E-2</v>
      </c>
      <c r="AD107" s="15">
        <f t="shared" si="28"/>
        <v>1.03E-2</v>
      </c>
      <c r="AE107" s="15">
        <f t="shared" si="28"/>
        <v>1.3800000000000002E-2</v>
      </c>
      <c r="AF107" s="15">
        <f t="shared" si="28"/>
        <v>9.2499999999999995E-3</v>
      </c>
      <c r="AG107" s="15">
        <f t="shared" si="28"/>
        <v>6.1810000000000004E-2</v>
      </c>
      <c r="AH107" s="15">
        <f t="shared" si="28"/>
        <v>3.3159999999999995E-2</v>
      </c>
      <c r="AI107" s="15">
        <f t="shared" si="28"/>
        <v>1.6140000000000002E-2</v>
      </c>
      <c r="AJ107" s="15">
        <f t="shared" si="28"/>
        <v>1.141E-2</v>
      </c>
    </row>
    <row r="108" spans="1:36" x14ac:dyDescent="0.25">
      <c r="A108" s="9" t="s">
        <v>108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25">
      <c r="A109" s="11" t="s">
        <v>109</v>
      </c>
      <c r="B109" s="12">
        <f t="shared" ref="B109:B115" si="29">SUM(F109:Q109)</f>
        <v>6.673</v>
      </c>
      <c r="C109" s="12">
        <f t="shared" ref="C109:C115" si="30">SUM(R109:AC109)</f>
        <v>6.673</v>
      </c>
      <c r="D109" s="12">
        <f t="shared" ref="D109:D115" si="31">SUM(AD109:AJ109)</f>
        <v>0</v>
      </c>
      <c r="F109" s="12">
        <f>'Raw - 2024 PL'!B77/1000</f>
        <v>0</v>
      </c>
      <c r="G109" s="12">
        <f>'Raw - 2024 PL'!C77/1000</f>
        <v>0</v>
      </c>
      <c r="H109" s="12">
        <f>'Raw - 2024 PL'!D77/1000</f>
        <v>0</v>
      </c>
      <c r="I109" s="12">
        <f>'Raw - 2024 PL'!E77/1000</f>
        <v>0</v>
      </c>
      <c r="J109" s="12">
        <f>'Raw - 2024 PL'!F77/1000</f>
        <v>0</v>
      </c>
      <c r="K109" s="12">
        <f>'Raw - 2024 PL'!G77/1000</f>
        <v>0</v>
      </c>
      <c r="L109" s="12">
        <f>'Raw - 2024 PL'!H77/1000</f>
        <v>0</v>
      </c>
      <c r="M109" s="12">
        <f>'Raw - 2024 PL'!I77/1000</f>
        <v>0</v>
      </c>
      <c r="N109" s="12">
        <f>'Raw - 2024 PL'!J77/1000</f>
        <v>0</v>
      </c>
      <c r="O109" s="12">
        <f>'Raw - 2024 PL'!K77/1000</f>
        <v>0</v>
      </c>
      <c r="P109" s="12">
        <f>'Raw - 2024 PL'!L77/1000</f>
        <v>0</v>
      </c>
      <c r="Q109" s="12">
        <f>'Raw - 2024 PL'!M77/1000</f>
        <v>6.673</v>
      </c>
      <c r="R109" s="12">
        <f>'Raw - 2025 PL'!B101/1000</f>
        <v>0</v>
      </c>
      <c r="S109" s="12">
        <f>'Raw - 2025 PL'!C101/1000</f>
        <v>0</v>
      </c>
      <c r="T109" s="12">
        <f>'Raw - 2025 PL'!D101/1000</f>
        <v>0</v>
      </c>
      <c r="U109" s="12">
        <f>'Raw - 2025 PL'!E101/1000</f>
        <v>0</v>
      </c>
      <c r="V109" s="12">
        <f>'Raw - 2025 PL'!F101/1000</f>
        <v>0</v>
      </c>
      <c r="W109" s="12">
        <f>'Raw - 2025 PL'!G101/1000</f>
        <v>0</v>
      </c>
      <c r="X109" s="12">
        <f>'Raw - 2025 PL'!H101/1000</f>
        <v>0</v>
      </c>
      <c r="Y109" s="12">
        <f>'Raw - 2025 PL'!I101/1000</f>
        <v>0</v>
      </c>
      <c r="Z109" s="12">
        <f>'Raw - 2025 PL'!J101/1000</f>
        <v>0</v>
      </c>
      <c r="AA109" s="12">
        <f>'Raw - 2025 PL'!K101/1000</f>
        <v>0</v>
      </c>
      <c r="AB109" s="12">
        <f>'Raw - 2025 PL'!L101/1000</f>
        <v>0</v>
      </c>
      <c r="AC109" s="12">
        <f>'Raw - 2025 PL'!M101/1000</f>
        <v>6.673</v>
      </c>
      <c r="AD109" s="12"/>
      <c r="AE109" s="12"/>
      <c r="AF109" s="12"/>
      <c r="AG109" s="12"/>
      <c r="AH109" s="12"/>
      <c r="AI109" s="12"/>
      <c r="AJ109" s="12"/>
    </row>
    <row r="110" spans="1:36" x14ac:dyDescent="0.25">
      <c r="A110" s="11" t="s">
        <v>110</v>
      </c>
      <c r="B110" s="12">
        <f t="shared" si="29"/>
        <v>0</v>
      </c>
      <c r="C110" s="12">
        <f t="shared" si="30"/>
        <v>2.7040000000000002</v>
      </c>
      <c r="D110" s="12">
        <f t="shared" si="31"/>
        <v>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>
        <f>'Raw - 2025 PL'!B102/1000</f>
        <v>0</v>
      </c>
      <c r="S110" s="12">
        <f>'Raw - 2025 PL'!C102/1000</f>
        <v>0</v>
      </c>
      <c r="T110" s="12">
        <f>'Raw - 2025 PL'!D102/1000</f>
        <v>0</v>
      </c>
      <c r="U110" s="12">
        <f>'Raw - 2025 PL'!E102/1000</f>
        <v>0</v>
      </c>
      <c r="V110" s="12">
        <f>'Raw - 2025 PL'!F102/1000</f>
        <v>0</v>
      </c>
      <c r="W110" s="12">
        <f>'Raw - 2025 PL'!G102/1000</f>
        <v>0</v>
      </c>
      <c r="X110" s="12">
        <f>'Raw - 2025 PL'!H102/1000</f>
        <v>0</v>
      </c>
      <c r="Y110" s="12">
        <f>'Raw - 2025 PL'!I102/1000</f>
        <v>0</v>
      </c>
      <c r="Z110" s="12">
        <f>'Raw - 2025 PL'!J102/1000</f>
        <v>0</v>
      </c>
      <c r="AA110" s="12">
        <f>'Raw - 2025 PL'!K102/1000</f>
        <v>0</v>
      </c>
      <c r="AB110" s="12">
        <f>'Raw - 2025 PL'!L102/1000</f>
        <v>0</v>
      </c>
      <c r="AC110" s="12">
        <f>'Raw - 2025 PL'!M102/1000</f>
        <v>2.7040000000000002</v>
      </c>
      <c r="AD110" s="12"/>
      <c r="AE110" s="12"/>
      <c r="AF110" s="12"/>
      <c r="AG110" s="12"/>
      <c r="AH110" s="12"/>
      <c r="AI110" s="12"/>
      <c r="AJ110" s="12"/>
    </row>
    <row r="111" spans="1:36" x14ac:dyDescent="0.25">
      <c r="A111" s="11" t="s">
        <v>111</v>
      </c>
      <c r="B111" s="12">
        <f t="shared" si="29"/>
        <v>7.9639999999999989E-2</v>
      </c>
      <c r="C111" s="12">
        <f t="shared" si="30"/>
        <v>1.4224800000000002</v>
      </c>
      <c r="D111" s="12">
        <f t="shared" si="31"/>
        <v>0.81103000000000003</v>
      </c>
      <c r="F111" s="12">
        <f>'Raw - 2024 PL'!B78/1000</f>
        <v>0</v>
      </c>
      <c r="G111" s="12">
        <f>'Raw - 2024 PL'!C78/1000</f>
        <v>0</v>
      </c>
      <c r="H111" s="12">
        <f>'Raw - 2024 PL'!D78/1000</f>
        <v>0</v>
      </c>
      <c r="I111" s="12">
        <f>'Raw - 2024 PL'!E78/1000</f>
        <v>0</v>
      </c>
      <c r="J111" s="12">
        <f>'Raw - 2024 PL'!F78/1000</f>
        <v>0</v>
      </c>
      <c r="K111" s="12">
        <f>'Raw - 2024 PL'!G78/1000</f>
        <v>0</v>
      </c>
      <c r="L111" s="12">
        <f>'Raw - 2024 PL'!H78/1000</f>
        <v>0</v>
      </c>
      <c r="M111" s="12">
        <f>'Raw - 2024 PL'!I78/1000</f>
        <v>0</v>
      </c>
      <c r="N111" s="12">
        <f>'Raw - 2024 PL'!J78/1000</f>
        <v>0</v>
      </c>
      <c r="O111" s="12">
        <f>'Raw - 2024 PL'!K78/1000</f>
        <v>0</v>
      </c>
      <c r="P111" s="12">
        <f>'Raw - 2024 PL'!L78/1000</f>
        <v>7.1499999999999994E-2</v>
      </c>
      <c r="Q111" s="12">
        <f>'Raw - 2024 PL'!M78/1000</f>
        <v>8.1400000000000014E-3</v>
      </c>
      <c r="R111" s="12">
        <f>'Raw - 2025 PL'!B103/1000</f>
        <v>0.11752</v>
      </c>
      <c r="S111" s="12">
        <f>'Raw - 2025 PL'!C103/1000</f>
        <v>0.20646</v>
      </c>
      <c r="T111" s="12">
        <f>'Raw - 2025 PL'!D103/1000</f>
        <v>1.174E-2</v>
      </c>
      <c r="U111" s="12">
        <f>'Raw - 2025 PL'!E103/1000</f>
        <v>3.6600000000000001E-2</v>
      </c>
      <c r="V111" s="12">
        <f>'Raw - 2025 PL'!F103/1000</f>
        <v>0.11484</v>
      </c>
      <c r="W111" s="12">
        <f>'Raw - 2025 PL'!G103/1000</f>
        <v>0.24787999999999999</v>
      </c>
      <c r="X111" s="12">
        <f>'Raw - 2025 PL'!H103/1000</f>
        <v>0.34200000000000003</v>
      </c>
      <c r="Y111" s="12">
        <f>'Raw - 2025 PL'!I103/1000</f>
        <v>0.25108999999999998</v>
      </c>
      <c r="Z111" s="12">
        <f>'Raw - 2025 PL'!J103/1000</f>
        <v>6.5290000000000001E-2</v>
      </c>
      <c r="AA111" s="12">
        <f>'Raw - 2025 PL'!K103/1000</f>
        <v>1.916E-2</v>
      </c>
      <c r="AB111" s="12">
        <f>'Raw - 2025 PL'!L103/1000</f>
        <v>9.9000000000000008E-3</v>
      </c>
      <c r="AC111" s="12">
        <f>'Raw - 2025 PL'!M103/1000</f>
        <v>0</v>
      </c>
      <c r="AD111" s="12">
        <f>'Raw - 2026 PL'!B99/1000</f>
        <v>0.28870000000000001</v>
      </c>
      <c r="AE111" s="12">
        <f>'Raw - 2026 PL'!C99/1000</f>
        <v>0.14452999999999999</v>
      </c>
      <c r="AF111" s="12">
        <f>'Raw - 2026 PL'!D99/1000</f>
        <v>0</v>
      </c>
      <c r="AG111" s="12">
        <f>'Raw - 2026 PL'!E99/1000</f>
        <v>0.15</v>
      </c>
      <c r="AH111" s="12">
        <f>'Raw - 2026 PL'!F99/1000</f>
        <v>0.11769</v>
      </c>
      <c r="AI111" s="12">
        <f>'Raw - 2026 PL'!G99/1000</f>
        <v>0.11011</v>
      </c>
      <c r="AJ111" s="12">
        <f>'Raw - 2026 PL'!H99/1000</f>
        <v>0</v>
      </c>
    </row>
    <row r="112" spans="1:36" x14ac:dyDescent="0.25">
      <c r="A112" s="11" t="s">
        <v>112</v>
      </c>
      <c r="B112" s="12">
        <f t="shared" si="29"/>
        <v>7.4969999999999999</v>
      </c>
      <c r="C112" s="12">
        <f t="shared" si="30"/>
        <v>9.984</v>
      </c>
      <c r="D112" s="12">
        <f t="shared" si="31"/>
        <v>1.1719999999999997</v>
      </c>
      <c r="F112" s="12">
        <f>'Raw - 2024 PL'!B79/1000</f>
        <v>0</v>
      </c>
      <c r="G112" s="12">
        <f>'Raw - 2024 PL'!C79/1000</f>
        <v>0</v>
      </c>
      <c r="H112" s="12">
        <f>'Raw - 2024 PL'!D79/1000</f>
        <v>0</v>
      </c>
      <c r="I112" s="12">
        <f>'Raw - 2024 PL'!E79/1000</f>
        <v>6.2460000000000004</v>
      </c>
      <c r="J112" s="12">
        <f>'Raw - 2024 PL'!F79/1000</f>
        <v>0</v>
      </c>
      <c r="K112" s="12">
        <f>'Raw - 2024 PL'!G79/1000</f>
        <v>2.472</v>
      </c>
      <c r="L112" s="12">
        <f>'Raw - 2024 PL'!H79/1000</f>
        <v>0</v>
      </c>
      <c r="M112" s="12">
        <f>'Raw - 2024 PL'!I79/1000</f>
        <v>0</v>
      </c>
      <c r="N112" s="12">
        <f>'Raw - 2024 PL'!J79/1000</f>
        <v>2.472</v>
      </c>
      <c r="O112" s="12">
        <f>'Raw - 2024 PL'!K79/1000</f>
        <v>0</v>
      </c>
      <c r="P112" s="12">
        <f>'Raw - 2024 PL'!L79/1000</f>
        <v>0</v>
      </c>
      <c r="Q112" s="12">
        <f>'Raw - 2024 PL'!M79/1000</f>
        <v>-3.6930000000000001</v>
      </c>
      <c r="R112" s="12">
        <f>'Raw - 2025 PL'!B104/1000</f>
        <v>2.472</v>
      </c>
      <c r="S112" s="12">
        <f>'Raw - 2025 PL'!C104/1000</f>
        <v>0</v>
      </c>
      <c r="T112" s="12">
        <f>'Raw - 2025 PL'!D104/1000</f>
        <v>0</v>
      </c>
      <c r="U112" s="12">
        <f>'Raw - 2025 PL'!E104/1000</f>
        <v>3.649</v>
      </c>
      <c r="V112" s="12">
        <f>'Raw - 2025 PL'!F104/1000</f>
        <v>-2.2719999999999998</v>
      </c>
      <c r="W112" s="12">
        <f>'Raw - 2025 PL'!G104/1000</f>
        <v>2.0449999999999999</v>
      </c>
      <c r="X112" s="12">
        <f>'Raw - 2025 PL'!H104/1000</f>
        <v>0</v>
      </c>
      <c r="Y112" s="12">
        <f>'Raw - 2025 PL'!I104/1000</f>
        <v>0</v>
      </c>
      <c r="Z112" s="12">
        <f>'Raw - 2025 PL'!J104/1000</f>
        <v>2.0449999999999999</v>
      </c>
      <c r="AA112" s="12">
        <f>'Raw - 2025 PL'!K104/1000</f>
        <v>0</v>
      </c>
      <c r="AB112" s="12">
        <f>'Raw - 2025 PL'!L104/1000</f>
        <v>0</v>
      </c>
      <c r="AC112" s="12">
        <f>'Raw - 2025 PL'!M104/1000</f>
        <v>2.0449999999999999</v>
      </c>
      <c r="AD112" s="12">
        <f>'Raw - 2026 PL'!B100/1000</f>
        <v>0</v>
      </c>
      <c r="AE112" s="12">
        <f>'Raw - 2026 PL'!C100/1000</f>
        <v>0</v>
      </c>
      <c r="AF112" s="12">
        <f>'Raw - 2026 PL'!D100/1000</f>
        <v>5.0359999999999996</v>
      </c>
      <c r="AG112" s="12">
        <f>'Raw - 2026 PL'!E100/1000</f>
        <v>-4.8639999999999999</v>
      </c>
      <c r="AH112" s="12">
        <f>'Raw - 2026 PL'!F100/1000</f>
        <v>0</v>
      </c>
      <c r="AI112" s="12">
        <f>'Raw - 2026 PL'!G100/1000</f>
        <v>1</v>
      </c>
      <c r="AJ112" s="12">
        <f>'Raw - 2026 PL'!H100/1000</f>
        <v>0</v>
      </c>
    </row>
    <row r="113" spans="1:36" x14ac:dyDescent="0.25">
      <c r="A113" s="16" t="s">
        <v>113</v>
      </c>
      <c r="B113" s="15">
        <f t="shared" si="29"/>
        <v>14.249639999999999</v>
      </c>
      <c r="C113" s="15">
        <f t="shared" si="30"/>
        <v>20.783479999999997</v>
      </c>
      <c r="D113" s="15">
        <f t="shared" si="31"/>
        <v>1.9830299999999998</v>
      </c>
      <c r="F113" s="15">
        <f t="shared" ref="F113:AJ113" si="32">SUM(F109,F110,F111,F112)</f>
        <v>0</v>
      </c>
      <c r="G113" s="15">
        <f t="shared" si="32"/>
        <v>0</v>
      </c>
      <c r="H113" s="15">
        <f t="shared" si="32"/>
        <v>0</v>
      </c>
      <c r="I113" s="15">
        <f t="shared" si="32"/>
        <v>6.2460000000000004</v>
      </c>
      <c r="J113" s="15">
        <f t="shared" si="32"/>
        <v>0</v>
      </c>
      <c r="K113" s="15">
        <f t="shared" si="32"/>
        <v>2.472</v>
      </c>
      <c r="L113" s="15">
        <f t="shared" si="32"/>
        <v>0</v>
      </c>
      <c r="M113" s="15">
        <f t="shared" si="32"/>
        <v>0</v>
      </c>
      <c r="N113" s="15">
        <f t="shared" si="32"/>
        <v>2.472</v>
      </c>
      <c r="O113" s="15">
        <f t="shared" si="32"/>
        <v>0</v>
      </c>
      <c r="P113" s="15">
        <f t="shared" si="32"/>
        <v>7.1499999999999994E-2</v>
      </c>
      <c r="Q113" s="15">
        <f t="shared" si="32"/>
        <v>2.98814</v>
      </c>
      <c r="R113" s="15">
        <f t="shared" si="32"/>
        <v>2.5895199999999998</v>
      </c>
      <c r="S113" s="15">
        <f t="shared" si="32"/>
        <v>0.20646</v>
      </c>
      <c r="T113" s="15">
        <f t="shared" si="32"/>
        <v>1.174E-2</v>
      </c>
      <c r="U113" s="15">
        <f t="shared" si="32"/>
        <v>3.6856</v>
      </c>
      <c r="V113" s="15">
        <f t="shared" si="32"/>
        <v>-2.1571599999999997</v>
      </c>
      <c r="W113" s="15">
        <f t="shared" si="32"/>
        <v>2.2928799999999998</v>
      </c>
      <c r="X113" s="15">
        <f t="shared" si="32"/>
        <v>0.34200000000000003</v>
      </c>
      <c r="Y113" s="15">
        <f t="shared" si="32"/>
        <v>0.25108999999999998</v>
      </c>
      <c r="Z113" s="15">
        <f t="shared" si="32"/>
        <v>2.11029</v>
      </c>
      <c r="AA113" s="15">
        <f t="shared" si="32"/>
        <v>1.916E-2</v>
      </c>
      <c r="AB113" s="15">
        <f t="shared" si="32"/>
        <v>9.9000000000000008E-3</v>
      </c>
      <c r="AC113" s="15">
        <f t="shared" si="32"/>
        <v>11.422000000000001</v>
      </c>
      <c r="AD113" s="15">
        <f t="shared" si="32"/>
        <v>0.28870000000000001</v>
      </c>
      <c r="AE113" s="15">
        <f t="shared" si="32"/>
        <v>0.14452999999999999</v>
      </c>
      <c r="AF113" s="15">
        <f t="shared" si="32"/>
        <v>5.0359999999999996</v>
      </c>
      <c r="AG113" s="15">
        <f t="shared" si="32"/>
        <v>-4.7139999999999995</v>
      </c>
      <c r="AH113" s="15">
        <f t="shared" si="32"/>
        <v>0.11769</v>
      </c>
      <c r="AI113" s="15">
        <f t="shared" si="32"/>
        <v>1.1101099999999999</v>
      </c>
      <c r="AJ113" s="15">
        <f t="shared" si="32"/>
        <v>0</v>
      </c>
    </row>
    <row r="114" spans="1:36" x14ac:dyDescent="0.25">
      <c r="A114" s="16" t="s">
        <v>114</v>
      </c>
      <c r="B114" s="15">
        <f t="shared" si="29"/>
        <v>-14.22228</v>
      </c>
      <c r="C114" s="15">
        <f t="shared" si="30"/>
        <v>-20.56626</v>
      </c>
      <c r="D114" s="15">
        <f t="shared" si="31"/>
        <v>-1.8271600000000001</v>
      </c>
      <c r="F114" s="15">
        <f t="shared" ref="F114:AJ114" si="33">F107-F113</f>
        <v>0</v>
      </c>
      <c r="G114" s="15">
        <f t="shared" si="33"/>
        <v>0</v>
      </c>
      <c r="H114" s="15">
        <f t="shared" si="33"/>
        <v>0</v>
      </c>
      <c r="I114" s="15">
        <f t="shared" si="33"/>
        <v>-6.2460000000000004</v>
      </c>
      <c r="J114" s="15">
        <f t="shared" si="33"/>
        <v>0</v>
      </c>
      <c r="K114" s="15">
        <f t="shared" si="33"/>
        <v>-2.472</v>
      </c>
      <c r="L114" s="15">
        <f t="shared" si="33"/>
        <v>0</v>
      </c>
      <c r="M114" s="15">
        <f t="shared" si="33"/>
        <v>0</v>
      </c>
      <c r="N114" s="15">
        <f t="shared" si="33"/>
        <v>-2.472</v>
      </c>
      <c r="O114" s="15">
        <f t="shared" si="33"/>
        <v>0</v>
      </c>
      <c r="P114" s="15">
        <f t="shared" si="33"/>
        <v>-7.1499999999999994E-2</v>
      </c>
      <c r="Q114" s="15">
        <f t="shared" si="33"/>
        <v>-2.9607800000000002</v>
      </c>
      <c r="R114" s="15">
        <f t="shared" si="33"/>
        <v>-2.5895199999999998</v>
      </c>
      <c r="S114" s="15">
        <f t="shared" si="33"/>
        <v>-0.18653</v>
      </c>
      <c r="T114" s="15">
        <f t="shared" si="33"/>
        <v>1.1900000000000001E-3</v>
      </c>
      <c r="U114" s="15">
        <f t="shared" si="33"/>
        <v>-3.6659700000000002</v>
      </c>
      <c r="V114" s="15">
        <f t="shared" si="33"/>
        <v>2.1803099999999995</v>
      </c>
      <c r="W114" s="15">
        <f t="shared" si="33"/>
        <v>-2.2832599999999998</v>
      </c>
      <c r="X114" s="15">
        <f t="shared" si="33"/>
        <v>-0.30993000000000004</v>
      </c>
      <c r="Y114" s="15">
        <f t="shared" si="33"/>
        <v>-0.23474999999999999</v>
      </c>
      <c r="Z114" s="15">
        <f t="shared" si="33"/>
        <v>-2.0944500000000001</v>
      </c>
      <c r="AA114" s="15">
        <f t="shared" si="33"/>
        <v>4.8000000000000022E-3</v>
      </c>
      <c r="AB114" s="15">
        <f t="shared" si="33"/>
        <v>1.5229999999999999E-2</v>
      </c>
      <c r="AC114" s="15">
        <f t="shared" si="33"/>
        <v>-11.40338</v>
      </c>
      <c r="AD114" s="15">
        <f t="shared" si="33"/>
        <v>-0.27840000000000004</v>
      </c>
      <c r="AE114" s="15">
        <f t="shared" si="33"/>
        <v>-0.13072999999999999</v>
      </c>
      <c r="AF114" s="15">
        <f t="shared" si="33"/>
        <v>-5.0267499999999998</v>
      </c>
      <c r="AG114" s="15">
        <f t="shared" si="33"/>
        <v>4.7758099999999999</v>
      </c>
      <c r="AH114" s="15">
        <f t="shared" si="33"/>
        <v>-8.4530000000000008E-2</v>
      </c>
      <c r="AI114" s="15">
        <f t="shared" si="33"/>
        <v>-1.0939699999999999</v>
      </c>
      <c r="AJ114" s="15">
        <f t="shared" si="33"/>
        <v>1.141E-2</v>
      </c>
    </row>
    <row r="115" spans="1:36" x14ac:dyDescent="0.25">
      <c r="A115" s="16" t="s">
        <v>115</v>
      </c>
      <c r="B115" s="19">
        <f t="shared" si="29"/>
        <v>145.47185000000005</v>
      </c>
      <c r="C115" s="19">
        <f t="shared" si="30"/>
        <v>130.98029999999997</v>
      </c>
      <c r="D115" s="19">
        <f t="shared" si="31"/>
        <v>76.143500000000003</v>
      </c>
      <c r="F115" s="19">
        <f t="shared" ref="F115:AJ115" si="34">F103+F114</f>
        <v>32.290540000000014</v>
      </c>
      <c r="G115" s="19">
        <f t="shared" si="34"/>
        <v>23.655569999999997</v>
      </c>
      <c r="H115" s="19">
        <f t="shared" si="34"/>
        <v>18.009040000000009</v>
      </c>
      <c r="I115" s="19">
        <f t="shared" si="34"/>
        <v>3.3036999999999903</v>
      </c>
      <c r="J115" s="19">
        <f t="shared" si="34"/>
        <v>0.97158000000000655</v>
      </c>
      <c r="K115" s="19">
        <f t="shared" si="34"/>
        <v>10.027300000000009</v>
      </c>
      <c r="L115" s="19">
        <f t="shared" si="34"/>
        <v>26.037100000000002</v>
      </c>
      <c r="M115" s="19">
        <f t="shared" si="34"/>
        <v>28.86382</v>
      </c>
      <c r="N115" s="19">
        <f t="shared" si="34"/>
        <v>10.835770000000009</v>
      </c>
      <c r="O115" s="19">
        <f t="shared" si="34"/>
        <v>11.887049999999995</v>
      </c>
      <c r="P115" s="19">
        <f t="shared" si="34"/>
        <v>-11.563829999999982</v>
      </c>
      <c r="Q115" s="19">
        <f t="shared" si="34"/>
        <v>-8.8457900000000009</v>
      </c>
      <c r="R115" s="19">
        <f t="shared" si="34"/>
        <v>20.371919999999989</v>
      </c>
      <c r="S115" s="19">
        <f t="shared" si="34"/>
        <v>7.5049699999999904</v>
      </c>
      <c r="T115" s="19">
        <f t="shared" si="34"/>
        <v>20.557870000000001</v>
      </c>
      <c r="U115" s="19">
        <f t="shared" si="34"/>
        <v>-3.2177800000000176</v>
      </c>
      <c r="V115" s="19">
        <f t="shared" si="34"/>
        <v>17.914550000000006</v>
      </c>
      <c r="W115" s="19">
        <f t="shared" si="34"/>
        <v>25.023679999999999</v>
      </c>
      <c r="X115" s="19">
        <f t="shared" si="34"/>
        <v>15.680769999999983</v>
      </c>
      <c r="Y115" s="19">
        <f t="shared" si="34"/>
        <v>18.057060000000007</v>
      </c>
      <c r="Z115" s="19">
        <f t="shared" si="34"/>
        <v>2.7743599999999891</v>
      </c>
      <c r="AA115" s="19">
        <f t="shared" si="34"/>
        <v>2.58946999999996</v>
      </c>
      <c r="AB115" s="19">
        <f t="shared" si="34"/>
        <v>13.519970000000056</v>
      </c>
      <c r="AC115" s="19">
        <f t="shared" si="34"/>
        <v>-9.7965399999999807</v>
      </c>
      <c r="AD115" s="19">
        <f t="shared" si="34"/>
        <v>31.645769999999988</v>
      </c>
      <c r="AE115" s="19">
        <f t="shared" si="34"/>
        <v>70.339950000000002</v>
      </c>
      <c r="AF115" s="19">
        <f t="shared" si="34"/>
        <v>-13.787129999999983</v>
      </c>
      <c r="AG115" s="19">
        <f t="shared" si="34"/>
        <v>-4.5244900000000214</v>
      </c>
      <c r="AH115" s="19">
        <f t="shared" si="34"/>
        <v>-0.17471999999999266</v>
      </c>
      <c r="AI115" s="19">
        <f t="shared" si="34"/>
        <v>8.8369600000000172</v>
      </c>
      <c r="AJ115" s="19">
        <f t="shared" si="34"/>
        <v>-16.19284</v>
      </c>
    </row>
    <row r="118" spans="1:36" x14ac:dyDescent="0.25">
      <c r="A118" s="5" t="s">
        <v>116</v>
      </c>
    </row>
    <row r="119" spans="1:36" ht="42" customHeight="1" x14ac:dyDescent="0.25">
      <c r="A119" s="3" t="s">
        <v>117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36" x14ac:dyDescent="0.25">
      <c r="A120" s="2" t="s">
        <v>3</v>
      </c>
      <c r="B120" s="1" t="s">
        <v>118</v>
      </c>
      <c r="C120" s="1"/>
      <c r="D120" s="1"/>
      <c r="F120" s="1" t="s">
        <v>119</v>
      </c>
      <c r="G120" s="1"/>
      <c r="H120" s="1"/>
      <c r="J120" s="1" t="s">
        <v>120</v>
      </c>
      <c r="K120" s="1"/>
      <c r="L120" s="1"/>
      <c r="N120" s="2" t="s">
        <v>121</v>
      </c>
    </row>
    <row r="121" spans="1:36" ht="23.25" x14ac:dyDescent="0.25">
      <c r="A121" s="2"/>
      <c r="B121" s="20" t="s">
        <v>122</v>
      </c>
      <c r="C121" s="20" t="s">
        <v>123</v>
      </c>
      <c r="D121" s="20" t="s">
        <v>124</v>
      </c>
      <c r="F121" s="20" t="s">
        <v>122</v>
      </c>
      <c r="G121" s="20" t="s">
        <v>123</v>
      </c>
      <c r="H121" s="20" t="s">
        <v>124</v>
      </c>
      <c r="J121" s="20" t="s">
        <v>122</v>
      </c>
      <c r="K121" s="20" t="s">
        <v>123</v>
      </c>
      <c r="L121" s="20" t="s">
        <v>124</v>
      </c>
      <c r="N121" s="2"/>
    </row>
    <row r="122" spans="1:36" x14ac:dyDescent="0.25">
      <c r="A122" s="21" t="s">
        <v>30</v>
      </c>
      <c r="B122" s="22">
        <f>B30*1000</f>
        <v>1134965.8500000001</v>
      </c>
      <c r="C122" s="22">
        <f>'Raw - 2024 PL'!N24</f>
        <v>1134965.8500000001</v>
      </c>
      <c r="D122" s="23">
        <f t="shared" ref="D122:D130" si="35">B122-C122</f>
        <v>0</v>
      </c>
      <c r="F122" s="22">
        <f>C30*1000</f>
        <v>1879383.13</v>
      </c>
      <c r="G122" s="22">
        <f>'Raw - 2025 PL'!N29</f>
        <v>1879383.13</v>
      </c>
      <c r="H122" s="23">
        <f t="shared" ref="H122:H130" si="36">F122-G122</f>
        <v>0</v>
      </c>
      <c r="J122" s="22">
        <f>D30*1000</f>
        <v>1671021.2000000002</v>
      </c>
      <c r="K122" s="22">
        <f>'Raw - 2026 PL'!I27</f>
        <v>1671021.2</v>
      </c>
      <c r="L122" s="23">
        <f t="shared" ref="L122:L130" si="37">J122-K122</f>
        <v>0</v>
      </c>
      <c r="N122" s="16" t="str">
        <f t="shared" ref="N122:N130" si="38">IF(AND(ABS(D122)&lt;0.05,ABS(H122)&lt;0.05,ABS(L122)&lt;0.05),"TIES OUT","CHECK")</f>
        <v>TIES OUT</v>
      </c>
    </row>
    <row r="123" spans="1:36" x14ac:dyDescent="0.25">
      <c r="A123" s="21" t="s">
        <v>48</v>
      </c>
      <c r="B123" s="22">
        <f>B48*1000</f>
        <v>742715.82999999984</v>
      </c>
      <c r="C123" s="22">
        <f>'Raw - 2024 PL'!N36</f>
        <v>742715.83</v>
      </c>
      <c r="D123" s="23">
        <f t="shared" si="35"/>
        <v>0</v>
      </c>
      <c r="F123" s="22">
        <f>C48*1000</f>
        <v>1066892.8499999999</v>
      </c>
      <c r="G123" s="22">
        <f>'Raw - 2025 PL'!N46</f>
        <v>1066892.8500000001</v>
      </c>
      <c r="H123" s="23">
        <f t="shared" si="36"/>
        <v>0</v>
      </c>
      <c r="J123" s="22">
        <f>D48*1000</f>
        <v>880984.33</v>
      </c>
      <c r="K123" s="22">
        <f>'Raw - 2026 PL'!I44</f>
        <v>880984.33</v>
      </c>
      <c r="L123" s="23">
        <f t="shared" si="37"/>
        <v>0</v>
      </c>
      <c r="N123" s="16" t="str">
        <f t="shared" si="38"/>
        <v>TIES OUT</v>
      </c>
    </row>
    <row r="124" spans="1:36" x14ac:dyDescent="0.25">
      <c r="A124" s="21" t="s">
        <v>49</v>
      </c>
      <c r="B124" s="22">
        <f>B49*1000</f>
        <v>392250.02000000008</v>
      </c>
      <c r="C124" s="22">
        <f>'Raw - 2024 PL'!N37</f>
        <v>392250.02</v>
      </c>
      <c r="D124" s="23">
        <f t="shared" si="35"/>
        <v>0</v>
      </c>
      <c r="F124" s="22">
        <f>C49*1000</f>
        <v>812490.28</v>
      </c>
      <c r="G124" s="22">
        <f>'Raw - 2025 PL'!N47</f>
        <v>812490.28</v>
      </c>
      <c r="H124" s="23">
        <f t="shared" si="36"/>
        <v>0</v>
      </c>
      <c r="J124" s="22">
        <f>D49*1000</f>
        <v>790036.86999999988</v>
      </c>
      <c r="K124" s="22">
        <f>'Raw - 2026 PL'!I45</f>
        <v>790036.87</v>
      </c>
      <c r="L124" s="23">
        <f t="shared" si="37"/>
        <v>0</v>
      </c>
      <c r="N124" s="16" t="str">
        <f t="shared" si="38"/>
        <v>TIES OUT</v>
      </c>
    </row>
    <row r="125" spans="1:36" x14ac:dyDescent="0.25">
      <c r="A125" s="21" t="s">
        <v>102</v>
      </c>
      <c r="B125" s="22">
        <f>B102*1000</f>
        <v>232555.88999999998</v>
      </c>
      <c r="C125" s="22">
        <f>'Raw - 2024 PL'!N71</f>
        <v>232555.89</v>
      </c>
      <c r="D125" s="23">
        <f t="shared" si="35"/>
        <v>0</v>
      </c>
      <c r="F125" s="22">
        <f>C102*1000</f>
        <v>660943.72</v>
      </c>
      <c r="G125" s="22">
        <f>'Raw - 2025 PL'!N95</f>
        <v>660943.72</v>
      </c>
      <c r="H125" s="23">
        <f t="shared" si="36"/>
        <v>0</v>
      </c>
      <c r="J125" s="22">
        <f>D102*1000</f>
        <v>712066.21</v>
      </c>
      <c r="K125" s="22">
        <f>'Raw - 2026 PL'!I93</f>
        <v>712066.21</v>
      </c>
      <c r="L125" s="23">
        <f t="shared" si="37"/>
        <v>0</v>
      </c>
      <c r="N125" s="16" t="str">
        <f t="shared" si="38"/>
        <v>TIES OUT</v>
      </c>
    </row>
    <row r="126" spans="1:36" x14ac:dyDescent="0.25">
      <c r="A126" s="21" t="s">
        <v>103</v>
      </c>
      <c r="B126" s="22">
        <f>B103*1000</f>
        <v>159694.13000000003</v>
      </c>
      <c r="C126" s="22">
        <f>'Raw - 2024 PL'!N72</f>
        <v>159694.13</v>
      </c>
      <c r="D126" s="23">
        <f t="shared" si="35"/>
        <v>0</v>
      </c>
      <c r="F126" s="22">
        <f>C103*1000</f>
        <v>151546.56</v>
      </c>
      <c r="G126" s="22">
        <f>'Raw - 2025 PL'!N96</f>
        <v>151546.56</v>
      </c>
      <c r="H126" s="23">
        <f t="shared" si="36"/>
        <v>0</v>
      </c>
      <c r="J126" s="22">
        <f>D103*1000</f>
        <v>77970.66</v>
      </c>
      <c r="K126" s="22">
        <f>'Raw - 2026 PL'!I94</f>
        <v>77970.66</v>
      </c>
      <c r="L126" s="23">
        <f t="shared" si="37"/>
        <v>0</v>
      </c>
      <c r="N126" s="16" t="str">
        <f t="shared" si="38"/>
        <v>TIES OUT</v>
      </c>
    </row>
    <row r="127" spans="1:36" x14ac:dyDescent="0.25">
      <c r="A127" s="21" t="s">
        <v>107</v>
      </c>
      <c r="B127" s="22">
        <f>B107*1000</f>
        <v>27.36</v>
      </c>
      <c r="C127" s="22">
        <f>'Raw - 2024 PL'!N75</f>
        <v>27.36</v>
      </c>
      <c r="D127" s="23">
        <f t="shared" si="35"/>
        <v>0</v>
      </c>
      <c r="F127" s="22">
        <f>C107*1000</f>
        <v>217.22</v>
      </c>
      <c r="G127" s="22">
        <f>'Raw - 2025 PL'!N99</f>
        <v>217.22</v>
      </c>
      <c r="H127" s="23">
        <f t="shared" si="36"/>
        <v>0</v>
      </c>
      <c r="J127" s="22">
        <f>D107*1000</f>
        <v>155.86999999999998</v>
      </c>
      <c r="K127" s="22">
        <f>'Raw - 2026 PL'!I97</f>
        <v>155.87</v>
      </c>
      <c r="L127" s="23">
        <f t="shared" si="37"/>
        <v>0</v>
      </c>
      <c r="N127" s="16" t="str">
        <f t="shared" si="38"/>
        <v>TIES OUT</v>
      </c>
    </row>
    <row r="128" spans="1:36" x14ac:dyDescent="0.25">
      <c r="A128" s="21" t="s">
        <v>113</v>
      </c>
      <c r="B128" s="22">
        <f>B113*1000</f>
        <v>14249.64</v>
      </c>
      <c r="C128" s="22">
        <f>'Raw - 2024 PL'!N80</f>
        <v>14249.64</v>
      </c>
      <c r="D128" s="23">
        <f t="shared" si="35"/>
        <v>0</v>
      </c>
      <c r="F128" s="22">
        <f>C113*1000</f>
        <v>20783.479999999996</v>
      </c>
      <c r="G128" s="22">
        <f>'Raw - 2025 PL'!N105</f>
        <v>20783.48</v>
      </c>
      <c r="H128" s="23">
        <f t="shared" si="36"/>
        <v>0</v>
      </c>
      <c r="J128" s="22">
        <f>D113*1000</f>
        <v>1983.0299999999997</v>
      </c>
      <c r="K128" s="22">
        <f>'Raw - 2026 PL'!I101</f>
        <v>1983.03</v>
      </c>
      <c r="L128" s="23">
        <f t="shared" si="37"/>
        <v>0</v>
      </c>
      <c r="N128" s="16" t="str">
        <f t="shared" si="38"/>
        <v>TIES OUT</v>
      </c>
    </row>
    <row r="129" spans="1:14" x14ac:dyDescent="0.25">
      <c r="A129" s="21" t="s">
        <v>114</v>
      </c>
      <c r="B129" s="22">
        <f>B114*1000</f>
        <v>-14222.279999999999</v>
      </c>
      <c r="C129" s="22">
        <f>'Raw - 2024 PL'!N81</f>
        <v>-14222.28</v>
      </c>
      <c r="D129" s="23">
        <f t="shared" si="35"/>
        <v>0</v>
      </c>
      <c r="F129" s="22">
        <f>C114*1000</f>
        <v>-20566.259999999998</v>
      </c>
      <c r="G129" s="22">
        <f>'Raw - 2025 PL'!N106</f>
        <v>-20566.259999999998</v>
      </c>
      <c r="H129" s="23">
        <f t="shared" si="36"/>
        <v>0</v>
      </c>
      <c r="J129" s="22">
        <f>D114*1000</f>
        <v>-1827.16</v>
      </c>
      <c r="K129" s="22">
        <f>'Raw - 2026 PL'!I102</f>
        <v>-1827.16</v>
      </c>
      <c r="L129" s="23">
        <f t="shared" si="37"/>
        <v>0</v>
      </c>
      <c r="N129" s="16" t="str">
        <f t="shared" si="38"/>
        <v>TIES OUT</v>
      </c>
    </row>
    <row r="130" spans="1:14" x14ac:dyDescent="0.25">
      <c r="A130" s="21" t="s">
        <v>115</v>
      </c>
      <c r="B130" s="22">
        <f>B115*1000</f>
        <v>145471.85000000003</v>
      </c>
      <c r="C130" s="22">
        <f>'Raw - 2024 PL'!N82</f>
        <v>145471.85</v>
      </c>
      <c r="D130" s="23">
        <f t="shared" si="35"/>
        <v>0</v>
      </c>
      <c r="F130" s="22">
        <f>C115*1000</f>
        <v>130980.29999999997</v>
      </c>
      <c r="G130" s="22">
        <f>'Raw - 2025 PL'!N107</f>
        <v>130980.3</v>
      </c>
      <c r="H130" s="23">
        <f t="shared" si="36"/>
        <v>0</v>
      </c>
      <c r="J130" s="22">
        <f>D115*1000</f>
        <v>76143.5</v>
      </c>
      <c r="K130" s="22">
        <f>'Raw - 2026 PL'!I103</f>
        <v>76143.5</v>
      </c>
      <c r="L130" s="23">
        <f t="shared" si="37"/>
        <v>0</v>
      </c>
      <c r="N130" s="16" t="str">
        <f t="shared" si="38"/>
        <v>TIES OUT</v>
      </c>
    </row>
  </sheetData>
  <mergeCells count="7">
    <mergeCell ref="N120:N121"/>
    <mergeCell ref="A3:J3"/>
    <mergeCell ref="A119:M119"/>
    <mergeCell ref="A120:A121"/>
    <mergeCell ref="B120:D120"/>
    <mergeCell ref="F120:H120"/>
    <mergeCell ref="J120:L1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4" sqref="N24"/>
    </sheetView>
  </sheetViews>
  <sheetFormatPr defaultColWidth="8.7109375" defaultRowHeight="15" x14ac:dyDescent="0.25"/>
  <cols>
    <col min="1" max="1" width="38" customWidth="1"/>
    <col min="2" max="2" width="10" customWidth="1"/>
    <col min="5" max="5" width="10.28515625" customWidth="1"/>
    <col min="6" max="6" width="10" customWidth="1"/>
    <col min="7" max="7" width="10.28515625" customWidth="1"/>
    <col min="11" max="11" width="10" customWidth="1"/>
    <col min="12" max="12" width="11.140625" customWidth="1"/>
    <col min="13" max="13" width="10.28515625" customWidth="1"/>
    <col min="14" max="14" width="12" customWidth="1"/>
  </cols>
  <sheetData>
    <row r="1" spans="1:14" x14ac:dyDescent="0.25">
      <c r="A1" s="16" t="s">
        <v>0</v>
      </c>
    </row>
    <row r="2" spans="1:14" x14ac:dyDescent="0.25">
      <c r="A2" s="16" t="s">
        <v>125</v>
      </c>
    </row>
    <row r="3" spans="1:14" x14ac:dyDescent="0.25">
      <c r="A3" s="16" t="s">
        <v>126</v>
      </c>
    </row>
    <row r="5" spans="1:14" x14ac:dyDescent="0.25">
      <c r="B5" s="21" t="s">
        <v>127</v>
      </c>
      <c r="C5" s="21" t="s">
        <v>128</v>
      </c>
      <c r="D5" s="21" t="s">
        <v>129</v>
      </c>
      <c r="E5" s="21" t="s">
        <v>130</v>
      </c>
      <c r="F5" s="21" t="s">
        <v>131</v>
      </c>
      <c r="G5" s="21" t="s">
        <v>132</v>
      </c>
      <c r="H5" s="21" t="s">
        <v>133</v>
      </c>
      <c r="I5" s="21" t="s">
        <v>134</v>
      </c>
      <c r="J5" s="21" t="s">
        <v>135</v>
      </c>
      <c r="K5" s="21" t="s">
        <v>136</v>
      </c>
      <c r="L5" s="21" t="s">
        <v>137</v>
      </c>
      <c r="M5" s="21" t="s">
        <v>138</v>
      </c>
      <c r="N5" s="21" t="s">
        <v>139</v>
      </c>
    </row>
    <row r="6" spans="1:14" x14ac:dyDescent="0.25">
      <c r="A6" s="16" t="s">
        <v>7</v>
      </c>
    </row>
    <row r="7" spans="1:14" x14ac:dyDescent="0.25">
      <c r="A7" s="11" t="s">
        <v>140</v>
      </c>
      <c r="N7" s="22">
        <v>0</v>
      </c>
    </row>
    <row r="8" spans="1:14" x14ac:dyDescent="0.25">
      <c r="A8" s="13" t="s">
        <v>141</v>
      </c>
      <c r="B8" s="22">
        <v>6945</v>
      </c>
      <c r="C8" s="22">
        <v>3380</v>
      </c>
      <c r="D8" s="22">
        <v>45</v>
      </c>
      <c r="E8" s="22">
        <v>60</v>
      </c>
      <c r="F8" s="22">
        <v>15</v>
      </c>
      <c r="I8" s="22">
        <v>15</v>
      </c>
      <c r="L8" s="22">
        <v>15</v>
      </c>
      <c r="N8" s="22">
        <v>10475</v>
      </c>
    </row>
    <row r="9" spans="1:14" x14ac:dyDescent="0.25">
      <c r="A9" s="13" t="s">
        <v>142</v>
      </c>
      <c r="B9" s="22">
        <v>50</v>
      </c>
      <c r="E9" s="22">
        <v>25</v>
      </c>
      <c r="H9" s="22">
        <v>299.7</v>
      </c>
      <c r="N9" s="22">
        <v>374.7</v>
      </c>
    </row>
    <row r="10" spans="1:14" x14ac:dyDescent="0.25">
      <c r="A10" s="13" t="s">
        <v>143</v>
      </c>
      <c r="B10" s="22">
        <v>500</v>
      </c>
      <c r="C10" s="22">
        <v>3000</v>
      </c>
      <c r="F10" s="22">
        <v>3000</v>
      </c>
      <c r="G10" s="22">
        <v>565</v>
      </c>
      <c r="H10" s="22">
        <v>10500</v>
      </c>
      <c r="I10" s="22">
        <v>6500</v>
      </c>
      <c r="J10" s="22">
        <v>500</v>
      </c>
      <c r="K10" s="22">
        <v>-965</v>
      </c>
      <c r="L10" s="22">
        <v>0</v>
      </c>
      <c r="N10" s="22">
        <v>23600</v>
      </c>
    </row>
    <row r="11" spans="1:14" x14ac:dyDescent="0.25">
      <c r="A11" s="13" t="s">
        <v>144</v>
      </c>
      <c r="B11" s="22">
        <v>68.599999999999994</v>
      </c>
      <c r="C11" s="22">
        <v>131.19999999999999</v>
      </c>
      <c r="D11" s="22">
        <v>71.2</v>
      </c>
      <c r="E11" s="22">
        <v>55.6</v>
      </c>
      <c r="F11" s="22">
        <v>577</v>
      </c>
      <c r="G11" s="22">
        <v>806.8</v>
      </c>
      <c r="H11" s="22">
        <v>665.6</v>
      </c>
      <c r="I11" s="22">
        <v>826.4</v>
      </c>
      <c r="J11" s="22">
        <v>1380.8</v>
      </c>
      <c r="K11" s="22">
        <v>860.4</v>
      </c>
      <c r="L11" s="22">
        <v>510</v>
      </c>
      <c r="M11" s="22">
        <v>246.8</v>
      </c>
      <c r="N11" s="22">
        <v>6200.4</v>
      </c>
    </row>
    <row r="12" spans="1:14" x14ac:dyDescent="0.25">
      <c r="A12" s="14" t="s">
        <v>145</v>
      </c>
      <c r="B12" s="24">
        <v>7563.6</v>
      </c>
      <c r="C12" s="24">
        <v>6511.2</v>
      </c>
      <c r="D12" s="24">
        <v>116.2</v>
      </c>
      <c r="E12" s="24">
        <v>140.6</v>
      </c>
      <c r="F12" s="24">
        <v>3592</v>
      </c>
      <c r="G12" s="24">
        <v>1371.8</v>
      </c>
      <c r="H12" s="24">
        <v>11465.3</v>
      </c>
      <c r="I12" s="24">
        <v>7341.4</v>
      </c>
      <c r="J12" s="24">
        <v>1880.8</v>
      </c>
      <c r="K12" s="24">
        <v>-104.6</v>
      </c>
      <c r="L12" s="24">
        <v>525</v>
      </c>
      <c r="M12" s="24">
        <v>246.8</v>
      </c>
      <c r="N12" s="24">
        <v>40650.1</v>
      </c>
    </row>
    <row r="13" spans="1:14" x14ac:dyDescent="0.25">
      <c r="A13" s="11" t="s">
        <v>146</v>
      </c>
      <c r="N13" s="22">
        <v>0</v>
      </c>
    </row>
    <row r="14" spans="1:14" x14ac:dyDescent="0.25">
      <c r="A14" s="13" t="s">
        <v>147</v>
      </c>
      <c r="B14" s="22">
        <v>1200</v>
      </c>
      <c r="C14" s="22">
        <v>1762.5</v>
      </c>
      <c r="D14" s="22">
        <v>660</v>
      </c>
      <c r="E14" s="22">
        <v>395</v>
      </c>
      <c r="F14" s="22">
        <v>2465</v>
      </c>
      <c r="G14" s="22">
        <v>1275</v>
      </c>
      <c r="H14" s="22">
        <v>1462.5</v>
      </c>
      <c r="J14" s="22">
        <v>1145.25</v>
      </c>
      <c r="K14" s="22">
        <v>1355.25</v>
      </c>
      <c r="L14" s="22">
        <v>1903.5</v>
      </c>
      <c r="M14" s="22">
        <v>4000</v>
      </c>
      <c r="N14" s="22">
        <v>17624</v>
      </c>
    </row>
    <row r="15" spans="1:14" x14ac:dyDescent="0.25">
      <c r="A15" s="13" t="s">
        <v>148</v>
      </c>
      <c r="B15" s="22">
        <v>5465</v>
      </c>
      <c r="C15" s="22">
        <v>3900</v>
      </c>
      <c r="D15" s="22">
        <v>2755</v>
      </c>
      <c r="E15" s="22">
        <v>3502</v>
      </c>
      <c r="F15" s="22">
        <v>4659</v>
      </c>
      <c r="G15" s="22">
        <v>3937</v>
      </c>
      <c r="H15" s="22">
        <v>4602</v>
      </c>
      <c r="I15" s="22">
        <v>4738</v>
      </c>
      <c r="J15" s="22">
        <v>2119</v>
      </c>
      <c r="K15" s="22">
        <v>2064</v>
      </c>
      <c r="L15" s="22">
        <v>3012.5</v>
      </c>
      <c r="M15" s="22">
        <v>3305</v>
      </c>
      <c r="N15" s="22">
        <v>44058.5</v>
      </c>
    </row>
    <row r="16" spans="1:14" x14ac:dyDescent="0.25">
      <c r="A16" s="14" t="s">
        <v>149</v>
      </c>
      <c r="B16" s="24">
        <v>6665</v>
      </c>
      <c r="C16" s="24">
        <v>5662.5</v>
      </c>
      <c r="D16" s="24">
        <v>3415</v>
      </c>
      <c r="E16" s="24">
        <v>3897</v>
      </c>
      <c r="F16" s="24">
        <v>7124</v>
      </c>
      <c r="G16" s="24">
        <v>5212</v>
      </c>
      <c r="H16" s="24">
        <v>6064.5</v>
      </c>
      <c r="I16" s="24">
        <v>4738</v>
      </c>
      <c r="J16" s="24">
        <v>3264.25</v>
      </c>
      <c r="K16" s="24">
        <v>3419.25</v>
      </c>
      <c r="L16" s="24">
        <v>4916</v>
      </c>
      <c r="M16" s="24">
        <v>7305</v>
      </c>
      <c r="N16" s="24">
        <v>61682.5</v>
      </c>
    </row>
    <row r="17" spans="1:14" x14ac:dyDescent="0.25">
      <c r="A17" s="11" t="s">
        <v>150</v>
      </c>
      <c r="B17" s="22">
        <v>22001</v>
      </c>
      <c r="C17" s="22">
        <v>22036</v>
      </c>
      <c r="D17" s="22">
        <v>22111</v>
      </c>
      <c r="E17" s="22">
        <v>22146</v>
      </c>
      <c r="F17" s="22">
        <v>21966</v>
      </c>
      <c r="G17" s="22">
        <v>17816</v>
      </c>
      <c r="H17" s="22">
        <v>17621</v>
      </c>
      <c r="I17" s="22">
        <v>17536</v>
      </c>
      <c r="J17" s="22">
        <v>16426</v>
      </c>
      <c r="K17" s="22">
        <v>15381</v>
      </c>
      <c r="L17" s="22">
        <v>14675.5</v>
      </c>
      <c r="M17" s="22">
        <v>15075.5</v>
      </c>
      <c r="N17" s="22">
        <v>224791</v>
      </c>
    </row>
    <row r="18" spans="1:14" x14ac:dyDescent="0.25">
      <c r="A18" s="11" t="s">
        <v>151</v>
      </c>
      <c r="N18" s="22">
        <v>0</v>
      </c>
    </row>
    <row r="19" spans="1:14" x14ac:dyDescent="0.25">
      <c r="A19" s="13" t="s">
        <v>152</v>
      </c>
      <c r="H19" s="22">
        <v>1250</v>
      </c>
      <c r="I19" s="22">
        <v>1250</v>
      </c>
      <c r="J19" s="22">
        <v>1250</v>
      </c>
      <c r="K19" s="22">
        <v>1250</v>
      </c>
      <c r="L19" s="22">
        <v>5750</v>
      </c>
      <c r="M19" s="22">
        <v>3000</v>
      </c>
      <c r="N19" s="22">
        <v>13750</v>
      </c>
    </row>
    <row r="20" spans="1:14" x14ac:dyDescent="0.25">
      <c r="A20" s="13" t="s">
        <v>153</v>
      </c>
      <c r="L20" s="22">
        <v>80</v>
      </c>
      <c r="M20" s="22">
        <v>480</v>
      </c>
      <c r="N20" s="22">
        <v>560</v>
      </c>
    </row>
    <row r="21" spans="1:14" x14ac:dyDescent="0.25">
      <c r="A21" s="13" t="s">
        <v>154</v>
      </c>
      <c r="M21" s="22">
        <v>60</v>
      </c>
      <c r="N21" s="22">
        <v>60</v>
      </c>
    </row>
    <row r="22" spans="1:14" x14ac:dyDescent="0.25">
      <c r="A22" s="13" t="s">
        <v>155</v>
      </c>
      <c r="B22" s="22">
        <v>44683.5</v>
      </c>
      <c r="C22" s="22">
        <v>47046</v>
      </c>
      <c r="D22" s="22">
        <v>52470</v>
      </c>
      <c r="E22" s="22">
        <v>57169.7</v>
      </c>
      <c r="F22" s="22">
        <v>57514.15</v>
      </c>
      <c r="G22" s="22">
        <v>65516</v>
      </c>
      <c r="H22" s="22">
        <v>68281.25</v>
      </c>
      <c r="I22" s="22">
        <v>73251.350000000006</v>
      </c>
      <c r="J22" s="22">
        <v>75551.7</v>
      </c>
      <c r="K22" s="22">
        <v>79113.25</v>
      </c>
      <c r="L22" s="22">
        <v>83290.8</v>
      </c>
      <c r="M22" s="22">
        <v>89584.55</v>
      </c>
      <c r="N22" s="22">
        <v>793472.25</v>
      </c>
    </row>
    <row r="23" spans="1:14" x14ac:dyDescent="0.25">
      <c r="A23" s="14" t="s">
        <v>156</v>
      </c>
      <c r="B23" s="24">
        <v>44683.5</v>
      </c>
      <c r="C23" s="24">
        <v>47046</v>
      </c>
      <c r="D23" s="24">
        <v>52470</v>
      </c>
      <c r="E23" s="24">
        <v>57169.7</v>
      </c>
      <c r="F23" s="24">
        <v>57514.15</v>
      </c>
      <c r="G23" s="24">
        <v>65516</v>
      </c>
      <c r="H23" s="24">
        <v>69531.25</v>
      </c>
      <c r="I23" s="24">
        <v>74501.350000000006</v>
      </c>
      <c r="J23" s="24">
        <v>76801.7</v>
      </c>
      <c r="K23" s="24">
        <v>80363.25</v>
      </c>
      <c r="L23" s="24">
        <v>89120.8</v>
      </c>
      <c r="M23" s="24">
        <v>93124.55</v>
      </c>
      <c r="N23" s="24">
        <v>807842.25</v>
      </c>
    </row>
    <row r="24" spans="1:14" x14ac:dyDescent="0.25">
      <c r="A24" s="16" t="s">
        <v>30</v>
      </c>
      <c r="B24" s="24">
        <v>80913.100000000006</v>
      </c>
      <c r="C24" s="24">
        <v>81255.7</v>
      </c>
      <c r="D24" s="24">
        <v>78112.2</v>
      </c>
      <c r="E24" s="24">
        <v>83353.3</v>
      </c>
      <c r="F24" s="24">
        <v>90196.15</v>
      </c>
      <c r="G24" s="24">
        <v>89915.8</v>
      </c>
      <c r="H24" s="24">
        <v>104682.05</v>
      </c>
      <c r="I24" s="24">
        <v>104116.75</v>
      </c>
      <c r="J24" s="24">
        <v>98372.75</v>
      </c>
      <c r="K24" s="24">
        <v>99058.9</v>
      </c>
      <c r="L24" s="24">
        <v>109237.3</v>
      </c>
      <c r="M24" s="24">
        <v>115751.85</v>
      </c>
      <c r="N24" s="24">
        <v>1134965.8500000001</v>
      </c>
    </row>
    <row r="25" spans="1:14" x14ac:dyDescent="0.25">
      <c r="A25" s="16" t="s">
        <v>31</v>
      </c>
    </row>
    <row r="26" spans="1:14" x14ac:dyDescent="0.25">
      <c r="A26" s="11" t="s">
        <v>157</v>
      </c>
      <c r="B26" s="22">
        <v>1299.3399999999999</v>
      </c>
      <c r="C26" s="22">
        <v>30.12</v>
      </c>
      <c r="D26" s="22">
        <v>10.63</v>
      </c>
      <c r="E26" s="22">
        <v>3.25</v>
      </c>
      <c r="F26" s="22">
        <v>0.65</v>
      </c>
      <c r="I26" s="22">
        <v>1.94</v>
      </c>
      <c r="N26" s="22">
        <v>1345.93</v>
      </c>
    </row>
    <row r="27" spans="1:14" x14ac:dyDescent="0.25">
      <c r="A27" s="11" t="s">
        <v>158</v>
      </c>
      <c r="N27" s="22">
        <v>0</v>
      </c>
    </row>
    <row r="28" spans="1:14" x14ac:dyDescent="0.25">
      <c r="A28" s="13" t="s">
        <v>159</v>
      </c>
      <c r="B28" s="22">
        <v>9555</v>
      </c>
      <c r="C28" s="22">
        <v>9555</v>
      </c>
      <c r="D28" s="22">
        <v>10397.200000000001</v>
      </c>
      <c r="E28" s="22">
        <v>14999.67</v>
      </c>
      <c r="F28" s="22">
        <v>18009.8</v>
      </c>
      <c r="G28" s="22">
        <v>13891.27</v>
      </c>
      <c r="H28" s="22">
        <v>14048.24</v>
      </c>
      <c r="I28" s="22">
        <v>13390.91</v>
      </c>
      <c r="J28" s="22">
        <v>14669.31</v>
      </c>
      <c r="K28" s="22">
        <v>15882.53</v>
      </c>
      <c r="L28" s="22">
        <v>27188.67</v>
      </c>
      <c r="M28" s="22">
        <v>21781.43</v>
      </c>
      <c r="N28" s="22">
        <v>183369.03</v>
      </c>
    </row>
    <row r="29" spans="1:14" x14ac:dyDescent="0.25">
      <c r="A29" s="13" t="s">
        <v>160</v>
      </c>
      <c r="B29" s="22">
        <v>9961.08</v>
      </c>
      <c r="C29" s="22">
        <v>13850.26</v>
      </c>
      <c r="D29" s="22">
        <v>12790.54</v>
      </c>
      <c r="E29" s="22">
        <v>14571.45</v>
      </c>
      <c r="F29" s="22">
        <v>28285.63</v>
      </c>
      <c r="G29" s="22">
        <v>26542.54</v>
      </c>
      <c r="H29" s="22">
        <v>28311.19</v>
      </c>
      <c r="I29" s="22">
        <v>28187.46</v>
      </c>
      <c r="J29" s="22">
        <v>30868.01</v>
      </c>
      <c r="K29" s="22">
        <v>31621.279999999999</v>
      </c>
      <c r="L29" s="22">
        <v>28449.74</v>
      </c>
      <c r="M29" s="22">
        <v>32722.11</v>
      </c>
      <c r="N29" s="22">
        <v>286161.28999999998</v>
      </c>
    </row>
    <row r="30" spans="1:14" x14ac:dyDescent="0.25">
      <c r="A30" s="13" t="s">
        <v>161</v>
      </c>
      <c r="M30" s="22">
        <v>1113.3499999999999</v>
      </c>
      <c r="N30" s="22">
        <v>1113.3499999999999</v>
      </c>
    </row>
    <row r="31" spans="1:14" x14ac:dyDescent="0.25">
      <c r="A31" s="13" t="s">
        <v>162</v>
      </c>
      <c r="B31" s="22">
        <v>9137.2800000000007</v>
      </c>
      <c r="C31" s="22">
        <v>8962.9599999999991</v>
      </c>
      <c r="D31" s="22">
        <v>10195.84</v>
      </c>
      <c r="E31" s="22">
        <v>15044.29</v>
      </c>
      <c r="F31" s="22">
        <v>16637.439999999999</v>
      </c>
      <c r="G31" s="22">
        <v>7494.99</v>
      </c>
      <c r="H31" s="22">
        <v>7982.02</v>
      </c>
      <c r="I31" s="22">
        <v>5902.74</v>
      </c>
      <c r="J31" s="22">
        <v>7767.63</v>
      </c>
      <c r="K31" s="22">
        <v>8214.17</v>
      </c>
      <c r="L31" s="22">
        <v>12622.72</v>
      </c>
      <c r="M31" s="22">
        <v>12850.47</v>
      </c>
      <c r="N31" s="22">
        <v>122812.55</v>
      </c>
    </row>
    <row r="32" spans="1:14" x14ac:dyDescent="0.25">
      <c r="A32" s="14" t="s">
        <v>163</v>
      </c>
      <c r="B32" s="24">
        <v>28653.360000000001</v>
      </c>
      <c r="C32" s="24">
        <v>32368.22</v>
      </c>
      <c r="D32" s="24">
        <v>33383.58</v>
      </c>
      <c r="E32" s="24">
        <v>44615.41</v>
      </c>
      <c r="F32" s="24">
        <v>62932.87</v>
      </c>
      <c r="G32" s="24">
        <v>47928.800000000003</v>
      </c>
      <c r="H32" s="24">
        <v>50341.45</v>
      </c>
      <c r="I32" s="24">
        <v>47481.11</v>
      </c>
      <c r="J32" s="24">
        <v>53304.95</v>
      </c>
      <c r="K32" s="24">
        <v>55717.98</v>
      </c>
      <c r="L32" s="24">
        <v>68261.13</v>
      </c>
      <c r="M32" s="24">
        <v>68467.360000000001</v>
      </c>
      <c r="N32" s="24">
        <v>593456.22</v>
      </c>
    </row>
    <row r="33" spans="1:14" x14ac:dyDescent="0.25">
      <c r="A33" s="11" t="s">
        <v>164</v>
      </c>
      <c r="B33" s="22">
        <v>617.9</v>
      </c>
      <c r="C33" s="22">
        <v>837.4</v>
      </c>
      <c r="D33" s="22">
        <v>629.36</v>
      </c>
      <c r="E33" s="22">
        <v>682.45</v>
      </c>
      <c r="F33" s="22">
        <v>721.51</v>
      </c>
      <c r="G33" s="22">
        <v>787.47</v>
      </c>
      <c r="H33" s="22">
        <v>655.62</v>
      </c>
      <c r="I33" s="22">
        <v>794.91</v>
      </c>
      <c r="J33" s="22">
        <v>690.63</v>
      </c>
      <c r="K33" s="22">
        <v>717.61</v>
      </c>
      <c r="L33" s="22">
        <v>737.95</v>
      </c>
      <c r="M33" s="22">
        <v>798.18</v>
      </c>
      <c r="N33" s="22">
        <v>8670.99</v>
      </c>
    </row>
    <row r="34" spans="1:14" x14ac:dyDescent="0.25">
      <c r="A34" s="11" t="s">
        <v>165</v>
      </c>
      <c r="B34" s="22">
        <v>2210</v>
      </c>
      <c r="C34" s="22">
        <v>2735</v>
      </c>
      <c r="D34" s="22">
        <v>2715</v>
      </c>
      <c r="E34" s="22">
        <v>2735</v>
      </c>
      <c r="F34" s="22">
        <v>780</v>
      </c>
      <c r="G34" s="22">
        <v>3245</v>
      </c>
      <c r="H34" s="22">
        <v>1280</v>
      </c>
      <c r="I34" s="22">
        <v>1300</v>
      </c>
      <c r="J34" s="22">
        <v>1810</v>
      </c>
      <c r="K34" s="22">
        <v>1820</v>
      </c>
      <c r="L34" s="22">
        <v>1835</v>
      </c>
      <c r="M34" s="22">
        <v>2355</v>
      </c>
      <c r="N34" s="22">
        <v>24820</v>
      </c>
    </row>
    <row r="35" spans="1:14" x14ac:dyDescent="0.25">
      <c r="A35" s="11" t="s">
        <v>166</v>
      </c>
      <c r="B35" s="22">
        <v>7073</v>
      </c>
      <c r="C35" s="22">
        <v>7018.18</v>
      </c>
      <c r="D35" s="22">
        <v>7777.88</v>
      </c>
      <c r="E35" s="22">
        <v>7761.24</v>
      </c>
      <c r="F35" s="22">
        <v>7718.21</v>
      </c>
      <c r="G35" s="22">
        <v>8912.64</v>
      </c>
      <c r="H35" s="22">
        <v>10846.68</v>
      </c>
      <c r="I35" s="22">
        <v>11135.14</v>
      </c>
      <c r="J35" s="22">
        <v>11034.5</v>
      </c>
      <c r="K35" s="22">
        <v>11728.73</v>
      </c>
      <c r="L35" s="22">
        <v>11446.91</v>
      </c>
      <c r="M35" s="22">
        <v>11969.58</v>
      </c>
      <c r="N35" s="22">
        <v>114422.69</v>
      </c>
    </row>
    <row r="36" spans="1:14" x14ac:dyDescent="0.25">
      <c r="A36" s="16" t="s">
        <v>48</v>
      </c>
      <c r="B36" s="24">
        <v>39853.599999999999</v>
      </c>
      <c r="C36" s="24">
        <v>42988.92</v>
      </c>
      <c r="D36" s="24">
        <v>44516.45</v>
      </c>
      <c r="E36" s="24">
        <v>55797.35</v>
      </c>
      <c r="F36" s="24">
        <v>72153.240000000005</v>
      </c>
      <c r="G36" s="24">
        <v>60873.91</v>
      </c>
      <c r="H36" s="24">
        <v>63123.75</v>
      </c>
      <c r="I36" s="24">
        <v>60713.1</v>
      </c>
      <c r="J36" s="24">
        <v>66840.08</v>
      </c>
      <c r="K36" s="24">
        <v>69984.320000000007</v>
      </c>
      <c r="L36" s="24">
        <v>82280.990000000005</v>
      </c>
      <c r="M36" s="24">
        <v>83590.12</v>
      </c>
      <c r="N36" s="24">
        <v>742715.83</v>
      </c>
    </row>
    <row r="37" spans="1:14" x14ac:dyDescent="0.25">
      <c r="A37" s="16" t="s">
        <v>49</v>
      </c>
      <c r="B37" s="24">
        <v>41059.5</v>
      </c>
      <c r="C37" s="24">
        <v>38266.78</v>
      </c>
      <c r="D37" s="24">
        <v>33595.75</v>
      </c>
      <c r="E37" s="24">
        <v>27555.95</v>
      </c>
      <c r="F37" s="24">
        <v>18042.91</v>
      </c>
      <c r="G37" s="24">
        <v>29041.89</v>
      </c>
      <c r="H37" s="24">
        <v>41558.300000000003</v>
      </c>
      <c r="I37" s="24">
        <v>43403.65</v>
      </c>
      <c r="J37" s="24">
        <v>31532.67</v>
      </c>
      <c r="K37" s="24">
        <v>29074.58</v>
      </c>
      <c r="L37" s="24">
        <v>26956.31</v>
      </c>
      <c r="M37" s="24">
        <v>32161.73</v>
      </c>
      <c r="N37" s="24">
        <v>392250.02</v>
      </c>
    </row>
    <row r="38" spans="1:14" x14ac:dyDescent="0.25">
      <c r="A38" s="16" t="s">
        <v>50</v>
      </c>
    </row>
    <row r="39" spans="1:14" x14ac:dyDescent="0.25">
      <c r="A39" s="11" t="s">
        <v>167</v>
      </c>
      <c r="N39" s="22">
        <v>0</v>
      </c>
    </row>
    <row r="40" spans="1:14" x14ac:dyDescent="0.25">
      <c r="A40" s="13" t="s">
        <v>168</v>
      </c>
      <c r="B40" s="22">
        <v>1</v>
      </c>
      <c r="C40" s="22">
        <v>1</v>
      </c>
      <c r="D40" s="22">
        <v>1</v>
      </c>
      <c r="E40" s="22">
        <v>96</v>
      </c>
      <c r="F40" s="22">
        <v>2</v>
      </c>
      <c r="G40" s="22">
        <v>1</v>
      </c>
      <c r="H40" s="22">
        <v>5.63</v>
      </c>
      <c r="I40" s="22">
        <v>1</v>
      </c>
      <c r="J40" s="22">
        <v>1</v>
      </c>
      <c r="K40" s="22">
        <v>4.17</v>
      </c>
      <c r="L40" s="22">
        <v>9.42</v>
      </c>
      <c r="M40" s="22">
        <v>24.67</v>
      </c>
      <c r="N40" s="22">
        <v>147.88999999999999</v>
      </c>
    </row>
    <row r="41" spans="1:14" x14ac:dyDescent="0.25">
      <c r="A41" s="13" t="s">
        <v>169</v>
      </c>
      <c r="N41" s="22">
        <v>0</v>
      </c>
    </row>
    <row r="42" spans="1:14" x14ac:dyDescent="0.25">
      <c r="A42" s="17" t="s">
        <v>170</v>
      </c>
      <c r="H42" s="22">
        <v>381</v>
      </c>
      <c r="I42" s="22">
        <v>319.26</v>
      </c>
      <c r="L42" s="22">
        <v>813</v>
      </c>
      <c r="M42" s="22">
        <v>93</v>
      </c>
      <c r="N42" s="22">
        <v>1606.26</v>
      </c>
    </row>
    <row r="43" spans="1:14" x14ac:dyDescent="0.25">
      <c r="A43" s="17" t="s">
        <v>171</v>
      </c>
      <c r="H43" s="22">
        <v>42</v>
      </c>
      <c r="I43" s="22">
        <v>40.299999999999997</v>
      </c>
      <c r="J43" s="22">
        <v>18</v>
      </c>
      <c r="K43" s="22">
        <v>60</v>
      </c>
      <c r="L43" s="22">
        <v>104</v>
      </c>
      <c r="M43" s="22">
        <v>146</v>
      </c>
      <c r="N43" s="22">
        <v>410.3</v>
      </c>
    </row>
    <row r="44" spans="1:14" x14ac:dyDescent="0.25">
      <c r="A44" s="17" t="s">
        <v>172</v>
      </c>
      <c r="J44" s="22">
        <v>200</v>
      </c>
      <c r="K44" s="22">
        <v>200</v>
      </c>
      <c r="M44" s="22">
        <v>200</v>
      </c>
      <c r="N44" s="22">
        <v>600</v>
      </c>
    </row>
    <row r="45" spans="1:14" x14ac:dyDescent="0.25">
      <c r="A45" s="17" t="s">
        <v>173</v>
      </c>
      <c r="G45" s="22">
        <v>61.45</v>
      </c>
      <c r="H45" s="22">
        <v>100</v>
      </c>
      <c r="K45" s="22">
        <v>100</v>
      </c>
      <c r="N45" s="22">
        <v>261.45</v>
      </c>
    </row>
    <row r="46" spans="1:14" x14ac:dyDescent="0.25">
      <c r="A46" s="17" t="s">
        <v>174</v>
      </c>
      <c r="C46" s="22">
        <v>627.70000000000005</v>
      </c>
      <c r="E46" s="22">
        <v>338.9</v>
      </c>
      <c r="F46" s="22">
        <v>338.9</v>
      </c>
      <c r="H46" s="22">
        <v>338.9</v>
      </c>
      <c r="J46" s="22">
        <v>169.45</v>
      </c>
      <c r="K46" s="22">
        <v>338.9</v>
      </c>
      <c r="M46" s="22">
        <v>343.29</v>
      </c>
      <c r="N46" s="22">
        <v>2496.04</v>
      </c>
    </row>
    <row r="47" spans="1:14" x14ac:dyDescent="0.25">
      <c r="A47" s="18" t="s">
        <v>175</v>
      </c>
      <c r="B47" s="24">
        <v>0</v>
      </c>
      <c r="C47" s="24">
        <v>627.70000000000005</v>
      </c>
      <c r="D47" s="24">
        <v>0</v>
      </c>
      <c r="E47" s="24">
        <v>338.9</v>
      </c>
      <c r="F47" s="24">
        <v>338.9</v>
      </c>
      <c r="G47" s="24">
        <v>61.45</v>
      </c>
      <c r="H47" s="24">
        <v>861.9</v>
      </c>
      <c r="I47" s="24">
        <v>359.56</v>
      </c>
      <c r="J47" s="24">
        <v>387.45</v>
      </c>
      <c r="K47" s="24">
        <v>698.9</v>
      </c>
      <c r="L47" s="24">
        <v>917</v>
      </c>
      <c r="M47" s="24">
        <v>782.29</v>
      </c>
      <c r="N47" s="24">
        <v>5374.05</v>
      </c>
    </row>
    <row r="48" spans="1:14" x14ac:dyDescent="0.25">
      <c r="A48" s="13" t="s">
        <v>176</v>
      </c>
      <c r="B48" s="22">
        <v>3093.46</v>
      </c>
      <c r="C48" s="22">
        <v>4630.17</v>
      </c>
      <c r="D48" s="22">
        <v>4395.07</v>
      </c>
      <c r="E48" s="22">
        <v>5863.87</v>
      </c>
      <c r="F48" s="22">
        <v>7372.33</v>
      </c>
      <c r="G48" s="22">
        <v>4950.3999999999996</v>
      </c>
      <c r="H48" s="22">
        <v>4950.3999999999996</v>
      </c>
      <c r="I48" s="22">
        <v>4700.3500000000004</v>
      </c>
      <c r="J48" s="22">
        <v>4950.3999999999996</v>
      </c>
      <c r="K48" s="22">
        <v>5999.87</v>
      </c>
      <c r="L48" s="22">
        <v>26028.76</v>
      </c>
      <c r="M48" s="22">
        <v>24440.12</v>
      </c>
      <c r="N48" s="22">
        <v>101375.2</v>
      </c>
    </row>
    <row r="49" spans="1:14" x14ac:dyDescent="0.25">
      <c r="A49" s="13" t="s">
        <v>177</v>
      </c>
      <c r="B49" s="22">
        <v>147.47</v>
      </c>
      <c r="C49" s="22">
        <v>147.47</v>
      </c>
      <c r="D49" s="22">
        <v>177.55</v>
      </c>
      <c r="E49" s="22">
        <v>191.67</v>
      </c>
      <c r="F49" s="22">
        <v>180.14</v>
      </c>
      <c r="G49" s="22">
        <v>176.22</v>
      </c>
      <c r="H49" s="22">
        <v>176.2</v>
      </c>
      <c r="I49" s="22">
        <v>176.22</v>
      </c>
      <c r="J49" s="22">
        <v>187.12</v>
      </c>
      <c r="K49" s="22">
        <v>177.44</v>
      </c>
      <c r="L49" s="22">
        <v>176.22</v>
      </c>
      <c r="M49" s="22">
        <v>176.22</v>
      </c>
      <c r="N49" s="22">
        <v>2089.94</v>
      </c>
    </row>
    <row r="50" spans="1:14" x14ac:dyDescent="0.25">
      <c r="A50" s="13" t="s">
        <v>178</v>
      </c>
      <c r="N50" s="22">
        <v>0</v>
      </c>
    </row>
    <row r="51" spans="1:14" x14ac:dyDescent="0.25">
      <c r="A51" s="17" t="s">
        <v>179</v>
      </c>
      <c r="D51" s="22">
        <v>2600</v>
      </c>
      <c r="J51" s="22">
        <v>892.5</v>
      </c>
      <c r="N51" s="22">
        <v>3492.5</v>
      </c>
    </row>
    <row r="52" spans="1:14" x14ac:dyDescent="0.25">
      <c r="A52" s="17" t="s">
        <v>180</v>
      </c>
      <c r="C52" s="22">
        <v>1166.5</v>
      </c>
      <c r="D52" s="22">
        <v>1166.5</v>
      </c>
      <c r="E52" s="22">
        <v>1166.67</v>
      </c>
      <c r="F52" s="22">
        <v>1166.67</v>
      </c>
      <c r="G52" s="22">
        <v>2666.66</v>
      </c>
      <c r="H52" s="22">
        <v>1166.67</v>
      </c>
      <c r="I52" s="22">
        <v>1166.67</v>
      </c>
      <c r="J52" s="22">
        <v>3067.91</v>
      </c>
      <c r="K52" s="22">
        <v>1166.67</v>
      </c>
      <c r="L52" s="22">
        <v>2166.67</v>
      </c>
      <c r="M52" s="22">
        <v>2166.66</v>
      </c>
      <c r="N52" s="22">
        <v>18234.25</v>
      </c>
    </row>
    <row r="53" spans="1:14" x14ac:dyDescent="0.25">
      <c r="A53" s="17" t="s">
        <v>181</v>
      </c>
      <c r="B53" s="22">
        <v>24.92</v>
      </c>
      <c r="C53" s="22">
        <v>1024.92</v>
      </c>
      <c r="D53" s="22">
        <v>1024.92</v>
      </c>
      <c r="E53" s="22">
        <v>1224.92</v>
      </c>
      <c r="F53" s="22">
        <v>1024.92</v>
      </c>
      <c r="G53" s="22">
        <v>1518.02</v>
      </c>
      <c r="H53" s="22">
        <v>2013.31</v>
      </c>
      <c r="I53" s="22">
        <v>1600.9</v>
      </c>
      <c r="J53" s="22">
        <v>1589.69</v>
      </c>
      <c r="K53" s="22">
        <v>1125.82</v>
      </c>
      <c r="L53" s="22">
        <v>1441.99</v>
      </c>
      <c r="M53" s="22">
        <v>1287.72</v>
      </c>
      <c r="N53" s="22">
        <v>14902.05</v>
      </c>
    </row>
    <row r="54" spans="1:14" x14ac:dyDescent="0.25">
      <c r="A54" s="18" t="s">
        <v>182</v>
      </c>
      <c r="B54" s="24">
        <v>24.92</v>
      </c>
      <c r="C54" s="24">
        <v>2191.42</v>
      </c>
      <c r="D54" s="24">
        <v>4791.42</v>
      </c>
      <c r="E54" s="24">
        <v>2391.59</v>
      </c>
      <c r="F54" s="24">
        <v>2191.59</v>
      </c>
      <c r="G54" s="24">
        <v>4184.68</v>
      </c>
      <c r="H54" s="24">
        <v>3179.98</v>
      </c>
      <c r="I54" s="24">
        <v>2767.57</v>
      </c>
      <c r="J54" s="24">
        <v>5550.1</v>
      </c>
      <c r="K54" s="24">
        <v>2292.4899999999998</v>
      </c>
      <c r="L54" s="24">
        <v>3608.66</v>
      </c>
      <c r="M54" s="24">
        <v>3454.38</v>
      </c>
      <c r="N54" s="24">
        <v>36628.800000000003</v>
      </c>
    </row>
    <row r="55" spans="1:14" x14ac:dyDescent="0.25">
      <c r="A55" s="13" t="s">
        <v>183</v>
      </c>
      <c r="E55" s="22">
        <v>2158.98</v>
      </c>
      <c r="M55" s="22">
        <v>950</v>
      </c>
      <c r="N55" s="22">
        <v>3108.98</v>
      </c>
    </row>
    <row r="56" spans="1:14" x14ac:dyDescent="0.25">
      <c r="A56" s="13" t="s">
        <v>184</v>
      </c>
      <c r="F56" s="22">
        <v>64.989999999999995</v>
      </c>
      <c r="N56" s="22">
        <v>64.989999999999995</v>
      </c>
    </row>
    <row r="57" spans="1:14" x14ac:dyDescent="0.25">
      <c r="A57" s="13" t="s">
        <v>185</v>
      </c>
      <c r="E57" s="22">
        <v>1750</v>
      </c>
      <c r="N57" s="22">
        <v>1750</v>
      </c>
    </row>
    <row r="58" spans="1:14" x14ac:dyDescent="0.25">
      <c r="A58" s="13" t="s">
        <v>186</v>
      </c>
      <c r="B58" s="22">
        <v>52.83</v>
      </c>
      <c r="C58" s="22">
        <v>344.99</v>
      </c>
      <c r="D58" s="22">
        <v>30.75</v>
      </c>
      <c r="G58" s="22">
        <v>11.2</v>
      </c>
      <c r="K58" s="22">
        <v>6.08</v>
      </c>
      <c r="L58" s="22">
        <v>25</v>
      </c>
      <c r="M58" s="22">
        <v>9.91</v>
      </c>
      <c r="N58" s="22">
        <v>480.76</v>
      </c>
    </row>
    <row r="59" spans="1:14" x14ac:dyDescent="0.25">
      <c r="A59" s="13" t="s">
        <v>187</v>
      </c>
      <c r="B59" s="22">
        <v>334.17</v>
      </c>
      <c r="C59" s="22">
        <v>334.17</v>
      </c>
      <c r="D59" s="22">
        <v>334.17</v>
      </c>
      <c r="E59" s="22">
        <v>334.17</v>
      </c>
      <c r="F59" s="22">
        <v>255</v>
      </c>
      <c r="G59" s="22">
        <v>255</v>
      </c>
      <c r="H59" s="22">
        <v>254.96</v>
      </c>
      <c r="I59" s="22">
        <v>205</v>
      </c>
      <c r="J59" s="22">
        <v>784.17</v>
      </c>
      <c r="K59" s="22">
        <v>784.17</v>
      </c>
      <c r="L59" s="22">
        <v>784.17</v>
      </c>
      <c r="M59" s="22">
        <v>784.17</v>
      </c>
      <c r="N59" s="22">
        <v>5443.32</v>
      </c>
    </row>
    <row r="60" spans="1:14" x14ac:dyDescent="0.25">
      <c r="A60" s="13" t="s">
        <v>188</v>
      </c>
      <c r="B60" s="22">
        <v>3452.85</v>
      </c>
      <c r="C60" s="22">
        <v>3617.53</v>
      </c>
      <c r="D60" s="22">
        <v>3974.07</v>
      </c>
      <c r="E60" s="22">
        <v>4223.6499999999996</v>
      </c>
      <c r="F60" s="22">
        <v>5097.25</v>
      </c>
      <c r="G60" s="22">
        <v>5333.51</v>
      </c>
      <c r="H60" s="22">
        <v>5513.69</v>
      </c>
      <c r="I60" s="22">
        <v>5231.6899999999996</v>
      </c>
      <c r="J60" s="22">
        <v>5516.22</v>
      </c>
      <c r="K60" s="22">
        <v>6127.97</v>
      </c>
      <c r="L60" s="22">
        <v>6150.97</v>
      </c>
      <c r="M60" s="22">
        <v>6676.54</v>
      </c>
      <c r="N60" s="22">
        <v>60915.94</v>
      </c>
    </row>
    <row r="61" spans="1:14" x14ac:dyDescent="0.25">
      <c r="A61" s="13" t="s">
        <v>189</v>
      </c>
      <c r="D61" s="22">
        <v>102</v>
      </c>
      <c r="N61" s="22">
        <v>102</v>
      </c>
    </row>
    <row r="62" spans="1:14" x14ac:dyDescent="0.25">
      <c r="A62" s="13" t="s">
        <v>190</v>
      </c>
      <c r="B62" s="22">
        <v>85</v>
      </c>
      <c r="C62" s="22">
        <v>85</v>
      </c>
      <c r="D62" s="22">
        <v>97</v>
      </c>
      <c r="E62" s="22">
        <v>112.83</v>
      </c>
      <c r="F62" s="22">
        <v>85</v>
      </c>
      <c r="G62" s="22">
        <v>85</v>
      </c>
      <c r="H62" s="22">
        <v>85</v>
      </c>
      <c r="I62" s="22">
        <v>85</v>
      </c>
      <c r="J62" s="22">
        <v>85</v>
      </c>
      <c r="K62" s="22">
        <v>85</v>
      </c>
      <c r="L62" s="22">
        <v>85</v>
      </c>
      <c r="M62" s="22">
        <v>85</v>
      </c>
      <c r="N62" s="22">
        <v>1059.83</v>
      </c>
    </row>
    <row r="63" spans="1:14" x14ac:dyDescent="0.25">
      <c r="A63" s="14" t="s">
        <v>191</v>
      </c>
      <c r="B63" s="24">
        <v>7191.7</v>
      </c>
      <c r="C63" s="24">
        <v>11979.45</v>
      </c>
      <c r="D63" s="24">
        <v>13903.03</v>
      </c>
      <c r="E63" s="24">
        <v>17461.66</v>
      </c>
      <c r="F63" s="24">
        <v>15587.2</v>
      </c>
      <c r="G63" s="24">
        <v>15058.46</v>
      </c>
      <c r="H63" s="24">
        <v>15027.76</v>
      </c>
      <c r="I63" s="24">
        <v>13526.39</v>
      </c>
      <c r="J63" s="24">
        <v>17461.46</v>
      </c>
      <c r="K63" s="24">
        <v>16176.09</v>
      </c>
      <c r="L63" s="24">
        <v>37785.199999999997</v>
      </c>
      <c r="M63" s="24">
        <v>37383.300000000003</v>
      </c>
      <c r="N63" s="24">
        <v>218541.7</v>
      </c>
    </row>
    <row r="64" spans="1:14" x14ac:dyDescent="0.25">
      <c r="A64" s="11" t="s">
        <v>192</v>
      </c>
      <c r="N64" s="22">
        <v>0</v>
      </c>
    </row>
    <row r="65" spans="1:14" x14ac:dyDescent="0.25">
      <c r="A65" s="13" t="s">
        <v>193</v>
      </c>
      <c r="D65" s="22">
        <v>250</v>
      </c>
      <c r="E65" s="22">
        <v>60.46</v>
      </c>
      <c r="N65" s="22">
        <v>310.45999999999998</v>
      </c>
    </row>
    <row r="66" spans="1:14" x14ac:dyDescent="0.25">
      <c r="A66" s="13" t="s">
        <v>194</v>
      </c>
      <c r="J66" s="22">
        <v>100</v>
      </c>
      <c r="N66" s="22">
        <v>100</v>
      </c>
    </row>
    <row r="67" spans="1:14" x14ac:dyDescent="0.25">
      <c r="A67" s="13" t="s">
        <v>195</v>
      </c>
      <c r="B67" s="22">
        <v>1144</v>
      </c>
      <c r="C67" s="22">
        <v>1000</v>
      </c>
      <c r="D67" s="22">
        <v>1000</v>
      </c>
      <c r="F67" s="22">
        <v>1000</v>
      </c>
      <c r="G67" s="22">
        <v>1000</v>
      </c>
      <c r="N67" s="22">
        <v>5144</v>
      </c>
    </row>
    <row r="68" spans="1:14" x14ac:dyDescent="0.25">
      <c r="A68" s="13" t="s">
        <v>196</v>
      </c>
      <c r="I68" s="22">
        <v>170</v>
      </c>
      <c r="J68" s="22">
        <v>170</v>
      </c>
      <c r="K68" s="22">
        <v>518</v>
      </c>
      <c r="L68" s="22">
        <v>170</v>
      </c>
      <c r="M68" s="22">
        <v>170</v>
      </c>
      <c r="N68" s="22">
        <v>1198</v>
      </c>
    </row>
    <row r="69" spans="1:14" x14ac:dyDescent="0.25">
      <c r="A69" s="13" t="s">
        <v>197</v>
      </c>
      <c r="B69" s="22">
        <v>433.26</v>
      </c>
      <c r="C69" s="22">
        <v>1631.76</v>
      </c>
      <c r="D69" s="22">
        <v>433.68</v>
      </c>
      <c r="E69" s="22">
        <v>484.13</v>
      </c>
      <c r="F69" s="22">
        <v>484.13</v>
      </c>
      <c r="G69" s="22">
        <v>484.13</v>
      </c>
      <c r="H69" s="22">
        <v>493.44</v>
      </c>
      <c r="I69" s="22">
        <v>843.44</v>
      </c>
      <c r="J69" s="22">
        <v>493.44</v>
      </c>
      <c r="K69" s="22">
        <v>493.44</v>
      </c>
      <c r="L69" s="22">
        <v>493.44</v>
      </c>
      <c r="M69" s="22">
        <v>493.44</v>
      </c>
      <c r="N69" s="22">
        <v>7261.73</v>
      </c>
    </row>
    <row r="70" spans="1:14" x14ac:dyDescent="0.25">
      <c r="A70" s="14" t="s">
        <v>198</v>
      </c>
      <c r="B70" s="24">
        <v>1577.26</v>
      </c>
      <c r="C70" s="24">
        <v>2631.76</v>
      </c>
      <c r="D70" s="24">
        <v>1683.68</v>
      </c>
      <c r="E70" s="24">
        <v>544.59</v>
      </c>
      <c r="F70" s="24">
        <v>1484.13</v>
      </c>
      <c r="G70" s="24">
        <v>1484.13</v>
      </c>
      <c r="H70" s="24">
        <v>493.44</v>
      </c>
      <c r="I70" s="24">
        <v>1013.44</v>
      </c>
      <c r="J70" s="24">
        <v>763.44</v>
      </c>
      <c r="K70" s="24">
        <v>1011.44</v>
      </c>
      <c r="L70" s="24">
        <v>663.44</v>
      </c>
      <c r="M70" s="24">
        <v>663.44</v>
      </c>
      <c r="N70" s="24">
        <v>14014.19</v>
      </c>
    </row>
    <row r="71" spans="1:14" x14ac:dyDescent="0.25">
      <c r="A71" s="16" t="s">
        <v>102</v>
      </c>
      <c r="B71" s="24">
        <v>8768.9599999999991</v>
      </c>
      <c r="C71" s="24">
        <v>14611.21</v>
      </c>
      <c r="D71" s="24">
        <v>15586.71</v>
      </c>
      <c r="E71" s="24">
        <v>18006.25</v>
      </c>
      <c r="F71" s="24">
        <v>17071.330000000002</v>
      </c>
      <c r="G71" s="24">
        <v>16542.59</v>
      </c>
      <c r="H71" s="24">
        <v>15521.2</v>
      </c>
      <c r="I71" s="24">
        <v>14539.83</v>
      </c>
      <c r="J71" s="24">
        <v>18224.900000000001</v>
      </c>
      <c r="K71" s="24">
        <v>17187.53</v>
      </c>
      <c r="L71" s="24">
        <v>38448.639999999999</v>
      </c>
      <c r="M71" s="24">
        <v>38046.74</v>
      </c>
      <c r="N71" s="24">
        <v>232555.89</v>
      </c>
    </row>
    <row r="72" spans="1:14" x14ac:dyDescent="0.25">
      <c r="A72" s="16" t="s">
        <v>103</v>
      </c>
      <c r="B72" s="24">
        <v>32290.54</v>
      </c>
      <c r="C72" s="24">
        <v>23655.57</v>
      </c>
      <c r="D72" s="24">
        <v>18009.04</v>
      </c>
      <c r="E72" s="24">
        <v>9549.6999999999898</v>
      </c>
      <c r="F72" s="24">
        <v>971.57999999999095</v>
      </c>
      <c r="G72" s="24">
        <v>12499.3</v>
      </c>
      <c r="H72" s="24">
        <v>26037.1</v>
      </c>
      <c r="I72" s="24">
        <v>28863.82</v>
      </c>
      <c r="J72" s="24">
        <v>13307.77</v>
      </c>
      <c r="K72" s="24">
        <v>11887.05</v>
      </c>
      <c r="L72" s="24">
        <v>-11492.33</v>
      </c>
      <c r="M72" s="24">
        <v>-5885.0099999999902</v>
      </c>
      <c r="N72" s="24">
        <v>159694.13</v>
      </c>
    </row>
    <row r="73" spans="1:14" x14ac:dyDescent="0.25">
      <c r="A73" s="16" t="s">
        <v>104</v>
      </c>
    </row>
    <row r="74" spans="1:14" x14ac:dyDescent="0.25">
      <c r="A74" s="11" t="s">
        <v>199</v>
      </c>
      <c r="M74" s="22">
        <v>27.36</v>
      </c>
      <c r="N74" s="22">
        <v>27.36</v>
      </c>
    </row>
    <row r="75" spans="1:14" x14ac:dyDescent="0.25">
      <c r="A75" s="16" t="s">
        <v>107</v>
      </c>
      <c r="B75" s="24">
        <v>0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27.36</v>
      </c>
      <c r="N75" s="24">
        <v>27.36</v>
      </c>
    </row>
    <row r="76" spans="1:14" x14ac:dyDescent="0.25">
      <c r="A76" s="16" t="s">
        <v>108</v>
      </c>
    </row>
    <row r="77" spans="1:14" x14ac:dyDescent="0.25">
      <c r="A77" s="11" t="s">
        <v>200</v>
      </c>
      <c r="M77" s="22">
        <v>6673</v>
      </c>
      <c r="N77" s="22">
        <v>6673</v>
      </c>
    </row>
    <row r="78" spans="1:14" x14ac:dyDescent="0.25">
      <c r="A78" s="11" t="s">
        <v>201</v>
      </c>
      <c r="L78" s="22">
        <v>71.5</v>
      </c>
      <c r="M78" s="22">
        <v>8.14</v>
      </c>
      <c r="N78" s="22">
        <v>79.64</v>
      </c>
    </row>
    <row r="79" spans="1:14" x14ac:dyDescent="0.25">
      <c r="A79" s="11" t="s">
        <v>202</v>
      </c>
      <c r="E79" s="22">
        <v>6246</v>
      </c>
      <c r="G79" s="22">
        <v>2472</v>
      </c>
      <c r="J79" s="22">
        <v>2472</v>
      </c>
      <c r="M79" s="22">
        <v>-3693</v>
      </c>
      <c r="N79" s="22">
        <v>7497</v>
      </c>
    </row>
    <row r="80" spans="1:14" x14ac:dyDescent="0.25">
      <c r="A80" s="16" t="s">
        <v>113</v>
      </c>
      <c r="B80" s="24">
        <v>0</v>
      </c>
      <c r="C80" s="24">
        <v>0</v>
      </c>
      <c r="D80" s="24">
        <v>0</v>
      </c>
      <c r="E80" s="24">
        <v>6246</v>
      </c>
      <c r="F80" s="24">
        <v>0</v>
      </c>
      <c r="G80" s="24">
        <v>2472</v>
      </c>
      <c r="H80" s="24">
        <v>0</v>
      </c>
      <c r="I80" s="24">
        <v>0</v>
      </c>
      <c r="J80" s="24">
        <v>2472</v>
      </c>
      <c r="K80" s="24">
        <v>0</v>
      </c>
      <c r="L80" s="24">
        <v>71.5</v>
      </c>
      <c r="M80" s="24">
        <v>2988.14</v>
      </c>
      <c r="N80" s="24">
        <v>14249.64</v>
      </c>
    </row>
    <row r="81" spans="1:14" x14ac:dyDescent="0.25">
      <c r="A81" s="16" t="s">
        <v>114</v>
      </c>
      <c r="B81" s="24">
        <v>0</v>
      </c>
      <c r="C81" s="24">
        <v>0</v>
      </c>
      <c r="D81" s="24">
        <v>0</v>
      </c>
      <c r="E81" s="24">
        <v>-6246</v>
      </c>
      <c r="F81" s="24">
        <v>0</v>
      </c>
      <c r="G81" s="24">
        <v>-2472</v>
      </c>
      <c r="H81" s="24">
        <v>0</v>
      </c>
      <c r="I81" s="24">
        <v>0</v>
      </c>
      <c r="J81" s="24">
        <v>-2472</v>
      </c>
      <c r="K81" s="24">
        <v>0</v>
      </c>
      <c r="L81" s="24">
        <v>-71.5</v>
      </c>
      <c r="M81" s="24">
        <v>-2960.78</v>
      </c>
      <c r="N81" s="24">
        <v>-14222.28</v>
      </c>
    </row>
    <row r="82" spans="1:14" x14ac:dyDescent="0.25">
      <c r="A82" s="16" t="s">
        <v>115</v>
      </c>
      <c r="B82" s="24">
        <v>32290.54</v>
      </c>
      <c r="C82" s="24">
        <v>23655.57</v>
      </c>
      <c r="D82" s="24">
        <v>18009.04</v>
      </c>
      <c r="E82" s="24">
        <v>3303.6999999999898</v>
      </c>
      <c r="F82" s="24">
        <v>971.57999999999095</v>
      </c>
      <c r="G82" s="24">
        <v>10027.299999999999</v>
      </c>
      <c r="H82" s="24">
        <v>26037.1</v>
      </c>
      <c r="I82" s="24">
        <v>28863.82</v>
      </c>
      <c r="J82" s="24">
        <v>10835.77</v>
      </c>
      <c r="K82" s="24">
        <v>11887.05</v>
      </c>
      <c r="L82" s="24">
        <v>-11563.83</v>
      </c>
      <c r="M82" s="24">
        <v>-8845.78999999999</v>
      </c>
      <c r="N82" s="24">
        <v>145471.85</v>
      </c>
    </row>
    <row r="86" spans="1:14" x14ac:dyDescent="0.25">
      <c r="A86" s="21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38" customWidth="1"/>
    <col min="2" max="2" width="10.28515625" customWidth="1"/>
    <col min="13" max="13" width="11.140625" customWidth="1"/>
    <col min="14" max="14" width="12" customWidth="1"/>
  </cols>
  <sheetData>
    <row r="1" spans="1:14" x14ac:dyDescent="0.25">
      <c r="A1" s="16" t="s">
        <v>0</v>
      </c>
    </row>
    <row r="2" spans="1:14" x14ac:dyDescent="0.25">
      <c r="A2" s="16" t="s">
        <v>125</v>
      </c>
    </row>
    <row r="3" spans="1:14" x14ac:dyDescent="0.25">
      <c r="A3" s="16" t="s">
        <v>204</v>
      </c>
    </row>
    <row r="5" spans="1:14" x14ac:dyDescent="0.25">
      <c r="B5" s="21" t="s">
        <v>205</v>
      </c>
      <c r="C5" s="21" t="s">
        <v>206</v>
      </c>
      <c r="D5" s="21" t="s">
        <v>207</v>
      </c>
      <c r="E5" s="21" t="s">
        <v>208</v>
      </c>
      <c r="F5" s="21" t="s">
        <v>209</v>
      </c>
      <c r="G5" s="21" t="s">
        <v>210</v>
      </c>
      <c r="H5" s="21" t="s">
        <v>211</v>
      </c>
      <c r="I5" s="21" t="s">
        <v>212</v>
      </c>
      <c r="J5" s="21" t="s">
        <v>213</v>
      </c>
      <c r="K5" s="21" t="s">
        <v>214</v>
      </c>
      <c r="L5" s="21" t="s">
        <v>215</v>
      </c>
      <c r="M5" s="21" t="s">
        <v>216</v>
      </c>
      <c r="N5" s="21" t="s">
        <v>139</v>
      </c>
    </row>
    <row r="6" spans="1:14" x14ac:dyDescent="0.25">
      <c r="A6" s="16" t="s">
        <v>7</v>
      </c>
    </row>
    <row r="7" spans="1:14" x14ac:dyDescent="0.25">
      <c r="A7" s="11" t="s">
        <v>217</v>
      </c>
      <c r="N7" s="22">
        <v>0</v>
      </c>
    </row>
    <row r="8" spans="1:14" x14ac:dyDescent="0.25">
      <c r="A8" s="13" t="s">
        <v>218</v>
      </c>
      <c r="J8" s="22">
        <v>875</v>
      </c>
      <c r="K8" s="22">
        <v>0</v>
      </c>
      <c r="L8" s="22">
        <v>0</v>
      </c>
      <c r="M8" s="22">
        <v>875</v>
      </c>
      <c r="N8" s="22">
        <v>1750</v>
      </c>
    </row>
    <row r="9" spans="1:14" x14ac:dyDescent="0.25">
      <c r="A9" s="13" t="s">
        <v>219</v>
      </c>
      <c r="J9" s="22">
        <v>0</v>
      </c>
      <c r="K9" s="22">
        <v>1650</v>
      </c>
      <c r="N9" s="22">
        <v>1650</v>
      </c>
    </row>
    <row r="10" spans="1:14" x14ac:dyDescent="0.25">
      <c r="A10" s="14" t="s">
        <v>220</v>
      </c>
      <c r="B10" s="24">
        <v>0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875</v>
      </c>
      <c r="K10" s="24">
        <v>1650</v>
      </c>
      <c r="L10" s="24">
        <v>0</v>
      </c>
      <c r="M10" s="24">
        <v>875</v>
      </c>
      <c r="N10" s="24">
        <v>3400</v>
      </c>
    </row>
    <row r="11" spans="1:14" x14ac:dyDescent="0.25">
      <c r="A11" s="11" t="s">
        <v>140</v>
      </c>
      <c r="N11" s="22">
        <v>0</v>
      </c>
    </row>
    <row r="12" spans="1:14" x14ac:dyDescent="0.25">
      <c r="A12" s="13" t="s">
        <v>141</v>
      </c>
      <c r="B12" s="22">
        <v>13485</v>
      </c>
      <c r="C12" s="22">
        <v>9915</v>
      </c>
      <c r="D12" s="22">
        <v>60</v>
      </c>
      <c r="E12" s="22">
        <v>30</v>
      </c>
      <c r="I12" s="22">
        <v>30</v>
      </c>
      <c r="J12" s="22">
        <v>30</v>
      </c>
      <c r="N12" s="22">
        <v>23550</v>
      </c>
    </row>
    <row r="13" spans="1:14" x14ac:dyDescent="0.25">
      <c r="A13" s="13" t="s">
        <v>142</v>
      </c>
      <c r="B13" s="22">
        <v>25</v>
      </c>
      <c r="C13" s="22">
        <v>399.6</v>
      </c>
      <c r="F13" s="22">
        <v>72.94</v>
      </c>
      <c r="H13" s="22">
        <v>289.70999999999998</v>
      </c>
      <c r="I13" s="22">
        <v>309.69</v>
      </c>
      <c r="M13" s="22">
        <v>25</v>
      </c>
      <c r="N13" s="22">
        <v>1121.94</v>
      </c>
    </row>
    <row r="14" spans="1:14" x14ac:dyDescent="0.25">
      <c r="A14" s="13" t="s">
        <v>143</v>
      </c>
      <c r="B14" s="22">
        <v>100</v>
      </c>
      <c r="D14" s="22">
        <v>100</v>
      </c>
      <c r="N14" s="22">
        <v>200</v>
      </c>
    </row>
    <row r="15" spans="1:14" x14ac:dyDescent="0.25">
      <c r="A15" s="13" t="s">
        <v>144</v>
      </c>
      <c r="B15" s="22">
        <v>7358.4</v>
      </c>
      <c r="C15" s="22">
        <v>1293.3499999999999</v>
      </c>
      <c r="D15" s="22">
        <v>968.33</v>
      </c>
      <c r="E15" s="22">
        <v>1165.5999999999999</v>
      </c>
      <c r="F15" s="22">
        <v>960.93</v>
      </c>
      <c r="G15" s="22">
        <v>1711.27</v>
      </c>
      <c r="H15" s="22">
        <v>1047.07</v>
      </c>
      <c r="I15" s="22">
        <v>2040.88</v>
      </c>
      <c r="J15" s="22">
        <v>1136.21</v>
      </c>
      <c r="K15" s="22">
        <v>2014.24</v>
      </c>
      <c r="L15" s="22">
        <v>1297.58</v>
      </c>
      <c r="M15" s="22">
        <v>2267.9299999999998</v>
      </c>
      <c r="N15" s="22">
        <v>23261.79</v>
      </c>
    </row>
    <row r="16" spans="1:14" x14ac:dyDescent="0.25">
      <c r="A16" s="14" t="s">
        <v>145</v>
      </c>
      <c r="B16" s="24">
        <v>20968.400000000001</v>
      </c>
      <c r="C16" s="24">
        <v>11607.95</v>
      </c>
      <c r="D16" s="24">
        <v>1128.33</v>
      </c>
      <c r="E16" s="24">
        <v>1195.5999999999999</v>
      </c>
      <c r="F16" s="24">
        <v>1033.8699999999999</v>
      </c>
      <c r="G16" s="24">
        <v>1711.27</v>
      </c>
      <c r="H16" s="24">
        <v>1336.78</v>
      </c>
      <c r="I16" s="24">
        <v>2380.5700000000002</v>
      </c>
      <c r="J16" s="24">
        <v>1166.21</v>
      </c>
      <c r="K16" s="24">
        <v>2014.24</v>
      </c>
      <c r="L16" s="24">
        <v>1297.58</v>
      </c>
      <c r="M16" s="24">
        <v>2292.9299999999998</v>
      </c>
      <c r="N16" s="24">
        <v>48133.73</v>
      </c>
    </row>
    <row r="17" spans="1:14" x14ac:dyDescent="0.25">
      <c r="A17" s="11" t="s">
        <v>146</v>
      </c>
      <c r="N17" s="22">
        <v>0</v>
      </c>
    </row>
    <row r="18" spans="1:14" x14ac:dyDescent="0.25">
      <c r="A18" s="13" t="s">
        <v>147</v>
      </c>
      <c r="B18" s="22">
        <v>1083.75</v>
      </c>
      <c r="C18" s="22">
        <v>2000</v>
      </c>
      <c r="D18" s="22">
        <v>1355</v>
      </c>
      <c r="K18" s="22">
        <v>595</v>
      </c>
      <c r="N18" s="22">
        <v>5033.75</v>
      </c>
    </row>
    <row r="19" spans="1:14" x14ac:dyDescent="0.25">
      <c r="A19" s="13" t="s">
        <v>148</v>
      </c>
      <c r="B19" s="22">
        <v>3079</v>
      </c>
      <c r="C19" s="22">
        <v>700</v>
      </c>
      <c r="D19" s="22">
        <v>10438.549999999999</v>
      </c>
      <c r="E19" s="22">
        <v>4300</v>
      </c>
      <c r="F19" s="22">
        <v>11140</v>
      </c>
      <c r="G19" s="22">
        <v>6162.5</v>
      </c>
      <c r="H19" s="22">
        <v>6434</v>
      </c>
      <c r="I19" s="22">
        <v>3965</v>
      </c>
      <c r="J19" s="22">
        <v>3920</v>
      </c>
      <c r="K19" s="22">
        <v>9136.5</v>
      </c>
      <c r="L19" s="22">
        <v>5253.75</v>
      </c>
      <c r="M19" s="22">
        <v>9990</v>
      </c>
      <c r="N19" s="22">
        <v>74519.3</v>
      </c>
    </row>
    <row r="20" spans="1:14" x14ac:dyDescent="0.25">
      <c r="A20" s="14" t="s">
        <v>149</v>
      </c>
      <c r="B20" s="24">
        <v>4162.75</v>
      </c>
      <c r="C20" s="24">
        <v>2700</v>
      </c>
      <c r="D20" s="24">
        <v>11793.55</v>
      </c>
      <c r="E20" s="24">
        <v>4300</v>
      </c>
      <c r="F20" s="24">
        <v>11140</v>
      </c>
      <c r="G20" s="24">
        <v>6162.5</v>
      </c>
      <c r="H20" s="24">
        <v>6434</v>
      </c>
      <c r="I20" s="24">
        <v>3965</v>
      </c>
      <c r="J20" s="24">
        <v>3920</v>
      </c>
      <c r="K20" s="24">
        <v>9731.5</v>
      </c>
      <c r="L20" s="24">
        <v>5253.75</v>
      </c>
      <c r="M20" s="24">
        <v>9990</v>
      </c>
      <c r="N20" s="24">
        <v>79553.05</v>
      </c>
    </row>
    <row r="21" spans="1:14" x14ac:dyDescent="0.25">
      <c r="A21" s="11" t="s">
        <v>150</v>
      </c>
      <c r="B21" s="22">
        <v>14562.5</v>
      </c>
      <c r="C21" s="22">
        <v>12802.5</v>
      </c>
      <c r="D21" s="22">
        <v>12402.5</v>
      </c>
      <c r="E21" s="22">
        <v>12602.5</v>
      </c>
      <c r="F21" s="22">
        <v>12752.5</v>
      </c>
      <c r="G21" s="22">
        <v>12792.5</v>
      </c>
      <c r="H21" s="22">
        <v>12537.5</v>
      </c>
      <c r="I21" s="22">
        <v>11857.5</v>
      </c>
      <c r="J21" s="22">
        <v>12302.5</v>
      </c>
      <c r="K21" s="22">
        <v>11692.5</v>
      </c>
      <c r="L21" s="22">
        <v>11717.5</v>
      </c>
      <c r="M21" s="22">
        <v>11747.5</v>
      </c>
      <c r="N21" s="22">
        <v>149770</v>
      </c>
    </row>
    <row r="22" spans="1:14" x14ac:dyDescent="0.25">
      <c r="A22" s="11" t="s">
        <v>151</v>
      </c>
      <c r="N22" s="22">
        <v>0</v>
      </c>
    </row>
    <row r="23" spans="1:14" x14ac:dyDescent="0.25">
      <c r="A23" s="13" t="s">
        <v>152</v>
      </c>
      <c r="B23" s="22">
        <v>4450</v>
      </c>
      <c r="C23" s="22">
        <v>3450</v>
      </c>
      <c r="D23" s="22">
        <v>3450</v>
      </c>
      <c r="E23" s="22">
        <v>5950</v>
      </c>
      <c r="F23" s="22">
        <v>5200</v>
      </c>
      <c r="G23" s="22">
        <v>5000</v>
      </c>
      <c r="H23" s="22">
        <v>4000</v>
      </c>
      <c r="I23" s="22">
        <v>2950</v>
      </c>
      <c r="J23" s="22">
        <v>3025</v>
      </c>
      <c r="K23" s="22">
        <v>3025</v>
      </c>
      <c r="L23" s="22">
        <v>2950</v>
      </c>
      <c r="M23" s="22">
        <v>2950</v>
      </c>
      <c r="N23" s="22">
        <v>46400</v>
      </c>
    </row>
    <row r="24" spans="1:14" x14ac:dyDescent="0.25">
      <c r="A24" s="13" t="s">
        <v>153</v>
      </c>
      <c r="B24" s="22">
        <v>1130</v>
      </c>
      <c r="C24" s="22">
        <v>2140</v>
      </c>
      <c r="D24" s="22">
        <v>2660</v>
      </c>
      <c r="E24" s="22">
        <v>3650</v>
      </c>
      <c r="F24" s="22">
        <v>3623</v>
      </c>
      <c r="G24" s="22">
        <v>4964</v>
      </c>
      <c r="H24" s="22">
        <v>5058.5</v>
      </c>
      <c r="I24" s="22">
        <v>4730</v>
      </c>
      <c r="J24" s="22">
        <v>4820</v>
      </c>
      <c r="K24" s="22">
        <v>5370</v>
      </c>
      <c r="L24" s="22">
        <v>8050</v>
      </c>
      <c r="M24" s="22">
        <v>8885</v>
      </c>
      <c r="N24" s="22">
        <v>55080.5</v>
      </c>
    </row>
    <row r="25" spans="1:14" x14ac:dyDescent="0.25">
      <c r="A25" s="13" t="s">
        <v>154</v>
      </c>
      <c r="B25" s="22">
        <v>970</v>
      </c>
      <c r="C25" s="22">
        <v>1100</v>
      </c>
      <c r="D25" s="22">
        <v>1735</v>
      </c>
      <c r="E25" s="22">
        <v>2140</v>
      </c>
      <c r="F25" s="22">
        <v>2363</v>
      </c>
      <c r="G25" s="22">
        <v>3263.5</v>
      </c>
      <c r="H25" s="22">
        <v>3920</v>
      </c>
      <c r="I25" s="22">
        <v>3905</v>
      </c>
      <c r="J25" s="22">
        <v>3780</v>
      </c>
      <c r="K25" s="22">
        <v>3795</v>
      </c>
      <c r="L25" s="22">
        <v>4330</v>
      </c>
      <c r="M25" s="22">
        <v>5305</v>
      </c>
      <c r="N25" s="22">
        <v>36606.5</v>
      </c>
    </row>
    <row r="26" spans="1:14" x14ac:dyDescent="0.25">
      <c r="A26" s="13" t="s">
        <v>155</v>
      </c>
      <c r="B26" s="22">
        <v>92418.9</v>
      </c>
      <c r="C26" s="22">
        <v>94002.15</v>
      </c>
      <c r="D26" s="22">
        <v>101506.05</v>
      </c>
      <c r="E26" s="22">
        <v>106137.5</v>
      </c>
      <c r="F26" s="22">
        <v>115938.75</v>
      </c>
      <c r="G26" s="22">
        <v>119431.25</v>
      </c>
      <c r="H26" s="22">
        <v>122094</v>
      </c>
      <c r="I26" s="22">
        <v>130085.25</v>
      </c>
      <c r="J26" s="22">
        <v>133590.5</v>
      </c>
      <c r="K26" s="22">
        <v>139609</v>
      </c>
      <c r="L26" s="22">
        <v>145280.75</v>
      </c>
      <c r="M26" s="22">
        <v>150398.25</v>
      </c>
      <c r="N26" s="22">
        <v>1450492.35</v>
      </c>
    </row>
    <row r="27" spans="1:14" x14ac:dyDescent="0.25">
      <c r="A27" s="13" t="s">
        <v>221</v>
      </c>
      <c r="J27" s="22">
        <v>520</v>
      </c>
      <c r="K27" s="22">
        <v>2357</v>
      </c>
      <c r="L27" s="22">
        <v>2811</v>
      </c>
      <c r="M27" s="22">
        <v>4259</v>
      </c>
      <c r="N27" s="22">
        <v>9947</v>
      </c>
    </row>
    <row r="28" spans="1:14" x14ac:dyDescent="0.25">
      <c r="A28" s="14" t="s">
        <v>156</v>
      </c>
      <c r="B28" s="24">
        <v>98968.9</v>
      </c>
      <c r="C28" s="24">
        <v>100692.15</v>
      </c>
      <c r="D28" s="24">
        <v>109351.05</v>
      </c>
      <c r="E28" s="24">
        <v>117877.5</v>
      </c>
      <c r="F28" s="24">
        <v>127124.75</v>
      </c>
      <c r="G28" s="24">
        <v>132658.75</v>
      </c>
      <c r="H28" s="24">
        <v>135072.5</v>
      </c>
      <c r="I28" s="24">
        <v>141670.25</v>
      </c>
      <c r="J28" s="24">
        <v>145735.5</v>
      </c>
      <c r="K28" s="24">
        <v>154156</v>
      </c>
      <c r="L28" s="24">
        <v>163421.75</v>
      </c>
      <c r="M28" s="24">
        <v>171797.25</v>
      </c>
      <c r="N28" s="24">
        <v>1598526.35</v>
      </c>
    </row>
    <row r="29" spans="1:14" x14ac:dyDescent="0.25">
      <c r="A29" s="16" t="s">
        <v>30</v>
      </c>
      <c r="B29" s="24">
        <v>138662.54999999999</v>
      </c>
      <c r="C29" s="24">
        <v>127802.6</v>
      </c>
      <c r="D29" s="24">
        <v>134675.43</v>
      </c>
      <c r="E29" s="24">
        <v>135975.6</v>
      </c>
      <c r="F29" s="24">
        <v>152051.12</v>
      </c>
      <c r="G29" s="24">
        <v>153325.01999999999</v>
      </c>
      <c r="H29" s="24">
        <v>155380.78</v>
      </c>
      <c r="I29" s="24">
        <v>159873.32</v>
      </c>
      <c r="J29" s="24">
        <v>163999.21</v>
      </c>
      <c r="K29" s="24">
        <v>179244.24</v>
      </c>
      <c r="L29" s="24">
        <v>181690.58</v>
      </c>
      <c r="M29" s="24">
        <v>196702.68</v>
      </c>
      <c r="N29" s="24">
        <v>1879383.13</v>
      </c>
    </row>
    <row r="30" spans="1:14" x14ac:dyDescent="0.25">
      <c r="A30" s="16" t="s">
        <v>31</v>
      </c>
    </row>
    <row r="31" spans="1:14" x14ac:dyDescent="0.25">
      <c r="A31" s="11" t="s">
        <v>157</v>
      </c>
      <c r="B31" s="22">
        <v>1226.55</v>
      </c>
      <c r="C31" s="22">
        <v>0</v>
      </c>
      <c r="D31" s="22">
        <v>1154.33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113.45</v>
      </c>
      <c r="L31" s="22">
        <v>0</v>
      </c>
      <c r="M31" s="22">
        <v>0</v>
      </c>
      <c r="N31" s="22">
        <v>2494.33</v>
      </c>
    </row>
    <row r="32" spans="1:14" x14ac:dyDescent="0.25">
      <c r="A32" s="11" t="s">
        <v>222</v>
      </c>
      <c r="K32" s="22">
        <v>1150</v>
      </c>
      <c r="L32" s="22">
        <v>437.5</v>
      </c>
      <c r="N32" s="22">
        <v>1587.5</v>
      </c>
    </row>
    <row r="33" spans="1:14" x14ac:dyDescent="0.25">
      <c r="A33" s="11" t="s">
        <v>158</v>
      </c>
      <c r="N33" s="22">
        <v>0</v>
      </c>
    </row>
    <row r="34" spans="1:14" x14ac:dyDescent="0.25">
      <c r="A34" s="13" t="s">
        <v>159</v>
      </c>
      <c r="B34" s="22">
        <v>19402.330000000002</v>
      </c>
      <c r="C34" s="22">
        <v>16400.53</v>
      </c>
      <c r="D34" s="22">
        <v>19569.830000000002</v>
      </c>
      <c r="E34" s="22">
        <v>22154.2</v>
      </c>
      <c r="F34" s="22">
        <v>20791.54</v>
      </c>
      <c r="G34" s="22">
        <v>21040.79</v>
      </c>
      <c r="H34" s="22">
        <v>27908.91</v>
      </c>
      <c r="I34" s="22">
        <v>29547</v>
      </c>
      <c r="J34" s="22">
        <v>33447.269999999997</v>
      </c>
      <c r="K34" s="22">
        <v>37794.32</v>
      </c>
      <c r="L34" s="22">
        <v>34063.32</v>
      </c>
      <c r="M34" s="22">
        <v>34064.58</v>
      </c>
      <c r="N34" s="22">
        <v>316184.62</v>
      </c>
    </row>
    <row r="35" spans="1:14" x14ac:dyDescent="0.25">
      <c r="A35" s="13" t="s">
        <v>160</v>
      </c>
      <c r="B35" s="22">
        <v>32780.76</v>
      </c>
      <c r="C35" s="22">
        <v>23361.84</v>
      </c>
      <c r="D35" s="22">
        <v>26914.27</v>
      </c>
      <c r="E35" s="22">
        <v>28812.98</v>
      </c>
      <c r="F35" s="22">
        <v>30658.75</v>
      </c>
      <c r="G35" s="22">
        <v>29271.599999999999</v>
      </c>
      <c r="H35" s="22">
        <v>29479.63</v>
      </c>
      <c r="I35" s="22">
        <v>26830.639999999999</v>
      </c>
      <c r="J35" s="22">
        <v>29785.55</v>
      </c>
      <c r="K35" s="22">
        <v>32899.370000000003</v>
      </c>
      <c r="L35" s="22">
        <v>29493.34</v>
      </c>
      <c r="M35" s="22">
        <v>32669.71</v>
      </c>
      <c r="N35" s="22">
        <v>352958.44</v>
      </c>
    </row>
    <row r="36" spans="1:14" x14ac:dyDescent="0.25">
      <c r="A36" s="13" t="s">
        <v>161</v>
      </c>
      <c r="B36" s="22">
        <v>2179.17</v>
      </c>
      <c r="C36" s="22">
        <v>1825.04</v>
      </c>
      <c r="D36" s="22">
        <v>1978.53</v>
      </c>
      <c r="E36" s="22">
        <v>2062.13</v>
      </c>
      <c r="F36" s="22">
        <v>2062.13</v>
      </c>
      <c r="G36" s="22">
        <v>1989.68</v>
      </c>
      <c r="H36" s="22">
        <v>2179.17</v>
      </c>
      <c r="I36" s="22">
        <v>2122.9299999999998</v>
      </c>
      <c r="J36" s="22">
        <v>3104.2</v>
      </c>
      <c r="K36" s="22">
        <v>3271.37</v>
      </c>
      <c r="L36" s="22">
        <v>3639.47</v>
      </c>
      <c r="M36" s="22">
        <v>3150.33</v>
      </c>
      <c r="N36" s="22">
        <v>29564.15</v>
      </c>
    </row>
    <row r="37" spans="1:14" x14ac:dyDescent="0.25">
      <c r="A37" s="13" t="s">
        <v>162</v>
      </c>
      <c r="B37" s="22">
        <v>10345.56</v>
      </c>
      <c r="C37" s="22">
        <v>8087.98</v>
      </c>
      <c r="D37" s="22">
        <v>9752.8700000000008</v>
      </c>
      <c r="E37" s="22">
        <v>10280</v>
      </c>
      <c r="F37" s="22">
        <v>11136.32</v>
      </c>
      <c r="G37" s="22">
        <v>10874.32</v>
      </c>
      <c r="H37" s="22">
        <v>13472.57</v>
      </c>
      <c r="I37" s="22">
        <v>12704.07</v>
      </c>
      <c r="J37" s="22">
        <v>14698.84</v>
      </c>
      <c r="K37" s="22">
        <v>15543.06</v>
      </c>
      <c r="L37" s="22">
        <v>14343.61</v>
      </c>
      <c r="M37" s="22">
        <v>20930.52</v>
      </c>
      <c r="N37" s="22">
        <v>152169.72</v>
      </c>
    </row>
    <row r="38" spans="1:14" x14ac:dyDescent="0.25">
      <c r="A38" s="14" t="s">
        <v>163</v>
      </c>
      <c r="B38" s="24">
        <v>64707.82</v>
      </c>
      <c r="C38" s="24">
        <v>49675.39</v>
      </c>
      <c r="D38" s="24">
        <v>58215.5</v>
      </c>
      <c r="E38" s="24">
        <v>63309.31</v>
      </c>
      <c r="F38" s="24">
        <v>64648.74</v>
      </c>
      <c r="G38" s="24">
        <v>63176.39</v>
      </c>
      <c r="H38" s="24">
        <v>73040.28</v>
      </c>
      <c r="I38" s="24">
        <v>71204.639999999999</v>
      </c>
      <c r="J38" s="24">
        <v>81035.86</v>
      </c>
      <c r="K38" s="24">
        <v>89508.12</v>
      </c>
      <c r="L38" s="24">
        <v>81539.740000000005</v>
      </c>
      <c r="M38" s="24">
        <v>90815.14</v>
      </c>
      <c r="N38" s="24">
        <v>850876.93</v>
      </c>
    </row>
    <row r="39" spans="1:14" x14ac:dyDescent="0.25">
      <c r="A39" s="11" t="s">
        <v>223</v>
      </c>
      <c r="B39" s="22">
        <v>100</v>
      </c>
      <c r="E39" s="22">
        <v>149.80000000000001</v>
      </c>
      <c r="F39" s="22">
        <v>59.75</v>
      </c>
      <c r="G39" s="22">
        <v>69.7</v>
      </c>
      <c r="H39" s="22">
        <v>159.69999999999999</v>
      </c>
      <c r="I39" s="22">
        <v>310.85000000000002</v>
      </c>
      <c r="J39" s="22">
        <v>467.51</v>
      </c>
      <c r="K39" s="22">
        <v>517.51</v>
      </c>
      <c r="L39" s="22">
        <v>-188.41</v>
      </c>
      <c r="M39" s="22">
        <v>109.5</v>
      </c>
      <c r="N39" s="22">
        <v>1755.91</v>
      </c>
    </row>
    <row r="40" spans="1:14" x14ac:dyDescent="0.25">
      <c r="A40" s="11" t="s">
        <v>164</v>
      </c>
      <c r="B40" s="22">
        <v>835.46</v>
      </c>
      <c r="C40" s="22">
        <v>1053.94</v>
      </c>
      <c r="D40" s="22">
        <v>870.69</v>
      </c>
      <c r="E40" s="22">
        <v>905.55</v>
      </c>
      <c r="F40" s="22">
        <v>911.57</v>
      </c>
      <c r="G40" s="22">
        <v>1002.49</v>
      </c>
      <c r="H40" s="22">
        <v>1224.75</v>
      </c>
      <c r="I40" s="22">
        <v>1104.3800000000001</v>
      </c>
      <c r="J40" s="22">
        <v>1297.23</v>
      </c>
      <c r="K40" s="22">
        <v>1217.3900000000001</v>
      </c>
      <c r="L40" s="22">
        <v>1622.94</v>
      </c>
      <c r="M40" s="22">
        <v>1305.1400000000001</v>
      </c>
      <c r="N40" s="22">
        <v>13351.53</v>
      </c>
    </row>
    <row r="41" spans="1:14" x14ac:dyDescent="0.25">
      <c r="A41" s="11" t="s">
        <v>165</v>
      </c>
      <c r="B41" s="22">
        <v>1470.25</v>
      </c>
      <c r="C41" s="22">
        <v>1665</v>
      </c>
      <c r="D41" s="22">
        <v>2627.75</v>
      </c>
      <c r="E41" s="22">
        <v>1248.75</v>
      </c>
      <c r="F41" s="22">
        <v>2154</v>
      </c>
      <c r="G41" s="22">
        <v>4154</v>
      </c>
      <c r="H41" s="22">
        <v>3769.75</v>
      </c>
      <c r="I41" s="22">
        <v>1696</v>
      </c>
      <c r="J41" s="22">
        <v>2227.5</v>
      </c>
      <c r="K41" s="22">
        <v>1664.5</v>
      </c>
      <c r="L41" s="22">
        <v>1718.79</v>
      </c>
      <c r="M41" s="22">
        <v>2757.45</v>
      </c>
      <c r="N41" s="22">
        <v>27153.74</v>
      </c>
    </row>
    <row r="42" spans="1:14" x14ac:dyDescent="0.25">
      <c r="A42" s="11" t="s">
        <v>224</v>
      </c>
      <c r="D42" s="22">
        <v>4640</v>
      </c>
      <c r="N42" s="22">
        <v>4640</v>
      </c>
    </row>
    <row r="43" spans="1:14" x14ac:dyDescent="0.25">
      <c r="A43" s="11" t="s">
        <v>166</v>
      </c>
      <c r="B43" s="22">
        <v>10848.53</v>
      </c>
      <c r="C43" s="22">
        <v>12213.11</v>
      </c>
      <c r="D43" s="22">
        <v>11571.67</v>
      </c>
      <c r="E43" s="22">
        <v>11810.87</v>
      </c>
      <c r="F43" s="22">
        <v>12525.63</v>
      </c>
      <c r="G43" s="22">
        <v>12863.33</v>
      </c>
      <c r="H43" s="22">
        <v>13135.45</v>
      </c>
      <c r="I43" s="22">
        <v>14257.15</v>
      </c>
      <c r="J43" s="22">
        <v>13595.12</v>
      </c>
      <c r="K43" s="22">
        <v>12347.62</v>
      </c>
      <c r="L43" s="22">
        <v>15217.81</v>
      </c>
      <c r="M43" s="22">
        <v>17108.419999999998</v>
      </c>
      <c r="N43" s="22">
        <v>157494.71</v>
      </c>
    </row>
    <row r="44" spans="1:14" x14ac:dyDescent="0.25">
      <c r="A44" s="11" t="s">
        <v>225</v>
      </c>
      <c r="J44" s="22">
        <v>396.95</v>
      </c>
      <c r="N44" s="22">
        <v>396.95</v>
      </c>
    </row>
    <row r="45" spans="1:14" x14ac:dyDescent="0.25">
      <c r="A45" s="11" t="s">
        <v>226</v>
      </c>
      <c r="J45" s="22">
        <v>937.25</v>
      </c>
      <c r="K45" s="22">
        <v>1392.25</v>
      </c>
      <c r="L45" s="22">
        <v>2361.25</v>
      </c>
      <c r="M45" s="22">
        <v>2450.5</v>
      </c>
      <c r="N45" s="22">
        <v>7141.25</v>
      </c>
    </row>
    <row r="46" spans="1:14" x14ac:dyDescent="0.25">
      <c r="A46" s="16" t="s">
        <v>48</v>
      </c>
      <c r="B46" s="24">
        <v>79188.61</v>
      </c>
      <c r="C46" s="24">
        <v>64607.44</v>
      </c>
      <c r="D46" s="24">
        <v>79079.94</v>
      </c>
      <c r="E46" s="24">
        <v>77424.28</v>
      </c>
      <c r="F46" s="24">
        <v>80299.69</v>
      </c>
      <c r="G46" s="24">
        <v>81265.91</v>
      </c>
      <c r="H46" s="24">
        <v>91329.93</v>
      </c>
      <c r="I46" s="24">
        <v>88573.02</v>
      </c>
      <c r="J46" s="24">
        <v>99957.42</v>
      </c>
      <c r="K46" s="24">
        <v>107910.84</v>
      </c>
      <c r="L46" s="24">
        <v>102709.62</v>
      </c>
      <c r="M46" s="24">
        <v>114546.15</v>
      </c>
      <c r="N46" s="24">
        <v>1066892.8500000001</v>
      </c>
    </row>
    <row r="47" spans="1:14" x14ac:dyDescent="0.25">
      <c r="A47" s="16" t="s">
        <v>49</v>
      </c>
      <c r="B47" s="24">
        <v>59473.94</v>
      </c>
      <c r="C47" s="24">
        <v>63195.16</v>
      </c>
      <c r="D47" s="24">
        <v>55595.49</v>
      </c>
      <c r="E47" s="24">
        <v>58551.32</v>
      </c>
      <c r="F47" s="24">
        <v>71751.429999999993</v>
      </c>
      <c r="G47" s="24">
        <v>72059.11</v>
      </c>
      <c r="H47" s="24">
        <v>64050.85</v>
      </c>
      <c r="I47" s="24">
        <v>71300.3</v>
      </c>
      <c r="J47" s="24">
        <v>64041.79</v>
      </c>
      <c r="K47" s="24">
        <v>71333.399999999994</v>
      </c>
      <c r="L47" s="24">
        <v>78980.960000000006</v>
      </c>
      <c r="M47" s="24">
        <v>82156.53</v>
      </c>
      <c r="N47" s="24">
        <v>812490.28</v>
      </c>
    </row>
    <row r="48" spans="1:14" x14ac:dyDescent="0.25">
      <c r="A48" s="16" t="s">
        <v>50</v>
      </c>
    </row>
    <row r="49" spans="1:14" x14ac:dyDescent="0.25">
      <c r="A49" s="11" t="s">
        <v>167</v>
      </c>
      <c r="N49" s="22">
        <v>0</v>
      </c>
    </row>
    <row r="50" spans="1:14" x14ac:dyDescent="0.25">
      <c r="A50" s="13" t="s">
        <v>168</v>
      </c>
      <c r="B50" s="22">
        <v>137.44</v>
      </c>
      <c r="C50" s="22">
        <v>122.14</v>
      </c>
      <c r="D50" s="22">
        <v>43.5</v>
      </c>
      <c r="E50" s="22">
        <v>399</v>
      </c>
      <c r="F50" s="22">
        <v>101.3</v>
      </c>
      <c r="G50" s="22">
        <v>69.599999999999994</v>
      </c>
      <c r="H50" s="22">
        <v>147.19999999999999</v>
      </c>
      <c r="I50" s="22">
        <v>109.8</v>
      </c>
      <c r="J50" s="22">
        <v>116.6</v>
      </c>
      <c r="K50" s="22">
        <v>148.9</v>
      </c>
      <c r="L50" s="22">
        <v>125.8</v>
      </c>
      <c r="M50" s="22">
        <v>313.7</v>
      </c>
      <c r="N50" s="22">
        <v>1834.98</v>
      </c>
    </row>
    <row r="51" spans="1:14" x14ac:dyDescent="0.25">
      <c r="A51" s="13" t="s">
        <v>227</v>
      </c>
      <c r="E51" s="22">
        <v>1849.99</v>
      </c>
      <c r="K51" s="22">
        <v>781.08</v>
      </c>
      <c r="N51" s="22">
        <v>2631.07</v>
      </c>
    </row>
    <row r="52" spans="1:14" x14ac:dyDescent="0.25">
      <c r="A52" s="13" t="s">
        <v>169</v>
      </c>
      <c r="N52" s="22">
        <v>0</v>
      </c>
    </row>
    <row r="53" spans="1:14" x14ac:dyDescent="0.25">
      <c r="A53" s="17" t="s">
        <v>228</v>
      </c>
      <c r="F53" s="22">
        <v>300</v>
      </c>
      <c r="G53" s="22">
        <v>36</v>
      </c>
      <c r="N53" s="22">
        <v>336</v>
      </c>
    </row>
    <row r="54" spans="1:14" x14ac:dyDescent="0.25">
      <c r="A54" s="17" t="s">
        <v>170</v>
      </c>
      <c r="C54" s="22">
        <v>173</v>
      </c>
      <c r="D54" s="22">
        <v>145</v>
      </c>
      <c r="E54" s="22">
        <v>290</v>
      </c>
      <c r="F54" s="22">
        <v>1004</v>
      </c>
      <c r="G54" s="22">
        <v>1224</v>
      </c>
      <c r="H54" s="22">
        <v>783</v>
      </c>
      <c r="I54" s="22">
        <v>328</v>
      </c>
      <c r="J54" s="22">
        <v>236</v>
      </c>
      <c r="K54" s="22">
        <v>772</v>
      </c>
      <c r="L54" s="22">
        <v>537</v>
      </c>
      <c r="M54" s="22">
        <v>628</v>
      </c>
      <c r="N54" s="22">
        <v>6120</v>
      </c>
    </row>
    <row r="55" spans="1:14" x14ac:dyDescent="0.25">
      <c r="A55" s="17" t="s">
        <v>171</v>
      </c>
      <c r="B55" s="22">
        <v>150</v>
      </c>
      <c r="C55" s="22">
        <v>243</v>
      </c>
      <c r="D55" s="22">
        <v>136</v>
      </c>
      <c r="E55" s="22">
        <v>144</v>
      </c>
      <c r="F55" s="22">
        <v>170.4</v>
      </c>
      <c r="G55" s="22">
        <v>185</v>
      </c>
      <c r="H55" s="22">
        <v>161</v>
      </c>
      <c r="I55" s="22">
        <v>168</v>
      </c>
      <c r="J55" s="22">
        <v>211</v>
      </c>
      <c r="K55" s="22">
        <v>381</v>
      </c>
      <c r="L55" s="22">
        <v>240</v>
      </c>
      <c r="M55" s="22">
        <v>197</v>
      </c>
      <c r="N55" s="22">
        <v>2386.4</v>
      </c>
    </row>
    <row r="56" spans="1:14" x14ac:dyDescent="0.25">
      <c r="A56" s="17" t="s">
        <v>229</v>
      </c>
      <c r="M56" s="22">
        <v>2519</v>
      </c>
      <c r="N56" s="22">
        <v>2519</v>
      </c>
    </row>
    <row r="57" spans="1:14" x14ac:dyDescent="0.25">
      <c r="A57" s="17" t="s">
        <v>172</v>
      </c>
      <c r="C57" s="22">
        <v>400</v>
      </c>
      <c r="D57" s="22">
        <v>200</v>
      </c>
      <c r="F57" s="22">
        <v>600</v>
      </c>
      <c r="G57" s="22">
        <v>200</v>
      </c>
      <c r="H57" s="22">
        <v>200</v>
      </c>
      <c r="J57" s="22">
        <v>200</v>
      </c>
      <c r="K57" s="22">
        <v>1000</v>
      </c>
      <c r="M57" s="22">
        <v>400</v>
      </c>
      <c r="N57" s="22">
        <v>3200</v>
      </c>
    </row>
    <row r="58" spans="1:14" x14ac:dyDescent="0.25">
      <c r="A58" s="17" t="s">
        <v>173</v>
      </c>
      <c r="C58" s="22">
        <v>34.54</v>
      </c>
      <c r="E58" s="22">
        <v>100</v>
      </c>
      <c r="G58" s="22">
        <v>36</v>
      </c>
      <c r="H58" s="22">
        <v>236.3</v>
      </c>
      <c r="I58" s="22">
        <v>1071.1400000000001</v>
      </c>
      <c r="J58" s="22">
        <v>80</v>
      </c>
      <c r="K58" s="22">
        <v>180</v>
      </c>
      <c r="L58" s="22">
        <v>80</v>
      </c>
      <c r="M58" s="22">
        <v>80</v>
      </c>
      <c r="N58" s="22">
        <v>1897.98</v>
      </c>
    </row>
    <row r="59" spans="1:14" x14ac:dyDescent="0.25">
      <c r="A59" s="17" t="s">
        <v>174</v>
      </c>
      <c r="B59" s="22">
        <v>787.24</v>
      </c>
      <c r="C59" s="22">
        <v>180.53</v>
      </c>
      <c r="D59" s="22">
        <v>180.53</v>
      </c>
      <c r="E59" s="22">
        <v>180.53</v>
      </c>
      <c r="F59" s="22">
        <v>180.53</v>
      </c>
      <c r="G59" s="22">
        <v>180.53</v>
      </c>
      <c r="H59" s="22">
        <v>180.53</v>
      </c>
      <c r="I59" s="22">
        <v>180.53</v>
      </c>
      <c r="J59" s="22">
        <v>180.53</v>
      </c>
      <c r="K59" s="22">
        <v>180.53</v>
      </c>
      <c r="L59" s="22">
        <v>180.53</v>
      </c>
      <c r="M59" s="22">
        <v>180.53</v>
      </c>
      <c r="N59" s="22">
        <v>2773.07</v>
      </c>
    </row>
    <row r="60" spans="1:14" x14ac:dyDescent="0.25">
      <c r="A60" s="18" t="s">
        <v>175</v>
      </c>
      <c r="B60" s="24">
        <v>937.24</v>
      </c>
      <c r="C60" s="24">
        <v>1031.07</v>
      </c>
      <c r="D60" s="24">
        <v>661.53</v>
      </c>
      <c r="E60" s="24">
        <v>714.53</v>
      </c>
      <c r="F60" s="24">
        <v>2254.9299999999998</v>
      </c>
      <c r="G60" s="24">
        <v>1861.53</v>
      </c>
      <c r="H60" s="24">
        <v>1560.83</v>
      </c>
      <c r="I60" s="24">
        <v>1747.67</v>
      </c>
      <c r="J60" s="24">
        <v>907.53</v>
      </c>
      <c r="K60" s="24">
        <v>2513.5300000000002</v>
      </c>
      <c r="L60" s="24">
        <v>1037.53</v>
      </c>
      <c r="M60" s="24">
        <v>4004.53</v>
      </c>
      <c r="N60" s="24">
        <v>19232.45</v>
      </c>
    </row>
    <row r="61" spans="1:14" x14ac:dyDescent="0.25">
      <c r="A61" s="13" t="s">
        <v>176</v>
      </c>
      <c r="B61" s="22">
        <v>21052.34</v>
      </c>
      <c r="C61" s="22">
        <v>19916.03</v>
      </c>
      <c r="D61" s="22">
        <v>11743.87</v>
      </c>
      <c r="E61" s="22">
        <v>19617.919999999998</v>
      </c>
      <c r="F61" s="22">
        <v>20669.78</v>
      </c>
      <c r="G61" s="22">
        <v>20693.900000000001</v>
      </c>
      <c r="H61" s="22">
        <v>22602.639999999999</v>
      </c>
      <c r="I61" s="22">
        <v>19961.28</v>
      </c>
      <c r="J61" s="22">
        <v>27605.63</v>
      </c>
      <c r="K61" s="22">
        <v>34185.89</v>
      </c>
      <c r="L61" s="22">
        <v>29731.57</v>
      </c>
      <c r="M61" s="22">
        <v>33459.69</v>
      </c>
      <c r="N61" s="22">
        <v>281240.53999999998</v>
      </c>
    </row>
    <row r="62" spans="1:14" x14ac:dyDescent="0.25">
      <c r="A62" s="13" t="s">
        <v>177</v>
      </c>
      <c r="B62" s="22">
        <v>176.78</v>
      </c>
      <c r="C62" s="22">
        <v>208.99</v>
      </c>
      <c r="D62" s="22">
        <v>189.6</v>
      </c>
      <c r="E62" s="22">
        <v>175.9</v>
      </c>
      <c r="F62" s="22">
        <v>235.7</v>
      </c>
      <c r="G62" s="22">
        <v>226.76</v>
      </c>
      <c r="H62" s="22">
        <v>226.76</v>
      </c>
      <c r="I62" s="22">
        <v>226.76</v>
      </c>
      <c r="J62" s="22">
        <v>243.25</v>
      </c>
      <c r="K62" s="22">
        <v>242.28</v>
      </c>
      <c r="L62" s="22">
        <v>233.52</v>
      </c>
      <c r="M62" s="22">
        <v>233.52</v>
      </c>
      <c r="N62" s="22">
        <v>2619.8200000000002</v>
      </c>
    </row>
    <row r="63" spans="1:14" x14ac:dyDescent="0.25">
      <c r="A63" s="13" t="s">
        <v>178</v>
      </c>
      <c r="N63" s="22">
        <v>0</v>
      </c>
    </row>
    <row r="64" spans="1:14" x14ac:dyDescent="0.25">
      <c r="A64" s="17" t="s">
        <v>179</v>
      </c>
      <c r="E64" s="22">
        <v>1400</v>
      </c>
      <c r="N64" s="22">
        <v>1400</v>
      </c>
    </row>
    <row r="65" spans="1:14" x14ac:dyDescent="0.25">
      <c r="A65" s="17" t="s">
        <v>180</v>
      </c>
      <c r="B65" s="22">
        <v>2166.67</v>
      </c>
      <c r="C65" s="22">
        <v>2166.67</v>
      </c>
      <c r="D65" s="22">
        <v>2166.66</v>
      </c>
      <c r="E65" s="22">
        <v>2760.67</v>
      </c>
      <c r="F65" s="22">
        <v>1586.67</v>
      </c>
      <c r="G65" s="22">
        <v>1166.6600000000001</v>
      </c>
      <c r="H65" s="22">
        <v>0</v>
      </c>
      <c r="I65" s="22">
        <v>200</v>
      </c>
      <c r="J65" s="22">
        <v>1326.95</v>
      </c>
      <c r="K65" s="22">
        <v>0</v>
      </c>
      <c r="L65" s="22">
        <v>6000</v>
      </c>
      <c r="M65" s="22">
        <v>7500</v>
      </c>
      <c r="N65" s="22">
        <v>27040.95</v>
      </c>
    </row>
    <row r="66" spans="1:14" x14ac:dyDescent="0.25">
      <c r="A66" s="17" t="s">
        <v>181</v>
      </c>
      <c r="B66" s="22">
        <v>2412.9499999999998</v>
      </c>
      <c r="C66" s="22">
        <v>22379.3</v>
      </c>
      <c r="D66" s="22">
        <v>729.83</v>
      </c>
      <c r="E66" s="22">
        <v>595.97</v>
      </c>
      <c r="F66" s="22">
        <v>875.34</v>
      </c>
      <c r="G66" s="22">
        <v>529.66999999999996</v>
      </c>
      <c r="H66" s="22">
        <v>776.88</v>
      </c>
      <c r="I66" s="22">
        <v>216.71</v>
      </c>
      <c r="J66" s="22">
        <v>749.52</v>
      </c>
      <c r="K66" s="22">
        <v>925.73</v>
      </c>
      <c r="L66" s="22">
        <v>660.44</v>
      </c>
      <c r="M66" s="22">
        <v>751.76</v>
      </c>
      <c r="N66" s="22">
        <v>31604.1</v>
      </c>
    </row>
    <row r="67" spans="1:14" x14ac:dyDescent="0.25">
      <c r="A67" s="18" t="s">
        <v>182</v>
      </c>
      <c r="B67" s="24">
        <v>4579.62</v>
      </c>
      <c r="C67" s="24">
        <v>24545.97</v>
      </c>
      <c r="D67" s="24">
        <v>2896.49</v>
      </c>
      <c r="E67" s="24">
        <v>4756.6400000000003</v>
      </c>
      <c r="F67" s="24">
        <v>2462.0100000000002</v>
      </c>
      <c r="G67" s="24">
        <v>1696.33</v>
      </c>
      <c r="H67" s="24">
        <v>776.88</v>
      </c>
      <c r="I67" s="24">
        <v>416.71</v>
      </c>
      <c r="J67" s="24">
        <v>2076.4699999999998</v>
      </c>
      <c r="K67" s="24">
        <v>925.73</v>
      </c>
      <c r="L67" s="24">
        <v>6660.44</v>
      </c>
      <c r="M67" s="24">
        <v>8251.76</v>
      </c>
      <c r="N67" s="24">
        <v>60045.05</v>
      </c>
    </row>
    <row r="68" spans="1:14" x14ac:dyDescent="0.25">
      <c r="A68" s="13" t="s">
        <v>183</v>
      </c>
      <c r="B68" s="22">
        <v>29.97</v>
      </c>
      <c r="D68" s="22">
        <v>382.09</v>
      </c>
      <c r="F68" s="22">
        <v>561.55999999999995</v>
      </c>
      <c r="I68" s="22">
        <v>349.99</v>
      </c>
      <c r="M68" s="22">
        <v>62.89</v>
      </c>
      <c r="N68" s="22">
        <v>1386.5</v>
      </c>
    </row>
    <row r="69" spans="1:14" x14ac:dyDescent="0.25">
      <c r="A69" s="13" t="s">
        <v>186</v>
      </c>
      <c r="B69" s="22">
        <v>29.9</v>
      </c>
      <c r="C69" s="22">
        <v>339.99</v>
      </c>
      <c r="E69" s="22">
        <v>10.83</v>
      </c>
      <c r="F69" s="22">
        <v>5</v>
      </c>
      <c r="G69" s="22">
        <v>-9.5500000000000007</v>
      </c>
      <c r="K69" s="22">
        <v>21.15</v>
      </c>
      <c r="L69" s="22">
        <v>3.75</v>
      </c>
      <c r="N69" s="22">
        <v>401.07</v>
      </c>
    </row>
    <row r="70" spans="1:14" x14ac:dyDescent="0.25">
      <c r="A70" s="13" t="s">
        <v>187</v>
      </c>
      <c r="B70" s="22">
        <v>784.17</v>
      </c>
      <c r="C70" s="22">
        <v>784.17</v>
      </c>
      <c r="D70" s="22">
        <v>784.17</v>
      </c>
      <c r="E70" s="22">
        <v>784.17</v>
      </c>
      <c r="F70" s="22">
        <v>784.17</v>
      </c>
      <c r="G70" s="22">
        <v>784.17</v>
      </c>
      <c r="H70" s="22">
        <v>1485.98</v>
      </c>
      <c r="I70" s="22">
        <v>963.3</v>
      </c>
      <c r="J70" s="22">
        <v>980.42</v>
      </c>
      <c r="K70" s="22">
        <v>1029.42</v>
      </c>
      <c r="L70" s="22">
        <v>1029.42</v>
      </c>
      <c r="M70" s="22">
        <v>1029.4000000000001</v>
      </c>
      <c r="N70" s="22">
        <v>11222.96</v>
      </c>
    </row>
    <row r="71" spans="1:14" x14ac:dyDescent="0.25">
      <c r="A71" s="13" t="s">
        <v>188</v>
      </c>
      <c r="B71" s="22">
        <v>7746.46</v>
      </c>
      <c r="C71" s="22">
        <v>7891.81</v>
      </c>
      <c r="D71" s="22">
        <v>7890.85</v>
      </c>
      <c r="E71" s="22">
        <v>7834.63</v>
      </c>
      <c r="F71" s="22">
        <v>8117.23</v>
      </c>
      <c r="G71" s="22">
        <v>8345.84</v>
      </c>
      <c r="H71" s="22">
        <v>8984.68</v>
      </c>
      <c r="I71" s="22">
        <v>9856.6</v>
      </c>
      <c r="J71" s="22">
        <v>10733.91</v>
      </c>
      <c r="K71" s="22">
        <v>12089.39</v>
      </c>
      <c r="L71" s="22">
        <v>13145.83</v>
      </c>
      <c r="M71" s="22">
        <v>14421.43</v>
      </c>
      <c r="N71" s="22">
        <v>117058.66</v>
      </c>
    </row>
    <row r="72" spans="1:14" x14ac:dyDescent="0.25">
      <c r="A72" s="13" t="s">
        <v>189</v>
      </c>
      <c r="B72" s="22">
        <v>102</v>
      </c>
      <c r="E72" s="22">
        <v>398</v>
      </c>
      <c r="N72" s="22">
        <v>500</v>
      </c>
    </row>
    <row r="73" spans="1:14" x14ac:dyDescent="0.25">
      <c r="A73" s="13" t="s">
        <v>190</v>
      </c>
      <c r="B73" s="22">
        <v>85</v>
      </c>
      <c r="C73" s="22">
        <v>94.49</v>
      </c>
      <c r="D73" s="22">
        <v>824.89</v>
      </c>
      <c r="E73" s="22">
        <v>253</v>
      </c>
      <c r="F73" s="22">
        <v>262.95</v>
      </c>
      <c r="G73" s="22">
        <v>253</v>
      </c>
      <c r="H73" s="22">
        <v>253</v>
      </c>
      <c r="I73" s="22">
        <v>253</v>
      </c>
      <c r="J73" s="22">
        <v>253</v>
      </c>
      <c r="K73" s="22">
        <v>253</v>
      </c>
      <c r="L73" s="22">
        <v>253</v>
      </c>
      <c r="M73" s="22">
        <v>253</v>
      </c>
      <c r="N73" s="22">
        <v>3291.33</v>
      </c>
    </row>
    <row r="74" spans="1:14" x14ac:dyDescent="0.25">
      <c r="A74" s="14" t="s">
        <v>191</v>
      </c>
      <c r="B74" s="24">
        <v>35660.92</v>
      </c>
      <c r="C74" s="24">
        <v>54934.66</v>
      </c>
      <c r="D74" s="24">
        <v>25416.99</v>
      </c>
      <c r="E74" s="24">
        <v>36794.61</v>
      </c>
      <c r="F74" s="24">
        <v>35454.629999999997</v>
      </c>
      <c r="G74" s="24">
        <v>33921.58</v>
      </c>
      <c r="H74" s="24">
        <v>36037.97</v>
      </c>
      <c r="I74" s="24">
        <v>33885.11</v>
      </c>
      <c r="J74" s="24">
        <v>42916.81</v>
      </c>
      <c r="K74" s="24">
        <v>52190.37</v>
      </c>
      <c r="L74" s="24">
        <v>52220.86</v>
      </c>
      <c r="M74" s="24">
        <v>62029.919999999998</v>
      </c>
      <c r="N74" s="24">
        <v>501464.43</v>
      </c>
    </row>
    <row r="75" spans="1:14" x14ac:dyDescent="0.25">
      <c r="A75" s="11" t="s">
        <v>230</v>
      </c>
      <c r="D75" s="22">
        <v>8906.39</v>
      </c>
      <c r="E75" s="22">
        <v>9233.23</v>
      </c>
      <c r="F75" s="22">
        <v>9108.84</v>
      </c>
      <c r="G75" s="22">
        <v>8694.7900000000009</v>
      </c>
      <c r="H75" s="22">
        <v>9522.8700000000008</v>
      </c>
      <c r="I75" s="22">
        <v>8694.81</v>
      </c>
      <c r="J75" s="22">
        <v>9108.84</v>
      </c>
      <c r="K75" s="22">
        <v>9522.8700000000008</v>
      </c>
      <c r="L75" s="22">
        <v>8280.76</v>
      </c>
      <c r="M75" s="22">
        <v>9593.64</v>
      </c>
      <c r="N75" s="22">
        <v>90667.04</v>
      </c>
    </row>
    <row r="76" spans="1:14" x14ac:dyDescent="0.25">
      <c r="A76" s="11" t="s">
        <v>192</v>
      </c>
      <c r="N76" s="22">
        <v>0</v>
      </c>
    </row>
    <row r="77" spans="1:14" x14ac:dyDescent="0.25">
      <c r="A77" s="13" t="s">
        <v>193</v>
      </c>
      <c r="N77" s="22">
        <v>0</v>
      </c>
    </row>
    <row r="78" spans="1:14" x14ac:dyDescent="0.25">
      <c r="A78" s="17" t="s">
        <v>231</v>
      </c>
      <c r="I78" s="22">
        <v>6400</v>
      </c>
      <c r="J78" s="22">
        <v>0</v>
      </c>
      <c r="K78" s="22">
        <v>2428.8000000000002</v>
      </c>
      <c r="N78" s="22">
        <v>8828.7999999999993</v>
      </c>
    </row>
    <row r="79" spans="1:14" x14ac:dyDescent="0.25">
      <c r="A79" s="17" t="s">
        <v>232</v>
      </c>
      <c r="I79" s="22">
        <v>770</v>
      </c>
      <c r="J79" s="22">
        <v>1649.5</v>
      </c>
      <c r="K79" s="22">
        <v>250</v>
      </c>
      <c r="N79" s="22">
        <v>2669.5</v>
      </c>
    </row>
    <row r="80" spans="1:14" x14ac:dyDescent="0.25">
      <c r="A80" s="18" t="s">
        <v>233</v>
      </c>
      <c r="B80" s="24">
        <v>0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7170</v>
      </c>
      <c r="J80" s="24">
        <v>1649.5</v>
      </c>
      <c r="K80" s="24">
        <v>2678.8</v>
      </c>
      <c r="L80" s="24">
        <v>0</v>
      </c>
      <c r="M80" s="24">
        <v>0</v>
      </c>
      <c r="N80" s="24">
        <v>11498.3</v>
      </c>
    </row>
    <row r="81" spans="1:14" x14ac:dyDescent="0.25">
      <c r="A81" s="13" t="s">
        <v>194</v>
      </c>
      <c r="H81" s="22">
        <v>100</v>
      </c>
      <c r="N81" s="22">
        <v>100</v>
      </c>
    </row>
    <row r="82" spans="1:14" x14ac:dyDescent="0.25">
      <c r="A82" s="13" t="s">
        <v>234</v>
      </c>
      <c r="G82" s="22">
        <v>1466.8</v>
      </c>
      <c r="H82" s="22">
        <v>1632.65</v>
      </c>
      <c r="I82" s="22">
        <v>1718.05</v>
      </c>
      <c r="J82" s="22">
        <v>1914.6</v>
      </c>
      <c r="K82" s="22">
        <v>2352.9</v>
      </c>
      <c r="L82" s="22">
        <v>2245.2399999999998</v>
      </c>
      <c r="M82" s="22">
        <v>7819.39</v>
      </c>
      <c r="N82" s="22">
        <v>19149.63</v>
      </c>
    </row>
    <row r="83" spans="1:14" x14ac:dyDescent="0.25">
      <c r="A83" s="13" t="s">
        <v>195</v>
      </c>
      <c r="B83" s="22">
        <v>144</v>
      </c>
      <c r="N83" s="22">
        <v>144</v>
      </c>
    </row>
    <row r="84" spans="1:14" x14ac:dyDescent="0.25">
      <c r="A84" s="13" t="s">
        <v>196</v>
      </c>
      <c r="B84" s="22">
        <v>170</v>
      </c>
      <c r="C84" s="22">
        <v>170</v>
      </c>
      <c r="D84" s="22">
        <v>316.43</v>
      </c>
      <c r="E84" s="22">
        <v>270</v>
      </c>
      <c r="F84" s="22">
        <v>270</v>
      </c>
      <c r="G84" s="22">
        <v>270</v>
      </c>
      <c r="H84" s="22">
        <v>270</v>
      </c>
      <c r="I84" s="22">
        <v>220</v>
      </c>
      <c r="J84" s="22">
        <v>220</v>
      </c>
      <c r="K84" s="22">
        <v>568</v>
      </c>
      <c r="L84" s="22">
        <v>220</v>
      </c>
      <c r="M84" s="22">
        <v>275</v>
      </c>
      <c r="N84" s="22">
        <v>3239.43</v>
      </c>
    </row>
    <row r="85" spans="1:14" x14ac:dyDescent="0.25">
      <c r="A85" s="13" t="s">
        <v>235</v>
      </c>
      <c r="N85" s="22">
        <v>0</v>
      </c>
    </row>
    <row r="86" spans="1:14" x14ac:dyDescent="0.25">
      <c r="A86" s="17" t="s">
        <v>236</v>
      </c>
      <c r="E86" s="22">
        <v>3760.65</v>
      </c>
      <c r="F86" s="22">
        <v>3376.18</v>
      </c>
      <c r="I86" s="22">
        <v>530.11</v>
      </c>
      <c r="J86" s="22">
        <v>1005.79</v>
      </c>
      <c r="K86" s="22">
        <v>299.32</v>
      </c>
      <c r="L86" s="22">
        <v>1072.3599999999999</v>
      </c>
      <c r="M86" s="22">
        <v>422.86</v>
      </c>
      <c r="N86" s="22">
        <v>10467.27</v>
      </c>
    </row>
    <row r="87" spans="1:14" x14ac:dyDescent="0.25">
      <c r="A87" s="17" t="s">
        <v>237</v>
      </c>
      <c r="E87" s="22">
        <v>6541.48</v>
      </c>
      <c r="F87" s="22">
        <v>3355.22</v>
      </c>
      <c r="I87" s="22">
        <v>358.41</v>
      </c>
      <c r="J87" s="22">
        <v>880.96</v>
      </c>
      <c r="K87" s="22">
        <v>376.97</v>
      </c>
      <c r="L87" s="22">
        <v>458.86</v>
      </c>
      <c r="N87" s="22">
        <v>11971.9</v>
      </c>
    </row>
    <row r="88" spans="1:14" x14ac:dyDescent="0.25">
      <c r="A88" s="17" t="s">
        <v>238</v>
      </c>
      <c r="B88" s="22">
        <v>6.91</v>
      </c>
      <c r="E88" s="22">
        <v>992.25</v>
      </c>
      <c r="F88" s="22">
        <v>2425.9299999999998</v>
      </c>
      <c r="H88" s="22">
        <v>97.66</v>
      </c>
      <c r="I88" s="22">
        <v>33</v>
      </c>
      <c r="J88" s="22">
        <v>687.61</v>
      </c>
      <c r="K88" s="22">
        <v>250.05</v>
      </c>
      <c r="L88" s="22">
        <v>156.88999999999999</v>
      </c>
      <c r="M88" s="22">
        <v>9.8800000000000008</v>
      </c>
      <c r="N88" s="22">
        <v>4660.18</v>
      </c>
    </row>
    <row r="89" spans="1:14" x14ac:dyDescent="0.25">
      <c r="A89" s="17" t="s">
        <v>239</v>
      </c>
      <c r="F89" s="22">
        <v>715.49</v>
      </c>
      <c r="N89" s="22">
        <v>715.49</v>
      </c>
    </row>
    <row r="90" spans="1:14" x14ac:dyDescent="0.25">
      <c r="A90" s="17" t="s">
        <v>240</v>
      </c>
      <c r="J90" s="22">
        <v>148</v>
      </c>
      <c r="L90" s="22">
        <v>87</v>
      </c>
      <c r="N90" s="22">
        <v>235</v>
      </c>
    </row>
    <row r="91" spans="1:14" x14ac:dyDescent="0.25">
      <c r="A91" s="17" t="s">
        <v>241</v>
      </c>
      <c r="E91" s="22">
        <v>111.91</v>
      </c>
      <c r="F91" s="22">
        <v>911.9</v>
      </c>
      <c r="J91" s="22">
        <v>241.87</v>
      </c>
      <c r="K91" s="22">
        <v>110.45</v>
      </c>
      <c r="L91" s="22">
        <v>335.25</v>
      </c>
      <c r="N91" s="22">
        <v>1711.38</v>
      </c>
    </row>
    <row r="92" spans="1:14" x14ac:dyDescent="0.25">
      <c r="A92" s="18" t="s">
        <v>242</v>
      </c>
      <c r="B92" s="24">
        <v>6.91</v>
      </c>
      <c r="C92" s="24">
        <v>0</v>
      </c>
      <c r="D92" s="24">
        <v>0</v>
      </c>
      <c r="E92" s="24">
        <v>11406.29</v>
      </c>
      <c r="F92" s="24">
        <v>10784.72</v>
      </c>
      <c r="G92" s="24">
        <v>0</v>
      </c>
      <c r="H92" s="24">
        <v>97.66</v>
      </c>
      <c r="I92" s="24">
        <v>921.52</v>
      </c>
      <c r="J92" s="24">
        <v>2964.23</v>
      </c>
      <c r="K92" s="24">
        <v>1036.79</v>
      </c>
      <c r="L92" s="24">
        <v>2110.36</v>
      </c>
      <c r="M92" s="24">
        <v>432.74</v>
      </c>
      <c r="N92" s="24">
        <v>29761.22</v>
      </c>
    </row>
    <row r="93" spans="1:14" x14ac:dyDescent="0.25">
      <c r="A93" s="13" t="s">
        <v>197</v>
      </c>
      <c r="B93" s="22">
        <v>530.66999999999996</v>
      </c>
      <c r="C93" s="22">
        <v>399</v>
      </c>
      <c r="D93" s="22">
        <v>399</v>
      </c>
      <c r="E93" s="22">
        <v>399</v>
      </c>
      <c r="F93" s="22">
        <v>399</v>
      </c>
      <c r="G93" s="22">
        <v>399</v>
      </c>
      <c r="H93" s="22">
        <v>399</v>
      </c>
      <c r="I93" s="22">
        <v>399</v>
      </c>
      <c r="J93" s="22">
        <v>399</v>
      </c>
      <c r="K93" s="22">
        <v>399</v>
      </c>
      <c r="L93" s="22">
        <v>399</v>
      </c>
      <c r="M93" s="22">
        <v>399</v>
      </c>
      <c r="N93" s="22">
        <v>4919.67</v>
      </c>
    </row>
    <row r="94" spans="1:14" x14ac:dyDescent="0.25">
      <c r="A94" s="14" t="s">
        <v>198</v>
      </c>
      <c r="B94" s="24">
        <v>851.58</v>
      </c>
      <c r="C94" s="24">
        <v>569</v>
      </c>
      <c r="D94" s="24">
        <v>715.43</v>
      </c>
      <c r="E94" s="24">
        <v>12075.29</v>
      </c>
      <c r="F94" s="24">
        <v>11453.72</v>
      </c>
      <c r="G94" s="24">
        <v>2135.8000000000002</v>
      </c>
      <c r="H94" s="24">
        <v>2499.31</v>
      </c>
      <c r="I94" s="24">
        <v>10428.57</v>
      </c>
      <c r="J94" s="24">
        <v>7147.33</v>
      </c>
      <c r="K94" s="24">
        <v>7035.49</v>
      </c>
      <c r="L94" s="24">
        <v>4974.6000000000004</v>
      </c>
      <c r="M94" s="24">
        <v>8926.1299999999992</v>
      </c>
      <c r="N94" s="24">
        <v>68812.25</v>
      </c>
    </row>
    <row r="95" spans="1:14" x14ac:dyDescent="0.25">
      <c r="A95" s="16" t="s">
        <v>102</v>
      </c>
      <c r="B95" s="24">
        <v>36512.5</v>
      </c>
      <c r="C95" s="24">
        <v>55503.66</v>
      </c>
      <c r="D95" s="24">
        <v>35038.81</v>
      </c>
      <c r="E95" s="24">
        <v>58103.13</v>
      </c>
      <c r="F95" s="24">
        <v>56017.19</v>
      </c>
      <c r="G95" s="24">
        <v>44752.17</v>
      </c>
      <c r="H95" s="24">
        <v>48060.15</v>
      </c>
      <c r="I95" s="24">
        <v>53008.49</v>
      </c>
      <c r="J95" s="24">
        <v>59172.98</v>
      </c>
      <c r="K95" s="24">
        <v>68748.73</v>
      </c>
      <c r="L95" s="24">
        <v>65476.22</v>
      </c>
      <c r="M95" s="24">
        <v>80549.69</v>
      </c>
      <c r="N95" s="24">
        <v>660943.72</v>
      </c>
    </row>
    <row r="96" spans="1:14" x14ac:dyDescent="0.25">
      <c r="A96" s="16" t="s">
        <v>103</v>
      </c>
      <c r="B96" s="24">
        <v>22961.439999999999</v>
      </c>
      <c r="C96" s="24">
        <v>7691.5</v>
      </c>
      <c r="D96" s="24">
        <v>20556.68</v>
      </c>
      <c r="E96" s="24">
        <v>448.19000000001</v>
      </c>
      <c r="F96" s="24">
        <v>15734.24</v>
      </c>
      <c r="G96" s="24">
        <v>27306.94</v>
      </c>
      <c r="H96" s="24">
        <v>15990.7</v>
      </c>
      <c r="I96" s="24">
        <v>18291.810000000001</v>
      </c>
      <c r="J96" s="24">
        <v>4868.8100000000304</v>
      </c>
      <c r="K96" s="24">
        <v>2584.67</v>
      </c>
      <c r="L96" s="24">
        <v>13504.74</v>
      </c>
      <c r="M96" s="24">
        <v>1606.8399999999799</v>
      </c>
      <c r="N96" s="24">
        <v>151546.56</v>
      </c>
    </row>
    <row r="97" spans="1:14" x14ac:dyDescent="0.25">
      <c r="A97" s="16" t="s">
        <v>104</v>
      </c>
    </row>
    <row r="98" spans="1:14" x14ac:dyDescent="0.25">
      <c r="A98" s="11" t="s">
        <v>243</v>
      </c>
      <c r="C98" s="22">
        <v>19.93</v>
      </c>
      <c r="D98" s="22">
        <v>12.93</v>
      </c>
      <c r="E98" s="22">
        <v>19.63</v>
      </c>
      <c r="F98" s="22">
        <v>23.15</v>
      </c>
      <c r="G98" s="22">
        <v>9.6199999999999992</v>
      </c>
      <c r="H98" s="22">
        <v>32.07</v>
      </c>
      <c r="I98" s="22">
        <v>16.34</v>
      </c>
      <c r="J98" s="22">
        <v>15.84</v>
      </c>
      <c r="K98" s="22">
        <v>23.96</v>
      </c>
      <c r="L98" s="22">
        <v>25.13</v>
      </c>
      <c r="M98" s="22">
        <v>18.62</v>
      </c>
      <c r="N98" s="22">
        <v>217.22</v>
      </c>
    </row>
    <row r="99" spans="1:14" x14ac:dyDescent="0.25">
      <c r="A99" s="16" t="s">
        <v>107</v>
      </c>
      <c r="B99" s="24">
        <v>0</v>
      </c>
      <c r="C99" s="24">
        <v>19.93</v>
      </c>
      <c r="D99" s="24">
        <v>12.93</v>
      </c>
      <c r="E99" s="24">
        <v>19.63</v>
      </c>
      <c r="F99" s="24">
        <v>23.15</v>
      </c>
      <c r="G99" s="24">
        <v>9.6199999999999992</v>
      </c>
      <c r="H99" s="24">
        <v>32.07</v>
      </c>
      <c r="I99" s="24">
        <v>16.34</v>
      </c>
      <c r="J99" s="24">
        <v>15.84</v>
      </c>
      <c r="K99" s="24">
        <v>23.96</v>
      </c>
      <c r="L99" s="24">
        <v>25.13</v>
      </c>
      <c r="M99" s="24">
        <v>18.62</v>
      </c>
      <c r="N99" s="24">
        <v>217.22</v>
      </c>
    </row>
    <row r="100" spans="1:14" x14ac:dyDescent="0.25">
      <c r="A100" s="16" t="s">
        <v>108</v>
      </c>
    </row>
    <row r="101" spans="1:14" x14ac:dyDescent="0.25">
      <c r="A101" s="11" t="s">
        <v>200</v>
      </c>
      <c r="M101" s="22">
        <v>6673</v>
      </c>
      <c r="N101" s="22">
        <v>6673</v>
      </c>
    </row>
    <row r="102" spans="1:14" x14ac:dyDescent="0.25">
      <c r="A102" s="11" t="s">
        <v>244</v>
      </c>
      <c r="M102" s="22">
        <v>2704</v>
      </c>
      <c r="N102" s="22">
        <v>2704</v>
      </c>
    </row>
    <row r="103" spans="1:14" x14ac:dyDescent="0.25">
      <c r="A103" s="11" t="s">
        <v>201</v>
      </c>
      <c r="B103" s="22">
        <v>117.52</v>
      </c>
      <c r="C103" s="22">
        <v>206.46</v>
      </c>
      <c r="D103" s="22">
        <v>11.74</v>
      </c>
      <c r="E103" s="22">
        <v>36.6</v>
      </c>
      <c r="F103" s="22">
        <v>114.84</v>
      </c>
      <c r="G103" s="22">
        <v>247.88</v>
      </c>
      <c r="H103" s="22">
        <v>342</v>
      </c>
      <c r="I103" s="22">
        <v>251.09</v>
      </c>
      <c r="J103" s="22">
        <v>65.290000000000006</v>
      </c>
      <c r="K103" s="22">
        <v>19.16</v>
      </c>
      <c r="L103" s="22">
        <v>9.9</v>
      </c>
      <c r="N103" s="22">
        <v>1422.48</v>
      </c>
    </row>
    <row r="104" spans="1:14" x14ac:dyDescent="0.25">
      <c r="A104" s="11" t="s">
        <v>202</v>
      </c>
      <c r="B104" s="22">
        <v>2472</v>
      </c>
      <c r="E104" s="22">
        <v>3649</v>
      </c>
      <c r="F104" s="22">
        <v>-2272</v>
      </c>
      <c r="G104" s="22">
        <v>2045</v>
      </c>
      <c r="J104" s="22">
        <v>2045</v>
      </c>
      <c r="M104" s="22">
        <v>2045</v>
      </c>
      <c r="N104" s="22">
        <v>9984</v>
      </c>
    </row>
    <row r="105" spans="1:14" x14ac:dyDescent="0.25">
      <c r="A105" s="16" t="s">
        <v>113</v>
      </c>
      <c r="B105" s="24">
        <v>2589.52</v>
      </c>
      <c r="C105" s="24">
        <v>206.46</v>
      </c>
      <c r="D105" s="24">
        <v>11.74</v>
      </c>
      <c r="E105" s="24">
        <v>3685.6</v>
      </c>
      <c r="F105" s="24">
        <v>-2157.16</v>
      </c>
      <c r="G105" s="24">
        <v>2292.88</v>
      </c>
      <c r="H105" s="24">
        <v>342</v>
      </c>
      <c r="I105" s="24">
        <v>251.09</v>
      </c>
      <c r="J105" s="24">
        <v>2110.29</v>
      </c>
      <c r="K105" s="24">
        <v>19.16</v>
      </c>
      <c r="L105" s="24">
        <v>9.9</v>
      </c>
      <c r="M105" s="24">
        <v>11422</v>
      </c>
      <c r="N105" s="24">
        <v>20783.48</v>
      </c>
    </row>
    <row r="106" spans="1:14" x14ac:dyDescent="0.25">
      <c r="A106" s="16" t="s">
        <v>114</v>
      </c>
      <c r="B106" s="24">
        <v>-2589.52</v>
      </c>
      <c r="C106" s="24">
        <v>-186.53</v>
      </c>
      <c r="D106" s="24">
        <v>1.19</v>
      </c>
      <c r="E106" s="24">
        <v>-3665.97</v>
      </c>
      <c r="F106" s="24">
        <v>2180.31</v>
      </c>
      <c r="G106" s="24">
        <v>-2283.2600000000002</v>
      </c>
      <c r="H106" s="24">
        <v>-309.93</v>
      </c>
      <c r="I106" s="24">
        <v>-234.75</v>
      </c>
      <c r="J106" s="24">
        <v>-2094.4499999999998</v>
      </c>
      <c r="K106" s="24">
        <v>4.8</v>
      </c>
      <c r="L106" s="24">
        <v>15.23</v>
      </c>
      <c r="M106" s="24">
        <v>-11403.38</v>
      </c>
      <c r="N106" s="24">
        <v>-20566.259999999998</v>
      </c>
    </row>
    <row r="107" spans="1:14" x14ac:dyDescent="0.25">
      <c r="A107" s="16" t="s">
        <v>115</v>
      </c>
      <c r="B107" s="24">
        <v>20371.919999999998</v>
      </c>
      <c r="C107" s="24">
        <v>7504.97</v>
      </c>
      <c r="D107" s="24">
        <v>20557.87</v>
      </c>
      <c r="E107" s="24">
        <v>-3217.7799999999902</v>
      </c>
      <c r="F107" s="24">
        <v>17914.55</v>
      </c>
      <c r="G107" s="24">
        <v>25023.68</v>
      </c>
      <c r="H107" s="24">
        <v>15680.77</v>
      </c>
      <c r="I107" s="24">
        <v>18057.060000000001</v>
      </c>
      <c r="J107" s="24">
        <v>2774.3600000000301</v>
      </c>
      <c r="K107" s="24">
        <v>2589.4699999999998</v>
      </c>
      <c r="L107" s="24">
        <v>13519.97</v>
      </c>
      <c r="M107" s="24">
        <v>-9796.5400000000209</v>
      </c>
      <c r="N107" s="24">
        <v>130980.3</v>
      </c>
    </row>
    <row r="111" spans="1:14" x14ac:dyDescent="0.25">
      <c r="A111" s="21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38" customWidth="1"/>
    <col min="2" max="2" width="10.28515625" customWidth="1"/>
    <col min="4" max="4" width="11.140625" customWidth="1"/>
    <col min="5" max="5" width="10.28515625" customWidth="1"/>
    <col min="8" max="8" width="11.140625" customWidth="1"/>
    <col min="9" max="9" width="12" customWidth="1"/>
  </cols>
  <sheetData>
    <row r="1" spans="1:9" x14ac:dyDescent="0.25">
      <c r="A1" s="16" t="s">
        <v>0</v>
      </c>
    </row>
    <row r="2" spans="1:9" x14ac:dyDescent="0.25">
      <c r="A2" s="16" t="s">
        <v>125</v>
      </c>
    </row>
    <row r="3" spans="1:9" x14ac:dyDescent="0.25">
      <c r="A3" s="16" t="s">
        <v>246</v>
      </c>
    </row>
    <row r="5" spans="1:9" x14ac:dyDescent="0.25">
      <c r="B5" s="21" t="s">
        <v>247</v>
      </c>
      <c r="C5" s="21" t="s">
        <v>248</v>
      </c>
      <c r="D5" s="21" t="s">
        <v>249</v>
      </c>
      <c r="E5" s="21" t="s">
        <v>250</v>
      </c>
      <c r="F5" s="21" t="s">
        <v>251</v>
      </c>
      <c r="G5" s="21" t="s">
        <v>252</v>
      </c>
      <c r="H5" s="21" t="s">
        <v>253</v>
      </c>
      <c r="I5" s="21" t="s">
        <v>139</v>
      </c>
    </row>
    <row r="6" spans="1:9" x14ac:dyDescent="0.25">
      <c r="A6" s="16" t="s">
        <v>7</v>
      </c>
    </row>
    <row r="7" spans="1:9" x14ac:dyDescent="0.25">
      <c r="A7" s="11" t="s">
        <v>217</v>
      </c>
      <c r="I7" s="22">
        <v>0</v>
      </c>
    </row>
    <row r="8" spans="1:9" x14ac:dyDescent="0.25">
      <c r="A8" s="13" t="s">
        <v>218</v>
      </c>
      <c r="B8" s="22">
        <v>0</v>
      </c>
      <c r="C8" s="22">
        <v>0</v>
      </c>
      <c r="D8" s="22">
        <v>14190</v>
      </c>
      <c r="E8" s="22">
        <v>4300</v>
      </c>
      <c r="G8" s="22">
        <v>3100</v>
      </c>
      <c r="I8" s="22">
        <v>21590</v>
      </c>
    </row>
    <row r="9" spans="1:9" x14ac:dyDescent="0.25">
      <c r="A9" s="13" t="s">
        <v>219</v>
      </c>
      <c r="B9" s="22">
        <v>0</v>
      </c>
      <c r="C9" s="22">
        <v>0</v>
      </c>
      <c r="D9" s="22">
        <v>0</v>
      </c>
      <c r="E9" s="22">
        <v>2325</v>
      </c>
      <c r="I9" s="22">
        <v>2325</v>
      </c>
    </row>
    <row r="10" spans="1:9" x14ac:dyDescent="0.25">
      <c r="A10" s="14" t="s">
        <v>220</v>
      </c>
      <c r="B10" s="24">
        <v>0</v>
      </c>
      <c r="C10" s="24">
        <v>0</v>
      </c>
      <c r="D10" s="24">
        <v>14190</v>
      </c>
      <c r="E10" s="24">
        <v>6625</v>
      </c>
      <c r="F10" s="24">
        <v>0</v>
      </c>
      <c r="G10" s="24">
        <v>3100</v>
      </c>
      <c r="H10" s="24">
        <v>0</v>
      </c>
      <c r="I10" s="24">
        <v>23915</v>
      </c>
    </row>
    <row r="11" spans="1:9" x14ac:dyDescent="0.25">
      <c r="A11" s="11" t="s">
        <v>140</v>
      </c>
      <c r="I11" s="22">
        <v>0</v>
      </c>
    </row>
    <row r="12" spans="1:9" x14ac:dyDescent="0.25">
      <c r="A12" s="13" t="s">
        <v>141</v>
      </c>
      <c r="B12" s="22">
        <v>6105</v>
      </c>
      <c r="C12" s="22">
        <v>31156.5</v>
      </c>
      <c r="D12" s="22">
        <v>1260</v>
      </c>
      <c r="E12" s="22">
        <v>180</v>
      </c>
      <c r="I12" s="22">
        <v>38701.5</v>
      </c>
    </row>
    <row r="13" spans="1:9" x14ac:dyDescent="0.25">
      <c r="A13" s="13" t="s">
        <v>142</v>
      </c>
      <c r="B13" s="22">
        <v>159.84</v>
      </c>
      <c r="D13" s="22">
        <v>75</v>
      </c>
      <c r="G13" s="22">
        <v>22.99</v>
      </c>
      <c r="I13" s="22">
        <v>257.83</v>
      </c>
    </row>
    <row r="14" spans="1:9" x14ac:dyDescent="0.25">
      <c r="A14" s="13" t="s">
        <v>144</v>
      </c>
      <c r="B14" s="22">
        <v>2677.84</v>
      </c>
      <c r="C14" s="22">
        <v>2354.0100000000002</v>
      </c>
      <c r="D14" s="22">
        <v>227.6</v>
      </c>
      <c r="E14" s="22">
        <v>1478.36</v>
      </c>
      <c r="F14" s="22">
        <v>668.24</v>
      </c>
      <c r="G14" s="22">
        <v>586.13</v>
      </c>
      <c r="H14" s="22">
        <v>87.2</v>
      </c>
      <c r="I14" s="22">
        <v>8079.38</v>
      </c>
    </row>
    <row r="15" spans="1:9" x14ac:dyDescent="0.25">
      <c r="A15" s="14" t="s">
        <v>145</v>
      </c>
      <c r="B15" s="24">
        <v>8942.68</v>
      </c>
      <c r="C15" s="24">
        <v>33510.51</v>
      </c>
      <c r="D15" s="24">
        <v>1562.6</v>
      </c>
      <c r="E15" s="24">
        <v>1658.36</v>
      </c>
      <c r="F15" s="24">
        <v>668.24</v>
      </c>
      <c r="G15" s="24">
        <v>609.12</v>
      </c>
      <c r="H15" s="24">
        <v>87.2</v>
      </c>
      <c r="I15" s="24">
        <v>47038.71</v>
      </c>
    </row>
    <row r="16" spans="1:9" x14ac:dyDescent="0.25">
      <c r="A16" s="11" t="s">
        <v>146</v>
      </c>
      <c r="I16" s="22">
        <v>0</v>
      </c>
    </row>
    <row r="17" spans="1:9" x14ac:dyDescent="0.25">
      <c r="A17" s="13" t="s">
        <v>148</v>
      </c>
      <c r="B17" s="22">
        <v>10210.5</v>
      </c>
      <c r="C17" s="22">
        <v>6675</v>
      </c>
      <c r="D17" s="22">
        <v>9099</v>
      </c>
      <c r="E17" s="22">
        <v>8954.5</v>
      </c>
      <c r="F17" s="22">
        <v>12606</v>
      </c>
      <c r="G17" s="22">
        <v>5411.5</v>
      </c>
      <c r="H17" s="22">
        <v>6098.5</v>
      </c>
      <c r="I17" s="22">
        <v>59055</v>
      </c>
    </row>
    <row r="18" spans="1:9" x14ac:dyDescent="0.25">
      <c r="A18" s="14" t="s">
        <v>149</v>
      </c>
      <c r="B18" s="24">
        <v>10210.5</v>
      </c>
      <c r="C18" s="24">
        <v>6675</v>
      </c>
      <c r="D18" s="24">
        <v>9099</v>
      </c>
      <c r="E18" s="24">
        <v>8954.5</v>
      </c>
      <c r="F18" s="24">
        <v>12606</v>
      </c>
      <c r="G18" s="24">
        <v>5411.5</v>
      </c>
      <c r="H18" s="24">
        <v>6098.5</v>
      </c>
      <c r="I18" s="24">
        <v>59055</v>
      </c>
    </row>
    <row r="19" spans="1:9" x14ac:dyDescent="0.25">
      <c r="A19" s="11" t="s">
        <v>150</v>
      </c>
      <c r="B19" s="22">
        <v>11280.5</v>
      </c>
      <c r="C19" s="22">
        <v>10930.5</v>
      </c>
      <c r="D19" s="22">
        <v>10625.5</v>
      </c>
      <c r="E19" s="22">
        <v>10315.5</v>
      </c>
      <c r="F19" s="22">
        <v>10315.5</v>
      </c>
      <c r="G19" s="22">
        <v>9975.5</v>
      </c>
      <c r="H19" s="22">
        <v>9975.5</v>
      </c>
      <c r="I19" s="22">
        <v>73418.5</v>
      </c>
    </row>
    <row r="20" spans="1:9" x14ac:dyDescent="0.25">
      <c r="A20" s="11" t="s">
        <v>151</v>
      </c>
      <c r="I20" s="22">
        <v>0</v>
      </c>
    </row>
    <row r="21" spans="1:9" x14ac:dyDescent="0.25">
      <c r="A21" s="13" t="s">
        <v>152</v>
      </c>
      <c r="B21" s="22">
        <v>2750</v>
      </c>
      <c r="C21" s="22">
        <v>3500</v>
      </c>
      <c r="D21" s="22">
        <v>2750</v>
      </c>
      <c r="E21" s="22">
        <v>4750</v>
      </c>
      <c r="F21" s="22">
        <v>3500</v>
      </c>
      <c r="G21" s="22">
        <v>3500</v>
      </c>
      <c r="H21" s="22">
        <v>3500</v>
      </c>
      <c r="I21" s="22">
        <v>24250</v>
      </c>
    </row>
    <row r="22" spans="1:9" x14ac:dyDescent="0.25">
      <c r="A22" s="13" t="s">
        <v>153</v>
      </c>
      <c r="B22" s="22">
        <v>10909.52</v>
      </c>
      <c r="C22" s="22">
        <v>10334.969999999999</v>
      </c>
      <c r="D22" s="22">
        <v>11175</v>
      </c>
      <c r="E22" s="22">
        <v>11953.11</v>
      </c>
      <c r="F22" s="22">
        <v>15040.71</v>
      </c>
      <c r="G22" s="22">
        <v>16168.68</v>
      </c>
      <c r="H22" s="22">
        <v>16069.15</v>
      </c>
      <c r="I22" s="22">
        <v>91651.14</v>
      </c>
    </row>
    <row r="23" spans="1:9" x14ac:dyDescent="0.25">
      <c r="A23" s="13" t="s">
        <v>154</v>
      </c>
      <c r="B23" s="22">
        <v>6300</v>
      </c>
      <c r="C23" s="22">
        <v>6390</v>
      </c>
      <c r="D23" s="22">
        <v>6425</v>
      </c>
      <c r="E23" s="22">
        <v>6080</v>
      </c>
      <c r="F23" s="22">
        <v>6325</v>
      </c>
      <c r="G23" s="22">
        <v>6655</v>
      </c>
      <c r="H23" s="22">
        <v>6955</v>
      </c>
      <c r="I23" s="22">
        <v>45130</v>
      </c>
    </row>
    <row r="24" spans="1:9" x14ac:dyDescent="0.25">
      <c r="A24" s="13" t="s">
        <v>155</v>
      </c>
      <c r="B24" s="22">
        <v>156538.79999999999</v>
      </c>
      <c r="C24" s="22">
        <v>164903.4</v>
      </c>
      <c r="D24" s="22">
        <v>170344.25</v>
      </c>
      <c r="E24" s="22">
        <v>183662</v>
      </c>
      <c r="F24" s="22">
        <v>190784.4</v>
      </c>
      <c r="G24" s="22">
        <v>194406.5</v>
      </c>
      <c r="H24" s="22">
        <v>200837.5</v>
      </c>
      <c r="I24" s="22">
        <v>1261476.8500000001</v>
      </c>
    </row>
    <row r="25" spans="1:9" x14ac:dyDescent="0.25">
      <c r="A25" s="13" t="s">
        <v>221</v>
      </c>
      <c r="B25" s="22">
        <v>5254</v>
      </c>
      <c r="C25" s="22">
        <v>5652</v>
      </c>
      <c r="D25" s="22">
        <v>5324</v>
      </c>
      <c r="E25" s="22">
        <v>6321</v>
      </c>
      <c r="F25" s="22">
        <v>6959</v>
      </c>
      <c r="G25" s="22">
        <v>7673</v>
      </c>
      <c r="H25" s="22">
        <v>7903</v>
      </c>
      <c r="I25" s="22">
        <v>45086</v>
      </c>
    </row>
    <row r="26" spans="1:9" x14ac:dyDescent="0.25">
      <c r="A26" s="14" t="s">
        <v>156</v>
      </c>
      <c r="B26" s="24">
        <v>181752.32000000001</v>
      </c>
      <c r="C26" s="24">
        <v>190780.37</v>
      </c>
      <c r="D26" s="24">
        <v>196018.25</v>
      </c>
      <c r="E26" s="24">
        <v>212766.11</v>
      </c>
      <c r="F26" s="24">
        <v>222609.11</v>
      </c>
      <c r="G26" s="24">
        <v>228403.18</v>
      </c>
      <c r="H26" s="24">
        <v>235264.65</v>
      </c>
      <c r="I26" s="24">
        <v>1467593.99</v>
      </c>
    </row>
    <row r="27" spans="1:9" x14ac:dyDescent="0.25">
      <c r="A27" s="16" t="s">
        <v>30</v>
      </c>
      <c r="B27" s="24">
        <v>212186</v>
      </c>
      <c r="C27" s="24">
        <v>241896.38</v>
      </c>
      <c r="D27" s="24">
        <v>231495.35</v>
      </c>
      <c r="E27" s="24">
        <v>240319.47</v>
      </c>
      <c r="F27" s="24">
        <v>246198.85</v>
      </c>
      <c r="G27" s="24">
        <v>247499.3</v>
      </c>
      <c r="H27" s="24">
        <v>251425.85</v>
      </c>
      <c r="I27" s="24">
        <v>1671021.2</v>
      </c>
    </row>
    <row r="28" spans="1:9" x14ac:dyDescent="0.25">
      <c r="A28" s="16" t="s">
        <v>31</v>
      </c>
    </row>
    <row r="29" spans="1:9" x14ac:dyDescent="0.25">
      <c r="A29" s="11" t="s">
        <v>157</v>
      </c>
      <c r="B29" s="22">
        <v>2494.8000000000002</v>
      </c>
      <c r="C29" s="22">
        <v>0</v>
      </c>
      <c r="D29" s="22">
        <v>0</v>
      </c>
      <c r="E29" s="22">
        <v>709.81</v>
      </c>
      <c r="F29" s="22">
        <v>0</v>
      </c>
      <c r="G29" s="22">
        <v>0</v>
      </c>
      <c r="H29" s="22">
        <v>0</v>
      </c>
      <c r="I29" s="22">
        <v>3204.61</v>
      </c>
    </row>
    <row r="30" spans="1:9" x14ac:dyDescent="0.25">
      <c r="A30" s="11" t="s">
        <v>222</v>
      </c>
      <c r="C30" s="22">
        <v>3000</v>
      </c>
      <c r="D30" s="22">
        <v>16265.5</v>
      </c>
      <c r="E30" s="22">
        <v>2800</v>
      </c>
      <c r="G30" s="22">
        <v>8450</v>
      </c>
      <c r="I30" s="22">
        <v>30515.5</v>
      </c>
    </row>
    <row r="31" spans="1:9" x14ac:dyDescent="0.25">
      <c r="A31" s="11" t="s">
        <v>158</v>
      </c>
      <c r="I31" s="22">
        <v>0</v>
      </c>
    </row>
    <row r="32" spans="1:9" x14ac:dyDescent="0.25">
      <c r="A32" s="13" t="s">
        <v>159</v>
      </c>
      <c r="B32" s="22">
        <v>38378.879999999997</v>
      </c>
      <c r="C32" s="22">
        <v>29701.52</v>
      </c>
      <c r="D32" s="22">
        <v>37422.5</v>
      </c>
      <c r="E32" s="22">
        <v>38772.300000000003</v>
      </c>
      <c r="F32" s="22">
        <v>38294.769999999997</v>
      </c>
      <c r="G32" s="22">
        <v>40699.83</v>
      </c>
      <c r="H32" s="22">
        <v>44487.6</v>
      </c>
      <c r="I32" s="22">
        <v>267757.40000000002</v>
      </c>
    </row>
    <row r="33" spans="1:9" x14ac:dyDescent="0.25">
      <c r="A33" s="13" t="s">
        <v>160</v>
      </c>
      <c r="B33" s="22">
        <v>26114.9</v>
      </c>
      <c r="C33" s="22">
        <v>21905.5</v>
      </c>
      <c r="D33" s="22">
        <v>30758.44</v>
      </c>
      <c r="E33" s="22">
        <v>31590.38</v>
      </c>
      <c r="F33" s="22">
        <v>27699.919999999998</v>
      </c>
      <c r="G33" s="22">
        <v>31240.240000000002</v>
      </c>
      <c r="H33" s="22">
        <v>32743.71</v>
      </c>
      <c r="I33" s="22">
        <v>202053.09</v>
      </c>
    </row>
    <row r="34" spans="1:9" x14ac:dyDescent="0.25">
      <c r="A34" s="13" t="s">
        <v>161</v>
      </c>
      <c r="B34" s="22">
        <v>1691.16</v>
      </c>
      <c r="C34" s="22">
        <v>5549.19</v>
      </c>
      <c r="D34" s="22">
        <v>7199.9</v>
      </c>
      <c r="E34" s="22">
        <v>8192.7000000000007</v>
      </c>
      <c r="F34" s="22">
        <v>8283.35</v>
      </c>
      <c r="G34" s="22">
        <v>5492.65</v>
      </c>
      <c r="H34" s="22">
        <v>5676.1</v>
      </c>
      <c r="I34" s="22">
        <v>42085.05</v>
      </c>
    </row>
    <row r="35" spans="1:9" x14ac:dyDescent="0.25">
      <c r="A35" s="13" t="s">
        <v>162</v>
      </c>
      <c r="B35" s="22">
        <v>16553.939999999999</v>
      </c>
      <c r="C35" s="22">
        <v>11526.61</v>
      </c>
      <c r="D35" s="22">
        <v>14938.83</v>
      </c>
      <c r="E35" s="22">
        <v>15583.52</v>
      </c>
      <c r="F35" s="22">
        <v>19603.400000000001</v>
      </c>
      <c r="G35" s="22">
        <v>16644.57</v>
      </c>
      <c r="H35" s="22">
        <v>16429.12</v>
      </c>
      <c r="I35" s="22">
        <v>111279.99</v>
      </c>
    </row>
    <row r="36" spans="1:9" x14ac:dyDescent="0.25">
      <c r="A36" s="13" t="s">
        <v>254</v>
      </c>
      <c r="F36" s="22">
        <v>2517.06</v>
      </c>
      <c r="G36" s="22">
        <v>2721.17</v>
      </c>
      <c r="H36" s="22">
        <v>2756.77</v>
      </c>
      <c r="I36" s="22">
        <v>7995</v>
      </c>
    </row>
    <row r="37" spans="1:9" x14ac:dyDescent="0.25">
      <c r="A37" s="14" t="s">
        <v>163</v>
      </c>
      <c r="B37" s="24">
        <v>82738.880000000005</v>
      </c>
      <c r="C37" s="24">
        <v>68682.820000000007</v>
      </c>
      <c r="D37" s="24">
        <v>90319.67</v>
      </c>
      <c r="E37" s="24">
        <v>94138.9</v>
      </c>
      <c r="F37" s="24">
        <v>96398.5</v>
      </c>
      <c r="G37" s="24">
        <v>96798.46</v>
      </c>
      <c r="H37" s="24">
        <v>102093.3</v>
      </c>
      <c r="I37" s="24">
        <v>631170.53</v>
      </c>
    </row>
    <row r="38" spans="1:9" x14ac:dyDescent="0.25">
      <c r="A38" s="11" t="s">
        <v>223</v>
      </c>
      <c r="B38" s="22">
        <v>229.4</v>
      </c>
      <c r="C38" s="22">
        <v>119.4</v>
      </c>
      <c r="D38" s="22">
        <v>179.35</v>
      </c>
      <c r="E38" s="22">
        <v>69.900000000000006</v>
      </c>
      <c r="F38" s="22">
        <v>69.900000000000006</v>
      </c>
      <c r="G38" s="22">
        <v>163.98</v>
      </c>
      <c r="H38" s="22">
        <v>707.56</v>
      </c>
      <c r="I38" s="22">
        <v>1539.49</v>
      </c>
    </row>
    <row r="39" spans="1:9" x14ac:dyDescent="0.25">
      <c r="A39" s="11" t="s">
        <v>164</v>
      </c>
      <c r="B39" s="22">
        <v>1229.74</v>
      </c>
      <c r="C39" s="22">
        <v>1738.47</v>
      </c>
      <c r="D39" s="22">
        <v>1353.48</v>
      </c>
      <c r="E39" s="22">
        <v>1233.99</v>
      </c>
      <c r="F39" s="22">
        <v>1171.3699999999999</v>
      </c>
      <c r="G39" s="22">
        <v>1153.92</v>
      </c>
      <c r="H39" s="22">
        <v>1145.8699999999999</v>
      </c>
      <c r="I39" s="22">
        <v>9026.84</v>
      </c>
    </row>
    <row r="40" spans="1:9" x14ac:dyDescent="0.25">
      <c r="A40" s="11" t="s">
        <v>165</v>
      </c>
      <c r="B40" s="22">
        <v>1868.8</v>
      </c>
      <c r="C40" s="22">
        <v>4439.91</v>
      </c>
      <c r="D40" s="22">
        <v>2393.61</v>
      </c>
      <c r="E40" s="22">
        <v>3657.86</v>
      </c>
      <c r="F40" s="22">
        <v>2933.79</v>
      </c>
      <c r="G40" s="22">
        <v>1566.2</v>
      </c>
      <c r="H40" s="22">
        <v>3769.52</v>
      </c>
      <c r="I40" s="22">
        <v>20629.689999999999</v>
      </c>
    </row>
    <row r="41" spans="1:9" x14ac:dyDescent="0.25">
      <c r="A41" s="11" t="s">
        <v>166</v>
      </c>
      <c r="B41" s="22">
        <v>18468.3</v>
      </c>
      <c r="C41" s="22">
        <v>17920.27</v>
      </c>
      <c r="D41" s="22">
        <v>18409.060000000001</v>
      </c>
      <c r="E41" s="22">
        <v>21387.75</v>
      </c>
      <c r="F41" s="22">
        <v>23445.84</v>
      </c>
      <c r="G41" s="22">
        <v>24674.67</v>
      </c>
      <c r="H41" s="22">
        <v>27975.68</v>
      </c>
      <c r="I41" s="22">
        <v>152281.57</v>
      </c>
    </row>
    <row r="42" spans="1:9" x14ac:dyDescent="0.25">
      <c r="A42" s="11" t="s">
        <v>225</v>
      </c>
      <c r="C42" s="22">
        <v>2184.0500000000002</v>
      </c>
      <c r="D42" s="22">
        <v>1604.3</v>
      </c>
      <c r="I42" s="22">
        <v>3788.35</v>
      </c>
    </row>
    <row r="43" spans="1:9" x14ac:dyDescent="0.25">
      <c r="A43" s="11" t="s">
        <v>226</v>
      </c>
      <c r="B43" s="22">
        <v>2949.75</v>
      </c>
      <c r="C43" s="22">
        <v>3420</v>
      </c>
      <c r="D43" s="22">
        <v>3678</v>
      </c>
      <c r="E43" s="22">
        <v>4218</v>
      </c>
      <c r="F43" s="22">
        <v>4284</v>
      </c>
      <c r="G43" s="22">
        <v>5208</v>
      </c>
      <c r="H43" s="22">
        <v>5070</v>
      </c>
      <c r="I43" s="22">
        <v>28827.75</v>
      </c>
    </row>
    <row r="44" spans="1:9" x14ac:dyDescent="0.25">
      <c r="A44" s="16" t="s">
        <v>48</v>
      </c>
      <c r="B44" s="24">
        <v>109979.67</v>
      </c>
      <c r="C44" s="24">
        <v>101504.92</v>
      </c>
      <c r="D44" s="24">
        <v>134202.97</v>
      </c>
      <c r="E44" s="24">
        <v>128216.21</v>
      </c>
      <c r="F44" s="24">
        <v>128303.4</v>
      </c>
      <c r="G44" s="24">
        <v>138015.23000000001</v>
      </c>
      <c r="H44" s="24">
        <v>140761.93</v>
      </c>
      <c r="I44" s="24">
        <v>880984.33</v>
      </c>
    </row>
    <row r="45" spans="1:9" x14ac:dyDescent="0.25">
      <c r="A45" s="16" t="s">
        <v>49</v>
      </c>
      <c r="B45" s="24">
        <v>102206.33</v>
      </c>
      <c r="C45" s="24">
        <v>140391.46</v>
      </c>
      <c r="D45" s="24">
        <v>97292.38</v>
      </c>
      <c r="E45" s="24">
        <v>112103.26</v>
      </c>
      <c r="F45" s="24">
        <v>117895.45</v>
      </c>
      <c r="G45" s="24">
        <v>109484.07</v>
      </c>
      <c r="H45" s="24">
        <v>110663.92</v>
      </c>
      <c r="I45" s="24">
        <v>790036.87</v>
      </c>
    </row>
    <row r="46" spans="1:9" x14ac:dyDescent="0.25">
      <c r="A46" s="16" t="s">
        <v>50</v>
      </c>
    </row>
    <row r="47" spans="1:9" x14ac:dyDescent="0.25">
      <c r="A47" s="11" t="s">
        <v>167</v>
      </c>
      <c r="I47" s="22">
        <v>0</v>
      </c>
    </row>
    <row r="48" spans="1:9" x14ac:dyDescent="0.25">
      <c r="A48" s="13" t="s">
        <v>168</v>
      </c>
      <c r="B48" s="22">
        <v>147.1</v>
      </c>
      <c r="C48" s="22">
        <v>155.6</v>
      </c>
      <c r="D48" s="22">
        <v>170.65</v>
      </c>
      <c r="E48" s="22">
        <v>303.2</v>
      </c>
      <c r="F48" s="22">
        <v>182.85</v>
      </c>
      <c r="G48" s="22">
        <v>177.7</v>
      </c>
      <c r="H48" s="22">
        <v>303.14999999999998</v>
      </c>
      <c r="I48" s="22">
        <v>1440.25</v>
      </c>
    </row>
    <row r="49" spans="1:9" x14ac:dyDescent="0.25">
      <c r="A49" s="13" t="s">
        <v>255</v>
      </c>
      <c r="E49" s="22">
        <v>19.84</v>
      </c>
      <c r="I49" s="22">
        <v>19.84</v>
      </c>
    </row>
    <row r="50" spans="1:9" x14ac:dyDescent="0.25">
      <c r="A50" s="13" t="s">
        <v>227</v>
      </c>
      <c r="B50" s="22">
        <v>799.68</v>
      </c>
      <c r="C50" s="22">
        <v>868.84</v>
      </c>
      <c r="I50" s="22">
        <v>1668.52</v>
      </c>
    </row>
    <row r="51" spans="1:9" x14ac:dyDescent="0.25">
      <c r="A51" s="13" t="s">
        <v>169</v>
      </c>
      <c r="I51" s="22">
        <v>0</v>
      </c>
    </row>
    <row r="52" spans="1:9" x14ac:dyDescent="0.25">
      <c r="A52" s="17" t="s">
        <v>228</v>
      </c>
      <c r="B52" s="22">
        <v>16.2</v>
      </c>
      <c r="I52" s="22">
        <v>16.2</v>
      </c>
    </row>
    <row r="53" spans="1:9" x14ac:dyDescent="0.25">
      <c r="A53" s="17" t="s">
        <v>170</v>
      </c>
      <c r="B53" s="22">
        <v>648</v>
      </c>
      <c r="C53" s="22">
        <v>71</v>
      </c>
      <c r="D53" s="22">
        <v>1059</v>
      </c>
      <c r="E53" s="22">
        <v>749</v>
      </c>
      <c r="F53" s="22">
        <v>477</v>
      </c>
      <c r="G53" s="22">
        <v>582</v>
      </c>
      <c r="H53" s="22">
        <v>520</v>
      </c>
      <c r="I53" s="22">
        <v>4106</v>
      </c>
    </row>
    <row r="54" spans="1:9" x14ac:dyDescent="0.25">
      <c r="A54" s="17" t="s">
        <v>171</v>
      </c>
      <c r="B54" s="22">
        <v>254</v>
      </c>
      <c r="C54" s="22">
        <v>314</v>
      </c>
      <c r="D54" s="22">
        <v>338</v>
      </c>
      <c r="E54" s="22">
        <v>290</v>
      </c>
      <c r="F54" s="22">
        <v>443</v>
      </c>
      <c r="G54" s="22">
        <v>388</v>
      </c>
      <c r="H54" s="22">
        <v>370</v>
      </c>
      <c r="I54" s="22">
        <v>2397</v>
      </c>
    </row>
    <row r="55" spans="1:9" x14ac:dyDescent="0.25">
      <c r="A55" s="17" t="s">
        <v>229</v>
      </c>
      <c r="D55" s="22">
        <v>1550</v>
      </c>
      <c r="E55" s="22">
        <v>524</v>
      </c>
      <c r="F55" s="22">
        <v>223</v>
      </c>
      <c r="G55" s="22">
        <v>1282</v>
      </c>
      <c r="H55" s="22">
        <v>521</v>
      </c>
      <c r="I55" s="22">
        <v>4100</v>
      </c>
    </row>
    <row r="56" spans="1:9" x14ac:dyDescent="0.25">
      <c r="A56" s="17" t="s">
        <v>172</v>
      </c>
      <c r="B56" s="22">
        <v>400</v>
      </c>
      <c r="C56" s="22">
        <v>400</v>
      </c>
      <c r="D56" s="22">
        <v>1006</v>
      </c>
      <c r="G56" s="22">
        <v>800</v>
      </c>
      <c r="H56" s="22">
        <v>200</v>
      </c>
      <c r="I56" s="22">
        <v>2806</v>
      </c>
    </row>
    <row r="57" spans="1:9" x14ac:dyDescent="0.25">
      <c r="A57" s="17" t="s">
        <v>173</v>
      </c>
      <c r="B57" s="22">
        <v>80</v>
      </c>
      <c r="C57" s="22">
        <v>180</v>
      </c>
      <c r="D57" s="22">
        <v>1005</v>
      </c>
      <c r="E57" s="22">
        <v>180</v>
      </c>
      <c r="F57" s="22">
        <v>140</v>
      </c>
      <c r="G57" s="22">
        <v>198.6</v>
      </c>
      <c r="H57" s="22">
        <v>890</v>
      </c>
      <c r="I57" s="22">
        <v>2673.6</v>
      </c>
    </row>
    <row r="58" spans="1:9" x14ac:dyDescent="0.25">
      <c r="A58" s="17" t="s">
        <v>174</v>
      </c>
      <c r="B58" s="22">
        <v>180.53</v>
      </c>
      <c r="C58" s="22">
        <v>180.53</v>
      </c>
      <c r="D58" s="22">
        <v>180.53</v>
      </c>
      <c r="E58" s="22">
        <v>180.53</v>
      </c>
      <c r="F58" s="22">
        <v>180.53</v>
      </c>
      <c r="G58" s="22">
        <v>180.53</v>
      </c>
      <c r="H58" s="22">
        <v>180.53</v>
      </c>
      <c r="I58" s="22">
        <v>1263.71</v>
      </c>
    </row>
    <row r="59" spans="1:9" x14ac:dyDescent="0.25">
      <c r="A59" s="18" t="s">
        <v>175</v>
      </c>
      <c r="B59" s="24">
        <v>1578.73</v>
      </c>
      <c r="C59" s="24">
        <v>1145.53</v>
      </c>
      <c r="D59" s="24">
        <v>5138.53</v>
      </c>
      <c r="E59" s="24">
        <v>1923.53</v>
      </c>
      <c r="F59" s="24">
        <v>1463.53</v>
      </c>
      <c r="G59" s="24">
        <v>3431.13</v>
      </c>
      <c r="H59" s="24">
        <v>2681.53</v>
      </c>
      <c r="I59" s="24">
        <v>17362.509999999998</v>
      </c>
    </row>
    <row r="60" spans="1:9" x14ac:dyDescent="0.25">
      <c r="A60" s="13" t="s">
        <v>176</v>
      </c>
      <c r="B60" s="22">
        <v>36253.599999999999</v>
      </c>
      <c r="C60" s="22">
        <v>33607.51</v>
      </c>
      <c r="D60" s="22">
        <v>57199.24</v>
      </c>
      <c r="E60" s="22">
        <v>58245.95</v>
      </c>
      <c r="F60" s="22">
        <v>54069.23</v>
      </c>
      <c r="G60" s="22">
        <v>60003.81</v>
      </c>
      <c r="H60" s="22">
        <v>57895.38</v>
      </c>
      <c r="I60" s="22">
        <v>357274.72</v>
      </c>
    </row>
    <row r="61" spans="1:9" x14ac:dyDescent="0.25">
      <c r="A61" s="13" t="s">
        <v>177</v>
      </c>
      <c r="B61" s="22">
        <v>229.43</v>
      </c>
      <c r="C61" s="22">
        <v>2228.58</v>
      </c>
      <c r="D61" s="22">
        <v>254.48</v>
      </c>
      <c r="E61" s="22">
        <v>255.64</v>
      </c>
      <c r="F61" s="22">
        <v>261.64</v>
      </c>
      <c r="G61" s="22">
        <v>261.83</v>
      </c>
      <c r="H61" s="22">
        <v>218.11</v>
      </c>
      <c r="I61" s="22">
        <v>3709.71</v>
      </c>
    </row>
    <row r="62" spans="1:9" x14ac:dyDescent="0.25">
      <c r="A62" s="13" t="s">
        <v>178</v>
      </c>
      <c r="I62" s="22">
        <v>0</v>
      </c>
    </row>
    <row r="63" spans="1:9" x14ac:dyDescent="0.25">
      <c r="A63" s="17" t="s">
        <v>179</v>
      </c>
      <c r="D63" s="22">
        <v>950</v>
      </c>
      <c r="I63" s="22">
        <v>950</v>
      </c>
    </row>
    <row r="64" spans="1:9" x14ac:dyDescent="0.25">
      <c r="A64" s="17" t="s">
        <v>180</v>
      </c>
      <c r="B64" s="22">
        <v>0</v>
      </c>
      <c r="C64" s="22">
        <v>0</v>
      </c>
      <c r="D64" s="22">
        <v>6600</v>
      </c>
      <c r="E64" s="22">
        <v>14000</v>
      </c>
      <c r="F64" s="22">
        <v>18000</v>
      </c>
      <c r="G64" s="22">
        <v>0</v>
      </c>
      <c r="H64" s="22">
        <v>18950</v>
      </c>
      <c r="I64" s="22">
        <v>57550</v>
      </c>
    </row>
    <row r="65" spans="1:9" x14ac:dyDescent="0.25">
      <c r="A65" s="17" t="s">
        <v>181</v>
      </c>
      <c r="B65" s="22">
        <v>820.3</v>
      </c>
      <c r="C65" s="22">
        <v>680.46</v>
      </c>
      <c r="D65" s="22">
        <v>772.39</v>
      </c>
      <c r="E65" s="22">
        <v>716.08</v>
      </c>
      <c r="F65" s="22">
        <v>640.20000000000005</v>
      </c>
      <c r="G65" s="22">
        <v>1135.3800000000001</v>
      </c>
      <c r="H65" s="22">
        <v>799.79</v>
      </c>
      <c r="I65" s="22">
        <v>5564.6</v>
      </c>
    </row>
    <row r="66" spans="1:9" x14ac:dyDescent="0.25">
      <c r="A66" s="18" t="s">
        <v>182</v>
      </c>
      <c r="B66" s="24">
        <v>820.3</v>
      </c>
      <c r="C66" s="24">
        <v>680.46</v>
      </c>
      <c r="D66" s="24">
        <v>8322.39</v>
      </c>
      <c r="E66" s="24">
        <v>14716.08</v>
      </c>
      <c r="F66" s="24">
        <v>18640.2</v>
      </c>
      <c r="G66" s="24">
        <v>1135.3800000000001</v>
      </c>
      <c r="H66" s="24">
        <v>19749.79</v>
      </c>
      <c r="I66" s="24">
        <v>64064.6</v>
      </c>
    </row>
    <row r="67" spans="1:9" x14ac:dyDescent="0.25">
      <c r="A67" s="13" t="s">
        <v>183</v>
      </c>
      <c r="B67" s="22">
        <v>40.03</v>
      </c>
      <c r="C67" s="22">
        <v>21.4</v>
      </c>
      <c r="E67" s="22">
        <v>57.35</v>
      </c>
      <c r="F67" s="22">
        <v>471.75</v>
      </c>
      <c r="G67" s="22">
        <v>-15</v>
      </c>
      <c r="H67" s="22">
        <v>141.15</v>
      </c>
      <c r="I67" s="22">
        <v>716.68</v>
      </c>
    </row>
    <row r="68" spans="1:9" x14ac:dyDescent="0.25">
      <c r="A68" s="13" t="s">
        <v>186</v>
      </c>
      <c r="B68" s="22">
        <v>7.5</v>
      </c>
      <c r="C68" s="22">
        <v>127.41</v>
      </c>
      <c r="D68" s="22">
        <v>12.25</v>
      </c>
      <c r="E68" s="22">
        <v>22.25</v>
      </c>
      <c r="G68" s="22">
        <v>210.45</v>
      </c>
      <c r="H68" s="22">
        <v>11.41</v>
      </c>
      <c r="I68" s="22">
        <v>391.27</v>
      </c>
    </row>
    <row r="69" spans="1:9" x14ac:dyDescent="0.25">
      <c r="A69" s="13" t="s">
        <v>187</v>
      </c>
      <c r="B69" s="22">
        <v>939.83</v>
      </c>
      <c r="C69" s="22">
        <v>939.83</v>
      </c>
      <c r="D69" s="22">
        <v>939.83</v>
      </c>
      <c r="E69" s="22">
        <v>939.83</v>
      </c>
      <c r="F69" s="22">
        <v>939.83</v>
      </c>
      <c r="G69" s="22">
        <v>939.83</v>
      </c>
      <c r="H69" s="22">
        <v>939.83</v>
      </c>
      <c r="I69" s="22">
        <v>6578.81</v>
      </c>
    </row>
    <row r="70" spans="1:9" x14ac:dyDescent="0.25">
      <c r="A70" s="13" t="s">
        <v>256</v>
      </c>
      <c r="B70" s="22">
        <v>120</v>
      </c>
      <c r="C70" s="22">
        <v>120</v>
      </c>
      <c r="D70" s="22">
        <v>701.66</v>
      </c>
      <c r="E70" s="22">
        <v>2207.36</v>
      </c>
      <c r="F70" s="22">
        <v>914.87</v>
      </c>
      <c r="G70" s="22">
        <v>1151.6500000000001</v>
      </c>
      <c r="H70" s="22">
        <v>1311.98</v>
      </c>
      <c r="I70" s="22">
        <v>6527.52</v>
      </c>
    </row>
    <row r="71" spans="1:9" x14ac:dyDescent="0.25">
      <c r="A71" s="13" t="s">
        <v>188</v>
      </c>
      <c r="B71" s="22">
        <v>13263.16</v>
      </c>
      <c r="C71" s="22">
        <v>14720.1</v>
      </c>
      <c r="D71" s="22">
        <v>14990.72</v>
      </c>
      <c r="E71" s="22">
        <v>14744.59</v>
      </c>
      <c r="F71" s="22">
        <v>13229.2</v>
      </c>
      <c r="G71" s="22">
        <v>13114.99</v>
      </c>
      <c r="H71" s="22">
        <v>12985.22</v>
      </c>
      <c r="I71" s="22">
        <v>97047.98</v>
      </c>
    </row>
    <row r="72" spans="1:9" x14ac:dyDescent="0.25">
      <c r="A72" s="13" t="s">
        <v>189</v>
      </c>
      <c r="C72" s="22">
        <v>102</v>
      </c>
      <c r="D72" s="22">
        <v>401</v>
      </c>
      <c r="E72" s="22">
        <v>5</v>
      </c>
      <c r="F72" s="22">
        <v>5</v>
      </c>
      <c r="G72" s="22">
        <v>5</v>
      </c>
      <c r="H72" s="22">
        <v>5</v>
      </c>
      <c r="I72" s="22">
        <v>523</v>
      </c>
    </row>
    <row r="73" spans="1:9" x14ac:dyDescent="0.25">
      <c r="A73" s="13" t="s">
        <v>190</v>
      </c>
      <c r="B73" s="22">
        <v>253</v>
      </c>
      <c r="C73" s="22">
        <v>255</v>
      </c>
      <c r="D73" s="22">
        <v>283</v>
      </c>
      <c r="E73" s="22">
        <v>283</v>
      </c>
      <c r="F73" s="22">
        <v>283</v>
      </c>
      <c r="G73" s="22">
        <v>293</v>
      </c>
      <c r="H73" s="22">
        <v>293</v>
      </c>
      <c r="I73" s="22">
        <v>1943</v>
      </c>
    </row>
    <row r="74" spans="1:9" x14ac:dyDescent="0.25">
      <c r="A74" s="14" t="s">
        <v>191</v>
      </c>
      <c r="B74" s="24">
        <v>54452.36</v>
      </c>
      <c r="C74" s="24">
        <v>54972.26</v>
      </c>
      <c r="D74" s="24">
        <v>88413.75</v>
      </c>
      <c r="E74" s="24">
        <v>93723.62</v>
      </c>
      <c r="F74" s="24">
        <v>90461.1</v>
      </c>
      <c r="G74" s="24">
        <v>80709.77</v>
      </c>
      <c r="H74" s="24">
        <v>96535.55</v>
      </c>
      <c r="I74" s="24">
        <v>559268.41</v>
      </c>
    </row>
    <row r="75" spans="1:9" x14ac:dyDescent="0.25">
      <c r="A75" s="11" t="s">
        <v>230</v>
      </c>
      <c r="B75" s="22">
        <v>9276.2099999999991</v>
      </c>
      <c r="C75" s="22">
        <v>8322.6299999999992</v>
      </c>
      <c r="D75" s="22">
        <v>9108.83</v>
      </c>
      <c r="E75" s="22">
        <v>9108.83</v>
      </c>
      <c r="F75" s="22">
        <v>8694.81</v>
      </c>
      <c r="G75" s="22">
        <v>9108.84</v>
      </c>
      <c r="H75" s="22">
        <v>9522.8700000000008</v>
      </c>
      <c r="I75" s="22">
        <v>63143.02</v>
      </c>
    </row>
    <row r="76" spans="1:9" x14ac:dyDescent="0.25">
      <c r="A76" s="11" t="s">
        <v>192</v>
      </c>
      <c r="I76" s="22">
        <v>0</v>
      </c>
    </row>
    <row r="77" spans="1:9" x14ac:dyDescent="0.25">
      <c r="A77" s="13" t="s">
        <v>193</v>
      </c>
      <c r="I77" s="22">
        <v>0</v>
      </c>
    </row>
    <row r="78" spans="1:9" x14ac:dyDescent="0.25">
      <c r="A78" s="17" t="s">
        <v>231</v>
      </c>
      <c r="H78" s="22">
        <v>11695</v>
      </c>
      <c r="I78" s="22">
        <v>11695</v>
      </c>
    </row>
    <row r="79" spans="1:9" x14ac:dyDescent="0.25">
      <c r="A79" s="17" t="s">
        <v>232</v>
      </c>
      <c r="B79" s="22">
        <v>50</v>
      </c>
      <c r="F79" s="22">
        <v>98.05</v>
      </c>
      <c r="G79" s="22">
        <v>2.4300000000000002</v>
      </c>
      <c r="I79" s="22">
        <v>150.47999999999999</v>
      </c>
    </row>
    <row r="80" spans="1:9" x14ac:dyDescent="0.25">
      <c r="A80" s="18" t="s">
        <v>233</v>
      </c>
      <c r="B80" s="24">
        <v>50</v>
      </c>
      <c r="C80" s="24">
        <v>0</v>
      </c>
      <c r="D80" s="24">
        <v>0</v>
      </c>
      <c r="E80" s="24">
        <v>0</v>
      </c>
      <c r="F80" s="24">
        <v>98.05</v>
      </c>
      <c r="G80" s="24">
        <v>2.4300000000000002</v>
      </c>
      <c r="H80" s="24">
        <v>11695</v>
      </c>
      <c r="I80" s="24">
        <v>11845.48</v>
      </c>
    </row>
    <row r="81" spans="1:9" x14ac:dyDescent="0.25">
      <c r="A81" s="13" t="s">
        <v>234</v>
      </c>
      <c r="B81" s="22">
        <v>5653.4</v>
      </c>
      <c r="C81" s="22">
        <v>5956.89</v>
      </c>
      <c r="D81" s="22">
        <v>7782.8</v>
      </c>
      <c r="E81" s="22">
        <v>8137.01</v>
      </c>
      <c r="F81" s="22">
        <v>7808.25</v>
      </c>
      <c r="G81" s="22">
        <v>8407.2000000000007</v>
      </c>
      <c r="H81" s="22">
        <v>8195.76</v>
      </c>
      <c r="I81" s="22">
        <v>51941.31</v>
      </c>
    </row>
    <row r="82" spans="1:9" x14ac:dyDescent="0.25">
      <c r="A82" s="13" t="s">
        <v>195</v>
      </c>
      <c r="B82" s="22">
        <v>144</v>
      </c>
      <c r="I82" s="22">
        <v>144</v>
      </c>
    </row>
    <row r="83" spans="1:9" x14ac:dyDescent="0.25">
      <c r="A83" s="13" t="s">
        <v>196</v>
      </c>
      <c r="B83" s="22">
        <v>270</v>
      </c>
      <c r="C83" s="22">
        <v>270</v>
      </c>
      <c r="D83" s="22">
        <v>270</v>
      </c>
      <c r="E83" s="22">
        <v>270</v>
      </c>
      <c r="F83" s="22">
        <v>270</v>
      </c>
      <c r="G83" s="22">
        <v>270</v>
      </c>
      <c r="H83" s="22">
        <v>510</v>
      </c>
      <c r="I83" s="22">
        <v>2130</v>
      </c>
    </row>
    <row r="84" spans="1:9" x14ac:dyDescent="0.25">
      <c r="A84" s="13" t="s">
        <v>235</v>
      </c>
      <c r="I84" s="22">
        <v>0</v>
      </c>
    </row>
    <row r="85" spans="1:9" x14ac:dyDescent="0.25">
      <c r="A85" s="17" t="s">
        <v>236</v>
      </c>
      <c r="E85" s="22">
        <v>6015.1</v>
      </c>
      <c r="F85" s="22">
        <v>1357.09</v>
      </c>
      <c r="I85" s="22">
        <v>7372.19</v>
      </c>
    </row>
    <row r="86" spans="1:9" x14ac:dyDescent="0.25">
      <c r="A86" s="17" t="s">
        <v>237</v>
      </c>
      <c r="E86" s="22">
        <v>3750</v>
      </c>
      <c r="F86" s="22">
        <v>2713.23</v>
      </c>
      <c r="I86" s="22">
        <v>6463.23</v>
      </c>
    </row>
    <row r="87" spans="1:9" x14ac:dyDescent="0.25">
      <c r="A87" s="17" t="s">
        <v>257</v>
      </c>
      <c r="F87" s="22">
        <v>1597.03</v>
      </c>
      <c r="I87" s="22">
        <v>1597.03</v>
      </c>
    </row>
    <row r="88" spans="1:9" x14ac:dyDescent="0.25">
      <c r="A88" s="17" t="s">
        <v>238</v>
      </c>
      <c r="F88" s="22">
        <v>4071.26</v>
      </c>
      <c r="G88" s="22">
        <v>153.18</v>
      </c>
      <c r="I88" s="22">
        <v>4224.4399999999996</v>
      </c>
    </row>
    <row r="89" spans="1:9" x14ac:dyDescent="0.25">
      <c r="A89" s="17" t="s">
        <v>241</v>
      </c>
      <c r="F89" s="22">
        <v>515.82000000000005</v>
      </c>
      <c r="G89" s="22">
        <v>502.72</v>
      </c>
      <c r="H89" s="22">
        <v>9.99</v>
      </c>
      <c r="I89" s="22">
        <v>1028.53</v>
      </c>
    </row>
    <row r="90" spans="1:9" x14ac:dyDescent="0.25">
      <c r="A90" s="18" t="s">
        <v>242</v>
      </c>
      <c r="B90" s="24">
        <v>0</v>
      </c>
      <c r="C90" s="24">
        <v>0</v>
      </c>
      <c r="D90" s="24">
        <v>0</v>
      </c>
      <c r="E90" s="24">
        <v>9765.1</v>
      </c>
      <c r="F90" s="24">
        <v>10254.43</v>
      </c>
      <c r="G90" s="24">
        <v>655.9</v>
      </c>
      <c r="H90" s="24">
        <v>9.99</v>
      </c>
      <c r="I90" s="24">
        <v>20685.419999999998</v>
      </c>
    </row>
    <row r="91" spans="1:9" x14ac:dyDescent="0.25">
      <c r="A91" s="13" t="s">
        <v>197</v>
      </c>
      <c r="B91" s="22">
        <v>436.19</v>
      </c>
      <c r="C91" s="22">
        <v>399</v>
      </c>
      <c r="D91" s="22">
        <v>477.38</v>
      </c>
      <c r="E91" s="22">
        <v>399</v>
      </c>
      <c r="F91" s="22">
        <v>399</v>
      </c>
      <c r="G91" s="22">
        <v>399</v>
      </c>
      <c r="H91" s="22">
        <v>399</v>
      </c>
      <c r="I91" s="22">
        <v>2908.57</v>
      </c>
    </row>
    <row r="92" spans="1:9" x14ac:dyDescent="0.25">
      <c r="A92" s="14" t="s">
        <v>198</v>
      </c>
      <c r="B92" s="24">
        <v>6553.59</v>
      </c>
      <c r="C92" s="24">
        <v>6625.89</v>
      </c>
      <c r="D92" s="24">
        <v>8530.18</v>
      </c>
      <c r="E92" s="24">
        <v>18571.11</v>
      </c>
      <c r="F92" s="24">
        <v>18829.73</v>
      </c>
      <c r="G92" s="24">
        <v>9734.5300000000007</v>
      </c>
      <c r="H92" s="24">
        <v>20809.75</v>
      </c>
      <c r="I92" s="24">
        <v>89654.78</v>
      </c>
    </row>
    <row r="93" spans="1:9" x14ac:dyDescent="0.25">
      <c r="A93" s="16" t="s">
        <v>102</v>
      </c>
      <c r="B93" s="24">
        <v>70282.16</v>
      </c>
      <c r="C93" s="24">
        <v>69920.78</v>
      </c>
      <c r="D93" s="24">
        <v>106052.76</v>
      </c>
      <c r="E93" s="24">
        <v>121403.56</v>
      </c>
      <c r="F93" s="24">
        <v>117985.64</v>
      </c>
      <c r="G93" s="24">
        <v>99553.14</v>
      </c>
      <c r="H93" s="24">
        <v>126868.17</v>
      </c>
      <c r="I93" s="24">
        <v>712066.21</v>
      </c>
    </row>
    <row r="94" spans="1:9" x14ac:dyDescent="0.25">
      <c r="A94" s="16" t="s">
        <v>103</v>
      </c>
      <c r="B94" s="24">
        <v>31924.17</v>
      </c>
      <c r="C94" s="24">
        <v>70470.679999999993</v>
      </c>
      <c r="D94" s="24">
        <v>-8760.3800000000101</v>
      </c>
      <c r="E94" s="24">
        <v>-9300.3000000000302</v>
      </c>
      <c r="F94" s="24">
        <v>-90.189999999987805</v>
      </c>
      <c r="G94" s="24">
        <v>9930.9300000000203</v>
      </c>
      <c r="H94" s="24">
        <v>-16204.25</v>
      </c>
      <c r="I94" s="24">
        <v>77970.66</v>
      </c>
    </row>
    <row r="95" spans="1:9" x14ac:dyDescent="0.25">
      <c r="A95" s="16" t="s">
        <v>104</v>
      </c>
    </row>
    <row r="96" spans="1:9" x14ac:dyDescent="0.25">
      <c r="A96" s="11" t="s">
        <v>243</v>
      </c>
      <c r="B96" s="22">
        <v>10.3</v>
      </c>
      <c r="C96" s="22">
        <v>13.8</v>
      </c>
      <c r="D96" s="22">
        <v>9.25</v>
      </c>
      <c r="E96" s="22">
        <v>61.81</v>
      </c>
      <c r="F96" s="22">
        <v>33.159999999999997</v>
      </c>
      <c r="G96" s="22">
        <v>16.14</v>
      </c>
      <c r="H96" s="22">
        <v>11.41</v>
      </c>
      <c r="I96" s="22">
        <v>155.87</v>
      </c>
    </row>
    <row r="97" spans="1:9" x14ac:dyDescent="0.25">
      <c r="A97" s="16" t="s">
        <v>107</v>
      </c>
      <c r="B97" s="24">
        <v>10.3</v>
      </c>
      <c r="C97" s="24">
        <v>13.8</v>
      </c>
      <c r="D97" s="24">
        <v>9.25</v>
      </c>
      <c r="E97" s="24">
        <v>61.81</v>
      </c>
      <c r="F97" s="24">
        <v>33.159999999999997</v>
      </c>
      <c r="G97" s="24">
        <v>16.14</v>
      </c>
      <c r="H97" s="24">
        <v>11.41</v>
      </c>
      <c r="I97" s="24">
        <v>155.87</v>
      </c>
    </row>
    <row r="98" spans="1:9" x14ac:dyDescent="0.25">
      <c r="A98" s="16" t="s">
        <v>108</v>
      </c>
    </row>
    <row r="99" spans="1:9" x14ac:dyDescent="0.25">
      <c r="A99" s="11" t="s">
        <v>201</v>
      </c>
      <c r="B99" s="22">
        <v>288.7</v>
      </c>
      <c r="C99" s="22">
        <v>144.53</v>
      </c>
      <c r="E99" s="22">
        <v>150</v>
      </c>
      <c r="F99" s="22">
        <v>117.69</v>
      </c>
      <c r="G99" s="22">
        <v>110.11</v>
      </c>
      <c r="I99" s="22">
        <v>811.03</v>
      </c>
    </row>
    <row r="100" spans="1:9" x14ac:dyDescent="0.25">
      <c r="A100" s="11" t="s">
        <v>202</v>
      </c>
      <c r="D100" s="22">
        <v>5036</v>
      </c>
      <c r="E100" s="22">
        <v>-4864</v>
      </c>
      <c r="G100" s="22">
        <v>1000</v>
      </c>
      <c r="I100" s="22">
        <v>1172</v>
      </c>
    </row>
    <row r="101" spans="1:9" x14ac:dyDescent="0.25">
      <c r="A101" s="16" t="s">
        <v>113</v>
      </c>
      <c r="B101" s="24">
        <v>288.7</v>
      </c>
      <c r="C101" s="24">
        <v>144.53</v>
      </c>
      <c r="D101" s="24">
        <v>5036</v>
      </c>
      <c r="E101" s="24">
        <v>-4714</v>
      </c>
      <c r="F101" s="24">
        <v>117.69</v>
      </c>
      <c r="G101" s="24">
        <v>1110.1099999999999</v>
      </c>
      <c r="H101" s="24">
        <v>0</v>
      </c>
      <c r="I101" s="24">
        <v>1983.03</v>
      </c>
    </row>
    <row r="102" spans="1:9" x14ac:dyDescent="0.25">
      <c r="A102" s="16" t="s">
        <v>114</v>
      </c>
      <c r="B102" s="24">
        <v>-278.39999999999998</v>
      </c>
      <c r="C102" s="24">
        <v>-130.72999999999999</v>
      </c>
      <c r="D102" s="24">
        <v>-5026.75</v>
      </c>
      <c r="E102" s="24">
        <v>4775.8100000000004</v>
      </c>
      <c r="F102" s="24">
        <v>-84.53</v>
      </c>
      <c r="G102" s="24">
        <v>-1093.97</v>
      </c>
      <c r="H102" s="24">
        <v>11.41</v>
      </c>
      <c r="I102" s="24">
        <v>-1827.16</v>
      </c>
    </row>
    <row r="103" spans="1:9" x14ac:dyDescent="0.25">
      <c r="A103" s="16" t="s">
        <v>115</v>
      </c>
      <c r="B103" s="24">
        <v>31645.77</v>
      </c>
      <c r="C103" s="24">
        <v>70339.95</v>
      </c>
      <c r="D103" s="24">
        <v>-13787.13</v>
      </c>
      <c r="E103" s="24">
        <v>-4524.4900000000298</v>
      </c>
      <c r="F103" s="24">
        <v>-174.719999999988</v>
      </c>
      <c r="G103" s="24">
        <v>8836.9600000000191</v>
      </c>
      <c r="H103" s="24">
        <v>-16192.84</v>
      </c>
      <c r="I103" s="24">
        <v>76143.5</v>
      </c>
    </row>
    <row r="107" spans="1:9" x14ac:dyDescent="0.25">
      <c r="A107" s="21" t="s">
        <v>258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Combined P&amp;L</vt:lpstr>
      <vt:lpstr>Raw - 2024 PL</vt:lpstr>
      <vt:lpstr>Raw - 2025 PL</vt:lpstr>
      <vt:lpstr>Raw - 2026 PL</vt:lpstr>
      <vt:lpstr>'Combined P&amp;L'!Print_Titles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Frank Moneymaker</cp:lastModifiedBy>
  <cp:revision>0</cp:revision>
  <dcterms:created xsi:type="dcterms:W3CDTF">2026-09-01T16:34:45Z</dcterms:created>
  <dcterms:modified xsi:type="dcterms:W3CDTF">2026-09-01T17:03:57Z</dcterms:modified>
  <dc:language>en-US</dc:language>
</cp:coreProperties>
</file>