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8757E8A8-E72F-4980-8796-DDAF337B5C0C}" xr6:coauthVersionLast="47" xr6:coauthVersionMax="47" xr10:uidLastSave="{00000000-0000-0000-0000-000000000000}"/>
  <bookViews>
    <workbookView xWindow="-120" yWindow="-120" windowWidth="51840" windowHeight="21840" xr2:uid="{B6E9E6B1-946E-4E55-8964-2E63C16D6A1F}"/>
  </bookViews>
  <sheets>
    <sheet name="Cover" sheetId="1" r:id="rId1"/>
    <sheet name="Offer Comparison" sheetId="2" r:id="rId2"/>
    <sheet name="Partnership Analysis" sheetId="6" r:id="rId3"/>
    <sheet name="Partnership Tables" sheetId="4" r:id="rId4"/>
    <sheet name="100% Buyout Analysis" sheetId="5" r:id="rId5"/>
  </sheets>
  <definedNames>
    <definedName name="_xlnm.Print_Area" localSheetId="4">'100% Buyout Analysis'!$B$2:$D$40,'100% Buyout Analysis'!$B$42:$D$65,'100% Buyout Analysis'!$B$67:$D$98,'100% Buyout Analysis'!$B$100:$D$128,'100% Buyout Analysis'!$B$130:$D$160</definedName>
    <definedName name="_xlnm.Print_Area" localSheetId="0">Cover!$B$2:$Q$39</definedName>
    <definedName name="_xlnm.Print_Area" localSheetId="1">'Offer Comparison'!$B$2:$E$64,'Offer Comparison'!$B$66:$E$110,'Offer Comparison'!$B$113:$E$149</definedName>
    <definedName name="_xlnm.Print_Area" localSheetId="2">'Partnership Analysis'!$B$2:$D$41,'Partnership Analysis'!$B$43:$D$109,'Partnership Analysis'!$B$111:$D$169</definedName>
    <definedName name="_xlnm.Print_Area" localSheetId="3">'Partnership Tables'!$B$2:$L$82,'Partnership Tables'!$B$85:$L$162,'Partnership Tables'!$B$165:$L$242,'Partnership Tables'!$B$245:$L$322,'Partnership Tables'!$B$325:$L$402</definedName>
    <definedName name="_xlnm.Print_Titles" localSheetId="4">'100% Buyout Analysis'!$1:$4</definedName>
    <definedName name="_xlnm.Print_Titles" localSheetId="1">'Offer Comparison'!$2:$4</definedName>
    <definedName name="_xlnm.Print_Titles" localSheetId="2">'Partnership Analysis'!$1:$4</definedName>
    <definedName name="_xlnm.Print_Titles" localSheetId="3">'Partnership Tables'!$2:$4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7" i="2" l="1"/>
  <c r="D67" i="2"/>
  <c r="E67" i="2"/>
  <c r="B10" i="2"/>
  <c r="F45" i="5"/>
  <c r="F46" i="6"/>
  <c r="F190" i="5"/>
  <c r="F182" i="5"/>
  <c r="F169" i="5"/>
  <c r="F167" i="5"/>
  <c r="F165" i="5"/>
  <c r="F164" i="5"/>
  <c r="F157" i="5"/>
  <c r="F156" i="5"/>
  <c r="F152" i="5"/>
  <c r="F145" i="5"/>
  <c r="F144" i="5"/>
  <c r="F140" i="5"/>
  <c r="F139" i="5"/>
  <c r="F135" i="5"/>
  <c r="F134" i="5"/>
  <c r="F131" i="5"/>
  <c r="F126" i="5"/>
  <c r="F124" i="5"/>
  <c r="F120" i="5"/>
  <c r="F119" i="5"/>
  <c r="F118" i="5"/>
  <c r="F117" i="5"/>
  <c r="F116" i="5"/>
  <c r="F115" i="5"/>
  <c r="F98" i="5"/>
  <c r="F97" i="5"/>
  <c r="F96" i="5"/>
  <c r="F95" i="5"/>
  <c r="F94" i="5"/>
  <c r="F92" i="5"/>
  <c r="F91" i="5"/>
  <c r="F90" i="5"/>
  <c r="F85" i="5"/>
  <c r="F84" i="5"/>
  <c r="F68" i="5"/>
  <c r="F65" i="5"/>
  <c r="F64" i="5"/>
  <c r="F63" i="5"/>
  <c r="F62" i="5"/>
  <c r="F61" i="5"/>
  <c r="F55" i="5"/>
  <c r="F54" i="5"/>
  <c r="F52" i="5"/>
  <c r="F51" i="5"/>
  <c r="F50" i="5"/>
  <c r="F49" i="5"/>
  <c r="F46" i="5"/>
  <c r="F44" i="5"/>
  <c r="F43" i="5"/>
  <c r="F36" i="5"/>
  <c r="F31" i="5"/>
  <c r="F30" i="5"/>
  <c r="F24" i="5"/>
  <c r="F23" i="5"/>
  <c r="F22" i="5"/>
  <c r="F21" i="5"/>
  <c r="F18" i="5"/>
  <c r="F15" i="5"/>
  <c r="F13" i="5"/>
  <c r="F11" i="5"/>
  <c r="F9" i="5"/>
  <c r="F8" i="5"/>
  <c r="F7" i="5"/>
  <c r="F215" i="6"/>
  <c r="F207" i="6"/>
  <c r="F203" i="6"/>
  <c r="F202" i="6"/>
  <c r="F200" i="6"/>
  <c r="F196" i="6"/>
  <c r="F181" i="6"/>
  <c r="F179" i="6"/>
  <c r="F176" i="6"/>
  <c r="F174" i="6"/>
  <c r="F173" i="6"/>
  <c r="F165" i="6"/>
  <c r="F156" i="6"/>
  <c r="F155" i="6"/>
  <c r="F151" i="6"/>
  <c r="F150" i="6"/>
  <c r="F146" i="6"/>
  <c r="F145" i="6"/>
  <c r="F141" i="6"/>
  <c r="F139" i="6"/>
  <c r="F138" i="6"/>
  <c r="F135" i="6"/>
  <c r="F131" i="6"/>
  <c r="F130" i="6"/>
  <c r="F129" i="6"/>
  <c r="F127" i="6"/>
  <c r="F126" i="6"/>
  <c r="F109" i="6"/>
  <c r="F108" i="6"/>
  <c r="F107" i="6"/>
  <c r="F106" i="6"/>
  <c r="F105" i="6"/>
  <c r="F103" i="6"/>
  <c r="F102" i="6"/>
  <c r="F101" i="6"/>
  <c r="F97" i="6"/>
  <c r="F96" i="6"/>
  <c r="F95" i="6"/>
  <c r="F83" i="6"/>
  <c r="F75" i="6"/>
  <c r="F70" i="6"/>
  <c r="F66" i="6"/>
  <c r="F65" i="6"/>
  <c r="F64" i="6"/>
  <c r="F63" i="6"/>
  <c r="F62" i="6"/>
  <c r="F56" i="6"/>
  <c r="F55" i="6"/>
  <c r="F53" i="6"/>
  <c r="F52" i="6"/>
  <c r="F51" i="6"/>
  <c r="F47" i="6"/>
  <c r="F45" i="6"/>
  <c r="F44" i="6"/>
  <c r="F37" i="6"/>
  <c r="F32" i="6"/>
  <c r="F31" i="6"/>
  <c r="F25" i="6"/>
  <c r="F24" i="6"/>
  <c r="F23" i="6"/>
  <c r="F22" i="6"/>
  <c r="F19" i="6"/>
  <c r="F16" i="6"/>
  <c r="F14" i="6"/>
  <c r="F12" i="6"/>
  <c r="F10" i="6"/>
  <c r="F9" i="6"/>
  <c r="F8" i="6"/>
  <c r="F7" i="6"/>
  <c r="G149" i="2"/>
  <c r="G139" i="2"/>
  <c r="G138" i="2"/>
  <c r="G135" i="2"/>
  <c r="G132" i="2"/>
  <c r="G131" i="2"/>
  <c r="G127" i="2"/>
  <c r="G126" i="2"/>
  <c r="G125" i="2"/>
  <c r="G122" i="2"/>
  <c r="G97" i="2"/>
  <c r="G87" i="2"/>
  <c r="G85" i="2"/>
  <c r="G83" i="2"/>
  <c r="G75" i="2"/>
  <c r="G74" i="2"/>
  <c r="G70" i="2"/>
  <c r="G69" i="2"/>
  <c r="G67" i="2"/>
  <c r="G57" i="2"/>
  <c r="G56" i="2"/>
  <c r="G55" i="2"/>
  <c r="G53" i="2"/>
  <c r="G52" i="2"/>
  <c r="G36" i="2"/>
  <c r="G35" i="2"/>
  <c r="G33" i="2"/>
  <c r="G30" i="2"/>
  <c r="G23" i="2"/>
  <c r="G22" i="2"/>
  <c r="G17" i="2"/>
  <c r="B33" i="5"/>
  <c r="B34" i="6"/>
  <c r="C22" i="2"/>
  <c r="B2" i="6"/>
  <c r="C7" i="6"/>
  <c r="C174" i="6" s="1"/>
  <c r="C167" i="6" s="1"/>
  <c r="C8" i="6"/>
  <c r="D139" i="6" s="1"/>
  <c r="C9" i="6"/>
  <c r="D69" i="6" s="1"/>
  <c r="C111" i="6" s="1"/>
  <c r="C10" i="6"/>
  <c r="C11" i="6" s="1"/>
  <c r="C14" i="6"/>
  <c r="C16" i="6"/>
  <c r="D137" i="6" s="1"/>
  <c r="C22" i="6"/>
  <c r="C23" i="6"/>
  <c r="G461" i="4" s="1"/>
  <c r="C25" i="6"/>
  <c r="C26" i="6" s="1"/>
  <c r="C36" i="6" s="1"/>
  <c r="C31" i="6"/>
  <c r="D134" i="6" s="1"/>
  <c r="C32" i="6"/>
  <c r="C195" i="6" s="1"/>
  <c r="C198" i="6" s="1"/>
  <c r="B36" i="6"/>
  <c r="C37" i="6"/>
  <c r="G459" i="4" s="1"/>
  <c r="C53" i="6"/>
  <c r="C56" i="6" s="1"/>
  <c r="G435" i="4" s="1"/>
  <c r="C54" i="6"/>
  <c r="C61" i="6"/>
  <c r="C69" i="6"/>
  <c r="C71" i="6"/>
  <c r="G462" i="4" s="1"/>
  <c r="C74" i="6"/>
  <c r="C92" i="6"/>
  <c r="C164" i="6"/>
  <c r="C172" i="6"/>
  <c r="C45" i="6" s="1"/>
  <c r="C177" i="6"/>
  <c r="G433" i="4" s="1"/>
  <c r="C179" i="6"/>
  <c r="G432" i="4" s="1"/>
  <c r="C188" i="6"/>
  <c r="C189" i="6"/>
  <c r="C190" i="6"/>
  <c r="B207" i="6"/>
  <c r="C208" i="6"/>
  <c r="B208" i="6" s="1"/>
  <c r="B215" i="6"/>
  <c r="C216" i="6"/>
  <c r="B216" i="6" s="1"/>
  <c r="B2" i="5"/>
  <c r="B35" i="5"/>
  <c r="C52" i="5"/>
  <c r="C55" i="5" s="1"/>
  <c r="C58" i="5" s="1"/>
  <c r="C53" i="5"/>
  <c r="C60" i="5"/>
  <c r="C61" i="5"/>
  <c r="C67" i="5"/>
  <c r="C69" i="5"/>
  <c r="D69" i="5" s="1"/>
  <c r="C72" i="5"/>
  <c r="C77" i="5"/>
  <c r="D77" i="5"/>
  <c r="C81" i="5"/>
  <c r="C90" i="5"/>
  <c r="C94" i="5"/>
  <c r="D31" i="2" s="1"/>
  <c r="D68" i="2" s="1"/>
  <c r="C122" i="5"/>
  <c r="C155" i="5"/>
  <c r="C156" i="5"/>
  <c r="C163" i="5"/>
  <c r="C127" i="5" s="1"/>
  <c r="C175" i="5"/>
  <c r="C176" i="5"/>
  <c r="C177" i="5"/>
  <c r="B182" i="5"/>
  <c r="C183" i="5"/>
  <c r="B183" i="5" s="1"/>
  <c r="B190" i="5"/>
  <c r="C191" i="5"/>
  <c r="B2" i="4"/>
  <c r="T9" i="4"/>
  <c r="BD35" i="4"/>
  <c r="BJ35" i="4"/>
  <c r="BP35" i="4"/>
  <c r="BQ35" i="4"/>
  <c r="BV35" i="4"/>
  <c r="CB35" i="4"/>
  <c r="CH35" i="4"/>
  <c r="CN35" i="4"/>
  <c r="CT35" i="4"/>
  <c r="CZ35" i="4"/>
  <c r="BD115" i="4"/>
  <c r="BE115" i="4"/>
  <c r="BJ115" i="4"/>
  <c r="BK115" i="4"/>
  <c r="BP115" i="4"/>
  <c r="BQ115" i="4"/>
  <c r="BV115" i="4"/>
  <c r="BW115" i="4"/>
  <c r="CB115" i="4"/>
  <c r="CC115" i="4"/>
  <c r="CH115" i="4"/>
  <c r="CI115" i="4"/>
  <c r="CN115" i="4"/>
  <c r="CO115" i="4"/>
  <c r="CT115" i="4"/>
  <c r="CU115" i="4"/>
  <c r="CZ115" i="4"/>
  <c r="DA115" i="4"/>
  <c r="BD195" i="4"/>
  <c r="BE195" i="4"/>
  <c r="BJ195" i="4"/>
  <c r="BK195" i="4"/>
  <c r="BP195" i="4"/>
  <c r="BQ195" i="4"/>
  <c r="BV195" i="4"/>
  <c r="BW195" i="4"/>
  <c r="CB195" i="4"/>
  <c r="CC195" i="4"/>
  <c r="CH195" i="4"/>
  <c r="CI195" i="4"/>
  <c r="CN195" i="4"/>
  <c r="CO195" i="4"/>
  <c r="CT195" i="4"/>
  <c r="CU195" i="4"/>
  <c r="CZ195" i="4"/>
  <c r="DA195" i="4"/>
  <c r="BD275" i="4"/>
  <c r="BE275" i="4"/>
  <c r="BJ275" i="4"/>
  <c r="BK275" i="4"/>
  <c r="BP275" i="4"/>
  <c r="BQ275" i="4"/>
  <c r="BV275" i="4"/>
  <c r="BW275" i="4"/>
  <c r="CB275" i="4"/>
  <c r="CC275" i="4"/>
  <c r="CH275" i="4"/>
  <c r="CI275" i="4"/>
  <c r="CN275" i="4"/>
  <c r="CO275" i="4"/>
  <c r="CT275" i="4"/>
  <c r="CU275" i="4"/>
  <c r="CZ275" i="4"/>
  <c r="DA275" i="4"/>
  <c r="BD355" i="4"/>
  <c r="BE355" i="4"/>
  <c r="BJ355" i="4"/>
  <c r="BK355" i="4"/>
  <c r="BP355" i="4"/>
  <c r="BQ355" i="4"/>
  <c r="BV355" i="4"/>
  <c r="BW355" i="4"/>
  <c r="CB355" i="4"/>
  <c r="CC355" i="4"/>
  <c r="CH355" i="4"/>
  <c r="CI355" i="4"/>
  <c r="CN355" i="4"/>
  <c r="CO355" i="4"/>
  <c r="CT355" i="4"/>
  <c r="CU355" i="4"/>
  <c r="CZ355" i="4"/>
  <c r="DA355" i="4"/>
  <c r="G444" i="4"/>
  <c r="B2" i="2"/>
  <c r="D7" i="2"/>
  <c r="C7" i="5" s="1"/>
  <c r="E7" i="2"/>
  <c r="D8" i="2"/>
  <c r="C8" i="5" s="1"/>
  <c r="D134" i="5" s="1"/>
  <c r="D9" i="2"/>
  <c r="C167" i="5" s="1"/>
  <c r="E9" i="2"/>
  <c r="D13" i="2"/>
  <c r="C21" i="5" s="1"/>
  <c r="D14" i="2"/>
  <c r="C22" i="5" s="1"/>
  <c r="D15" i="2"/>
  <c r="C30" i="5" s="1"/>
  <c r="E17" i="2"/>
  <c r="D18" i="2"/>
  <c r="D19" i="2"/>
  <c r="C13" i="5" s="1"/>
  <c r="E19" i="2"/>
  <c r="D20" i="2"/>
  <c r="C15" i="5" s="1"/>
  <c r="C24" i="6"/>
  <c r="D23" i="2"/>
  <c r="C24" i="5" s="1"/>
  <c r="C25" i="5" s="1"/>
  <c r="D25" i="2"/>
  <c r="C31" i="5" s="1"/>
  <c r="D26" i="2"/>
  <c r="C36" i="5" s="1"/>
  <c r="E26" i="2"/>
  <c r="C30" i="2"/>
  <c r="D30" i="2"/>
  <c r="D33" i="2"/>
  <c r="D49" i="2" s="1"/>
  <c r="C35" i="2"/>
  <c r="L51" i="2"/>
  <c r="D83" i="2"/>
  <c r="E114" i="2"/>
  <c r="E122" i="2"/>
  <c r="B26" i="1"/>
  <c r="E14" i="2" l="1"/>
  <c r="D154" i="6"/>
  <c r="E8" i="2"/>
  <c r="E20" i="2"/>
  <c r="G445" i="4"/>
  <c r="G436" i="4"/>
  <c r="G438" i="4" s="1"/>
  <c r="C159" i="4" s="1"/>
  <c r="C217" i="6"/>
  <c r="C218" i="6" s="1"/>
  <c r="C34" i="6"/>
  <c r="G454" i="4" s="1"/>
  <c r="D35" i="2"/>
  <c r="D51" i="2" s="1"/>
  <c r="E35" i="2"/>
  <c r="E30" i="2"/>
  <c r="B143" i="6"/>
  <c r="C27" i="6"/>
  <c r="C28" i="6" s="1"/>
  <c r="C125" i="6"/>
  <c r="C38" i="6"/>
  <c r="C209" i="6"/>
  <c r="D208" i="6"/>
  <c r="C191" i="6"/>
  <c r="C200" i="6" s="1"/>
  <c r="C201" i="6" s="1"/>
  <c r="C51" i="2"/>
  <c r="G434" i="4"/>
  <c r="E23" i="2"/>
  <c r="B19" i="6"/>
  <c r="C178" i="5"/>
  <c r="C179" i="5" s="1"/>
  <c r="C17" i="6"/>
  <c r="E15" i="2"/>
  <c r="E13" i="2"/>
  <c r="E25" i="2"/>
  <c r="C68" i="5"/>
  <c r="C164" i="5" s="1"/>
  <c r="D190" i="5" s="1"/>
  <c r="G455" i="4"/>
  <c r="G465" i="4" s="1"/>
  <c r="H342" i="4" s="1"/>
  <c r="D216" i="6"/>
  <c r="C39" i="6"/>
  <c r="C40" i="6" s="1"/>
  <c r="C46" i="6" s="1"/>
  <c r="C48" i="6" s="1"/>
  <c r="G456" i="4"/>
  <c r="G457" i="4" s="1"/>
  <c r="H155" i="4" s="1"/>
  <c r="C192" i="6"/>
  <c r="G460" i="4"/>
  <c r="B74" i="6"/>
  <c r="D71" i="6"/>
  <c r="C175" i="6"/>
  <c r="G453" i="4"/>
  <c r="D22" i="2"/>
  <c r="C23" i="5" s="1"/>
  <c r="C33" i="5" s="1"/>
  <c r="C165" i="6"/>
  <c r="C33" i="2"/>
  <c r="C44" i="5"/>
  <c r="C26" i="4"/>
  <c r="C13" i="4"/>
  <c r="C106" i="4"/>
  <c r="C79" i="4"/>
  <c r="C53" i="4"/>
  <c r="C133" i="4"/>
  <c r="C9" i="5"/>
  <c r="C10" i="5" s="1"/>
  <c r="E18" i="2"/>
  <c r="C170" i="5"/>
  <c r="C73" i="5" s="1"/>
  <c r="N18" i="4"/>
  <c r="B205" i="4"/>
  <c r="B245" i="4"/>
  <c r="B257" i="4"/>
  <c r="B285" i="4"/>
  <c r="B270" i="4"/>
  <c r="B337" i="4"/>
  <c r="B325" i="4"/>
  <c r="Z328" i="4"/>
  <c r="B418" i="4"/>
  <c r="O18" i="4"/>
  <c r="Q18" i="4" s="1"/>
  <c r="O10" i="4"/>
  <c r="Q10" i="4" s="1"/>
  <c r="O11" i="4"/>
  <c r="O12" i="4"/>
  <c r="O13" i="4"/>
  <c r="O14" i="4"/>
  <c r="Q14" i="4" s="1"/>
  <c r="O15" i="4"/>
  <c r="O16" i="4"/>
  <c r="O91" i="4"/>
  <c r="O92" i="4"/>
  <c r="Q92" i="4" s="1"/>
  <c r="O93" i="4"/>
  <c r="Q93" i="4" s="1"/>
  <c r="O96" i="4"/>
  <c r="Q96" i="4" s="1"/>
  <c r="O90" i="4"/>
  <c r="Q90" i="4" s="1"/>
  <c r="O94" i="4"/>
  <c r="Q94" i="4" s="1"/>
  <c r="O95" i="4"/>
  <c r="Q95" i="4" s="1"/>
  <c r="B18" i="5"/>
  <c r="C114" i="5"/>
  <c r="D148" i="5"/>
  <c r="D183" i="5"/>
  <c r="B137" i="5"/>
  <c r="D162" i="5"/>
  <c r="D67" i="5"/>
  <c r="Q16" i="4"/>
  <c r="C35" i="5"/>
  <c r="C37" i="5" s="1"/>
  <c r="C26" i="5"/>
  <c r="B365" i="4"/>
  <c r="B350" i="4"/>
  <c r="C16" i="5"/>
  <c r="D133" i="5"/>
  <c r="B203" i="4"/>
  <c r="B283" i="4"/>
  <c r="D218" i="6"/>
  <c r="C219" i="6"/>
  <c r="B218" i="6"/>
  <c r="C199" i="6"/>
  <c r="CO35" i="4"/>
  <c r="CC35" i="4"/>
  <c r="U9" i="4"/>
  <c r="BW35" i="4"/>
  <c r="BE35" i="4"/>
  <c r="CU35" i="4"/>
  <c r="BK35" i="4"/>
  <c r="DA35" i="4"/>
  <c r="CI35" i="4"/>
  <c r="B217" i="6"/>
  <c r="D217" i="6"/>
  <c r="C92" i="5"/>
  <c r="D156" i="5"/>
  <c r="C64" i="5"/>
  <c r="C66" i="6"/>
  <c r="C103" i="6"/>
  <c r="C59" i="6"/>
  <c r="D89" i="6"/>
  <c r="C109" i="2" s="1"/>
  <c r="D78" i="5"/>
  <c r="C118" i="5" s="1"/>
  <c r="C117" i="5"/>
  <c r="C182" i="6"/>
  <c r="C79" i="6" s="1"/>
  <c r="C101" i="6"/>
  <c r="C88" i="6"/>
  <c r="D88" i="6"/>
  <c r="C62" i="6"/>
  <c r="C12" i="6"/>
  <c r="C13" i="6" s="1"/>
  <c r="D136" i="6" s="1"/>
  <c r="C15" i="6"/>
  <c r="C18" i="6" s="1"/>
  <c r="B191" i="5"/>
  <c r="D191" i="5"/>
  <c r="C192" i="5"/>
  <c r="D74" i="6"/>
  <c r="C118" i="6"/>
  <c r="D164" i="6"/>
  <c r="D92" i="6"/>
  <c r="D165" i="6"/>
  <c r="C70" i="6"/>
  <c r="D171" i="6"/>
  <c r="C184" i="5"/>
  <c r="D76" i="6"/>
  <c r="C76" i="6"/>
  <c r="C293" i="4" l="1"/>
  <c r="AJ330" i="4"/>
  <c r="C279" i="4"/>
  <c r="C253" i="4"/>
  <c r="C306" i="4"/>
  <c r="AJ334" i="4"/>
  <c r="C226" i="4"/>
  <c r="H355" i="4"/>
  <c r="G355" i="4" s="1"/>
  <c r="F355" i="4" s="1"/>
  <c r="E355" i="4" s="1"/>
  <c r="D355" i="4" s="1"/>
  <c r="H395" i="4"/>
  <c r="H315" i="4"/>
  <c r="G315" i="4" s="1"/>
  <c r="F315" i="4" s="1"/>
  <c r="E315" i="4" s="1"/>
  <c r="D315" i="4" s="1"/>
  <c r="C70" i="5"/>
  <c r="Z248" i="4"/>
  <c r="C119" i="4"/>
  <c r="C118" i="4" s="1"/>
  <c r="C117" i="4" s="1"/>
  <c r="C116" i="4" s="1"/>
  <c r="E51" i="2"/>
  <c r="C202" i="6"/>
  <c r="C93" i="4"/>
  <c r="C94" i="4" s="1"/>
  <c r="Z168" i="4"/>
  <c r="C39" i="4"/>
  <c r="C74" i="5"/>
  <c r="D79" i="6"/>
  <c r="H302" i="4"/>
  <c r="C66" i="4"/>
  <c r="C67" i="4" s="1"/>
  <c r="C68" i="4" s="1"/>
  <c r="C69" i="4" s="1"/>
  <c r="H289" i="4"/>
  <c r="I289" i="4" s="1"/>
  <c r="B165" i="4"/>
  <c r="B363" i="4"/>
  <c r="B177" i="4"/>
  <c r="C146" i="4"/>
  <c r="B190" i="4"/>
  <c r="AJ336" i="4"/>
  <c r="AL336" i="4" s="1"/>
  <c r="AK334" i="4"/>
  <c r="G415" i="4"/>
  <c r="B209" i="6"/>
  <c r="D209" i="6"/>
  <c r="C210" i="6"/>
  <c r="AL330" i="4"/>
  <c r="H275" i="4"/>
  <c r="H329" i="4"/>
  <c r="C199" i="4"/>
  <c r="C198" i="4" s="1"/>
  <c r="C197" i="4" s="1"/>
  <c r="C196" i="4" s="1"/>
  <c r="C239" i="4"/>
  <c r="C213" i="4"/>
  <c r="C214" i="4" s="1"/>
  <c r="C215" i="4" s="1"/>
  <c r="C216" i="4" s="1"/>
  <c r="H142" i="4"/>
  <c r="G142" i="4" s="1"/>
  <c r="F142" i="4" s="1"/>
  <c r="E142" i="4" s="1"/>
  <c r="D142" i="4" s="1"/>
  <c r="H249" i="4"/>
  <c r="AD249" i="4" s="1"/>
  <c r="H129" i="4"/>
  <c r="G129" i="4" s="1"/>
  <c r="H262" i="4"/>
  <c r="G262" i="4" s="1"/>
  <c r="F262" i="4" s="1"/>
  <c r="E262" i="4" s="1"/>
  <c r="D262" i="4" s="1"/>
  <c r="H89" i="4"/>
  <c r="G89" i="4" s="1"/>
  <c r="H102" i="4"/>
  <c r="G102" i="4" s="1"/>
  <c r="F102" i="4" s="1"/>
  <c r="E102" i="4" s="1"/>
  <c r="D102" i="4" s="1"/>
  <c r="H115" i="4"/>
  <c r="G115" i="4" s="1"/>
  <c r="F115" i="4" s="1"/>
  <c r="E115" i="4" s="1"/>
  <c r="D115" i="4" s="1"/>
  <c r="AJ333" i="4"/>
  <c r="AL333" i="4" s="1"/>
  <c r="AJ332" i="4"/>
  <c r="AL332" i="4" s="1"/>
  <c r="H382" i="4"/>
  <c r="G382" i="4" s="1"/>
  <c r="F382" i="4" s="1"/>
  <c r="E382" i="4" s="1"/>
  <c r="D382" i="4" s="1"/>
  <c r="AJ331" i="4"/>
  <c r="AL331" i="4" s="1"/>
  <c r="C319" i="4"/>
  <c r="C318" i="4" s="1"/>
  <c r="C317" i="4" s="1"/>
  <c r="C316" i="4" s="1"/>
  <c r="H369" i="4"/>
  <c r="AD369" i="4" s="1"/>
  <c r="AJ335" i="4"/>
  <c r="AK335" i="4" s="1"/>
  <c r="C266" i="4"/>
  <c r="C265" i="4" s="1"/>
  <c r="C264" i="4" s="1"/>
  <c r="C263" i="4" s="1"/>
  <c r="AL334" i="4"/>
  <c r="AK330" i="4"/>
  <c r="G412" i="4"/>
  <c r="E22" i="2"/>
  <c r="C186" i="4"/>
  <c r="C185" i="4" s="1"/>
  <c r="C184" i="4" s="1"/>
  <c r="C183" i="4" s="1"/>
  <c r="E33" i="2"/>
  <c r="C49" i="2"/>
  <c r="E49" i="2" s="1"/>
  <c r="C105" i="6"/>
  <c r="C31" i="2"/>
  <c r="C27" i="5"/>
  <c r="D11" i="2" s="1"/>
  <c r="C173" i="4"/>
  <c r="AJ173" i="4" s="1"/>
  <c r="I342" i="4"/>
  <c r="J342" i="4" s="1"/>
  <c r="K342" i="4" s="1"/>
  <c r="L342" i="4" s="1"/>
  <c r="G342" i="4"/>
  <c r="F342" i="4" s="1"/>
  <c r="E342" i="4" s="1"/>
  <c r="D342" i="4" s="1"/>
  <c r="C14" i="5"/>
  <c r="C17" i="5" s="1"/>
  <c r="D98" i="6"/>
  <c r="D138" i="6" s="1"/>
  <c r="D135" i="6"/>
  <c r="C19" i="6"/>
  <c r="C61" i="2"/>
  <c r="D109" i="2"/>
  <c r="E109" i="2" s="1"/>
  <c r="C112" i="6"/>
  <c r="C114" i="6" s="1"/>
  <c r="C11" i="2"/>
  <c r="C166" i="5"/>
  <c r="C157" i="5"/>
  <c r="C123" i="5"/>
  <c r="C124" i="5"/>
  <c r="D29" i="2"/>
  <c r="D80" i="2" s="1"/>
  <c r="D32" i="2"/>
  <c r="I355" i="4"/>
  <c r="J355" i="4" s="1"/>
  <c r="K355" i="4" s="1"/>
  <c r="L355" i="4" s="1"/>
  <c r="AJ253" i="4"/>
  <c r="C254" i="4"/>
  <c r="C252" i="4"/>
  <c r="G155" i="4"/>
  <c r="F155" i="4" s="1"/>
  <c r="E155" i="4" s="1"/>
  <c r="D155" i="4" s="1"/>
  <c r="I155" i="4"/>
  <c r="J155" i="4" s="1"/>
  <c r="K155" i="4" s="1"/>
  <c r="L155" i="4" s="1"/>
  <c r="G395" i="4"/>
  <c r="F395" i="4" s="1"/>
  <c r="E395" i="4" s="1"/>
  <c r="D395" i="4" s="1"/>
  <c r="I395" i="4"/>
  <c r="J395" i="4" s="1"/>
  <c r="K395" i="4" s="1"/>
  <c r="L395" i="4" s="1"/>
  <c r="C147" i="4"/>
  <c r="C148" i="4" s="1"/>
  <c r="C149" i="4" s="1"/>
  <c r="C145" i="4"/>
  <c r="C144" i="4" s="1"/>
  <c r="C143" i="4" s="1"/>
  <c r="C82" i="2"/>
  <c r="Q15" i="4"/>
  <c r="C158" i="4"/>
  <c r="C157" i="4" s="1"/>
  <c r="C156" i="4" s="1"/>
  <c r="C160" i="4"/>
  <c r="C161" i="4" s="1"/>
  <c r="C162" i="4" s="1"/>
  <c r="C38" i="5"/>
  <c r="C39" i="5" s="1"/>
  <c r="G302" i="4"/>
  <c r="F302" i="4" s="1"/>
  <c r="E302" i="4" s="1"/>
  <c r="D302" i="4" s="1"/>
  <c r="I302" i="4"/>
  <c r="J302" i="4" s="1"/>
  <c r="K302" i="4" s="1"/>
  <c r="L302" i="4" s="1"/>
  <c r="C134" i="4"/>
  <c r="C135" i="4" s="1"/>
  <c r="C136" i="4" s="1"/>
  <c r="C132" i="4"/>
  <c r="C131" i="4" s="1"/>
  <c r="C130" i="4" s="1"/>
  <c r="C129" i="6"/>
  <c r="C108" i="2"/>
  <c r="Q13" i="4"/>
  <c r="AD89" i="4"/>
  <c r="AD289" i="4"/>
  <c r="G289" i="4"/>
  <c r="BX35" i="4"/>
  <c r="CV35" i="4"/>
  <c r="V9" i="4"/>
  <c r="BF35" i="4"/>
  <c r="CD35" i="4"/>
  <c r="BL35" i="4"/>
  <c r="DB35" i="4"/>
  <c r="CJ35" i="4"/>
  <c r="BR35" i="4"/>
  <c r="CD115" i="4"/>
  <c r="CP35" i="4"/>
  <c r="CV115" i="4"/>
  <c r="BR115" i="4"/>
  <c r="CJ115" i="4"/>
  <c r="DB115" i="4"/>
  <c r="CP115" i="4"/>
  <c r="BX115" i="4"/>
  <c r="BF195" i="4"/>
  <c r="DB195" i="4"/>
  <c r="BX195" i="4"/>
  <c r="BF115" i="4"/>
  <c r="CP195" i="4"/>
  <c r="BL195" i="4"/>
  <c r="CD195" i="4"/>
  <c r="BL115" i="4"/>
  <c r="CJ195" i="4"/>
  <c r="CJ275" i="4"/>
  <c r="BR195" i="4"/>
  <c r="CV195" i="4"/>
  <c r="BR275" i="4"/>
  <c r="DB275" i="4"/>
  <c r="BF275" i="4"/>
  <c r="BX275" i="4"/>
  <c r="CP275" i="4"/>
  <c r="BL275" i="4"/>
  <c r="CD275" i="4"/>
  <c r="CV275" i="4"/>
  <c r="BR355" i="4"/>
  <c r="CJ355" i="4"/>
  <c r="BF355" i="4"/>
  <c r="DB355" i="4"/>
  <c r="BX355" i="4"/>
  <c r="BL355" i="4"/>
  <c r="CP355" i="4"/>
  <c r="CV355" i="4"/>
  <c r="CD355" i="4"/>
  <c r="Q12" i="4"/>
  <c r="G275" i="4"/>
  <c r="F275" i="4" s="1"/>
  <c r="E275" i="4" s="1"/>
  <c r="D275" i="4" s="1"/>
  <c r="I275" i="4"/>
  <c r="J275" i="4" s="1"/>
  <c r="K275" i="4" s="1"/>
  <c r="L275" i="4" s="1"/>
  <c r="N93" i="4"/>
  <c r="C92" i="4"/>
  <c r="Q11" i="4"/>
  <c r="G329" i="4"/>
  <c r="I329" i="4"/>
  <c r="AD329" i="4"/>
  <c r="C38" i="4"/>
  <c r="C37" i="4" s="1"/>
  <c r="C36" i="4" s="1"/>
  <c r="C40" i="4"/>
  <c r="C41" i="4" s="1"/>
  <c r="C42" i="4" s="1"/>
  <c r="AK336" i="4"/>
  <c r="C11" i="5"/>
  <c r="C52" i="4"/>
  <c r="C51" i="4" s="1"/>
  <c r="C50" i="4" s="1"/>
  <c r="C54" i="4"/>
  <c r="C55" i="4" s="1"/>
  <c r="C56" i="4" s="1"/>
  <c r="D157" i="5"/>
  <c r="D81" i="5"/>
  <c r="D155" i="5"/>
  <c r="D72" i="5"/>
  <c r="C100" i="5"/>
  <c r="C107" i="5"/>
  <c r="C294" i="4"/>
  <c r="C295" i="4" s="1"/>
  <c r="C296" i="4" s="1"/>
  <c r="C292" i="4"/>
  <c r="C291" i="4" s="1"/>
  <c r="C290" i="4" s="1"/>
  <c r="C75" i="5"/>
  <c r="C80" i="4"/>
  <c r="C81" i="4" s="1"/>
  <c r="C82" i="4" s="1"/>
  <c r="C78" i="4"/>
  <c r="C77" i="4" s="1"/>
  <c r="C76" i="4" s="1"/>
  <c r="B184" i="5"/>
  <c r="D184" i="5"/>
  <c r="C185" i="5"/>
  <c r="AL335" i="4"/>
  <c r="C278" i="4"/>
  <c r="C277" i="4" s="1"/>
  <c r="C276" i="4" s="1"/>
  <c r="C280" i="4"/>
  <c r="C281" i="4" s="1"/>
  <c r="C282" i="4" s="1"/>
  <c r="C168" i="5"/>
  <c r="C107" i="4"/>
  <c r="C108" i="4" s="1"/>
  <c r="C109" i="4" s="1"/>
  <c r="C105" i="4"/>
  <c r="C104" i="4" s="1"/>
  <c r="C103" i="4" s="1"/>
  <c r="D108" i="2"/>
  <c r="C305" i="4"/>
  <c r="C304" i="4" s="1"/>
  <c r="C303" i="4" s="1"/>
  <c r="C307" i="4"/>
  <c r="C308" i="4" s="1"/>
  <c r="C309" i="4" s="1"/>
  <c r="N13" i="4"/>
  <c r="C12" i="4"/>
  <c r="C14" i="4"/>
  <c r="D140" i="5"/>
  <c r="C225" i="4"/>
  <c r="C224" i="4" s="1"/>
  <c r="C223" i="4" s="1"/>
  <c r="C227" i="4"/>
  <c r="C228" i="4" s="1"/>
  <c r="C229" i="4" s="1"/>
  <c r="C27" i="4"/>
  <c r="C28" i="4" s="1"/>
  <c r="C29" i="4" s="1"/>
  <c r="C25" i="4"/>
  <c r="C24" i="4" s="1"/>
  <c r="C23" i="4" s="1"/>
  <c r="C173" i="6"/>
  <c r="C72" i="6"/>
  <c r="B192" i="5"/>
  <c r="D192" i="5"/>
  <c r="C193" i="5"/>
  <c r="C140" i="5"/>
  <c r="B219" i="6"/>
  <c r="D219" i="6"/>
  <c r="C220" i="6"/>
  <c r="C200" i="4"/>
  <c r="C201" i="4" s="1"/>
  <c r="C202" i="4" s="1"/>
  <c r="C65" i="4"/>
  <c r="C64" i="4" s="1"/>
  <c r="C63" i="4" s="1"/>
  <c r="D70" i="6"/>
  <c r="D72" i="6" s="1"/>
  <c r="C41" i="6"/>
  <c r="D75" i="6"/>
  <c r="C119" i="6"/>
  <c r="C121" i="6" s="1"/>
  <c r="C12" i="2"/>
  <c r="Q91" i="4"/>
  <c r="C238" i="4"/>
  <c r="C237" i="4" s="1"/>
  <c r="C236" i="4" s="1"/>
  <c r="C240" i="4"/>
  <c r="C241" i="4" s="1"/>
  <c r="C242" i="4" s="1"/>
  <c r="I115" i="4" l="1"/>
  <c r="J115" i="4" s="1"/>
  <c r="K115" i="4" s="1"/>
  <c r="L115" i="4" s="1"/>
  <c r="AK333" i="4"/>
  <c r="C120" i="4"/>
  <c r="C121" i="4" s="1"/>
  <c r="C122" i="4" s="1"/>
  <c r="C212" i="4"/>
  <c r="C211" i="4" s="1"/>
  <c r="C210" i="4" s="1"/>
  <c r="C267" i="4"/>
  <c r="C268" i="4" s="1"/>
  <c r="C269" i="4" s="1"/>
  <c r="I315" i="4"/>
  <c r="J315" i="4" s="1"/>
  <c r="K315" i="4" s="1"/>
  <c r="L315" i="4" s="1"/>
  <c r="AK332" i="4"/>
  <c r="AN89" i="4"/>
  <c r="AN93" i="4" s="1"/>
  <c r="I89" i="4"/>
  <c r="AE89" i="4" s="1"/>
  <c r="AK331" i="4"/>
  <c r="I142" i="4"/>
  <c r="J142" i="4" s="1"/>
  <c r="K142" i="4" s="1"/>
  <c r="L142" i="4" s="1"/>
  <c r="I249" i="4"/>
  <c r="AE249" i="4" s="1"/>
  <c r="G249" i="4"/>
  <c r="AC249" i="4" s="1"/>
  <c r="I262" i="4"/>
  <c r="J262" i="4" s="1"/>
  <c r="K262" i="4" s="1"/>
  <c r="L262" i="4" s="1"/>
  <c r="I102" i="4"/>
  <c r="J102" i="4" s="1"/>
  <c r="K102" i="4" s="1"/>
  <c r="L102" i="4" s="1"/>
  <c r="AD129" i="4"/>
  <c r="D210" i="6"/>
  <c r="C211" i="6"/>
  <c r="B210" i="6"/>
  <c r="I129" i="4"/>
  <c r="J129" i="4" s="1"/>
  <c r="C320" i="4"/>
  <c r="C321" i="4" s="1"/>
  <c r="C322" i="4" s="1"/>
  <c r="I382" i="4"/>
  <c r="J382" i="4" s="1"/>
  <c r="K382" i="4" s="1"/>
  <c r="L382" i="4" s="1"/>
  <c r="C187" i="4"/>
  <c r="C188" i="4" s="1"/>
  <c r="C189" i="4" s="1"/>
  <c r="I369" i="4"/>
  <c r="J369" i="4" s="1"/>
  <c r="G369" i="4"/>
  <c r="AC369" i="4" s="1"/>
  <c r="D68" i="5"/>
  <c r="D70" i="5" s="1"/>
  <c r="C142" i="5" s="1"/>
  <c r="C101" i="5"/>
  <c r="C103" i="5" s="1"/>
  <c r="C174" i="4"/>
  <c r="C175" i="4" s="1"/>
  <c r="C172" i="4"/>
  <c r="AJ172" i="4" s="1"/>
  <c r="E11" i="2"/>
  <c r="E31" i="2"/>
  <c r="C68" i="2"/>
  <c r="E68" i="2" s="1"/>
  <c r="C171" i="5"/>
  <c r="AN90" i="4"/>
  <c r="C62" i="5"/>
  <c r="C169" i="5"/>
  <c r="C76" i="5" s="1"/>
  <c r="C158" i="5"/>
  <c r="C91" i="5"/>
  <c r="D158" i="5"/>
  <c r="D34" i="2"/>
  <c r="AC289" i="4"/>
  <c r="F289" i="4"/>
  <c r="B193" i="5"/>
  <c r="D193" i="5"/>
  <c r="C194" i="5"/>
  <c r="G437" i="4"/>
  <c r="G440" i="4" s="1"/>
  <c r="C10" i="2"/>
  <c r="N14" i="4"/>
  <c r="C15" i="4"/>
  <c r="C12" i="5"/>
  <c r="C125" i="5"/>
  <c r="C126" i="5" s="1"/>
  <c r="AC89" i="4"/>
  <c r="F89" i="4"/>
  <c r="AM89" i="4"/>
  <c r="N12" i="4"/>
  <c r="C11" i="4"/>
  <c r="C203" i="6"/>
  <c r="F129" i="4"/>
  <c r="AC129" i="4"/>
  <c r="C75" i="6"/>
  <c r="C176" i="6"/>
  <c r="C64" i="6"/>
  <c r="C29" i="2"/>
  <c r="G430" i="4"/>
  <c r="AM333" i="4" s="1"/>
  <c r="D215" i="6"/>
  <c r="B185" i="5"/>
  <c r="D185" i="5"/>
  <c r="C186" i="5"/>
  <c r="J329" i="4"/>
  <c r="AE329" i="4"/>
  <c r="N92" i="4"/>
  <c r="C91" i="4"/>
  <c r="F329" i="4"/>
  <c r="AC329" i="4"/>
  <c r="C95" i="4"/>
  <c r="N94" i="4"/>
  <c r="AL173" i="4"/>
  <c r="AK173" i="4"/>
  <c r="BY35" i="4"/>
  <c r="BM35" i="4"/>
  <c r="W9" i="4"/>
  <c r="CW35" i="4"/>
  <c r="BG35" i="4"/>
  <c r="CE35" i="4"/>
  <c r="DC35" i="4"/>
  <c r="BS35" i="4"/>
  <c r="CE115" i="4"/>
  <c r="CQ35" i="4"/>
  <c r="BS115" i="4"/>
  <c r="BM115" i="4"/>
  <c r="CK115" i="4"/>
  <c r="DC115" i="4"/>
  <c r="CK35" i="4"/>
  <c r="CQ115" i="4"/>
  <c r="BY115" i="4"/>
  <c r="BG115" i="4"/>
  <c r="BG195" i="4"/>
  <c r="DC195" i="4"/>
  <c r="BY195" i="4"/>
  <c r="CQ195" i="4"/>
  <c r="BM195" i="4"/>
  <c r="CW115" i="4"/>
  <c r="BS275" i="4"/>
  <c r="CK195" i="4"/>
  <c r="BS195" i="4"/>
  <c r="CW195" i="4"/>
  <c r="CE195" i="4"/>
  <c r="CK275" i="4"/>
  <c r="DC275" i="4"/>
  <c r="BG275" i="4"/>
  <c r="BY275" i="4"/>
  <c r="CQ275" i="4"/>
  <c r="BM275" i="4"/>
  <c r="CE275" i="4"/>
  <c r="CW275" i="4"/>
  <c r="CW355" i="4"/>
  <c r="BS355" i="4"/>
  <c r="CK355" i="4"/>
  <c r="BG355" i="4"/>
  <c r="DC355" i="4"/>
  <c r="BY355" i="4"/>
  <c r="BM355" i="4"/>
  <c r="CQ355" i="4"/>
  <c r="CE355" i="4"/>
  <c r="C40" i="5"/>
  <c r="D74" i="5"/>
  <c r="C45" i="5"/>
  <c r="C47" i="5" s="1"/>
  <c r="C108" i="5"/>
  <c r="C110" i="5" s="1"/>
  <c r="D12" i="2"/>
  <c r="E12" i="2" s="1"/>
  <c r="D81" i="2"/>
  <c r="AJ252" i="4"/>
  <c r="C251" i="4"/>
  <c r="D77" i="6"/>
  <c r="C122" i="6"/>
  <c r="C123" i="6" s="1"/>
  <c r="D80" i="6"/>
  <c r="C106" i="6"/>
  <c r="C107" i="6" s="1"/>
  <c r="G431" i="4"/>
  <c r="B220" i="6"/>
  <c r="C255" i="4"/>
  <c r="AJ254" i="4"/>
  <c r="D82" i="2"/>
  <c r="E82" i="2" s="1"/>
  <c r="E108" i="2"/>
  <c r="C81" i="2"/>
  <c r="AL253" i="4"/>
  <c r="AK253" i="4"/>
  <c r="C115" i="6"/>
  <c r="C116" i="6" s="1"/>
  <c r="D155" i="6"/>
  <c r="C148" i="6"/>
  <c r="D148" i="6"/>
  <c r="G447" i="4"/>
  <c r="C97" i="2"/>
  <c r="C93" i="2"/>
  <c r="AE289" i="4"/>
  <c r="J289" i="4"/>
  <c r="AJ174" i="4" l="1"/>
  <c r="AO89" i="4"/>
  <c r="F249" i="4"/>
  <c r="J89" i="4"/>
  <c r="J249" i="4"/>
  <c r="AF249" i="4" s="1"/>
  <c r="AE129" i="4"/>
  <c r="D97" i="2"/>
  <c r="D100" i="2" s="1"/>
  <c r="D93" i="2"/>
  <c r="D88" i="2" s="1"/>
  <c r="C104" i="5"/>
  <c r="C105" i="5" s="1"/>
  <c r="D142" i="5"/>
  <c r="AM253" i="4"/>
  <c r="B211" i="6"/>
  <c r="D211" i="6"/>
  <c r="C212" i="6"/>
  <c r="B212" i="6" s="1"/>
  <c r="F369" i="4"/>
  <c r="E369" i="4" s="1"/>
  <c r="AE369" i="4"/>
  <c r="C171" i="4"/>
  <c r="AJ171" i="4" s="1"/>
  <c r="AM335" i="4"/>
  <c r="AM173" i="4"/>
  <c r="C63" i="5"/>
  <c r="G413" i="4"/>
  <c r="G414" i="4" s="1"/>
  <c r="BH35" i="4"/>
  <c r="DD35" i="4"/>
  <c r="BN35" i="4"/>
  <c r="CF35" i="4"/>
  <c r="CR35" i="4"/>
  <c r="BZ35" i="4"/>
  <c r="X9" i="4"/>
  <c r="CX35" i="4"/>
  <c r="CL35" i="4"/>
  <c r="BN115" i="4"/>
  <c r="CF115" i="4"/>
  <c r="CX115" i="4"/>
  <c r="BT35" i="4"/>
  <c r="CL115" i="4"/>
  <c r="DD115" i="4"/>
  <c r="BT115" i="4"/>
  <c r="CR115" i="4"/>
  <c r="CL195" i="4"/>
  <c r="BH195" i="4"/>
  <c r="DD195" i="4"/>
  <c r="BZ195" i="4"/>
  <c r="BH115" i="4"/>
  <c r="CR195" i="4"/>
  <c r="BN195" i="4"/>
  <c r="BT275" i="4"/>
  <c r="BT195" i="4"/>
  <c r="CX195" i="4"/>
  <c r="BZ115" i="4"/>
  <c r="CF195" i="4"/>
  <c r="CL275" i="4"/>
  <c r="DD275" i="4"/>
  <c r="BH275" i="4"/>
  <c r="BZ275" i="4"/>
  <c r="CR275" i="4"/>
  <c r="BN275" i="4"/>
  <c r="CF275" i="4"/>
  <c r="CX355" i="4"/>
  <c r="BT355" i="4"/>
  <c r="CL355" i="4"/>
  <c r="BH355" i="4"/>
  <c r="DD355" i="4"/>
  <c r="CX275" i="4"/>
  <c r="BN355" i="4"/>
  <c r="CR355" i="4"/>
  <c r="BZ355" i="4"/>
  <c r="CF355" i="4"/>
  <c r="P12" i="4"/>
  <c r="R12" i="4" s="1"/>
  <c r="P13" i="4"/>
  <c r="R13" i="4" s="1"/>
  <c r="P14" i="4"/>
  <c r="R14" i="4" s="1"/>
  <c r="P18" i="4"/>
  <c r="R18" i="4" s="1"/>
  <c r="AD253" i="4" s="1"/>
  <c r="CC279" i="4" s="1"/>
  <c r="P92" i="4"/>
  <c r="R92" i="4" s="1"/>
  <c r="AD92" i="4" s="1"/>
  <c r="CB118" i="4" s="1"/>
  <c r="P93" i="4"/>
  <c r="R93" i="4" s="1"/>
  <c r="AD93" i="4" s="1"/>
  <c r="CE119" i="4" s="1"/>
  <c r="P94" i="4"/>
  <c r="R94" i="4" s="1"/>
  <c r="AD94" i="4" s="1"/>
  <c r="CE120" i="4" s="1"/>
  <c r="AM332" i="4"/>
  <c r="AM331" i="4"/>
  <c r="AM336" i="4"/>
  <c r="AM330" i="4"/>
  <c r="AM334" i="4"/>
  <c r="AN95" i="4"/>
  <c r="AF289" i="4"/>
  <c r="K289" i="4"/>
  <c r="C53" i="2"/>
  <c r="D81" i="6"/>
  <c r="E29" i="2"/>
  <c r="C80" i="2"/>
  <c r="AF129" i="4"/>
  <c r="K129" i="4"/>
  <c r="AK174" i="4"/>
  <c r="AL174" i="4"/>
  <c r="AM174" i="4" s="1"/>
  <c r="C140" i="6"/>
  <c r="D85" i="6"/>
  <c r="C146" i="6"/>
  <c r="D146" i="6"/>
  <c r="C126" i="6"/>
  <c r="C176" i="4"/>
  <c r="AJ176" i="4" s="1"/>
  <c r="AJ175" i="4"/>
  <c r="C178" i="6"/>
  <c r="C32" i="2"/>
  <c r="E32" i="2" s="1"/>
  <c r="C166" i="6"/>
  <c r="C180" i="6"/>
  <c r="AJ251" i="4"/>
  <c r="C250" i="4"/>
  <c r="AJ250" i="4" s="1"/>
  <c r="C77" i="6"/>
  <c r="C80" i="6"/>
  <c r="B194" i="5"/>
  <c r="D194" i="5"/>
  <c r="C195" i="5"/>
  <c r="AB369" i="4"/>
  <c r="AK252" i="4"/>
  <c r="AL252" i="4"/>
  <c r="AM252" i="4" s="1"/>
  <c r="D132" i="5"/>
  <c r="N91" i="4"/>
  <c r="C90" i="4"/>
  <c r="N90" i="4" s="1"/>
  <c r="N15" i="4"/>
  <c r="P15" i="4" s="1"/>
  <c r="R15" i="4" s="1"/>
  <c r="C16" i="4"/>
  <c r="N16" i="4" s="1"/>
  <c r="P16" i="4" s="1"/>
  <c r="R16" i="4" s="1"/>
  <c r="E129" i="4"/>
  <c r="AB129" i="4"/>
  <c r="E289" i="4"/>
  <c r="AB289" i="4"/>
  <c r="AB249" i="4"/>
  <c r="E249" i="4"/>
  <c r="E93" i="2"/>
  <c r="C88" i="2"/>
  <c r="E88" i="2" s="1"/>
  <c r="C100" i="2"/>
  <c r="E100" i="2" s="1"/>
  <c r="E97" i="2"/>
  <c r="AK254" i="4"/>
  <c r="AL254" i="4"/>
  <c r="AM254" i="4" s="1"/>
  <c r="N95" i="4"/>
  <c r="P95" i="4" s="1"/>
  <c r="R95" i="4" s="1"/>
  <c r="C96" i="4"/>
  <c r="N96" i="4" s="1"/>
  <c r="N11" i="4"/>
  <c r="P11" i="4" s="1"/>
  <c r="R11" i="4" s="1"/>
  <c r="C10" i="4"/>
  <c r="N10" i="4" s="1"/>
  <c r="P10" i="4" s="1"/>
  <c r="R10" i="4" s="1"/>
  <c r="H9" i="4"/>
  <c r="AD14" i="4" s="1"/>
  <c r="H75" i="4"/>
  <c r="H22" i="4"/>
  <c r="H35" i="4"/>
  <c r="H49" i="4"/>
  <c r="H62" i="4"/>
  <c r="H169" i="4"/>
  <c r="H209" i="4"/>
  <c r="H195" i="4"/>
  <c r="H182" i="4"/>
  <c r="H235" i="4"/>
  <c r="H222" i="4"/>
  <c r="C373" i="4"/>
  <c r="C359" i="4"/>
  <c r="C333" i="4"/>
  <c r="C399" i="4"/>
  <c r="C346" i="4"/>
  <c r="C386" i="4"/>
  <c r="D50" i="2"/>
  <c r="D36" i="2"/>
  <c r="C79" i="5"/>
  <c r="C160" i="5" s="1"/>
  <c r="C172" i="5"/>
  <c r="G442" i="4"/>
  <c r="G443" i="4"/>
  <c r="G448" i="4"/>
  <c r="G450" i="4"/>
  <c r="G416" i="4"/>
  <c r="G417" i="4" s="1"/>
  <c r="AJ255" i="4"/>
  <c r="C256" i="4"/>
  <c r="AJ256" i="4" s="1"/>
  <c r="D73" i="5"/>
  <c r="E81" i="2"/>
  <c r="C95" i="5"/>
  <c r="C96" i="5" s="1"/>
  <c r="C111" i="5"/>
  <c r="C112" i="5" s="1"/>
  <c r="D53" i="2"/>
  <c r="D153" i="5"/>
  <c r="K329" i="4"/>
  <c r="AF329" i="4"/>
  <c r="C93" i="5"/>
  <c r="D182" i="5"/>
  <c r="K369" i="4"/>
  <c r="AF369" i="4"/>
  <c r="AK172" i="4"/>
  <c r="AL172" i="4"/>
  <c r="AM172" i="4" s="1"/>
  <c r="C187" i="5"/>
  <c r="B186" i="5"/>
  <c r="D186" i="5"/>
  <c r="AM90" i="4"/>
  <c r="AM93" i="4"/>
  <c r="AM95" i="4" s="1"/>
  <c r="AO90" i="4"/>
  <c r="AO93" i="4"/>
  <c r="AO95" i="4" s="1"/>
  <c r="AB329" i="4"/>
  <c r="E329" i="4"/>
  <c r="E89" i="4"/>
  <c r="AL89" i="4"/>
  <c r="AB89" i="4"/>
  <c r="AF89" i="4"/>
  <c r="K89" i="4"/>
  <c r="AP89" i="4"/>
  <c r="D169" i="5"/>
  <c r="D150" i="5" s="1"/>
  <c r="C159" i="5"/>
  <c r="C138" i="5"/>
  <c r="D146" i="2"/>
  <c r="C128" i="5"/>
  <c r="AC333" i="4" l="1"/>
  <c r="K249" i="4"/>
  <c r="C170" i="4"/>
  <c r="AJ170" i="4" s="1"/>
  <c r="AE333" i="4"/>
  <c r="CJ359" i="4" s="1"/>
  <c r="AB253" i="4"/>
  <c r="BS279" i="4" s="1"/>
  <c r="D212" i="6"/>
  <c r="AD12" i="4"/>
  <c r="CC38" i="4" s="1"/>
  <c r="AD173" i="4"/>
  <c r="H186" i="4" s="1"/>
  <c r="AE253" i="4"/>
  <c r="CJ279" i="4" s="1"/>
  <c r="AE93" i="4"/>
  <c r="CH119" i="4" s="1"/>
  <c r="AF253" i="4"/>
  <c r="CN279" i="4" s="1"/>
  <c r="AC253" i="4"/>
  <c r="G253" i="4" s="1"/>
  <c r="AC93" i="4"/>
  <c r="BY119" i="4" s="1"/>
  <c r="CB40" i="4"/>
  <c r="CC40" i="4"/>
  <c r="CE40" i="4"/>
  <c r="CI359" i="4"/>
  <c r="CD118" i="4"/>
  <c r="CE118" i="4"/>
  <c r="C116" i="5"/>
  <c r="D106" i="2" s="1"/>
  <c r="C97" i="5"/>
  <c r="AE94" i="4"/>
  <c r="I107" i="4" s="1"/>
  <c r="AE92" i="4"/>
  <c r="CK118" i="4" s="1"/>
  <c r="G346" i="4"/>
  <c r="AC373" i="4"/>
  <c r="G333" i="4"/>
  <c r="BW359" i="4"/>
  <c r="BX359" i="4"/>
  <c r="BV359" i="4"/>
  <c r="P96" i="4"/>
  <c r="R96" i="4" s="1"/>
  <c r="AE96" i="4" s="1"/>
  <c r="BY359" i="4"/>
  <c r="B195" i="5"/>
  <c r="P90" i="4"/>
  <c r="R90" i="4" s="1"/>
  <c r="AC90" i="4" s="1"/>
  <c r="BZ116" i="4" s="1"/>
  <c r="G195" i="4"/>
  <c r="F195" i="4" s="1"/>
  <c r="E195" i="4" s="1"/>
  <c r="D195" i="4" s="1"/>
  <c r="I195" i="4"/>
  <c r="J195" i="4" s="1"/>
  <c r="K195" i="4" s="1"/>
  <c r="L195" i="4" s="1"/>
  <c r="D89" i="4"/>
  <c r="AK89" i="4"/>
  <c r="AA89" i="4"/>
  <c r="D129" i="4"/>
  <c r="Z129" i="4" s="1"/>
  <c r="AA129" i="4"/>
  <c r="D187" i="5"/>
  <c r="C98" i="5" s="1"/>
  <c r="B187" i="5"/>
  <c r="G209" i="4"/>
  <c r="I209" i="4"/>
  <c r="AD209" i="4"/>
  <c r="AE95" i="4"/>
  <c r="CL121" i="4" s="1"/>
  <c r="AC95" i="4"/>
  <c r="BZ121" i="4" s="1"/>
  <c r="AD95" i="4"/>
  <c r="CF121" i="4" s="1"/>
  <c r="D289" i="4"/>
  <c r="Z289" i="4" s="1"/>
  <c r="AA289" i="4"/>
  <c r="C115" i="5"/>
  <c r="D131" i="5"/>
  <c r="C18" i="5"/>
  <c r="D10" i="2" s="1"/>
  <c r="E10" i="2" s="1"/>
  <c r="D75" i="5"/>
  <c r="D87" i="5"/>
  <c r="D135" i="5" s="1"/>
  <c r="D61" i="2"/>
  <c r="E61" i="2" s="1"/>
  <c r="AD169" i="4"/>
  <c r="G169" i="4"/>
  <c r="AC174" i="4" s="1"/>
  <c r="I169" i="4"/>
  <c r="AE172" i="4" s="1"/>
  <c r="CL198" i="4" s="1"/>
  <c r="AD134" i="4"/>
  <c r="H94" i="4"/>
  <c r="H107" i="4"/>
  <c r="F253" i="4"/>
  <c r="F266" i="4"/>
  <c r="AG289" i="4"/>
  <c r="L289" i="4"/>
  <c r="AH289" i="4" s="1"/>
  <c r="CC120" i="4"/>
  <c r="G418" i="4"/>
  <c r="G424" i="4"/>
  <c r="AD333" i="4"/>
  <c r="AD172" i="4"/>
  <c r="CF198" i="4" s="1"/>
  <c r="I333" i="4"/>
  <c r="I346" i="4"/>
  <c r="AE373" i="4"/>
  <c r="G62" i="4"/>
  <c r="F62" i="4" s="1"/>
  <c r="E62" i="4" s="1"/>
  <c r="D62" i="4" s="1"/>
  <c r="I62" i="4"/>
  <c r="J62" i="4" s="1"/>
  <c r="K62" i="4" s="1"/>
  <c r="L62" i="4" s="1"/>
  <c r="CB120" i="4"/>
  <c r="BP279" i="4"/>
  <c r="CF279" i="4"/>
  <c r="CF40" i="4"/>
  <c r="CF38" i="4"/>
  <c r="CL359" i="4"/>
  <c r="BI35" i="4"/>
  <c r="DE35" i="4"/>
  <c r="CS35" i="4"/>
  <c r="CA35" i="4"/>
  <c r="CY35" i="4"/>
  <c r="CG35" i="4"/>
  <c r="BO35" i="4"/>
  <c r="CM35" i="4"/>
  <c r="BO115" i="4"/>
  <c r="BU35" i="4"/>
  <c r="CM115" i="4"/>
  <c r="DE115" i="4"/>
  <c r="BU115" i="4"/>
  <c r="CA115" i="4"/>
  <c r="CG115" i="4"/>
  <c r="CM195" i="4"/>
  <c r="BI195" i="4"/>
  <c r="DE195" i="4"/>
  <c r="CA195" i="4"/>
  <c r="BI115" i="4"/>
  <c r="CS115" i="4"/>
  <c r="CS195" i="4"/>
  <c r="CY115" i="4"/>
  <c r="CY275" i="4"/>
  <c r="BO195" i="4"/>
  <c r="BU195" i="4"/>
  <c r="CY195" i="4"/>
  <c r="BU275" i="4"/>
  <c r="CM275" i="4"/>
  <c r="DE275" i="4"/>
  <c r="CG195" i="4"/>
  <c r="BI275" i="4"/>
  <c r="CA275" i="4"/>
  <c r="CS275" i="4"/>
  <c r="CG355" i="4"/>
  <c r="CG275" i="4"/>
  <c r="CY355" i="4"/>
  <c r="BU355" i="4"/>
  <c r="CM355" i="4"/>
  <c r="BI355" i="4"/>
  <c r="DE355" i="4"/>
  <c r="BO275" i="4"/>
  <c r="BO355" i="4"/>
  <c r="CS355" i="4"/>
  <c r="CA355" i="4"/>
  <c r="AA329" i="4"/>
  <c r="D329" i="4"/>
  <c r="Z329" i="4" s="1"/>
  <c r="D72" i="2"/>
  <c r="Q50" i="2"/>
  <c r="G49" i="4"/>
  <c r="F49" i="4" s="1"/>
  <c r="E49" i="4" s="1"/>
  <c r="D49" i="4" s="1"/>
  <c r="I49" i="4"/>
  <c r="J49" i="4" s="1"/>
  <c r="K49" i="4" s="1"/>
  <c r="L49" i="4" s="1"/>
  <c r="AG249" i="4"/>
  <c r="AG253" i="4" s="1"/>
  <c r="CX279" i="4" s="1"/>
  <c r="L249" i="4"/>
  <c r="AH249" i="4" s="1"/>
  <c r="AH253" i="4" s="1"/>
  <c r="DD279" i="4" s="1"/>
  <c r="D148" i="2"/>
  <c r="D149" i="2" s="1"/>
  <c r="D60" i="2" s="1"/>
  <c r="D130" i="2"/>
  <c r="AB333" i="4"/>
  <c r="D52" i="2"/>
  <c r="D54" i="2" s="1"/>
  <c r="G35" i="4"/>
  <c r="F35" i="4" s="1"/>
  <c r="E35" i="4" s="1"/>
  <c r="D35" i="4" s="1"/>
  <c r="I35" i="4"/>
  <c r="J35" i="4" s="1"/>
  <c r="K35" i="4" s="1"/>
  <c r="L35" i="4" s="1"/>
  <c r="CH359" i="4"/>
  <c r="AD13" i="4"/>
  <c r="G406" i="4"/>
  <c r="C82" i="5"/>
  <c r="C83" i="5"/>
  <c r="G22" i="4"/>
  <c r="F22" i="4" s="1"/>
  <c r="E22" i="4" s="1"/>
  <c r="D22" i="4" s="1"/>
  <c r="I22" i="4"/>
  <c r="J22" i="4" s="1"/>
  <c r="K22" i="4" s="1"/>
  <c r="L22" i="4" s="1"/>
  <c r="H266" i="4"/>
  <c r="H253" i="4"/>
  <c r="AD293" i="4"/>
  <c r="G421" i="4"/>
  <c r="CD279" i="4"/>
  <c r="AK250" i="4"/>
  <c r="AL250" i="4"/>
  <c r="AM250" i="4" s="1"/>
  <c r="C181" i="6"/>
  <c r="D160" i="6" s="1"/>
  <c r="C102" i="6"/>
  <c r="C63" i="6"/>
  <c r="C34" i="2"/>
  <c r="AK175" i="4"/>
  <c r="AL175" i="4"/>
  <c r="AM175" i="4" s="1"/>
  <c r="BQ279" i="4"/>
  <c r="BZ279" i="4"/>
  <c r="AG369" i="4"/>
  <c r="L369" i="4"/>
  <c r="AH369" i="4" s="1"/>
  <c r="AF333" i="4"/>
  <c r="CR359" i="4" s="1"/>
  <c r="CK359" i="4"/>
  <c r="C385" i="4"/>
  <c r="C384" i="4" s="1"/>
  <c r="C383" i="4" s="1"/>
  <c r="C387" i="4"/>
  <c r="C388" i="4" s="1"/>
  <c r="C389" i="4" s="1"/>
  <c r="G75" i="4"/>
  <c r="F75" i="4" s="1"/>
  <c r="E75" i="4" s="1"/>
  <c r="D75" i="4" s="1"/>
  <c r="I75" i="4"/>
  <c r="J75" i="4" s="1"/>
  <c r="K75" i="4" s="1"/>
  <c r="L75" i="4" s="1"/>
  <c r="J266" i="4"/>
  <c r="AF293" i="4"/>
  <c r="AK251" i="4"/>
  <c r="AL251" i="4"/>
  <c r="AM251" i="4" s="1"/>
  <c r="AK176" i="4"/>
  <c r="AL176" i="4"/>
  <c r="AM176" i="4" s="1"/>
  <c r="CQ279" i="4"/>
  <c r="D61" i="5"/>
  <c r="D63" i="5"/>
  <c r="C65" i="5"/>
  <c r="D65" i="5" s="1"/>
  <c r="D64" i="5"/>
  <c r="CE279" i="4"/>
  <c r="D159" i="5"/>
  <c r="D138" i="5"/>
  <c r="D147" i="2"/>
  <c r="C120" i="5"/>
  <c r="C131" i="5"/>
  <c r="D86" i="5"/>
  <c r="C135" i="5" s="1"/>
  <c r="D119" i="2" s="1"/>
  <c r="D149" i="5"/>
  <c r="I106" i="4"/>
  <c r="AE133" i="4"/>
  <c r="I93" i="4"/>
  <c r="CJ119" i="4"/>
  <c r="L329" i="4"/>
  <c r="AH329" i="4" s="1"/>
  <c r="AG329" i="4"/>
  <c r="AL171" i="4"/>
  <c r="AM171" i="4" s="1"/>
  <c r="AK171" i="4"/>
  <c r="C347" i="4"/>
  <c r="C348" i="4" s="1"/>
  <c r="C349" i="4" s="1"/>
  <c r="C345" i="4"/>
  <c r="C344" i="4" s="1"/>
  <c r="C343" i="4" s="1"/>
  <c r="AD9" i="4"/>
  <c r="G9" i="4"/>
  <c r="AC10" i="4" s="1"/>
  <c r="BZ36" i="4" s="1"/>
  <c r="I9" i="4"/>
  <c r="AE16" i="4" s="1"/>
  <c r="CL42" i="4" s="1"/>
  <c r="AD49" i="4"/>
  <c r="H105" i="4"/>
  <c r="H92" i="4"/>
  <c r="AD132" i="4"/>
  <c r="C81" i="6"/>
  <c r="AD174" i="4"/>
  <c r="CF200" i="4" s="1"/>
  <c r="CC118" i="4"/>
  <c r="AE13" i="4"/>
  <c r="CL39" i="4" s="1"/>
  <c r="D62" i="5"/>
  <c r="AL170" i="4"/>
  <c r="AM170" i="4" s="1"/>
  <c r="AK170" i="4"/>
  <c r="C398" i="4"/>
  <c r="C397" i="4" s="1"/>
  <c r="C396" i="4" s="1"/>
  <c r="C400" i="4"/>
  <c r="C401" i="4" s="1"/>
  <c r="C402" i="4" s="1"/>
  <c r="AC92" i="4"/>
  <c r="BZ118" i="4" s="1"/>
  <c r="AD252" i="4"/>
  <c r="AC252" i="4"/>
  <c r="AF252" i="4"/>
  <c r="AB252" i="4"/>
  <c r="AE252" i="4"/>
  <c r="CL278" i="4" s="1"/>
  <c r="C85" i="6"/>
  <c r="CF359" i="4"/>
  <c r="CL279" i="4"/>
  <c r="CL119" i="4"/>
  <c r="CL120" i="4"/>
  <c r="AP90" i="4"/>
  <c r="AF95" i="4" s="1"/>
  <c r="AP93" i="4"/>
  <c r="AP95" i="4" s="1"/>
  <c r="M50" i="2"/>
  <c r="C332" i="4"/>
  <c r="AB332" i="4" s="1"/>
  <c r="C334" i="4"/>
  <c r="AD334" i="4" s="1"/>
  <c r="AD10" i="4"/>
  <c r="CF36" i="4" s="1"/>
  <c r="AE10" i="4"/>
  <c r="CL36" i="4" s="1"/>
  <c r="H14" i="4"/>
  <c r="H27" i="4"/>
  <c r="AD54" i="4"/>
  <c r="CD38" i="4"/>
  <c r="AD16" i="4"/>
  <c r="AA369" i="4"/>
  <c r="D369" i="4"/>
  <c r="Z369" i="4" s="1"/>
  <c r="CI279" i="4"/>
  <c r="CB279" i="4"/>
  <c r="BZ359" i="4"/>
  <c r="AQ89" i="4"/>
  <c r="AG89" i="4"/>
  <c r="L89" i="4"/>
  <c r="G106" i="4"/>
  <c r="AC133" i="4"/>
  <c r="G93" i="4"/>
  <c r="BX119" i="4"/>
  <c r="O50" i="2"/>
  <c r="C360" i="4"/>
  <c r="C361" i="4" s="1"/>
  <c r="C362" i="4" s="1"/>
  <c r="C358" i="4"/>
  <c r="C357" i="4" s="1"/>
  <c r="C356" i="4" s="1"/>
  <c r="AD11" i="4"/>
  <c r="CF37" i="4" s="1"/>
  <c r="AD15" i="4"/>
  <c r="CF41" i="4" s="1"/>
  <c r="AE15" i="4"/>
  <c r="CL41" i="4" s="1"/>
  <c r="CD40" i="4"/>
  <c r="H106" i="4"/>
  <c r="AD133" i="4"/>
  <c r="H93" i="4"/>
  <c r="BY279" i="4"/>
  <c r="BV279" i="4"/>
  <c r="BZ119" i="4"/>
  <c r="AK256" i="4"/>
  <c r="AL256" i="4"/>
  <c r="AM256" i="4" s="1"/>
  <c r="L50" i="2"/>
  <c r="C372" i="4"/>
  <c r="C371" i="4" s="1"/>
  <c r="C370" i="4" s="1"/>
  <c r="C374" i="4"/>
  <c r="C375" i="4" s="1"/>
  <c r="C376" i="4" s="1"/>
  <c r="CK279" i="4"/>
  <c r="AG129" i="4"/>
  <c r="L129" i="4"/>
  <c r="AH129" i="4" s="1"/>
  <c r="CB119" i="4"/>
  <c r="CF120" i="4"/>
  <c r="CF119" i="4"/>
  <c r="CF118" i="4"/>
  <c r="AK255" i="4"/>
  <c r="AL255" i="4"/>
  <c r="AM255" i="4" s="1"/>
  <c r="P50" i="2"/>
  <c r="G222" i="4"/>
  <c r="F222" i="4" s="1"/>
  <c r="E222" i="4" s="1"/>
  <c r="D222" i="4" s="1"/>
  <c r="I222" i="4"/>
  <c r="J222" i="4" s="1"/>
  <c r="K222" i="4" s="1"/>
  <c r="L222" i="4" s="1"/>
  <c r="AC254" i="4"/>
  <c r="BZ280" i="4" s="1"/>
  <c r="AD254" i="4"/>
  <c r="AE254" i="4"/>
  <c r="AB254" i="4"/>
  <c r="AF254" i="4"/>
  <c r="CR280" i="4" s="1"/>
  <c r="AA249" i="4"/>
  <c r="AA253" i="4" s="1"/>
  <c r="BN279" i="4" s="1"/>
  <c r="D249" i="4"/>
  <c r="Z249" i="4" s="1"/>
  <c r="Z253" i="4" s="1"/>
  <c r="BH279" i="4" s="1"/>
  <c r="BX279" i="4"/>
  <c r="H25" i="4"/>
  <c r="N50" i="2"/>
  <c r="G235" i="4"/>
  <c r="F235" i="4" s="1"/>
  <c r="E235" i="4" s="1"/>
  <c r="D235" i="4" s="1"/>
  <c r="I235" i="4"/>
  <c r="J235" i="4" s="1"/>
  <c r="K235" i="4" s="1"/>
  <c r="L235" i="4" s="1"/>
  <c r="AC94" i="4"/>
  <c r="BZ120" i="4" s="1"/>
  <c r="E80" i="2"/>
  <c r="CC119" i="4"/>
  <c r="BT279" i="4"/>
  <c r="BT278" i="4"/>
  <c r="AL93" i="4"/>
  <c r="AL95" i="4" s="1"/>
  <c r="AL90" i="4"/>
  <c r="AB90" i="4" s="1"/>
  <c r="CE38" i="4"/>
  <c r="D37" i="2"/>
  <c r="D38" i="2"/>
  <c r="G182" i="4"/>
  <c r="F182" i="4" s="1"/>
  <c r="E182" i="4" s="1"/>
  <c r="D182" i="4" s="1"/>
  <c r="I182" i="4"/>
  <c r="J182" i="4" s="1"/>
  <c r="K182" i="4" s="1"/>
  <c r="L182" i="4" s="1"/>
  <c r="CD120" i="4"/>
  <c r="CD119" i="4"/>
  <c r="C105" i="2"/>
  <c r="C72" i="2"/>
  <c r="E53" i="2"/>
  <c r="CO279" i="4"/>
  <c r="BW279" i="4"/>
  <c r="CB38" i="4"/>
  <c r="P91" i="4"/>
  <c r="R91" i="4" s="1"/>
  <c r="AC91" i="4" s="1"/>
  <c r="BR279" i="4" l="1"/>
  <c r="CP279" i="4"/>
  <c r="AB293" i="4"/>
  <c r="AC293" i="4"/>
  <c r="AD213" i="4"/>
  <c r="H173" i="4"/>
  <c r="AE11" i="4"/>
  <c r="CL37" i="4" s="1"/>
  <c r="AE293" i="4"/>
  <c r="AC172" i="4"/>
  <c r="BZ198" i="4" s="1"/>
  <c r="CH279" i="4"/>
  <c r="CI118" i="4"/>
  <c r="CI120" i="4"/>
  <c r="AG254" i="4"/>
  <c r="I105" i="4"/>
  <c r="I94" i="4"/>
  <c r="AD52" i="4"/>
  <c r="AE134" i="4"/>
  <c r="I147" i="4" s="1"/>
  <c r="H12" i="4"/>
  <c r="CF199" i="4"/>
  <c r="CE199" i="4"/>
  <c r="G266" i="4"/>
  <c r="CD199" i="4"/>
  <c r="BW119" i="4"/>
  <c r="CI119" i="4"/>
  <c r="CB199" i="4"/>
  <c r="CR279" i="4"/>
  <c r="I253" i="4"/>
  <c r="CC199" i="4"/>
  <c r="AG252" i="4"/>
  <c r="CX278" i="4" s="1"/>
  <c r="J253" i="4"/>
  <c r="I266" i="4"/>
  <c r="CK119" i="4"/>
  <c r="AC16" i="4"/>
  <c r="G29" i="4" s="1"/>
  <c r="AE174" i="4"/>
  <c r="CL200" i="4" s="1"/>
  <c r="BV119" i="4"/>
  <c r="AC15" i="4"/>
  <c r="BZ41" i="4" s="1"/>
  <c r="CJ118" i="4"/>
  <c r="CH118" i="4"/>
  <c r="AH252" i="4"/>
  <c r="DD278" i="4" s="1"/>
  <c r="AH254" i="4"/>
  <c r="DA280" i="4" s="1"/>
  <c r="AE132" i="4"/>
  <c r="I132" i="4" s="1"/>
  <c r="CL118" i="4"/>
  <c r="I92" i="4"/>
  <c r="CH120" i="4"/>
  <c r="AE90" i="4"/>
  <c r="CL116" i="4" s="1"/>
  <c r="AD90" i="4"/>
  <c r="CF116" i="4" s="1"/>
  <c r="AA254" i="4"/>
  <c r="BN280" i="4" s="1"/>
  <c r="D62" i="2"/>
  <c r="D75" i="2" s="1"/>
  <c r="CK120" i="4"/>
  <c r="CJ120" i="4"/>
  <c r="I109" i="4"/>
  <c r="I96" i="4"/>
  <c r="AE136" i="4"/>
  <c r="CJ122" i="4"/>
  <c r="CH122" i="4"/>
  <c r="CI122" i="4"/>
  <c r="CK122" i="4"/>
  <c r="CL122" i="4"/>
  <c r="H347" i="4"/>
  <c r="H334" i="4"/>
  <c r="AD374" i="4"/>
  <c r="CE360" i="4"/>
  <c r="CC360" i="4"/>
  <c r="CD360" i="4"/>
  <c r="CB360" i="4"/>
  <c r="CF360" i="4"/>
  <c r="AB372" i="4"/>
  <c r="F332" i="4"/>
  <c r="F345" i="4"/>
  <c r="BR358" i="4"/>
  <c r="BS358" i="4"/>
  <c r="BP358" i="4"/>
  <c r="BQ358" i="4"/>
  <c r="BT358" i="4"/>
  <c r="G104" i="4"/>
  <c r="G91" i="4"/>
  <c r="AC131" i="4"/>
  <c r="BV117" i="4"/>
  <c r="BY117" i="4"/>
  <c r="BW117" i="4"/>
  <c r="BX117" i="4"/>
  <c r="BZ117" i="4"/>
  <c r="F90" i="4"/>
  <c r="F103" i="4"/>
  <c r="AB130" i="4"/>
  <c r="BR116" i="4"/>
  <c r="BS116" i="4"/>
  <c r="BP116" i="4"/>
  <c r="BQ116" i="4"/>
  <c r="BT116" i="4"/>
  <c r="J95" i="4"/>
  <c r="AF135" i="4"/>
  <c r="J108" i="4"/>
  <c r="CP121" i="4"/>
  <c r="CQ121" i="4"/>
  <c r="CN121" i="4"/>
  <c r="CO121" i="4"/>
  <c r="CR121" i="4"/>
  <c r="F267" i="4"/>
  <c r="F254" i="4"/>
  <c r="AB294" i="4"/>
  <c r="BR280" i="4"/>
  <c r="BQ280" i="4"/>
  <c r="BS280" i="4"/>
  <c r="BP280" i="4"/>
  <c r="AQ90" i="4"/>
  <c r="AQ93" i="4"/>
  <c r="AQ95" i="4" s="1"/>
  <c r="F252" i="4"/>
  <c r="F265" i="4"/>
  <c r="AB292" i="4"/>
  <c r="BR278" i="4"/>
  <c r="BP278" i="4"/>
  <c r="BS278" i="4"/>
  <c r="BQ278" i="4"/>
  <c r="F346" i="4"/>
  <c r="F333" i="4"/>
  <c r="AB373" i="4"/>
  <c r="BR359" i="4"/>
  <c r="BS359" i="4"/>
  <c r="BQ359" i="4"/>
  <c r="BP359" i="4"/>
  <c r="CS121" i="4"/>
  <c r="CI116" i="4"/>
  <c r="I267" i="4"/>
  <c r="I254" i="4"/>
  <c r="AE294" i="4"/>
  <c r="CH280" i="4"/>
  <c r="CK280" i="4"/>
  <c r="CI280" i="4"/>
  <c r="CJ280" i="4"/>
  <c r="C335" i="4"/>
  <c r="AG335" i="4" s="1"/>
  <c r="CY361" i="4" s="1"/>
  <c r="AC334" i="4"/>
  <c r="AE334" i="4"/>
  <c r="CM360" i="4" s="1"/>
  <c r="J252" i="4"/>
  <c r="J265" i="4"/>
  <c r="AF292" i="4"/>
  <c r="CO278" i="4"/>
  <c r="CQ278" i="4"/>
  <c r="CN278" i="4"/>
  <c r="CP278" i="4"/>
  <c r="AC214" i="4"/>
  <c r="G187" i="4"/>
  <c r="G174" i="4"/>
  <c r="BX200" i="4"/>
  <c r="BV200" i="4"/>
  <c r="BW200" i="4"/>
  <c r="BY200" i="4"/>
  <c r="CR278" i="4"/>
  <c r="CG278" i="4"/>
  <c r="CG280" i="4"/>
  <c r="CG279" i="4"/>
  <c r="H279" i="4" s="1"/>
  <c r="H319" i="4" s="1"/>
  <c r="CA36" i="4"/>
  <c r="I134" i="4"/>
  <c r="AC96" i="4"/>
  <c r="CA122" i="4" s="1"/>
  <c r="C83" i="2"/>
  <c r="E105" i="2"/>
  <c r="L254" i="4"/>
  <c r="L267" i="4"/>
  <c r="AH294" i="4"/>
  <c r="DB280" i="4"/>
  <c r="DC280" i="4"/>
  <c r="CZ280" i="4"/>
  <c r="H146" i="4"/>
  <c r="H133" i="4"/>
  <c r="H29" i="4"/>
  <c r="AD56" i="4"/>
  <c r="H16" i="4"/>
  <c r="CD42" i="4"/>
  <c r="CB42" i="4"/>
  <c r="CC42" i="4"/>
  <c r="CE42" i="4"/>
  <c r="C331" i="4"/>
  <c r="AC332" i="4"/>
  <c r="CA358" i="4" s="1"/>
  <c r="AE332" i="4"/>
  <c r="CM358" i="4" s="1"/>
  <c r="G252" i="4"/>
  <c r="G265" i="4"/>
  <c r="AC292" i="4"/>
  <c r="BX278" i="4"/>
  <c r="BV278" i="4"/>
  <c r="BW278" i="4"/>
  <c r="BY278" i="4"/>
  <c r="I187" i="4"/>
  <c r="CI200" i="4"/>
  <c r="AC171" i="4"/>
  <c r="AE171" i="4"/>
  <c r="CM197" i="4" s="1"/>
  <c r="AD171" i="4"/>
  <c r="CG197" i="4" s="1"/>
  <c r="H13" i="4"/>
  <c r="AD53" i="4"/>
  <c r="H26" i="4"/>
  <c r="CD39" i="4"/>
  <c r="CB39" i="4"/>
  <c r="CC39" i="4"/>
  <c r="CE39" i="4"/>
  <c r="CG359" i="4"/>
  <c r="CG360" i="4"/>
  <c r="CA200" i="4"/>
  <c r="CA198" i="4"/>
  <c r="H172" i="4"/>
  <c r="H185" i="4"/>
  <c r="AD212" i="4"/>
  <c r="CE198" i="4"/>
  <c r="CC198" i="4"/>
  <c r="CB198" i="4"/>
  <c r="CD198" i="4"/>
  <c r="G90" i="4"/>
  <c r="G103" i="4"/>
  <c r="AC130" i="4"/>
  <c r="BX116" i="4"/>
  <c r="BV116" i="4"/>
  <c r="BW116" i="4"/>
  <c r="BY116" i="4"/>
  <c r="AD96" i="4"/>
  <c r="CG122" i="4" s="1"/>
  <c r="H52" i="4"/>
  <c r="H65" i="4"/>
  <c r="H254" i="4"/>
  <c r="AD294" i="4"/>
  <c r="H267" i="4"/>
  <c r="CD280" i="4"/>
  <c r="CE280" i="4"/>
  <c r="CB280" i="4"/>
  <c r="CC280" i="4"/>
  <c r="AC56" i="4"/>
  <c r="BX42" i="4"/>
  <c r="BW42" i="4"/>
  <c r="BY42" i="4"/>
  <c r="H252" i="4"/>
  <c r="H265" i="4"/>
  <c r="AD292" i="4"/>
  <c r="CC278" i="4"/>
  <c r="CE278" i="4"/>
  <c r="CD278" i="4"/>
  <c r="CB278" i="4"/>
  <c r="DD280" i="4"/>
  <c r="H306" i="4"/>
  <c r="H293" i="4"/>
  <c r="D131" i="2"/>
  <c r="D132" i="2"/>
  <c r="D140" i="2" s="1"/>
  <c r="D56" i="2"/>
  <c r="D74" i="2" s="1"/>
  <c r="N53" i="2"/>
  <c r="P53" i="2"/>
  <c r="L53" i="2"/>
  <c r="M53" i="2"/>
  <c r="O53" i="2"/>
  <c r="Q53" i="2"/>
  <c r="CS278" i="4"/>
  <c r="CS280" i="4"/>
  <c r="CS279" i="4"/>
  <c r="J279" i="4" s="1"/>
  <c r="J319" i="4" s="1"/>
  <c r="AB91" i="4"/>
  <c r="BU117" i="4" s="1"/>
  <c r="H95" i="4"/>
  <c r="AD135" i="4"/>
  <c r="H108" i="4"/>
  <c r="CD121" i="4"/>
  <c r="CC121" i="4"/>
  <c r="CE121" i="4"/>
  <c r="CB121" i="4"/>
  <c r="AB96" i="4"/>
  <c r="K254" i="4"/>
  <c r="K267" i="4"/>
  <c r="AG294" i="4"/>
  <c r="CV280" i="4"/>
  <c r="CW280" i="4"/>
  <c r="CT280" i="4"/>
  <c r="CU280" i="4"/>
  <c r="I11" i="4"/>
  <c r="I24" i="4"/>
  <c r="AE51" i="4"/>
  <c r="CJ37" i="4"/>
  <c r="CK37" i="4"/>
  <c r="CH37" i="4"/>
  <c r="CI37" i="4"/>
  <c r="K252" i="4"/>
  <c r="K265" i="4"/>
  <c r="AG292" i="4"/>
  <c r="CT278" i="4"/>
  <c r="CW278" i="4"/>
  <c r="CV278" i="4"/>
  <c r="CU278" i="4"/>
  <c r="AG334" i="4"/>
  <c r="CY360" i="4" s="1"/>
  <c r="AG333" i="4"/>
  <c r="AG331" i="4"/>
  <c r="AG332" i="4"/>
  <c r="CY358" i="4" s="1"/>
  <c r="G306" i="4"/>
  <c r="G293" i="4"/>
  <c r="D138" i="2"/>
  <c r="CA280" i="4"/>
  <c r="CA279" i="4"/>
  <c r="CA278" i="4"/>
  <c r="CF42" i="4"/>
  <c r="AD332" i="4"/>
  <c r="CG358" i="4" s="1"/>
  <c r="H147" i="4"/>
  <c r="H134" i="4"/>
  <c r="G95" i="4"/>
  <c r="G108" i="4"/>
  <c r="AC135" i="4"/>
  <c r="BX121" i="4"/>
  <c r="BW121" i="4"/>
  <c r="BV121" i="4"/>
  <c r="BY121" i="4"/>
  <c r="BT280" i="4"/>
  <c r="CX280" i="4"/>
  <c r="Z254" i="4"/>
  <c r="H67" i="4"/>
  <c r="H54" i="4"/>
  <c r="AF93" i="4"/>
  <c r="AF94" i="4"/>
  <c r="AF92" i="4"/>
  <c r="CS118" i="4" s="1"/>
  <c r="Z252" i="4"/>
  <c r="BI278" i="4" s="1"/>
  <c r="AH331" i="4"/>
  <c r="AH332" i="4"/>
  <c r="DE358" i="4" s="1"/>
  <c r="AH333" i="4"/>
  <c r="DE359" i="4" s="1"/>
  <c r="AH334" i="4"/>
  <c r="DE360" i="4" s="1"/>
  <c r="E72" i="2"/>
  <c r="BI279" i="4"/>
  <c r="CM198" i="4"/>
  <c r="CF280" i="4"/>
  <c r="J169" i="4"/>
  <c r="AF175" i="4" s="1"/>
  <c r="CS201" i="4" s="1"/>
  <c r="AE169" i="4"/>
  <c r="AE173" i="4"/>
  <c r="AB95" i="4"/>
  <c r="AK93" i="4"/>
  <c r="AK95" i="4" s="1"/>
  <c r="AK90" i="4"/>
  <c r="G267" i="4"/>
  <c r="G254" i="4"/>
  <c r="AC294" i="4"/>
  <c r="BX280" i="4"/>
  <c r="BW280" i="4"/>
  <c r="BV280" i="4"/>
  <c r="BY280" i="4"/>
  <c r="G105" i="4"/>
  <c r="G92" i="4"/>
  <c r="AC132" i="4"/>
  <c r="BX118" i="4"/>
  <c r="BV118" i="4"/>
  <c r="BY118" i="4"/>
  <c r="BW118" i="4"/>
  <c r="AE176" i="4"/>
  <c r="CM202" i="4" s="1"/>
  <c r="AC176" i="4"/>
  <c r="CA202" i="4" s="1"/>
  <c r="AD176" i="4"/>
  <c r="CG202" i="4" s="1"/>
  <c r="Z331" i="4"/>
  <c r="BI357" i="4" s="1"/>
  <c r="Z332" i="4"/>
  <c r="Z333" i="4"/>
  <c r="Z334" i="4"/>
  <c r="BI360" i="4" s="1"/>
  <c r="Z335" i="4"/>
  <c r="BI361" i="4" s="1"/>
  <c r="CG199" i="4"/>
  <c r="H199" i="4" s="1"/>
  <c r="H239" i="4" s="1"/>
  <c r="CG198" i="4"/>
  <c r="CG200" i="4"/>
  <c r="CG120" i="4"/>
  <c r="H120" i="4" s="1"/>
  <c r="H160" i="4" s="1"/>
  <c r="CG116" i="4"/>
  <c r="CG119" i="4"/>
  <c r="H119" i="4" s="1"/>
  <c r="H159" i="4" s="1"/>
  <c r="CG121" i="4"/>
  <c r="CG118" i="4"/>
  <c r="H118" i="4" s="1"/>
  <c r="H158" i="4" s="1"/>
  <c r="CF278" i="4"/>
  <c r="H346" i="4"/>
  <c r="AD373" i="4"/>
  <c r="H333" i="4"/>
  <c r="CD359" i="4"/>
  <c r="CE359" i="4"/>
  <c r="CB359" i="4"/>
  <c r="CC359" i="4"/>
  <c r="AC169" i="4"/>
  <c r="F169" i="4"/>
  <c r="AB171" i="4" s="1"/>
  <c r="AC173" i="4"/>
  <c r="CA199" i="4" s="1"/>
  <c r="Z89" i="4"/>
  <c r="AJ89" i="4"/>
  <c r="D55" i="2"/>
  <c r="C183" i="6"/>
  <c r="AA331" i="4"/>
  <c r="BO357" i="4" s="1"/>
  <c r="AA332" i="4"/>
  <c r="AA333" i="4"/>
  <c r="BO359" i="4" s="1"/>
  <c r="AA334" i="4"/>
  <c r="BO360" i="4" s="1"/>
  <c r="DE279" i="4"/>
  <c r="DE280" i="4"/>
  <c r="CA119" i="4"/>
  <c r="CA116" i="4"/>
  <c r="CA118" i="4"/>
  <c r="CA121" i="4"/>
  <c r="CA117" i="4"/>
  <c r="CA120" i="4"/>
  <c r="G172" i="4"/>
  <c r="G185" i="4"/>
  <c r="AC212" i="4"/>
  <c r="BX198" i="4"/>
  <c r="BV198" i="4"/>
  <c r="BY198" i="4"/>
  <c r="BW198" i="4"/>
  <c r="BZ200" i="4"/>
  <c r="I95" i="4"/>
  <c r="AE135" i="4"/>
  <c r="I108" i="4"/>
  <c r="CJ121" i="4"/>
  <c r="CK121" i="4"/>
  <c r="CI121" i="4"/>
  <c r="CH121" i="4"/>
  <c r="I146" i="4"/>
  <c r="I133" i="4"/>
  <c r="Z251" i="4"/>
  <c r="AG251" i="4"/>
  <c r="AD251" i="4"/>
  <c r="AC251" i="4"/>
  <c r="CA277" i="4" s="1"/>
  <c r="AF251" i="4"/>
  <c r="CS277" i="4" s="1"/>
  <c r="AB251" i="4"/>
  <c r="BU277" i="4" s="1"/>
  <c r="AE251" i="4"/>
  <c r="CM277" i="4" s="1"/>
  <c r="AA251" i="4"/>
  <c r="BO277" i="4" s="1"/>
  <c r="AH251" i="4"/>
  <c r="DE277" i="4" s="1"/>
  <c r="AF334" i="4"/>
  <c r="CS360" i="4" s="1"/>
  <c r="CA359" i="4"/>
  <c r="G359" i="4" s="1"/>
  <c r="G399" i="4" s="1"/>
  <c r="CA360" i="4"/>
  <c r="CM279" i="4"/>
  <c r="I279" i="4" s="1"/>
  <c r="I319" i="4" s="1"/>
  <c r="CM280" i="4"/>
  <c r="CM278" i="4"/>
  <c r="BU116" i="4"/>
  <c r="BU122" i="4"/>
  <c r="CF39" i="4"/>
  <c r="I185" i="4"/>
  <c r="I172" i="4"/>
  <c r="AE212" i="4"/>
  <c r="CK198" i="4"/>
  <c r="CH198" i="4"/>
  <c r="CJ198" i="4"/>
  <c r="CI198" i="4"/>
  <c r="AF91" i="4"/>
  <c r="AF96" i="4"/>
  <c r="AA256" i="4"/>
  <c r="BO282" i="4" s="1"/>
  <c r="AE256" i="4"/>
  <c r="CM282" i="4" s="1"/>
  <c r="AH256" i="4"/>
  <c r="AG256" i="4"/>
  <c r="Z256" i="4"/>
  <c r="AC256" i="4"/>
  <c r="CA282" i="4" s="1"/>
  <c r="AF256" i="4"/>
  <c r="AD256" i="4"/>
  <c r="AB256" i="4"/>
  <c r="BU282" i="4" s="1"/>
  <c r="G23" i="4"/>
  <c r="AC50" i="4"/>
  <c r="G10" i="4"/>
  <c r="BX36" i="4"/>
  <c r="BY36" i="4"/>
  <c r="BV36" i="4"/>
  <c r="BW36" i="4"/>
  <c r="AE170" i="4"/>
  <c r="AB170" i="4"/>
  <c r="AC170" i="4"/>
  <c r="AD170" i="4"/>
  <c r="H145" i="4"/>
  <c r="H132" i="4"/>
  <c r="AF373" i="4"/>
  <c r="J333" i="4"/>
  <c r="J346" i="4"/>
  <c r="CO359" i="4"/>
  <c r="CN359" i="4"/>
  <c r="CP359" i="4"/>
  <c r="CQ359" i="4"/>
  <c r="AB175" i="4"/>
  <c r="BU201" i="4" s="1"/>
  <c r="AE175" i="4"/>
  <c r="CM201" i="4" s="1"/>
  <c r="AC175" i="4"/>
  <c r="CA201" i="4" s="1"/>
  <c r="AD175" i="4"/>
  <c r="D63" i="2"/>
  <c r="D64" i="2" s="1"/>
  <c r="D69" i="2"/>
  <c r="CS359" i="4"/>
  <c r="BU279" i="4"/>
  <c r="F279" i="4" s="1"/>
  <c r="F319" i="4" s="1"/>
  <c r="BU278" i="4"/>
  <c r="BU280" i="4"/>
  <c r="D127" i="2"/>
  <c r="AE91" i="4"/>
  <c r="CM117" i="4" s="1"/>
  <c r="I15" i="4"/>
  <c r="I28" i="4"/>
  <c r="AE55" i="4"/>
  <c r="CJ41" i="4"/>
  <c r="CI41" i="4"/>
  <c r="CH41" i="4"/>
  <c r="CK41" i="4"/>
  <c r="I13" i="4"/>
  <c r="I26" i="4"/>
  <c r="AE53" i="4"/>
  <c r="CI39" i="4"/>
  <c r="CK39" i="4"/>
  <c r="CJ39" i="4"/>
  <c r="CH39" i="4"/>
  <c r="AF332" i="4"/>
  <c r="CS358" i="4" s="1"/>
  <c r="E34" i="2"/>
  <c r="C50" i="2"/>
  <c r="L49" i="2"/>
  <c r="M49" i="2"/>
  <c r="N49" i="2"/>
  <c r="C36" i="2"/>
  <c r="P49" i="2"/>
  <c r="Q49" i="2"/>
  <c r="O49" i="2"/>
  <c r="BO358" i="4"/>
  <c r="CM116" i="4"/>
  <c r="CM118" i="4"/>
  <c r="I118" i="4" s="1"/>
  <c r="I158" i="4" s="1"/>
  <c r="CM119" i="4"/>
  <c r="I119" i="4" s="1"/>
  <c r="I159" i="4" s="1"/>
  <c r="CM121" i="4"/>
  <c r="CM122" i="4"/>
  <c r="CM120" i="4"/>
  <c r="D139" i="5"/>
  <c r="D141" i="5" s="1"/>
  <c r="D76" i="5"/>
  <c r="D151" i="5"/>
  <c r="C139" i="5"/>
  <c r="C141" i="5" s="1"/>
  <c r="C143" i="5" s="1"/>
  <c r="C134" i="5"/>
  <c r="AD91" i="4"/>
  <c r="CG117" i="4" s="1"/>
  <c r="H226" i="4"/>
  <c r="H213" i="4"/>
  <c r="AB93" i="4"/>
  <c r="BU119" i="4" s="1"/>
  <c r="AB94" i="4"/>
  <c r="BU120" i="4" s="1"/>
  <c r="AB92" i="4"/>
  <c r="BU118" i="4" s="1"/>
  <c r="AH255" i="4"/>
  <c r="DE281" i="4" s="1"/>
  <c r="Z255" i="4"/>
  <c r="AE255" i="4"/>
  <c r="AA255" i="4"/>
  <c r="BO281" i="4" s="1"/>
  <c r="AD255" i="4"/>
  <c r="AB255" i="4"/>
  <c r="BU281" i="4" s="1"/>
  <c r="AC255" i="4"/>
  <c r="AG255" i="4"/>
  <c r="AF255" i="4"/>
  <c r="H15" i="4"/>
  <c r="H28" i="4"/>
  <c r="AD55" i="4"/>
  <c r="CD41" i="4"/>
  <c r="CC41" i="4"/>
  <c r="CE41" i="4"/>
  <c r="CB41" i="4"/>
  <c r="C65" i="6"/>
  <c r="L253" i="4"/>
  <c r="L266" i="4"/>
  <c r="AH293" i="4"/>
  <c r="DB279" i="4"/>
  <c r="DA279" i="4"/>
  <c r="DC279" i="4"/>
  <c r="CZ279" i="4"/>
  <c r="BO280" i="4"/>
  <c r="BO279" i="4"/>
  <c r="D266" i="4"/>
  <c r="Z293" i="4"/>
  <c r="D253" i="4"/>
  <c r="BF279" i="4"/>
  <c r="BD279" i="4"/>
  <c r="BG279" i="4"/>
  <c r="BE279" i="4"/>
  <c r="G28" i="4"/>
  <c r="G15" i="4"/>
  <c r="AC55" i="4"/>
  <c r="BX41" i="4"/>
  <c r="BY41" i="4"/>
  <c r="BV41" i="4"/>
  <c r="BW41" i="4"/>
  <c r="G133" i="4"/>
  <c r="G146" i="4"/>
  <c r="C132" i="5"/>
  <c r="D116" i="2" s="1"/>
  <c r="D124" i="2" s="1"/>
  <c r="C133" i="5"/>
  <c r="D117" i="2" s="1"/>
  <c r="D125" i="2" s="1"/>
  <c r="D115" i="2"/>
  <c r="D123" i="2" s="1"/>
  <c r="D207" i="6"/>
  <c r="C109" i="6" s="1"/>
  <c r="C104" i="6"/>
  <c r="C108" i="6" s="1"/>
  <c r="G409" i="4"/>
  <c r="K253" i="4"/>
  <c r="K266" i="4"/>
  <c r="AG293" i="4"/>
  <c r="CV279" i="4"/>
  <c r="CW279" i="4"/>
  <c r="CU279" i="4"/>
  <c r="CT279" i="4"/>
  <c r="DE357" i="4"/>
  <c r="AE209" i="4"/>
  <c r="J209" i="4"/>
  <c r="E266" i="4"/>
  <c r="AA293" i="4"/>
  <c r="E253" i="4"/>
  <c r="BM279" i="4"/>
  <c r="BJ279" i="4"/>
  <c r="BL279" i="4"/>
  <c r="BK279" i="4"/>
  <c r="I16" i="4"/>
  <c r="I29" i="4"/>
  <c r="AE56" i="4"/>
  <c r="CH42" i="4"/>
  <c r="CI42" i="4"/>
  <c r="CK42" i="4"/>
  <c r="CJ42" i="4"/>
  <c r="I23" i="4"/>
  <c r="I10" i="4"/>
  <c r="AE50" i="4"/>
  <c r="CI36" i="4"/>
  <c r="CJ36" i="4"/>
  <c r="CK36" i="4"/>
  <c r="CH36" i="4"/>
  <c r="L252" i="4"/>
  <c r="L265" i="4"/>
  <c r="AH292" i="4"/>
  <c r="DB278" i="4"/>
  <c r="CZ278" i="4"/>
  <c r="DA278" i="4"/>
  <c r="DC278" i="4"/>
  <c r="H187" i="4"/>
  <c r="H174" i="4"/>
  <c r="AD214" i="4"/>
  <c r="CC200" i="4"/>
  <c r="CE200" i="4"/>
  <c r="CB200" i="4"/>
  <c r="CD200" i="4"/>
  <c r="AE9" i="4"/>
  <c r="J9" i="4"/>
  <c r="AE49" i="4"/>
  <c r="AE12" i="4"/>
  <c r="CM38" i="4" s="1"/>
  <c r="AE14" i="4"/>
  <c r="CM40" i="4" s="1"/>
  <c r="C168" i="6"/>
  <c r="D181" i="6"/>
  <c r="C144" i="6"/>
  <c r="C145" i="6" s="1"/>
  <c r="C147" i="6" s="1"/>
  <c r="C149" i="6" s="1"/>
  <c r="C82" i="6"/>
  <c r="C83" i="6" s="1"/>
  <c r="C146" i="2"/>
  <c r="D161" i="6"/>
  <c r="D162" i="6" s="1"/>
  <c r="C139" i="6"/>
  <c r="I293" i="4"/>
  <c r="I306" i="4"/>
  <c r="BI358" i="4"/>
  <c r="BI359" i="4"/>
  <c r="CY279" i="4"/>
  <c r="CY278" i="4"/>
  <c r="CY282" i="4"/>
  <c r="CY277" i="4"/>
  <c r="CY280" i="4"/>
  <c r="CM37" i="4"/>
  <c r="CM36" i="4"/>
  <c r="CM42" i="4"/>
  <c r="CM41" i="4"/>
  <c r="CM39" i="4"/>
  <c r="C119" i="5"/>
  <c r="D107" i="2"/>
  <c r="F209" i="4"/>
  <c r="AC209" i="4"/>
  <c r="G94" i="4"/>
  <c r="AC134" i="4"/>
  <c r="G107" i="4"/>
  <c r="BV120" i="4"/>
  <c r="BW120" i="4"/>
  <c r="BX120" i="4"/>
  <c r="BY120" i="4"/>
  <c r="E267" i="4"/>
  <c r="E254" i="4"/>
  <c r="AA294" i="4"/>
  <c r="BL280" i="4"/>
  <c r="BK280" i="4"/>
  <c r="BJ280" i="4"/>
  <c r="BM280" i="4"/>
  <c r="H24" i="4"/>
  <c r="AD51" i="4"/>
  <c r="H11" i="4"/>
  <c r="CE37" i="4"/>
  <c r="CC37" i="4"/>
  <c r="CB37" i="4"/>
  <c r="CD37" i="4"/>
  <c r="AH89" i="4"/>
  <c r="AR89" i="4"/>
  <c r="H23" i="4"/>
  <c r="H10" i="4"/>
  <c r="AD50" i="4"/>
  <c r="CD36" i="4"/>
  <c r="CC36" i="4"/>
  <c r="CE36" i="4"/>
  <c r="CB36" i="4"/>
  <c r="AA252" i="4"/>
  <c r="BO278" i="4" s="1"/>
  <c r="F9" i="4"/>
  <c r="AC9" i="4"/>
  <c r="AC49" i="4"/>
  <c r="AC12" i="4"/>
  <c r="AC14" i="4"/>
  <c r="AC13" i="4"/>
  <c r="J293" i="4"/>
  <c r="J306" i="4"/>
  <c r="BZ278" i="4"/>
  <c r="CM359" i="4"/>
  <c r="I359" i="4" s="1"/>
  <c r="I399" i="4" s="1"/>
  <c r="I386" i="4"/>
  <c r="I373" i="4"/>
  <c r="BZ42" i="4"/>
  <c r="G373" i="4"/>
  <c r="G386" i="4"/>
  <c r="J267" i="4"/>
  <c r="J254" i="4"/>
  <c r="AF294" i="4"/>
  <c r="CP280" i="4"/>
  <c r="CO280" i="4"/>
  <c r="CQ280" i="4"/>
  <c r="CN280" i="4"/>
  <c r="G279" i="4"/>
  <c r="G319" i="4" s="1"/>
  <c r="AC11" i="4"/>
  <c r="CL280" i="4"/>
  <c r="I252" i="4"/>
  <c r="I265" i="4"/>
  <c r="AE292" i="4"/>
  <c r="CI278" i="4"/>
  <c r="CJ278" i="4"/>
  <c r="CK278" i="4"/>
  <c r="CH278" i="4"/>
  <c r="AG250" i="4"/>
  <c r="CY276" i="4" s="1"/>
  <c r="AD250" i="4"/>
  <c r="AC250" i="4"/>
  <c r="AF250" i="4"/>
  <c r="CS276" i="4" s="1"/>
  <c r="AB250" i="4"/>
  <c r="AE250" i="4"/>
  <c r="AA250" i="4"/>
  <c r="BO276" i="4" s="1"/>
  <c r="AH250" i="4"/>
  <c r="Z250" i="4"/>
  <c r="AB334" i="4"/>
  <c r="BU360" i="4" s="1"/>
  <c r="BU358" i="4"/>
  <c r="BU359" i="4"/>
  <c r="CG36" i="4"/>
  <c r="CG39" i="4"/>
  <c r="CG40" i="4"/>
  <c r="H40" i="4" s="1"/>
  <c r="H80" i="4" s="1"/>
  <c r="CG38" i="4"/>
  <c r="H38" i="4" s="1"/>
  <c r="H78" i="4" s="1"/>
  <c r="CG37" i="4"/>
  <c r="CG42" i="4"/>
  <c r="CG41" i="4"/>
  <c r="AV253" i="4"/>
  <c r="AV266" i="4"/>
  <c r="AV293" i="4"/>
  <c r="F306" i="4"/>
  <c r="AV319" i="4"/>
  <c r="AV306" i="4"/>
  <c r="AV279" i="4"/>
  <c r="F293" i="4"/>
  <c r="BT359" i="4"/>
  <c r="AF90" i="4"/>
  <c r="CK116" i="4" l="1"/>
  <c r="AB176" i="4"/>
  <c r="BU202" i="4" s="1"/>
  <c r="CJ200" i="4"/>
  <c r="CJ116" i="4"/>
  <c r="AA335" i="4"/>
  <c r="BO361" i="4" s="1"/>
  <c r="I174" i="4"/>
  <c r="BV42" i="4"/>
  <c r="CH200" i="4"/>
  <c r="CK200" i="4"/>
  <c r="AE214" i="4"/>
  <c r="CA42" i="4"/>
  <c r="G16" i="4"/>
  <c r="CM200" i="4"/>
  <c r="G119" i="4"/>
  <c r="G159" i="4" s="1"/>
  <c r="CA41" i="4"/>
  <c r="G41" i="4" s="1"/>
  <c r="G81" i="4" s="1"/>
  <c r="I103" i="4"/>
  <c r="I145" i="4"/>
  <c r="DE278" i="4"/>
  <c r="AE130" i="4"/>
  <c r="I90" i="4"/>
  <c r="CE116" i="4"/>
  <c r="AD130" i="4"/>
  <c r="H90" i="4"/>
  <c r="CH116" i="4"/>
  <c r="I278" i="4"/>
  <c r="I318" i="4" s="1"/>
  <c r="I120" i="4"/>
  <c r="I160" i="4" s="1"/>
  <c r="H103" i="4"/>
  <c r="J280" i="4"/>
  <c r="J320" i="4" s="1"/>
  <c r="CD116" i="4"/>
  <c r="CC116" i="4"/>
  <c r="CB116" i="4"/>
  <c r="H116" i="4" s="1"/>
  <c r="H156" i="4" s="1"/>
  <c r="H359" i="4"/>
  <c r="H399" i="4" s="1"/>
  <c r="AF170" i="4"/>
  <c r="CS196" i="4" s="1"/>
  <c r="C55" i="2"/>
  <c r="E55" i="2" s="1"/>
  <c r="AH335" i="4"/>
  <c r="DE361" i="4" s="1"/>
  <c r="G36" i="4"/>
  <c r="G76" i="4" s="1"/>
  <c r="E280" i="4"/>
  <c r="E320" i="4" s="1"/>
  <c r="F184" i="4"/>
  <c r="F171" i="4"/>
  <c r="AB211" i="4"/>
  <c r="BS197" i="4"/>
  <c r="BQ197" i="4"/>
  <c r="BP197" i="4"/>
  <c r="BR197" i="4"/>
  <c r="BT197" i="4"/>
  <c r="BU197" i="4"/>
  <c r="C184" i="6"/>
  <c r="J90" i="4"/>
  <c r="AF130" i="4"/>
  <c r="J103" i="4"/>
  <c r="CP116" i="4"/>
  <c r="CN116" i="4"/>
  <c r="CO116" i="4"/>
  <c r="CQ116" i="4"/>
  <c r="CR116" i="4"/>
  <c r="D263" i="4"/>
  <c r="Z290" i="4"/>
  <c r="D250" i="4"/>
  <c r="BF276" i="4"/>
  <c r="BE276" i="4"/>
  <c r="BD276" i="4"/>
  <c r="BG276" i="4"/>
  <c r="BH276" i="4"/>
  <c r="H36" i="4"/>
  <c r="H76" i="4" s="1"/>
  <c r="D151" i="6"/>
  <c r="C118" i="2"/>
  <c r="H227" i="4"/>
  <c r="H214" i="4"/>
  <c r="AF209" i="4"/>
  <c r="K209" i="4"/>
  <c r="H170" i="4"/>
  <c r="H183" i="4"/>
  <c r="AD210" i="4"/>
  <c r="CE196" i="4"/>
  <c r="CC196" i="4"/>
  <c r="CD196" i="4"/>
  <c r="CB196" i="4"/>
  <c r="CF196" i="4"/>
  <c r="H269" i="4"/>
  <c r="H256" i="4"/>
  <c r="AD296" i="4"/>
  <c r="CD282" i="4"/>
  <c r="CE282" i="4"/>
  <c r="CC282" i="4"/>
  <c r="CB282" i="4"/>
  <c r="CF282" i="4"/>
  <c r="AD291" i="4"/>
  <c r="H251" i="4"/>
  <c r="H264" i="4"/>
  <c r="CD277" i="4"/>
  <c r="CB277" i="4"/>
  <c r="CE277" i="4"/>
  <c r="CC277" i="4"/>
  <c r="CF277" i="4"/>
  <c r="I135" i="4"/>
  <c r="I148" i="4"/>
  <c r="D348" i="4"/>
  <c r="Z375" i="4"/>
  <c r="D335" i="4"/>
  <c r="BF361" i="4"/>
  <c r="BD361" i="4"/>
  <c r="BG361" i="4"/>
  <c r="BE361" i="4"/>
  <c r="BH361" i="4"/>
  <c r="F189" i="4"/>
  <c r="F176" i="4"/>
  <c r="AB216" i="4"/>
  <c r="BR202" i="4"/>
  <c r="BP202" i="4"/>
  <c r="BS202" i="4"/>
  <c r="BQ202" i="4"/>
  <c r="BT202" i="4"/>
  <c r="AA93" i="4"/>
  <c r="AA94" i="4"/>
  <c r="AA92" i="4"/>
  <c r="AA90" i="4"/>
  <c r="AA95" i="4"/>
  <c r="AA96" i="4"/>
  <c r="AA91" i="4"/>
  <c r="J107" i="4"/>
  <c r="AF134" i="4"/>
  <c r="J94" i="4"/>
  <c r="CP120" i="4"/>
  <c r="CQ120" i="4"/>
  <c r="CO120" i="4"/>
  <c r="CN120" i="4"/>
  <c r="CR120" i="4"/>
  <c r="K331" i="4"/>
  <c r="K344" i="4"/>
  <c r="AG371" i="4"/>
  <c r="CV357" i="4"/>
  <c r="CU357" i="4"/>
  <c r="CT357" i="4"/>
  <c r="CW357" i="4"/>
  <c r="CX357" i="4"/>
  <c r="I64" i="4"/>
  <c r="I51" i="4"/>
  <c r="H135" i="4"/>
  <c r="H148" i="4"/>
  <c r="H292" i="4"/>
  <c r="H305" i="4"/>
  <c r="I200" i="4"/>
  <c r="I240" i="4" s="1"/>
  <c r="AV252" i="4"/>
  <c r="AV265" i="4"/>
  <c r="AV278" i="4"/>
  <c r="F292" i="4"/>
  <c r="AV292" i="4"/>
  <c r="F305" i="4"/>
  <c r="AV318" i="4"/>
  <c r="AV305" i="4"/>
  <c r="L250" i="4"/>
  <c r="L263" i="4"/>
  <c r="AH290" i="4"/>
  <c r="DB276" i="4"/>
  <c r="DA276" i="4"/>
  <c r="DC276" i="4"/>
  <c r="CZ276" i="4"/>
  <c r="DD276" i="4"/>
  <c r="D118" i="5"/>
  <c r="D117" i="5"/>
  <c r="D116" i="5"/>
  <c r="G170" i="4"/>
  <c r="G183" i="4"/>
  <c r="AC210" i="4"/>
  <c r="BW196" i="4"/>
  <c r="BV196" i="4"/>
  <c r="BX196" i="4"/>
  <c r="BY196" i="4"/>
  <c r="BZ196" i="4"/>
  <c r="J256" i="4"/>
  <c r="AF296" i="4"/>
  <c r="J269" i="4"/>
  <c r="CP282" i="4"/>
  <c r="CQ282" i="4"/>
  <c r="CN282" i="4"/>
  <c r="CO282" i="4"/>
  <c r="CR282" i="4"/>
  <c r="K251" i="4"/>
  <c r="AG291" i="4"/>
  <c r="K264" i="4"/>
  <c r="CV277" i="4"/>
  <c r="CT277" i="4"/>
  <c r="CU277" i="4"/>
  <c r="CW277" i="4"/>
  <c r="CX277" i="4"/>
  <c r="D347" i="4"/>
  <c r="Z374" i="4"/>
  <c r="D334" i="4"/>
  <c r="BE360" i="4"/>
  <c r="BG360" i="4"/>
  <c r="BF360" i="4"/>
  <c r="BD360" i="4"/>
  <c r="BH360" i="4"/>
  <c r="BI276" i="4"/>
  <c r="J93" i="4"/>
  <c r="J106" i="4"/>
  <c r="AF133" i="4"/>
  <c r="CP119" i="4"/>
  <c r="CQ119" i="4"/>
  <c r="CO119" i="4"/>
  <c r="CN119" i="4"/>
  <c r="CR119" i="4"/>
  <c r="G135" i="4"/>
  <c r="G148" i="4"/>
  <c r="D135" i="2"/>
  <c r="D143" i="2" s="1"/>
  <c r="D133" i="2"/>
  <c r="D141" i="2" s="1"/>
  <c r="D134" i="2"/>
  <c r="D142" i="2" s="1"/>
  <c r="D139" i="2"/>
  <c r="H42" i="4"/>
  <c r="H82" i="4" s="1"/>
  <c r="G200" i="4"/>
  <c r="G240" i="4" s="1"/>
  <c r="G117" i="4"/>
  <c r="G157" i="4" s="1"/>
  <c r="E263" i="4"/>
  <c r="AA290" i="4"/>
  <c r="E250" i="4"/>
  <c r="BK276" i="4"/>
  <c r="BJ276" i="4"/>
  <c r="BL276" i="4"/>
  <c r="BM276" i="4"/>
  <c r="BN276" i="4"/>
  <c r="D115" i="5"/>
  <c r="E146" i="2"/>
  <c r="C148" i="2"/>
  <c r="C130" i="2"/>
  <c r="L279" i="4"/>
  <c r="L319" i="4" s="1"/>
  <c r="AF295" i="4"/>
  <c r="J255" i="4"/>
  <c r="J268" i="4"/>
  <c r="CO281" i="4"/>
  <c r="CQ281" i="4"/>
  <c r="CN281" i="4"/>
  <c r="CP281" i="4"/>
  <c r="CR281" i="4"/>
  <c r="I53" i="4"/>
  <c r="I66" i="4"/>
  <c r="J359" i="4"/>
  <c r="J399" i="4" s="1"/>
  <c r="G269" i="4"/>
  <c r="G256" i="4"/>
  <c r="AC296" i="4"/>
  <c r="BW282" i="4"/>
  <c r="BY282" i="4"/>
  <c r="BV282" i="4"/>
  <c r="BX282" i="4"/>
  <c r="BZ282" i="4"/>
  <c r="D264" i="4"/>
  <c r="Z291" i="4"/>
  <c r="D251" i="4"/>
  <c r="BF277" i="4"/>
  <c r="BE277" i="4"/>
  <c r="BG277" i="4"/>
  <c r="BD277" i="4"/>
  <c r="BH277" i="4"/>
  <c r="F95" i="4"/>
  <c r="F108" i="4"/>
  <c r="AB135" i="4"/>
  <c r="BR121" i="4"/>
  <c r="BQ121" i="4"/>
  <c r="BP121" i="4"/>
  <c r="BS121" i="4"/>
  <c r="BT121" i="4"/>
  <c r="AG373" i="4"/>
  <c r="K333" i="4"/>
  <c r="K346" i="4"/>
  <c r="CV359" i="4"/>
  <c r="CW359" i="4"/>
  <c r="CU359" i="4"/>
  <c r="CT359" i="4"/>
  <c r="CX359" i="4"/>
  <c r="F91" i="4"/>
  <c r="F104" i="4"/>
  <c r="AB131" i="4"/>
  <c r="BR117" i="4"/>
  <c r="BP117" i="4"/>
  <c r="BQ117" i="4"/>
  <c r="BS117" i="4"/>
  <c r="BT117" i="4"/>
  <c r="CS281" i="4"/>
  <c r="H198" i="4"/>
  <c r="H238" i="4" s="1"/>
  <c r="H53" i="4"/>
  <c r="H66" i="4"/>
  <c r="I227" i="4"/>
  <c r="I214" i="4"/>
  <c r="L307" i="4"/>
  <c r="L294" i="4"/>
  <c r="CY359" i="4"/>
  <c r="J135" i="4"/>
  <c r="J148" i="4"/>
  <c r="AW91" i="4"/>
  <c r="AW117" i="4"/>
  <c r="AW104" i="4"/>
  <c r="G131" i="4"/>
  <c r="AW131" i="4"/>
  <c r="G144" i="4"/>
  <c r="AW157" i="4"/>
  <c r="AW144" i="4"/>
  <c r="H374" i="4"/>
  <c r="H387" i="4"/>
  <c r="I250" i="4"/>
  <c r="AE290" i="4"/>
  <c r="I263" i="4"/>
  <c r="CH276" i="4"/>
  <c r="CK276" i="4"/>
  <c r="CJ276" i="4"/>
  <c r="CI276" i="4"/>
  <c r="CL276" i="4"/>
  <c r="C87" i="6"/>
  <c r="C86" i="6"/>
  <c r="G68" i="4"/>
  <c r="G55" i="4"/>
  <c r="K255" i="4"/>
  <c r="K268" i="4"/>
  <c r="AG295" i="4"/>
  <c r="CV281" i="4"/>
  <c r="CT281" i="4"/>
  <c r="CW281" i="4"/>
  <c r="CU281" i="4"/>
  <c r="CX281" i="4"/>
  <c r="D84" i="2"/>
  <c r="E50" i="2"/>
  <c r="C52" i="2"/>
  <c r="D269" i="4"/>
  <c r="D256" i="4"/>
  <c r="Z296" i="4"/>
  <c r="BF282" i="4"/>
  <c r="BD282" i="4"/>
  <c r="BE282" i="4"/>
  <c r="BG282" i="4"/>
  <c r="BH282" i="4"/>
  <c r="D333" i="4"/>
  <c r="Z373" i="4"/>
  <c r="D346" i="4"/>
  <c r="BD359" i="4"/>
  <c r="BE359" i="4"/>
  <c r="BG359" i="4"/>
  <c r="BF359" i="4"/>
  <c r="BH359" i="4"/>
  <c r="G118" i="4"/>
  <c r="G158" i="4" s="1"/>
  <c r="I173" i="4"/>
  <c r="AE213" i="4"/>
  <c r="I186" i="4"/>
  <c r="CH199" i="4"/>
  <c r="CI199" i="4"/>
  <c r="CJ199" i="4"/>
  <c r="CK199" i="4"/>
  <c r="CL199" i="4"/>
  <c r="BI277" i="4"/>
  <c r="K334" i="4"/>
  <c r="K347" i="4"/>
  <c r="AG374" i="4"/>
  <c r="CV360" i="4"/>
  <c r="CW360" i="4"/>
  <c r="CU360" i="4"/>
  <c r="CT360" i="4"/>
  <c r="CX360" i="4"/>
  <c r="G42" i="4"/>
  <c r="G82" i="4" s="1"/>
  <c r="CY357" i="4"/>
  <c r="F250" i="4"/>
  <c r="AB290" i="4"/>
  <c r="F263" i="4"/>
  <c r="BR276" i="4"/>
  <c r="BP276" i="4"/>
  <c r="BQ276" i="4"/>
  <c r="BS276" i="4"/>
  <c r="BT276" i="4"/>
  <c r="AX36" i="4"/>
  <c r="AX10" i="4"/>
  <c r="AX50" i="4"/>
  <c r="AX76" i="4"/>
  <c r="AX23" i="4"/>
  <c r="H50" i="4"/>
  <c r="AX63" i="4"/>
  <c r="H63" i="4"/>
  <c r="AU254" i="4"/>
  <c r="E307" i="4"/>
  <c r="AU280" i="4"/>
  <c r="AU267" i="4"/>
  <c r="AU294" i="4"/>
  <c r="AU320" i="4"/>
  <c r="AU307" i="4"/>
  <c r="E294" i="4"/>
  <c r="I42" i="4"/>
  <c r="I82" i="4" s="1"/>
  <c r="G255" i="4"/>
  <c r="G268" i="4"/>
  <c r="AC295" i="4"/>
  <c r="BX281" i="4"/>
  <c r="BV281" i="4"/>
  <c r="BY281" i="4"/>
  <c r="BW281" i="4"/>
  <c r="BZ281" i="4"/>
  <c r="D110" i="2"/>
  <c r="D44" i="2" s="1"/>
  <c r="F170" i="4"/>
  <c r="F183" i="4"/>
  <c r="AB210" i="4"/>
  <c r="BP196" i="4"/>
  <c r="BS196" i="4"/>
  <c r="BQ196" i="4"/>
  <c r="BR196" i="4"/>
  <c r="BT196" i="4"/>
  <c r="K256" i="4"/>
  <c r="K269" i="4"/>
  <c r="AG296" i="4"/>
  <c r="CV282" i="4"/>
  <c r="CU282" i="4"/>
  <c r="CW282" i="4"/>
  <c r="CT282" i="4"/>
  <c r="CX282" i="4"/>
  <c r="D332" i="4"/>
  <c r="D345" i="4"/>
  <c r="Z372" i="4"/>
  <c r="BF358" i="4"/>
  <c r="BD358" i="4"/>
  <c r="BG358" i="4"/>
  <c r="BE358" i="4"/>
  <c r="BH358" i="4"/>
  <c r="BI282" i="4"/>
  <c r="K335" i="4"/>
  <c r="AG375" i="4"/>
  <c r="K348" i="4"/>
  <c r="CV361" i="4"/>
  <c r="CW361" i="4"/>
  <c r="CU361" i="4"/>
  <c r="CT361" i="4"/>
  <c r="CX361" i="4"/>
  <c r="K280" i="4"/>
  <c r="K320" i="4" s="1"/>
  <c r="H56" i="4"/>
  <c r="H69" i="4"/>
  <c r="I280" i="4"/>
  <c r="I320" i="4" s="1"/>
  <c r="AG93" i="4"/>
  <c r="AG92" i="4"/>
  <c r="AG94" i="4"/>
  <c r="AG90" i="4"/>
  <c r="AG95" i="4"/>
  <c r="AG96" i="4"/>
  <c r="AG91" i="4"/>
  <c r="G24" i="4"/>
  <c r="AC51" i="4"/>
  <c r="G11" i="4"/>
  <c r="BV37" i="4"/>
  <c r="BY37" i="4"/>
  <c r="BX37" i="4"/>
  <c r="BW37" i="4"/>
  <c r="BZ37" i="4"/>
  <c r="J250" i="4"/>
  <c r="AF290" i="4"/>
  <c r="J263" i="4"/>
  <c r="CP276" i="4"/>
  <c r="CQ276" i="4"/>
  <c r="CO276" i="4"/>
  <c r="CN276" i="4"/>
  <c r="CR276" i="4"/>
  <c r="D168" i="6"/>
  <c r="D144" i="6"/>
  <c r="D145" i="6" s="1"/>
  <c r="D147" i="6" s="1"/>
  <c r="D82" i="6"/>
  <c r="C147" i="2"/>
  <c r="E147" i="2" s="1"/>
  <c r="D157" i="6"/>
  <c r="C131" i="6"/>
  <c r="C204" i="6"/>
  <c r="C127" i="6"/>
  <c r="C134" i="6"/>
  <c r="C114" i="2" s="1"/>
  <c r="C122" i="2" s="1"/>
  <c r="C135" i="6"/>
  <c r="D158" i="6"/>
  <c r="D159" i="6"/>
  <c r="C128" i="6"/>
  <c r="L278" i="4"/>
  <c r="L318" i="4" s="1"/>
  <c r="I56" i="4"/>
  <c r="I69" i="4"/>
  <c r="F268" i="4"/>
  <c r="F255" i="4"/>
  <c r="AB295" i="4"/>
  <c r="BR281" i="4"/>
  <c r="BQ281" i="4"/>
  <c r="BP281" i="4"/>
  <c r="BS281" i="4"/>
  <c r="BT281" i="4"/>
  <c r="J332" i="4"/>
  <c r="J345" i="4"/>
  <c r="AF372" i="4"/>
  <c r="CO358" i="4"/>
  <c r="CN358" i="4"/>
  <c r="CP358" i="4"/>
  <c r="CQ358" i="4"/>
  <c r="CR358" i="4"/>
  <c r="D70" i="2"/>
  <c r="D76" i="2"/>
  <c r="D77" i="2" s="1"/>
  <c r="D71" i="2"/>
  <c r="L256" i="4"/>
  <c r="AH296" i="4"/>
  <c r="L269" i="4"/>
  <c r="DB282" i="4"/>
  <c r="CZ282" i="4"/>
  <c r="DA282" i="4"/>
  <c r="DC282" i="4"/>
  <c r="DD282" i="4"/>
  <c r="DE276" i="4"/>
  <c r="AJ93" i="4"/>
  <c r="AJ95" i="4" s="1"/>
  <c r="AJ90" i="4"/>
  <c r="D344" i="4"/>
  <c r="D331" i="4"/>
  <c r="Z371" i="4"/>
  <c r="BE357" i="4"/>
  <c r="BF357" i="4"/>
  <c r="BG357" i="4"/>
  <c r="BD357" i="4"/>
  <c r="BH357" i="4"/>
  <c r="G145" i="4"/>
  <c r="G132" i="4"/>
  <c r="K169" i="4"/>
  <c r="AF169" i="4"/>
  <c r="AF173" i="4"/>
  <c r="AF174" i="4"/>
  <c r="AF172" i="4"/>
  <c r="D73" i="2"/>
  <c r="CS282" i="4"/>
  <c r="H212" i="4"/>
  <c r="H225" i="4"/>
  <c r="CA196" i="4"/>
  <c r="G227" i="4"/>
  <c r="G214" i="4"/>
  <c r="I307" i="4"/>
  <c r="I294" i="4"/>
  <c r="F359" i="4"/>
  <c r="F399" i="4" s="1"/>
  <c r="F280" i="4"/>
  <c r="F320" i="4" s="1"/>
  <c r="G250" i="4"/>
  <c r="AC290" i="4"/>
  <c r="G263" i="4"/>
  <c r="BX276" i="4"/>
  <c r="BY276" i="4"/>
  <c r="BW276" i="4"/>
  <c r="BV276" i="4"/>
  <c r="BZ276" i="4"/>
  <c r="L293" i="4"/>
  <c r="L306" i="4"/>
  <c r="AD295" i="4"/>
  <c r="H255" i="4"/>
  <c r="H268" i="4"/>
  <c r="CD281" i="4"/>
  <c r="CC281" i="4"/>
  <c r="CE281" i="4"/>
  <c r="CB281" i="4"/>
  <c r="CF281" i="4"/>
  <c r="I41" i="4"/>
  <c r="I81" i="4" s="1"/>
  <c r="J373" i="4"/>
  <c r="J386" i="4"/>
  <c r="I256" i="4"/>
  <c r="I269" i="4"/>
  <c r="AE296" i="4"/>
  <c r="CJ282" i="4"/>
  <c r="CK282" i="4"/>
  <c r="CH282" i="4"/>
  <c r="CI282" i="4"/>
  <c r="CL282" i="4"/>
  <c r="G198" i="4"/>
  <c r="G238" i="4" s="1"/>
  <c r="H250" i="4"/>
  <c r="AD290" i="4"/>
  <c r="H263" i="4"/>
  <c r="CE276" i="4"/>
  <c r="CD276" i="4"/>
  <c r="CC276" i="4"/>
  <c r="CB276" i="4"/>
  <c r="CF276" i="4"/>
  <c r="J307" i="4"/>
  <c r="J294" i="4"/>
  <c r="AR93" i="4"/>
  <c r="AR95" i="4" s="1"/>
  <c r="AR90" i="4"/>
  <c r="I27" i="4"/>
  <c r="I14" i="4"/>
  <c r="AE54" i="4"/>
  <c r="CH40" i="4"/>
  <c r="CK40" i="4"/>
  <c r="CJ40" i="4"/>
  <c r="CI40" i="4"/>
  <c r="CL40" i="4"/>
  <c r="L305" i="4"/>
  <c r="L292" i="4"/>
  <c r="E255" i="4"/>
  <c r="E268" i="4"/>
  <c r="AA295" i="4"/>
  <c r="BL281" i="4"/>
  <c r="BM281" i="4"/>
  <c r="BK281" i="4"/>
  <c r="BJ281" i="4"/>
  <c r="BN281" i="4"/>
  <c r="H104" i="4"/>
  <c r="H91" i="4"/>
  <c r="AD131" i="4"/>
  <c r="CC117" i="4"/>
  <c r="CE117" i="4"/>
  <c r="CB117" i="4"/>
  <c r="CD117" i="4"/>
  <c r="CF117" i="4"/>
  <c r="H188" i="4"/>
  <c r="H175" i="4"/>
  <c r="AD215" i="4"/>
  <c r="CC201" i="4"/>
  <c r="CD201" i="4"/>
  <c r="CE201" i="4"/>
  <c r="CB201" i="4"/>
  <c r="CF201" i="4"/>
  <c r="I170" i="4"/>
  <c r="I183" i="4"/>
  <c r="AE210" i="4"/>
  <c r="CJ196" i="4"/>
  <c r="CI196" i="4"/>
  <c r="CH196" i="4"/>
  <c r="CK196" i="4"/>
  <c r="CL196" i="4"/>
  <c r="E269" i="4"/>
  <c r="E256" i="4"/>
  <c r="AA296" i="4"/>
  <c r="BK282" i="4"/>
  <c r="BJ282" i="4"/>
  <c r="BL282" i="4"/>
  <c r="BM282" i="4"/>
  <c r="BN282" i="4"/>
  <c r="BU121" i="4"/>
  <c r="G173" i="4"/>
  <c r="AC213" i="4"/>
  <c r="G186" i="4"/>
  <c r="BW199" i="4"/>
  <c r="BV199" i="4"/>
  <c r="BX199" i="4"/>
  <c r="BY199" i="4"/>
  <c r="BZ199" i="4"/>
  <c r="K307" i="4"/>
  <c r="K294" i="4"/>
  <c r="G56" i="4"/>
  <c r="G69" i="4"/>
  <c r="H184" i="4"/>
  <c r="H171" i="4"/>
  <c r="AD211" i="4"/>
  <c r="CC197" i="4"/>
  <c r="CE197" i="4"/>
  <c r="CD197" i="4"/>
  <c r="CB197" i="4"/>
  <c r="CF197" i="4"/>
  <c r="G278" i="4"/>
  <c r="G318" i="4" s="1"/>
  <c r="J278" i="4"/>
  <c r="J318" i="4" s="1"/>
  <c r="F116" i="4"/>
  <c r="F156" i="4" s="1"/>
  <c r="F358" i="4"/>
  <c r="F398" i="4" s="1"/>
  <c r="K250" i="4"/>
  <c r="AG290" i="4"/>
  <c r="K263" i="4"/>
  <c r="CT276" i="4"/>
  <c r="CV276" i="4"/>
  <c r="CW276" i="4"/>
  <c r="CU276" i="4"/>
  <c r="CX276" i="4"/>
  <c r="I12" i="4"/>
  <c r="AE52" i="4"/>
  <c r="I25" i="4"/>
  <c r="CK38" i="4"/>
  <c r="CJ38" i="4"/>
  <c r="CH38" i="4"/>
  <c r="CI38" i="4"/>
  <c r="CL38" i="4"/>
  <c r="K279" i="4"/>
  <c r="K319" i="4" s="1"/>
  <c r="D279" i="4"/>
  <c r="D319" i="4" s="1"/>
  <c r="BU196" i="4"/>
  <c r="AE295" i="4"/>
  <c r="I255" i="4"/>
  <c r="I268" i="4"/>
  <c r="CJ281" i="4"/>
  <c r="CK281" i="4"/>
  <c r="CH281" i="4"/>
  <c r="CI281" i="4"/>
  <c r="CL281" i="4"/>
  <c r="D145" i="5"/>
  <c r="D118" i="2"/>
  <c r="D126" i="2" s="1"/>
  <c r="J188" i="4"/>
  <c r="J175" i="4"/>
  <c r="AF215" i="4"/>
  <c r="CP201" i="4"/>
  <c r="CO201" i="4"/>
  <c r="CQ201" i="4"/>
  <c r="CN201" i="4"/>
  <c r="CR201" i="4"/>
  <c r="J109" i="4"/>
  <c r="J96" i="4"/>
  <c r="AF136" i="4"/>
  <c r="CQ122" i="4"/>
  <c r="CO122" i="4"/>
  <c r="CN122" i="4"/>
  <c r="CP122" i="4"/>
  <c r="CR122" i="4"/>
  <c r="G212" i="4"/>
  <c r="G225" i="4"/>
  <c r="DE282" i="4"/>
  <c r="AB169" i="4"/>
  <c r="E169" i="4"/>
  <c r="AB173" i="4"/>
  <c r="AB172" i="4"/>
  <c r="AB174" i="4"/>
  <c r="AF176" i="4"/>
  <c r="K278" i="4"/>
  <c r="K318" i="4" s="1"/>
  <c r="D58" i="2"/>
  <c r="E83" i="2"/>
  <c r="CG282" i="4"/>
  <c r="CS119" i="4"/>
  <c r="I122" i="4"/>
  <c r="I162" i="4" s="1"/>
  <c r="G13" i="4"/>
  <c r="G26" i="4"/>
  <c r="AC53" i="4"/>
  <c r="BX39" i="4"/>
  <c r="BY39" i="4"/>
  <c r="BV39" i="4"/>
  <c r="BW39" i="4"/>
  <c r="BZ39" i="4"/>
  <c r="D65" i="6"/>
  <c r="C67" i="6"/>
  <c r="D67" i="6" s="1"/>
  <c r="D66" i="6"/>
  <c r="D62" i="6"/>
  <c r="D64" i="6"/>
  <c r="D268" i="4"/>
  <c r="D255" i="4"/>
  <c r="Z295" i="4"/>
  <c r="BF281" i="4"/>
  <c r="BD281" i="4"/>
  <c r="BG281" i="4"/>
  <c r="BE281" i="4"/>
  <c r="BH281" i="4"/>
  <c r="I55" i="4"/>
  <c r="I68" i="4"/>
  <c r="J104" i="4"/>
  <c r="J91" i="4"/>
  <c r="AF131" i="4"/>
  <c r="CP117" i="4"/>
  <c r="CO117" i="4"/>
  <c r="CQ117" i="4"/>
  <c r="CN117" i="4"/>
  <c r="CR117" i="4"/>
  <c r="J334" i="4"/>
  <c r="J347" i="4"/>
  <c r="AF374" i="4"/>
  <c r="CP360" i="4"/>
  <c r="CQ360" i="4"/>
  <c r="CN360" i="4"/>
  <c r="CO360" i="4"/>
  <c r="CR360" i="4"/>
  <c r="L335" i="4"/>
  <c r="AH375" i="4"/>
  <c r="L348" i="4"/>
  <c r="DA361" i="4"/>
  <c r="DC361" i="4"/>
  <c r="CZ361" i="4"/>
  <c r="DB361" i="4"/>
  <c r="DD361" i="4"/>
  <c r="K305" i="4"/>
  <c r="K292" i="4"/>
  <c r="H96" i="4"/>
  <c r="H109" i="4"/>
  <c r="AD136" i="4"/>
  <c r="CE122" i="4"/>
  <c r="CB122" i="4"/>
  <c r="CD122" i="4"/>
  <c r="CC122" i="4"/>
  <c r="CF122" i="4"/>
  <c r="I184" i="4"/>
  <c r="I171" i="4"/>
  <c r="AE211" i="4"/>
  <c r="CI197" i="4"/>
  <c r="CH197" i="4"/>
  <c r="CJ197" i="4"/>
  <c r="CK197" i="4"/>
  <c r="CL197" i="4"/>
  <c r="AW252" i="4"/>
  <c r="AW278" i="4"/>
  <c r="G292" i="4"/>
  <c r="AW292" i="4"/>
  <c r="AW318" i="4"/>
  <c r="AW265" i="4"/>
  <c r="G305" i="4"/>
  <c r="AW305" i="4"/>
  <c r="G96" i="4"/>
  <c r="G109" i="4"/>
  <c r="AC136" i="4"/>
  <c r="BV122" i="4"/>
  <c r="BX122" i="4"/>
  <c r="BW122" i="4"/>
  <c r="BY122" i="4"/>
  <c r="BZ122" i="4"/>
  <c r="CG277" i="4"/>
  <c r="I116" i="4"/>
  <c r="I156" i="4" s="1"/>
  <c r="AV359" i="4"/>
  <c r="AV333" i="4"/>
  <c r="AV399" i="4"/>
  <c r="AV386" i="4"/>
  <c r="AV346" i="4"/>
  <c r="F386" i="4"/>
  <c r="AV373" i="4"/>
  <c r="F373" i="4"/>
  <c r="AV254" i="4"/>
  <c r="F307" i="4"/>
  <c r="AV280" i="4"/>
  <c r="AV267" i="4"/>
  <c r="AV294" i="4"/>
  <c r="AV320" i="4"/>
  <c r="AV307" i="4"/>
  <c r="F294" i="4"/>
  <c r="G14" i="4"/>
  <c r="G27" i="4"/>
  <c r="AC54" i="4"/>
  <c r="BX40" i="4"/>
  <c r="BV40" i="4"/>
  <c r="BY40" i="4"/>
  <c r="BW40" i="4"/>
  <c r="BZ40" i="4"/>
  <c r="H37" i="4"/>
  <c r="H77" i="4" s="1"/>
  <c r="G120" i="4"/>
  <c r="G160" i="4" s="1"/>
  <c r="AF9" i="4"/>
  <c r="AF49" i="4"/>
  <c r="K9" i="4"/>
  <c r="AF12" i="4"/>
  <c r="AF13" i="4"/>
  <c r="AF14" i="4"/>
  <c r="AF10" i="4"/>
  <c r="AF16" i="4"/>
  <c r="AF11" i="4"/>
  <c r="AF15" i="4"/>
  <c r="I36" i="4"/>
  <c r="I76" i="4" s="1"/>
  <c r="E279" i="4"/>
  <c r="E319" i="4" s="1"/>
  <c r="D63" i="6"/>
  <c r="L255" i="4"/>
  <c r="L268" i="4"/>
  <c r="AH295" i="4"/>
  <c r="DB281" i="4"/>
  <c r="DA281" i="4"/>
  <c r="CZ281" i="4"/>
  <c r="DC281" i="4"/>
  <c r="DD281" i="4"/>
  <c r="BU276" i="4"/>
  <c r="L251" i="4"/>
  <c r="AH291" i="4"/>
  <c r="L264" i="4"/>
  <c r="DB277" i="4"/>
  <c r="DA277" i="4"/>
  <c r="CZ277" i="4"/>
  <c r="DC277" i="4"/>
  <c r="DD277" i="4"/>
  <c r="E348" i="4"/>
  <c r="E335" i="4"/>
  <c r="AA375" i="4"/>
  <c r="BL361" i="4"/>
  <c r="BJ361" i="4"/>
  <c r="BM361" i="4"/>
  <c r="BK361" i="4"/>
  <c r="BN361" i="4"/>
  <c r="H189" i="4"/>
  <c r="H176" i="4"/>
  <c r="AD216" i="4"/>
  <c r="CE202" i="4"/>
  <c r="CB202" i="4"/>
  <c r="CC202" i="4"/>
  <c r="CD202" i="4"/>
  <c r="CF202" i="4"/>
  <c r="G280" i="4"/>
  <c r="G320" i="4" s="1"/>
  <c r="CM196" i="4"/>
  <c r="L334" i="4"/>
  <c r="L347" i="4"/>
  <c r="AH374" i="4"/>
  <c r="CZ360" i="4"/>
  <c r="DC360" i="4"/>
  <c r="DB360" i="4"/>
  <c r="DA360" i="4"/>
  <c r="DD360" i="4"/>
  <c r="D254" i="4"/>
  <c r="Z294" i="4"/>
  <c r="D267" i="4"/>
  <c r="BF280" i="4"/>
  <c r="BD280" i="4"/>
  <c r="BE280" i="4"/>
  <c r="BG280" i="4"/>
  <c r="BH280" i="4"/>
  <c r="F96" i="4"/>
  <c r="F109" i="4"/>
  <c r="AB136" i="4"/>
  <c r="BR122" i="4"/>
  <c r="BQ122" i="4"/>
  <c r="BP122" i="4"/>
  <c r="BS122" i="4"/>
  <c r="BT122" i="4"/>
  <c r="AF171" i="4"/>
  <c r="J305" i="4"/>
  <c r="J292" i="4"/>
  <c r="CS122" i="4"/>
  <c r="AV90" i="4"/>
  <c r="AV103" i="4"/>
  <c r="F143" i="4"/>
  <c r="F130" i="4"/>
  <c r="AV116" i="4"/>
  <c r="AV156" i="4"/>
  <c r="AV143" i="4"/>
  <c r="AV130" i="4"/>
  <c r="I136" i="4"/>
  <c r="I149" i="4"/>
  <c r="G25" i="4"/>
  <c r="G12" i="4"/>
  <c r="AC52" i="4"/>
  <c r="BX38" i="4"/>
  <c r="BY38" i="4"/>
  <c r="BV38" i="4"/>
  <c r="BW38" i="4"/>
  <c r="BZ38" i="4"/>
  <c r="AT266" i="4"/>
  <c r="AT319" i="4"/>
  <c r="AT253" i="4"/>
  <c r="AT293" i="4"/>
  <c r="D306" i="4"/>
  <c r="AT306" i="4"/>
  <c r="AT279" i="4"/>
  <c r="D293" i="4"/>
  <c r="H41" i="4"/>
  <c r="H81" i="4" s="1"/>
  <c r="F105" i="4"/>
  <c r="F92" i="4"/>
  <c r="AB132" i="4"/>
  <c r="BR118" i="4"/>
  <c r="BS118" i="4"/>
  <c r="BP118" i="4"/>
  <c r="BQ118" i="4"/>
  <c r="BT118" i="4"/>
  <c r="D79" i="5"/>
  <c r="D160" i="5" s="1"/>
  <c r="D195" i="5"/>
  <c r="D85" i="5" s="1"/>
  <c r="D99" i="2" s="1"/>
  <c r="D101" i="2" s="1"/>
  <c r="G188" i="4"/>
  <c r="G175" i="4"/>
  <c r="AC215" i="4"/>
  <c r="BW201" i="4"/>
  <c r="BV201" i="4"/>
  <c r="BX201" i="4"/>
  <c r="BY201" i="4"/>
  <c r="BZ201" i="4"/>
  <c r="E264" i="4"/>
  <c r="AA291" i="4"/>
  <c r="E251" i="4"/>
  <c r="BL277" i="4"/>
  <c r="BJ277" i="4"/>
  <c r="BK277" i="4"/>
  <c r="BM277" i="4"/>
  <c r="BN277" i="4"/>
  <c r="I121" i="4"/>
  <c r="I161" i="4" s="1"/>
  <c r="E347" i="4"/>
  <c r="E334" i="4"/>
  <c r="AA374" i="4"/>
  <c r="BK360" i="4"/>
  <c r="BM360" i="4"/>
  <c r="BJ360" i="4"/>
  <c r="BL360" i="4"/>
  <c r="BN360" i="4"/>
  <c r="CM199" i="4"/>
  <c r="L333" i="4"/>
  <c r="L346" i="4"/>
  <c r="AH373" i="4"/>
  <c r="DB359" i="4"/>
  <c r="DA359" i="4"/>
  <c r="DC359" i="4"/>
  <c r="CZ359" i="4"/>
  <c r="DD359" i="4"/>
  <c r="H121" i="4"/>
  <c r="H161" i="4" s="1"/>
  <c r="H280" i="4"/>
  <c r="H320" i="4" s="1"/>
  <c r="CA39" i="4"/>
  <c r="CS120" i="4"/>
  <c r="G134" i="4"/>
  <c r="G147" i="4"/>
  <c r="K293" i="4"/>
  <c r="K306" i="4"/>
  <c r="F94" i="4"/>
  <c r="AB134" i="4"/>
  <c r="F107" i="4"/>
  <c r="BR120" i="4"/>
  <c r="BQ120" i="4"/>
  <c r="BP120" i="4"/>
  <c r="BS120" i="4"/>
  <c r="BT120" i="4"/>
  <c r="D143" i="5"/>
  <c r="D144" i="5"/>
  <c r="AE291" i="4"/>
  <c r="I251" i="4"/>
  <c r="I264" i="4"/>
  <c r="CK277" i="4"/>
  <c r="CH277" i="4"/>
  <c r="CI277" i="4"/>
  <c r="CJ277" i="4"/>
  <c r="CL277" i="4"/>
  <c r="E333" i="4"/>
  <c r="AA373" i="4"/>
  <c r="E346" i="4"/>
  <c r="BK359" i="4"/>
  <c r="BM359" i="4"/>
  <c r="BJ359" i="4"/>
  <c r="BL359" i="4"/>
  <c r="BN359" i="4"/>
  <c r="G189" i="4"/>
  <c r="G176" i="4"/>
  <c r="AC216" i="4"/>
  <c r="BX202" i="4"/>
  <c r="BW202" i="4"/>
  <c r="BV202" i="4"/>
  <c r="BY202" i="4"/>
  <c r="BZ202" i="4"/>
  <c r="L332" i="4"/>
  <c r="L345" i="4"/>
  <c r="AH372" i="4"/>
  <c r="DB358" i="4"/>
  <c r="DA358" i="4"/>
  <c r="DC358" i="4"/>
  <c r="CZ358" i="4"/>
  <c r="DD358" i="4"/>
  <c r="H345" i="4"/>
  <c r="H332" i="4"/>
  <c r="AD372" i="4"/>
  <c r="CD358" i="4"/>
  <c r="CC358" i="4"/>
  <c r="CB358" i="4"/>
  <c r="CE358" i="4"/>
  <c r="CF358" i="4"/>
  <c r="CA281" i="4"/>
  <c r="D57" i="2"/>
  <c r="D59" i="2" s="1"/>
  <c r="H278" i="4"/>
  <c r="H318" i="4" s="1"/>
  <c r="G116" i="4"/>
  <c r="G156" i="4" s="1"/>
  <c r="I332" i="4"/>
  <c r="I345" i="4"/>
  <c r="AE372" i="4"/>
  <c r="CJ358" i="4"/>
  <c r="CK358" i="4"/>
  <c r="CI358" i="4"/>
  <c r="CH358" i="4"/>
  <c r="CL358" i="4"/>
  <c r="CA37" i="4"/>
  <c r="CG276" i="4"/>
  <c r="CS116" i="4"/>
  <c r="AV332" i="4"/>
  <c r="AV345" i="4"/>
  <c r="AV358" i="4"/>
  <c r="AV385" i="4"/>
  <c r="AV372" i="4"/>
  <c r="F372" i="4"/>
  <c r="F385" i="4"/>
  <c r="AV398" i="4"/>
  <c r="I292" i="4"/>
  <c r="I305" i="4"/>
  <c r="H200" i="4"/>
  <c r="H240" i="4" s="1"/>
  <c r="AU253" i="4"/>
  <c r="AU266" i="4"/>
  <c r="AU279" i="4"/>
  <c r="AU293" i="4"/>
  <c r="E306" i="4"/>
  <c r="AU319" i="4"/>
  <c r="AU306" i="4"/>
  <c r="E293" i="4"/>
  <c r="F106" i="4"/>
  <c r="AB133" i="4"/>
  <c r="F93" i="4"/>
  <c r="BR119" i="4"/>
  <c r="BP119" i="4"/>
  <c r="BQ119" i="4"/>
  <c r="BS119" i="4"/>
  <c r="BT119" i="4"/>
  <c r="E36" i="2"/>
  <c r="C37" i="2"/>
  <c r="C38" i="2"/>
  <c r="E38" i="2" s="1"/>
  <c r="I104" i="4"/>
  <c r="I91" i="4"/>
  <c r="AE131" i="4"/>
  <c r="CJ117" i="4"/>
  <c r="CK117" i="4"/>
  <c r="CI117" i="4"/>
  <c r="CH117" i="4"/>
  <c r="CL117" i="4"/>
  <c r="I188" i="4"/>
  <c r="I175" i="4"/>
  <c r="AE215" i="4"/>
  <c r="CH201" i="4"/>
  <c r="CJ201" i="4"/>
  <c r="CI201" i="4"/>
  <c r="CK201" i="4"/>
  <c r="CL201" i="4"/>
  <c r="AW10" i="4"/>
  <c r="AW50" i="4"/>
  <c r="AW63" i="4"/>
  <c r="AW36" i="4"/>
  <c r="AW23" i="4"/>
  <c r="G50" i="4"/>
  <c r="AW76" i="4"/>
  <c r="G63" i="4"/>
  <c r="I198" i="4"/>
  <c r="I238" i="4" s="1"/>
  <c r="F251" i="4"/>
  <c r="F264" i="4"/>
  <c r="AB291" i="4"/>
  <c r="BR277" i="4"/>
  <c r="BS277" i="4"/>
  <c r="BP277" i="4"/>
  <c r="BQ277" i="4"/>
  <c r="BT277" i="4"/>
  <c r="E332" i="4"/>
  <c r="E345" i="4"/>
  <c r="AA372" i="4"/>
  <c r="BJ358" i="4"/>
  <c r="BK358" i="4"/>
  <c r="BM358" i="4"/>
  <c r="BL358" i="4"/>
  <c r="BN358" i="4"/>
  <c r="I189" i="4"/>
  <c r="I176" i="4"/>
  <c r="AE216" i="4"/>
  <c r="CK202" i="4"/>
  <c r="CI202" i="4"/>
  <c r="CJ202" i="4"/>
  <c r="CH202" i="4"/>
  <c r="CL202" i="4"/>
  <c r="G307" i="4"/>
  <c r="G294" i="4"/>
  <c r="L344" i="4"/>
  <c r="L331" i="4"/>
  <c r="AH371" i="4"/>
  <c r="DA357" i="4"/>
  <c r="DB357" i="4"/>
  <c r="DC357" i="4"/>
  <c r="CZ357" i="4"/>
  <c r="DD357" i="4"/>
  <c r="I37" i="4"/>
  <c r="I77" i="4" s="1"/>
  <c r="G184" i="4"/>
  <c r="G171" i="4"/>
  <c r="AC211" i="4"/>
  <c r="BX197" i="4"/>
  <c r="BW197" i="4"/>
  <c r="BV197" i="4"/>
  <c r="BY197" i="4"/>
  <c r="BZ197" i="4"/>
  <c r="AC372" i="4"/>
  <c r="G345" i="4"/>
  <c r="G332" i="4"/>
  <c r="BW358" i="4"/>
  <c r="BV358" i="4"/>
  <c r="BX358" i="4"/>
  <c r="BY358" i="4"/>
  <c r="BZ358" i="4"/>
  <c r="CG281" i="4"/>
  <c r="I334" i="4"/>
  <c r="I347" i="4"/>
  <c r="AE374" i="4"/>
  <c r="CJ360" i="4"/>
  <c r="CK360" i="4"/>
  <c r="CI360" i="4"/>
  <c r="CH360" i="4"/>
  <c r="CL360" i="4"/>
  <c r="CS117" i="4"/>
  <c r="AB9" i="4"/>
  <c r="AB49" i="4"/>
  <c r="E9" i="4"/>
  <c r="AB12" i="4"/>
  <c r="AB14" i="4"/>
  <c r="AB13" i="4"/>
  <c r="AB16" i="4"/>
  <c r="AB10" i="4"/>
  <c r="AB15" i="4"/>
  <c r="AB11" i="4"/>
  <c r="H51" i="4"/>
  <c r="H64" i="4"/>
  <c r="I50" i="4"/>
  <c r="I63" i="4"/>
  <c r="I39" i="4"/>
  <c r="I79" i="4" s="1"/>
  <c r="CM276" i="4"/>
  <c r="AF291" i="4"/>
  <c r="J251" i="4"/>
  <c r="J264" i="4"/>
  <c r="CP277" i="4"/>
  <c r="CO277" i="4"/>
  <c r="CQ277" i="4"/>
  <c r="CN277" i="4"/>
  <c r="CR277" i="4"/>
  <c r="E331" i="4"/>
  <c r="E344" i="4"/>
  <c r="AA371" i="4"/>
  <c r="BK357" i="4"/>
  <c r="BJ357" i="4"/>
  <c r="BM357" i="4"/>
  <c r="BL357" i="4"/>
  <c r="BN357" i="4"/>
  <c r="CG196" i="4"/>
  <c r="BI281" i="4"/>
  <c r="D265" i="4"/>
  <c r="D252" i="4"/>
  <c r="Z292" i="4"/>
  <c r="BD278" i="4"/>
  <c r="BE278" i="4"/>
  <c r="BG278" i="4"/>
  <c r="BF278" i="4"/>
  <c r="BH278" i="4"/>
  <c r="G121" i="4"/>
  <c r="G161" i="4" s="1"/>
  <c r="AW90" i="4"/>
  <c r="AW103" i="4"/>
  <c r="G143" i="4"/>
  <c r="G130" i="4"/>
  <c r="AW130" i="4"/>
  <c r="AW116" i="4"/>
  <c r="AW156" i="4"/>
  <c r="AW143" i="4"/>
  <c r="C330" i="4"/>
  <c r="AC331" i="4"/>
  <c r="AE331" i="4"/>
  <c r="AF331" i="4"/>
  <c r="AD331" i="4"/>
  <c r="AB331" i="4"/>
  <c r="CA38" i="4"/>
  <c r="G347" i="4"/>
  <c r="G334" i="4"/>
  <c r="AC374" i="4"/>
  <c r="BX360" i="4"/>
  <c r="BW360" i="4"/>
  <c r="BV360" i="4"/>
  <c r="BY360" i="4"/>
  <c r="BZ360" i="4"/>
  <c r="I130" i="4"/>
  <c r="I143" i="4"/>
  <c r="F278" i="4"/>
  <c r="F318" i="4" s="1"/>
  <c r="J121" i="4"/>
  <c r="J161" i="4" s="1"/>
  <c r="H360" i="4"/>
  <c r="H400" i="4" s="1"/>
  <c r="F347" i="4"/>
  <c r="F334" i="4"/>
  <c r="AB374" i="4"/>
  <c r="BS360" i="4"/>
  <c r="BR360" i="4"/>
  <c r="BQ360" i="4"/>
  <c r="BP360" i="4"/>
  <c r="BT360" i="4"/>
  <c r="E265" i="4"/>
  <c r="E252" i="4"/>
  <c r="AA292" i="4"/>
  <c r="BL278" i="4"/>
  <c r="BJ278" i="4"/>
  <c r="BK278" i="4"/>
  <c r="BM278" i="4"/>
  <c r="BN278" i="4"/>
  <c r="E209" i="4"/>
  <c r="AB209" i="4"/>
  <c r="CY281" i="4"/>
  <c r="H55" i="4"/>
  <c r="H68" i="4"/>
  <c r="F188" i="4"/>
  <c r="F175" i="4"/>
  <c r="AB215" i="4"/>
  <c r="BR201" i="4"/>
  <c r="BS201" i="4"/>
  <c r="BP201" i="4"/>
  <c r="BQ201" i="4"/>
  <c r="BT201" i="4"/>
  <c r="J170" i="4"/>
  <c r="J183" i="4"/>
  <c r="AF210" i="4"/>
  <c r="CP196" i="4"/>
  <c r="CN196" i="4"/>
  <c r="CO196" i="4"/>
  <c r="CQ196" i="4"/>
  <c r="CR196" i="4"/>
  <c r="F269" i="4"/>
  <c r="F256" i="4"/>
  <c r="AB296" i="4"/>
  <c r="BR282" i="4"/>
  <c r="BS282" i="4"/>
  <c r="BP282" i="4"/>
  <c r="BQ282" i="4"/>
  <c r="BT282" i="4"/>
  <c r="I212" i="4"/>
  <c r="I225" i="4"/>
  <c r="CM281" i="4"/>
  <c r="G251" i="4"/>
  <c r="G264" i="4"/>
  <c r="AC291" i="4"/>
  <c r="BX277" i="4"/>
  <c r="BY277" i="4"/>
  <c r="BV277" i="4"/>
  <c r="BW277" i="4"/>
  <c r="BZ277" i="4"/>
  <c r="H386" i="4"/>
  <c r="H373" i="4"/>
  <c r="CG201" i="4"/>
  <c r="BI280" i="4"/>
  <c r="J105" i="4"/>
  <c r="J92" i="4"/>
  <c r="AF132" i="4"/>
  <c r="CO118" i="4"/>
  <c r="CN118" i="4"/>
  <c r="CQ118" i="4"/>
  <c r="CP118" i="4"/>
  <c r="CR118" i="4"/>
  <c r="CA276" i="4"/>
  <c r="K332" i="4"/>
  <c r="K345" i="4"/>
  <c r="AG372" i="4"/>
  <c r="CV358" i="4"/>
  <c r="CW358" i="4"/>
  <c r="CT358" i="4"/>
  <c r="CU358" i="4"/>
  <c r="CX358" i="4"/>
  <c r="H307" i="4"/>
  <c r="H294" i="4"/>
  <c r="CA197" i="4"/>
  <c r="H39" i="4"/>
  <c r="H79" i="4" s="1"/>
  <c r="L280" i="4"/>
  <c r="L320" i="4" s="1"/>
  <c r="AX90" i="4"/>
  <c r="AX103" i="4"/>
  <c r="H143" i="4"/>
  <c r="AX130" i="4"/>
  <c r="AX116" i="4"/>
  <c r="AX156" i="4"/>
  <c r="H130" i="4"/>
  <c r="AX143" i="4"/>
  <c r="CA40" i="4"/>
  <c r="C336" i="4"/>
  <c r="AC335" i="4"/>
  <c r="AE335" i="4"/>
  <c r="AD335" i="4"/>
  <c r="AB335" i="4"/>
  <c r="AF335" i="4"/>
  <c r="C90" i="6" l="1"/>
  <c r="C169" i="6" s="1"/>
  <c r="D146" i="5"/>
  <c r="D119" i="5"/>
  <c r="L360" i="4"/>
  <c r="L400" i="4" s="1"/>
  <c r="H197" i="4"/>
  <c r="H237" i="4" s="1"/>
  <c r="F281" i="4"/>
  <c r="F321" i="4" s="1"/>
  <c r="D357" i="4"/>
  <c r="D397" i="4" s="1"/>
  <c r="F118" i="4"/>
  <c r="F158" i="4" s="1"/>
  <c r="D361" i="4"/>
  <c r="D401" i="4" s="1"/>
  <c r="L277" i="4"/>
  <c r="L317" i="4" s="1"/>
  <c r="I277" i="4"/>
  <c r="I317" i="4" s="1"/>
  <c r="J118" i="4"/>
  <c r="J158" i="4" s="1"/>
  <c r="H122" i="4"/>
  <c r="H162" i="4" s="1"/>
  <c r="AB336" i="4"/>
  <c r="AF336" i="4"/>
  <c r="AD336" i="4"/>
  <c r="AC336" i="4"/>
  <c r="AE336" i="4"/>
  <c r="AG336" i="4"/>
  <c r="AA336" i="4"/>
  <c r="AH336" i="4"/>
  <c r="Z336" i="4"/>
  <c r="I360" i="4"/>
  <c r="I400" i="4" s="1"/>
  <c r="F119" i="4"/>
  <c r="F159" i="4" s="1"/>
  <c r="H358" i="4"/>
  <c r="H398" i="4" s="1"/>
  <c r="G202" i="4"/>
  <c r="G242" i="4" s="1"/>
  <c r="E360" i="4"/>
  <c r="E400" i="4" s="1"/>
  <c r="AW25" i="4"/>
  <c r="AW38" i="4"/>
  <c r="AW12" i="4"/>
  <c r="G65" i="4"/>
  <c r="AW52" i="4"/>
  <c r="G52" i="4"/>
  <c r="AW65" i="4"/>
  <c r="AW78" i="4"/>
  <c r="J26" i="4"/>
  <c r="AF53" i="4"/>
  <c r="J13" i="4"/>
  <c r="CP39" i="4"/>
  <c r="CQ39" i="4"/>
  <c r="CO39" i="4"/>
  <c r="CN39" i="4"/>
  <c r="CR39" i="4"/>
  <c r="CS39" i="4"/>
  <c r="H211" i="4"/>
  <c r="H224" i="4"/>
  <c r="I40" i="4"/>
  <c r="I80" i="4" s="1"/>
  <c r="H295" i="4"/>
  <c r="H308" i="4"/>
  <c r="J173" i="4"/>
  <c r="AF213" i="4"/>
  <c r="J186" i="4"/>
  <c r="CP199" i="4"/>
  <c r="CN199" i="4"/>
  <c r="CQ199" i="4"/>
  <c r="CO199" i="4"/>
  <c r="CR199" i="4"/>
  <c r="CS199" i="4"/>
  <c r="AT331" i="4"/>
  <c r="AT344" i="4"/>
  <c r="AT357" i="4"/>
  <c r="D384" i="4"/>
  <c r="AT397" i="4"/>
  <c r="AT384" i="4"/>
  <c r="AT371" i="4"/>
  <c r="D371" i="4"/>
  <c r="C130" i="6"/>
  <c r="D127" i="6" s="1"/>
  <c r="G295" i="4"/>
  <c r="G308" i="4"/>
  <c r="E96" i="4"/>
  <c r="E109" i="4"/>
  <c r="AA136" i="4"/>
  <c r="BM122" i="4"/>
  <c r="BJ122" i="4"/>
  <c r="BL122" i="4"/>
  <c r="BK122" i="4"/>
  <c r="BN122" i="4"/>
  <c r="BO122" i="4"/>
  <c r="J116" i="4"/>
  <c r="J156" i="4" s="1"/>
  <c r="J304" i="4"/>
  <c r="J291" i="4"/>
  <c r="J12" i="4"/>
  <c r="J25" i="4"/>
  <c r="AF52" i="4"/>
  <c r="CQ38" i="4"/>
  <c r="CN38" i="4"/>
  <c r="CO38" i="4"/>
  <c r="CP38" i="4"/>
  <c r="CR38" i="4"/>
  <c r="CS38" i="4"/>
  <c r="AU256" i="4"/>
  <c r="E296" i="4"/>
  <c r="AU309" i="4"/>
  <c r="AU296" i="4"/>
  <c r="AU269" i="4"/>
  <c r="AU282" i="4"/>
  <c r="AU322" i="4"/>
  <c r="E309" i="4"/>
  <c r="H215" i="4"/>
  <c r="H228" i="4"/>
  <c r="AU255" i="4"/>
  <c r="AU268" i="4"/>
  <c r="E295" i="4"/>
  <c r="E308" i="4"/>
  <c r="AU295" i="4"/>
  <c r="AU281" i="4"/>
  <c r="AU308" i="4"/>
  <c r="AU321" i="4"/>
  <c r="I54" i="4"/>
  <c r="I67" i="4"/>
  <c r="AT304" i="4"/>
  <c r="D291" i="4"/>
  <c r="AT291" i="4"/>
  <c r="AT277" i="4"/>
  <c r="AT251" i="4"/>
  <c r="AT264" i="4"/>
  <c r="D304" i="4"/>
  <c r="AT317" i="4"/>
  <c r="K357" i="4"/>
  <c r="K397" i="4" s="1"/>
  <c r="E95" i="4"/>
  <c r="E108" i="4"/>
  <c r="AA135" i="4"/>
  <c r="BJ121" i="4"/>
  <c r="BM121" i="4"/>
  <c r="BK121" i="4"/>
  <c r="BL121" i="4"/>
  <c r="BN121" i="4"/>
  <c r="BO121" i="4"/>
  <c r="H277" i="4"/>
  <c r="H317" i="4" s="1"/>
  <c r="C126" i="2"/>
  <c r="E126" i="2" s="1"/>
  <c r="E118" i="2"/>
  <c r="G277" i="4"/>
  <c r="G317" i="4" s="1"/>
  <c r="AV374" i="4"/>
  <c r="AV334" i="4"/>
  <c r="AV347" i="4"/>
  <c r="AV400" i="4"/>
  <c r="F374" i="4"/>
  <c r="AV387" i="4"/>
  <c r="AV360" i="4"/>
  <c r="F387" i="4"/>
  <c r="G360" i="4"/>
  <c r="G400" i="4" s="1"/>
  <c r="G197" i="4"/>
  <c r="G237" i="4" s="1"/>
  <c r="G201" i="4"/>
  <c r="G241" i="4" s="1"/>
  <c r="F149" i="4"/>
  <c r="F136" i="4"/>
  <c r="L387" i="4"/>
  <c r="L374" i="4"/>
  <c r="E361" i="4"/>
  <c r="E401" i="4" s="1"/>
  <c r="L281" i="4"/>
  <c r="L321" i="4" s="1"/>
  <c r="AG9" i="4"/>
  <c r="L9" i="4"/>
  <c r="AG49" i="4"/>
  <c r="AG12" i="4"/>
  <c r="AG14" i="4"/>
  <c r="AG15" i="4"/>
  <c r="AG10" i="4"/>
  <c r="AG13" i="4"/>
  <c r="AG16" i="4"/>
  <c r="AG11" i="4"/>
  <c r="L169" i="4"/>
  <c r="AG169" i="4"/>
  <c r="AG173" i="4"/>
  <c r="AG172" i="4"/>
  <c r="AG174" i="4"/>
  <c r="AG176" i="4"/>
  <c r="AG175" i="4"/>
  <c r="AG170" i="4"/>
  <c r="AG171" i="4"/>
  <c r="E52" i="2"/>
  <c r="C69" i="2"/>
  <c r="C54" i="2"/>
  <c r="K373" i="4"/>
  <c r="K386" i="4"/>
  <c r="D360" i="4"/>
  <c r="D400" i="4" s="1"/>
  <c r="E90" i="4"/>
  <c r="E103" i="4"/>
  <c r="AA130" i="4"/>
  <c r="BJ116" i="4"/>
  <c r="BM116" i="4"/>
  <c r="BL116" i="4"/>
  <c r="BK116" i="4"/>
  <c r="BN116" i="4"/>
  <c r="BO116" i="4"/>
  <c r="J132" i="4"/>
  <c r="J145" i="4"/>
  <c r="F282" i="4"/>
  <c r="F322" i="4" s="1"/>
  <c r="F201" i="4"/>
  <c r="F241" i="4" s="1"/>
  <c r="I117" i="4"/>
  <c r="I157" i="4" s="1"/>
  <c r="F133" i="4"/>
  <c r="F146" i="4"/>
  <c r="I358" i="4"/>
  <c r="I398" i="4" s="1"/>
  <c r="H372" i="4"/>
  <c r="H385" i="4"/>
  <c r="G216" i="4"/>
  <c r="G229" i="4"/>
  <c r="AU374" i="4"/>
  <c r="AU334" i="4"/>
  <c r="AU347" i="4"/>
  <c r="AU400" i="4"/>
  <c r="E374" i="4"/>
  <c r="AU387" i="4"/>
  <c r="AU360" i="4"/>
  <c r="E387" i="4"/>
  <c r="J360" i="4"/>
  <c r="J400" i="4" s="1"/>
  <c r="J201" i="4"/>
  <c r="J241" i="4" s="1"/>
  <c r="I295" i="4"/>
  <c r="I308" i="4"/>
  <c r="K276" i="4"/>
  <c r="K316" i="4" s="1"/>
  <c r="Z93" i="4"/>
  <c r="Z94" i="4"/>
  <c r="Z92" i="4"/>
  <c r="Z90" i="4"/>
  <c r="Z95" i="4"/>
  <c r="Z96" i="4"/>
  <c r="Z91" i="4"/>
  <c r="K374" i="4"/>
  <c r="K387" i="4"/>
  <c r="J282" i="4"/>
  <c r="J322" i="4" s="1"/>
  <c r="E105" i="4"/>
  <c r="E92" i="4"/>
  <c r="AA132" i="4"/>
  <c r="BK118" i="4"/>
  <c r="BL118" i="4"/>
  <c r="BM118" i="4"/>
  <c r="BJ118" i="4"/>
  <c r="BN118" i="4"/>
  <c r="BO118" i="4"/>
  <c r="AX170" i="4"/>
  <c r="AX196" i="4"/>
  <c r="AX183" i="4"/>
  <c r="H223" i="4"/>
  <c r="AX236" i="4"/>
  <c r="H210" i="4"/>
  <c r="AX223" i="4"/>
  <c r="AX210" i="4"/>
  <c r="J130" i="4"/>
  <c r="J143" i="4"/>
  <c r="D209" i="4"/>
  <c r="Z209" i="4" s="1"/>
  <c r="AA209" i="4"/>
  <c r="F11" i="4"/>
  <c r="F24" i="4"/>
  <c r="AB51" i="4"/>
  <c r="BS37" i="4"/>
  <c r="BP37" i="4"/>
  <c r="BR37" i="4"/>
  <c r="BQ37" i="4"/>
  <c r="BT37" i="4"/>
  <c r="BU37" i="4"/>
  <c r="I387" i="4"/>
  <c r="I374" i="4"/>
  <c r="G215" i="4"/>
  <c r="G228" i="4"/>
  <c r="AU361" i="4"/>
  <c r="AU335" i="4"/>
  <c r="AU401" i="4"/>
  <c r="AU388" i="4"/>
  <c r="E375" i="4"/>
  <c r="AU375" i="4"/>
  <c r="AU348" i="4"/>
  <c r="E388" i="4"/>
  <c r="I197" i="4"/>
  <c r="I237" i="4" s="1"/>
  <c r="AH93" i="4"/>
  <c r="AH94" i="4"/>
  <c r="AH92" i="4"/>
  <c r="AH90" i="4"/>
  <c r="AH95" i="4"/>
  <c r="AH96" i="4"/>
  <c r="AH91" i="4"/>
  <c r="AX263" i="4"/>
  <c r="AX250" i="4"/>
  <c r="AX276" i="4"/>
  <c r="AX303" i="4"/>
  <c r="H290" i="4"/>
  <c r="AX290" i="4"/>
  <c r="AX316" i="4"/>
  <c r="H303" i="4"/>
  <c r="G37" i="4"/>
  <c r="G77" i="4" s="1"/>
  <c r="D359" i="4"/>
  <c r="D399" i="4" s="1"/>
  <c r="E276" i="4"/>
  <c r="E316" i="4" s="1"/>
  <c r="K371" i="4"/>
  <c r="K384" i="4"/>
  <c r="E94" i="4"/>
  <c r="E107" i="4"/>
  <c r="AA134" i="4"/>
  <c r="BM120" i="4"/>
  <c r="BJ120" i="4"/>
  <c r="BK120" i="4"/>
  <c r="BL120" i="4"/>
  <c r="BN120" i="4"/>
  <c r="BO120" i="4"/>
  <c r="AT361" i="4"/>
  <c r="AT335" i="4"/>
  <c r="AT401" i="4"/>
  <c r="AT388" i="4"/>
  <c r="D375" i="4"/>
  <c r="AT375" i="4"/>
  <c r="AT348" i="4"/>
  <c r="D388" i="4"/>
  <c r="AW251" i="4"/>
  <c r="AW264" i="4"/>
  <c r="AW317" i="4"/>
  <c r="AW304" i="4"/>
  <c r="G291" i="4"/>
  <c r="AW277" i="4"/>
  <c r="AW291" i="4"/>
  <c r="G304" i="4"/>
  <c r="G374" i="4"/>
  <c r="G387" i="4"/>
  <c r="E357" i="4"/>
  <c r="E397" i="4" s="1"/>
  <c r="F28" i="4"/>
  <c r="F15" i="4"/>
  <c r="AB55" i="4"/>
  <c r="BS41" i="4"/>
  <c r="BP41" i="4"/>
  <c r="BQ41" i="4"/>
  <c r="BR41" i="4"/>
  <c r="BT41" i="4"/>
  <c r="BU41" i="4"/>
  <c r="AW171" i="4"/>
  <c r="AW224" i="4"/>
  <c r="G211" i="4"/>
  <c r="AW211" i="4"/>
  <c r="AW197" i="4"/>
  <c r="G224" i="4"/>
  <c r="AW184" i="4"/>
  <c r="AW237" i="4"/>
  <c r="E358" i="4"/>
  <c r="E398" i="4" s="1"/>
  <c r="I304" i="4"/>
  <c r="I291" i="4"/>
  <c r="L308" i="4"/>
  <c r="L295" i="4"/>
  <c r="G122" i="4"/>
  <c r="G162" i="4" s="1"/>
  <c r="K303" i="4"/>
  <c r="K290" i="4"/>
  <c r="J358" i="4"/>
  <c r="J398" i="4" s="1"/>
  <c r="D87" i="6"/>
  <c r="C107" i="2" s="1"/>
  <c r="D86" i="6"/>
  <c r="D83" i="6"/>
  <c r="D358" i="4"/>
  <c r="D398" i="4" s="1"/>
  <c r="N81" i="2"/>
  <c r="O81" i="2"/>
  <c r="P81" i="2"/>
  <c r="Q81" i="2"/>
  <c r="L81" i="2"/>
  <c r="M81" i="2"/>
  <c r="D85" i="2"/>
  <c r="F121" i="4"/>
  <c r="F161" i="4" s="1"/>
  <c r="G282" i="4"/>
  <c r="G322" i="4" s="1"/>
  <c r="E106" i="4"/>
  <c r="AA133" i="4"/>
  <c r="E93" i="4"/>
  <c r="BK119" i="4"/>
  <c r="BM119" i="4"/>
  <c r="BJ119" i="4"/>
  <c r="BL119" i="4"/>
  <c r="BN119" i="4"/>
  <c r="BO119" i="4"/>
  <c r="H291" i="4"/>
  <c r="H304" i="4"/>
  <c r="F296" i="4"/>
  <c r="F309" i="4"/>
  <c r="F215" i="4"/>
  <c r="F228" i="4"/>
  <c r="F23" i="4"/>
  <c r="F10" i="4"/>
  <c r="AB50" i="4"/>
  <c r="BQ36" i="4"/>
  <c r="BR36" i="4"/>
  <c r="BS36" i="4"/>
  <c r="BP36" i="4"/>
  <c r="BT36" i="4"/>
  <c r="BU36" i="4"/>
  <c r="AU332" i="4"/>
  <c r="AU345" i="4"/>
  <c r="AU358" i="4"/>
  <c r="AU372" i="4"/>
  <c r="E372" i="4"/>
  <c r="E385" i="4"/>
  <c r="AU398" i="4"/>
  <c r="AU385" i="4"/>
  <c r="L359" i="4"/>
  <c r="L399" i="4" s="1"/>
  <c r="G149" i="4"/>
  <c r="G136" i="4"/>
  <c r="I211" i="4"/>
  <c r="I224" i="4"/>
  <c r="J387" i="4"/>
  <c r="J374" i="4"/>
  <c r="G199" i="4"/>
  <c r="G239" i="4" s="1"/>
  <c r="I196" i="4"/>
  <c r="I236" i="4" s="1"/>
  <c r="H117" i="4"/>
  <c r="H157" i="4" s="1"/>
  <c r="D150" i="6"/>
  <c r="D149" i="6"/>
  <c r="AW11" i="4"/>
  <c r="AW37" i="4"/>
  <c r="AW24" i="4"/>
  <c r="G51" i="4"/>
  <c r="AW51" i="4"/>
  <c r="G64" i="4"/>
  <c r="AW64" i="4"/>
  <c r="AW77" i="4"/>
  <c r="F196" i="4"/>
  <c r="F236" i="4" s="1"/>
  <c r="AT333" i="4"/>
  <c r="D373" i="4"/>
  <c r="AT346" i="4"/>
  <c r="AT386" i="4"/>
  <c r="AT359" i="4"/>
  <c r="D386" i="4"/>
  <c r="AT373" i="4"/>
  <c r="AT399" i="4"/>
  <c r="C185" i="6"/>
  <c r="C93" i="6"/>
  <c r="F117" i="4"/>
  <c r="F157" i="4" s="1"/>
  <c r="J281" i="4"/>
  <c r="J321" i="4" s="1"/>
  <c r="K358" i="4"/>
  <c r="K398" i="4" s="1"/>
  <c r="AU331" i="4"/>
  <c r="AU344" i="4"/>
  <c r="AU357" i="4"/>
  <c r="E384" i="4"/>
  <c r="AU397" i="4"/>
  <c r="AU384" i="4"/>
  <c r="AU371" i="4"/>
  <c r="E371" i="4"/>
  <c r="F16" i="4"/>
  <c r="F29" i="4"/>
  <c r="AB56" i="4"/>
  <c r="BS42" i="4"/>
  <c r="BQ42" i="4"/>
  <c r="BR42" i="4"/>
  <c r="BP42" i="4"/>
  <c r="BT42" i="4"/>
  <c r="BU42" i="4"/>
  <c r="I131" i="4"/>
  <c r="I144" i="4"/>
  <c r="I372" i="4"/>
  <c r="I385" i="4"/>
  <c r="L358" i="4"/>
  <c r="L398" i="4" s="1"/>
  <c r="J215" i="4"/>
  <c r="J228" i="4"/>
  <c r="J372" i="4"/>
  <c r="J385" i="4"/>
  <c r="AT332" i="4"/>
  <c r="AT345" i="4"/>
  <c r="AT358" i="4"/>
  <c r="AT372" i="4"/>
  <c r="D372" i="4"/>
  <c r="D385" i="4"/>
  <c r="AT398" i="4"/>
  <c r="AT385" i="4"/>
  <c r="AV196" i="4"/>
  <c r="AV170" i="4"/>
  <c r="AV183" i="4"/>
  <c r="F223" i="4"/>
  <c r="F210" i="4"/>
  <c r="AV223" i="4"/>
  <c r="AV210" i="4"/>
  <c r="AV236" i="4"/>
  <c r="F276" i="4"/>
  <c r="F316" i="4" s="1"/>
  <c r="AU250" i="4"/>
  <c r="AU263" i="4"/>
  <c r="AU303" i="4"/>
  <c r="AU290" i="4"/>
  <c r="AU316" i="4"/>
  <c r="E303" i="4"/>
  <c r="AU276" i="4"/>
  <c r="E290" i="4"/>
  <c r="AT334" i="4"/>
  <c r="AT347" i="4"/>
  <c r="AT374" i="4"/>
  <c r="AT400" i="4"/>
  <c r="D374" i="4"/>
  <c r="AT387" i="4"/>
  <c r="AT360" i="4"/>
  <c r="D387" i="4"/>
  <c r="J296" i="4"/>
  <c r="J309" i="4"/>
  <c r="L276" i="4"/>
  <c r="L316" i="4" s="1"/>
  <c r="H282" i="4"/>
  <c r="H322" i="4" s="1"/>
  <c r="AG209" i="4"/>
  <c r="L209" i="4"/>
  <c r="AH209" i="4" s="1"/>
  <c r="D276" i="4"/>
  <c r="D316" i="4" s="1"/>
  <c r="E278" i="4"/>
  <c r="E318" i="4" s="1"/>
  <c r="F26" i="4"/>
  <c r="AB53" i="4"/>
  <c r="F13" i="4"/>
  <c r="BS39" i="4"/>
  <c r="BR39" i="4"/>
  <c r="BQ39" i="4"/>
  <c r="BP39" i="4"/>
  <c r="BT39" i="4"/>
  <c r="BU39" i="4"/>
  <c r="E359" i="4"/>
  <c r="E399" i="4" s="1"/>
  <c r="D280" i="4"/>
  <c r="D320" i="4" s="1"/>
  <c r="G39" i="4"/>
  <c r="G79" i="4" s="1"/>
  <c r="K104" i="4"/>
  <c r="K91" i="4"/>
  <c r="AG131" i="4"/>
  <c r="CW117" i="4"/>
  <c r="CV117" i="4"/>
  <c r="CU117" i="4"/>
  <c r="CT117" i="4"/>
  <c r="CX117" i="4"/>
  <c r="CY117" i="4"/>
  <c r="AV91" i="4"/>
  <c r="AV117" i="4"/>
  <c r="AV104" i="4"/>
  <c r="F131" i="4"/>
  <c r="AV131" i="4"/>
  <c r="F144" i="4"/>
  <c r="AV157" i="4"/>
  <c r="AV144" i="4"/>
  <c r="F135" i="4"/>
  <c r="F148" i="4"/>
  <c r="G296" i="4"/>
  <c r="G309" i="4"/>
  <c r="J120" i="4"/>
  <c r="J160" i="4" s="1"/>
  <c r="AB371" i="4"/>
  <c r="F331" i="4"/>
  <c r="F344" i="4"/>
  <c r="BR357" i="4"/>
  <c r="BP357" i="4"/>
  <c r="BQ357" i="4"/>
  <c r="BS357" i="4"/>
  <c r="BT357" i="4"/>
  <c r="BU357" i="4"/>
  <c r="F14" i="4"/>
  <c r="F27" i="4"/>
  <c r="AB54" i="4"/>
  <c r="BR40" i="4"/>
  <c r="BP40" i="4"/>
  <c r="BS40" i="4"/>
  <c r="BQ40" i="4"/>
  <c r="BT40" i="4"/>
  <c r="BU40" i="4"/>
  <c r="D82" i="5"/>
  <c r="D152" i="5" s="1"/>
  <c r="D83" i="5"/>
  <c r="D84" i="5"/>
  <c r="D96" i="2" s="1"/>
  <c r="D98" i="2" s="1"/>
  <c r="D92" i="2"/>
  <c r="D111" i="2" s="1"/>
  <c r="I38" i="4"/>
  <c r="I78" i="4" s="1"/>
  <c r="G226" i="4"/>
  <c r="G213" i="4"/>
  <c r="I223" i="4"/>
  <c r="I210" i="4"/>
  <c r="H131" i="4"/>
  <c r="H144" i="4"/>
  <c r="L282" i="4"/>
  <c r="L322" i="4" s="1"/>
  <c r="J276" i="4"/>
  <c r="J316" i="4" s="1"/>
  <c r="K109" i="4"/>
  <c r="K96" i="4"/>
  <c r="AG136" i="4"/>
  <c r="CW122" i="4"/>
  <c r="CV122" i="4"/>
  <c r="CT122" i="4"/>
  <c r="CU122" i="4"/>
  <c r="CX122" i="4"/>
  <c r="CY122" i="4"/>
  <c r="K281" i="4"/>
  <c r="K321" i="4" s="1"/>
  <c r="J119" i="4"/>
  <c r="J159" i="4" s="1"/>
  <c r="F202" i="4"/>
  <c r="F242" i="4" s="1"/>
  <c r="K372" i="4"/>
  <c r="K385" i="4"/>
  <c r="AU252" i="4"/>
  <c r="AU265" i="4"/>
  <c r="AU278" i="4"/>
  <c r="E292" i="4"/>
  <c r="AU292" i="4"/>
  <c r="AU305" i="4"/>
  <c r="E305" i="4"/>
  <c r="AU318" i="4"/>
  <c r="H331" i="4"/>
  <c r="H344" i="4"/>
  <c r="AD371" i="4"/>
  <c r="CD357" i="4"/>
  <c r="CB357" i="4"/>
  <c r="CE357" i="4"/>
  <c r="CC357" i="4"/>
  <c r="CF357" i="4"/>
  <c r="CG357" i="4"/>
  <c r="F12" i="4"/>
  <c r="F25" i="4"/>
  <c r="AB52" i="4"/>
  <c r="BQ38" i="4"/>
  <c r="BR38" i="4"/>
  <c r="BS38" i="4"/>
  <c r="BP38" i="4"/>
  <c r="BT38" i="4"/>
  <c r="BU38" i="4"/>
  <c r="L357" i="4"/>
  <c r="L397" i="4" s="1"/>
  <c r="I202" i="4"/>
  <c r="I242" i="4" s="1"/>
  <c r="L386" i="4"/>
  <c r="L373" i="4"/>
  <c r="E277" i="4"/>
  <c r="E317" i="4" s="1"/>
  <c r="H202" i="4"/>
  <c r="H242" i="4" s="1"/>
  <c r="G40" i="4"/>
  <c r="G80" i="4" s="1"/>
  <c r="J117" i="4"/>
  <c r="J157" i="4" s="1"/>
  <c r="I282" i="4"/>
  <c r="I322" i="4" s="1"/>
  <c r="H281" i="4"/>
  <c r="H321" i="4" s="1"/>
  <c r="G276" i="4"/>
  <c r="G316" i="4" s="1"/>
  <c r="K95" i="4"/>
  <c r="AG135" i="4"/>
  <c r="K108" i="4"/>
  <c r="CV121" i="4"/>
  <c r="CU121" i="4"/>
  <c r="CT121" i="4"/>
  <c r="CW121" i="4"/>
  <c r="CX121" i="4"/>
  <c r="CY121" i="4"/>
  <c r="K361" i="4"/>
  <c r="K401" i="4" s="1"/>
  <c r="D42" i="2"/>
  <c r="D45" i="2"/>
  <c r="D46" i="2"/>
  <c r="D43" i="2"/>
  <c r="AV250" i="4"/>
  <c r="AV263" i="4"/>
  <c r="F303" i="4"/>
  <c r="AV303" i="4"/>
  <c r="AV290" i="4"/>
  <c r="AV316" i="4"/>
  <c r="AV276" i="4"/>
  <c r="F290" i="4"/>
  <c r="F197" i="4"/>
  <c r="F237" i="4" s="1"/>
  <c r="J335" i="4"/>
  <c r="AF375" i="4"/>
  <c r="J348" i="4"/>
  <c r="CO361" i="4"/>
  <c r="CQ361" i="4"/>
  <c r="CP361" i="4"/>
  <c r="CN361" i="4"/>
  <c r="CR361" i="4"/>
  <c r="CS361" i="4"/>
  <c r="J331" i="4"/>
  <c r="J344" i="4"/>
  <c r="AF371" i="4"/>
  <c r="CN357" i="4"/>
  <c r="CP357" i="4"/>
  <c r="CO357" i="4"/>
  <c r="CQ357" i="4"/>
  <c r="CR357" i="4"/>
  <c r="CS357" i="4"/>
  <c r="J277" i="4"/>
  <c r="J317" i="4" s="1"/>
  <c r="AA9" i="4"/>
  <c r="D9" i="4"/>
  <c r="AA49" i="4"/>
  <c r="AA12" i="4"/>
  <c r="AA14" i="4"/>
  <c r="AA13" i="4"/>
  <c r="AA16" i="4"/>
  <c r="AA10" i="4"/>
  <c r="AA15" i="4"/>
  <c r="AA11" i="4"/>
  <c r="G358" i="4"/>
  <c r="G398" i="4" s="1"/>
  <c r="F277" i="4"/>
  <c r="F317" i="4" s="1"/>
  <c r="L372" i="4"/>
  <c r="L385" i="4"/>
  <c r="F120" i="4"/>
  <c r="F160" i="4" s="1"/>
  <c r="AT254" i="4"/>
  <c r="D307" i="4"/>
  <c r="AT280" i="4"/>
  <c r="AT267" i="4"/>
  <c r="AT294" i="4"/>
  <c r="AT320" i="4"/>
  <c r="AT307" i="4"/>
  <c r="D294" i="4"/>
  <c r="J15" i="4"/>
  <c r="J28" i="4"/>
  <c r="AF55" i="4"/>
  <c r="CQ41" i="4"/>
  <c r="CN41" i="4"/>
  <c r="CP41" i="4"/>
  <c r="CO41" i="4"/>
  <c r="CR41" i="4"/>
  <c r="CS41" i="4"/>
  <c r="L361" i="4"/>
  <c r="L401" i="4" s="1"/>
  <c r="G66" i="4"/>
  <c r="G53" i="4"/>
  <c r="J189" i="4"/>
  <c r="AF216" i="4"/>
  <c r="J176" i="4"/>
  <c r="CQ202" i="4"/>
  <c r="CO202" i="4"/>
  <c r="CN202" i="4"/>
  <c r="CP202" i="4"/>
  <c r="CR202" i="4"/>
  <c r="CS202" i="4"/>
  <c r="D128" i="6"/>
  <c r="K103" i="4"/>
  <c r="K90" i="4"/>
  <c r="AG130" i="4"/>
  <c r="CU116" i="4"/>
  <c r="CT116" i="4"/>
  <c r="CV116" i="4"/>
  <c r="CW116" i="4"/>
  <c r="CX116" i="4"/>
  <c r="CY116" i="4"/>
  <c r="K282" i="4"/>
  <c r="K322" i="4" s="1"/>
  <c r="I199" i="4"/>
  <c r="I239" i="4" s="1"/>
  <c r="K308" i="4"/>
  <c r="K295" i="4"/>
  <c r="J295" i="4"/>
  <c r="J308" i="4"/>
  <c r="L303" i="4"/>
  <c r="L290" i="4"/>
  <c r="F229" i="4"/>
  <c r="F216" i="4"/>
  <c r="H296" i="4"/>
  <c r="H309" i="4"/>
  <c r="AT276" i="4"/>
  <c r="D303" i="4"/>
  <c r="D290" i="4"/>
  <c r="AT250" i="4"/>
  <c r="AT303" i="4"/>
  <c r="AT263" i="4"/>
  <c r="AT290" i="4"/>
  <c r="AT316" i="4"/>
  <c r="G467" i="4"/>
  <c r="AY255" i="4" s="1"/>
  <c r="F348" i="4"/>
  <c r="F335" i="4"/>
  <c r="AB375" i="4"/>
  <c r="BR361" i="4"/>
  <c r="BS361" i="4"/>
  <c r="BP361" i="4"/>
  <c r="BQ361" i="4"/>
  <c r="BT361" i="4"/>
  <c r="BU361" i="4"/>
  <c r="I331" i="4"/>
  <c r="I344" i="4"/>
  <c r="AE371" i="4"/>
  <c r="CH357" i="4"/>
  <c r="CK357" i="4"/>
  <c r="CJ357" i="4"/>
  <c r="CI357" i="4"/>
  <c r="CL357" i="4"/>
  <c r="CM357" i="4"/>
  <c r="D278" i="4"/>
  <c r="D318" i="4" s="1"/>
  <c r="AU333" i="4"/>
  <c r="AU373" i="4"/>
  <c r="AU346" i="4"/>
  <c r="AU399" i="4"/>
  <c r="AU386" i="4"/>
  <c r="AU359" i="4"/>
  <c r="E386" i="4"/>
  <c r="E373" i="4"/>
  <c r="J171" i="4"/>
  <c r="AF211" i="4"/>
  <c r="J184" i="4"/>
  <c r="CP197" i="4"/>
  <c r="CO197" i="4"/>
  <c r="CN197" i="4"/>
  <c r="CQ197" i="4"/>
  <c r="CR197" i="4"/>
  <c r="CS197" i="4"/>
  <c r="H216" i="4"/>
  <c r="H229" i="4"/>
  <c r="J11" i="4"/>
  <c r="J24" i="4"/>
  <c r="AF51" i="4"/>
  <c r="CN37" i="4"/>
  <c r="CQ37" i="4"/>
  <c r="CO37" i="4"/>
  <c r="CP37" i="4"/>
  <c r="CR37" i="4"/>
  <c r="CS37" i="4"/>
  <c r="G67" i="4"/>
  <c r="G54" i="4"/>
  <c r="D281" i="4"/>
  <c r="D321" i="4" s="1"/>
  <c r="F174" i="4"/>
  <c r="AB214" i="4"/>
  <c r="F187" i="4"/>
  <c r="BQ200" i="4"/>
  <c r="BS200" i="4"/>
  <c r="BP200" i="4"/>
  <c r="BR200" i="4"/>
  <c r="BT200" i="4"/>
  <c r="BU200" i="4"/>
  <c r="J122" i="4"/>
  <c r="J162" i="4" s="1"/>
  <c r="L309" i="4"/>
  <c r="L296" i="4"/>
  <c r="K107" i="4"/>
  <c r="AG134" i="4"/>
  <c r="K94" i="4"/>
  <c r="CT120" i="4"/>
  <c r="CW120" i="4"/>
  <c r="CV120" i="4"/>
  <c r="CU120" i="4"/>
  <c r="CX120" i="4"/>
  <c r="CY120" i="4"/>
  <c r="D282" i="4"/>
  <c r="D322" i="4" s="1"/>
  <c r="I276" i="4"/>
  <c r="I316" i="4" s="1"/>
  <c r="K359" i="4"/>
  <c r="K399" i="4" s="1"/>
  <c r="D277" i="4"/>
  <c r="D317" i="4" s="1"/>
  <c r="K277" i="4"/>
  <c r="K317" i="4" s="1"/>
  <c r="G196" i="4"/>
  <c r="G236" i="4" s="1"/>
  <c r="J196" i="4"/>
  <c r="J236" i="4" s="1"/>
  <c r="H348" i="4"/>
  <c r="AD375" i="4"/>
  <c r="H335" i="4"/>
  <c r="CD361" i="4"/>
  <c r="CC361" i="4"/>
  <c r="CE361" i="4"/>
  <c r="CB361" i="4"/>
  <c r="CF361" i="4"/>
  <c r="CG361" i="4"/>
  <c r="G331" i="4"/>
  <c r="G344" i="4"/>
  <c r="AC371" i="4"/>
  <c r="BY357" i="4"/>
  <c r="BV357" i="4"/>
  <c r="BW357" i="4"/>
  <c r="BX357" i="4"/>
  <c r="BZ357" i="4"/>
  <c r="CA357" i="4"/>
  <c r="AT265" i="4"/>
  <c r="AT292" i="4"/>
  <c r="AT318" i="4"/>
  <c r="AT305" i="4"/>
  <c r="AT252" i="4"/>
  <c r="D305" i="4"/>
  <c r="AT278" i="4"/>
  <c r="D292" i="4"/>
  <c r="AU251" i="4"/>
  <c r="AU264" i="4"/>
  <c r="AU304" i="4"/>
  <c r="E291" i="4"/>
  <c r="AU291" i="4"/>
  <c r="AU277" i="4"/>
  <c r="E304" i="4"/>
  <c r="AU317" i="4"/>
  <c r="G38" i="4"/>
  <c r="G78" i="4" s="1"/>
  <c r="BB251" i="4"/>
  <c r="L291" i="4"/>
  <c r="L304" i="4"/>
  <c r="J16" i="4"/>
  <c r="J29" i="4"/>
  <c r="AF56" i="4"/>
  <c r="CN42" i="4"/>
  <c r="CQ42" i="4"/>
  <c r="CO42" i="4"/>
  <c r="CP42" i="4"/>
  <c r="CR42" i="4"/>
  <c r="CS42" i="4"/>
  <c r="F172" i="4"/>
  <c r="F185" i="4"/>
  <c r="AB212" i="4"/>
  <c r="BP198" i="4"/>
  <c r="BQ198" i="4"/>
  <c r="BR198" i="4"/>
  <c r="BS198" i="4"/>
  <c r="BT198" i="4"/>
  <c r="BU198" i="4"/>
  <c r="I65" i="4"/>
  <c r="I52" i="4"/>
  <c r="H201" i="4"/>
  <c r="H241" i="4" s="1"/>
  <c r="E281" i="4"/>
  <c r="E321" i="4" s="1"/>
  <c r="I296" i="4"/>
  <c r="AY322" i="4"/>
  <c r="I309" i="4"/>
  <c r="K92" i="4"/>
  <c r="K105" i="4"/>
  <c r="AG132" i="4"/>
  <c r="CV118" i="4"/>
  <c r="CU118" i="4"/>
  <c r="CT118" i="4"/>
  <c r="CW118" i="4"/>
  <c r="CX118" i="4"/>
  <c r="CY118" i="4"/>
  <c r="I226" i="4"/>
  <c r="I213" i="4"/>
  <c r="E130" i="2"/>
  <c r="C131" i="2"/>
  <c r="C132" i="2"/>
  <c r="C56" i="2"/>
  <c r="C138" i="2"/>
  <c r="E138" i="2" s="1"/>
  <c r="L52" i="2"/>
  <c r="N52" i="2"/>
  <c r="O52" i="2"/>
  <c r="P52" i="2"/>
  <c r="M52" i="2"/>
  <c r="Q52" i="2"/>
  <c r="J146" i="4"/>
  <c r="J133" i="4"/>
  <c r="J147" i="4"/>
  <c r="J134" i="4"/>
  <c r="AV171" i="4"/>
  <c r="AV224" i="4"/>
  <c r="F211" i="4"/>
  <c r="AV211" i="4"/>
  <c r="AV197" i="4"/>
  <c r="F224" i="4"/>
  <c r="AV184" i="4"/>
  <c r="AV237" i="4"/>
  <c r="I335" i="4"/>
  <c r="AE375" i="4"/>
  <c r="I348" i="4"/>
  <c r="CH361" i="4"/>
  <c r="CJ361" i="4"/>
  <c r="CK361" i="4"/>
  <c r="CI361" i="4"/>
  <c r="CL361" i="4"/>
  <c r="CM361" i="4"/>
  <c r="J223" i="4"/>
  <c r="J210" i="4"/>
  <c r="F360" i="4"/>
  <c r="F400" i="4" s="1"/>
  <c r="AE330" i="4"/>
  <c r="AC330" i="4"/>
  <c r="AB330" i="4"/>
  <c r="AF330" i="4"/>
  <c r="AD330" i="4"/>
  <c r="AA330" i="4"/>
  <c r="AH330" i="4"/>
  <c r="Z330" i="4"/>
  <c r="AG330" i="4"/>
  <c r="L371" i="4"/>
  <c r="L384" i="4"/>
  <c r="I216" i="4"/>
  <c r="I229" i="4"/>
  <c r="AV251" i="4"/>
  <c r="AV264" i="4"/>
  <c r="AV317" i="4"/>
  <c r="AV304" i="4"/>
  <c r="F291" i="4"/>
  <c r="AV291" i="4"/>
  <c r="AV277" i="4"/>
  <c r="F304" i="4"/>
  <c r="I201" i="4"/>
  <c r="I241" i="4" s="1"/>
  <c r="J10" i="4"/>
  <c r="J23" i="4"/>
  <c r="AF50" i="4"/>
  <c r="CP36" i="4"/>
  <c r="CN36" i="4"/>
  <c r="CQ36" i="4"/>
  <c r="CO36" i="4"/>
  <c r="CR36" i="4"/>
  <c r="CS36" i="4"/>
  <c r="H136" i="4"/>
  <c r="H149" i="4"/>
  <c r="J131" i="4"/>
  <c r="J144" i="4"/>
  <c r="AT268" i="4"/>
  <c r="D295" i="4"/>
  <c r="D308" i="4"/>
  <c r="AT295" i="4"/>
  <c r="AT255" i="4"/>
  <c r="AT308" i="4"/>
  <c r="AT321" i="4"/>
  <c r="AT281" i="4"/>
  <c r="F173" i="4"/>
  <c r="AB213" i="4"/>
  <c r="F186" i="4"/>
  <c r="BS199" i="4"/>
  <c r="BR199" i="4"/>
  <c r="BP199" i="4"/>
  <c r="BQ199" i="4"/>
  <c r="BT199" i="4"/>
  <c r="BU199" i="4"/>
  <c r="I281" i="4"/>
  <c r="I321" i="4" s="1"/>
  <c r="J185" i="4"/>
  <c r="J172" i="4"/>
  <c r="AF212" i="4"/>
  <c r="CQ198" i="4"/>
  <c r="CN198" i="4"/>
  <c r="CP198" i="4"/>
  <c r="CO198" i="4"/>
  <c r="CR198" i="4"/>
  <c r="CS198" i="4"/>
  <c r="C141" i="6"/>
  <c r="D97" i="6"/>
  <c r="C138" i="6" s="1"/>
  <c r="C119" i="2" s="1"/>
  <c r="C136" i="6"/>
  <c r="C116" i="2" s="1"/>
  <c r="C137" i="6"/>
  <c r="C117" i="2" s="1"/>
  <c r="C115" i="2"/>
  <c r="J290" i="4"/>
  <c r="J303" i="4"/>
  <c r="K93" i="4"/>
  <c r="K106" i="4"/>
  <c r="AG133" i="4"/>
  <c r="CV119" i="4"/>
  <c r="CU119" i="4"/>
  <c r="CT119" i="4"/>
  <c r="CW119" i="4"/>
  <c r="CX119" i="4"/>
  <c r="CY119" i="4"/>
  <c r="G281" i="4"/>
  <c r="G321" i="4" s="1"/>
  <c r="AT296" i="4"/>
  <c r="AT269" i="4"/>
  <c r="AT282" i="4"/>
  <c r="AT256" i="4"/>
  <c r="AT309" i="4"/>
  <c r="AT322" i="4"/>
  <c r="D296" i="4"/>
  <c r="D309" i="4"/>
  <c r="AY263" i="4"/>
  <c r="AY316" i="4"/>
  <c r="AY276" i="4"/>
  <c r="I290" i="4"/>
  <c r="I303" i="4"/>
  <c r="E148" i="2"/>
  <c r="C149" i="2"/>
  <c r="AW170" i="4"/>
  <c r="AW196" i="4"/>
  <c r="AW183" i="4"/>
  <c r="G223" i="4"/>
  <c r="G210" i="4"/>
  <c r="AW223" i="4"/>
  <c r="AW210" i="4"/>
  <c r="AW236" i="4"/>
  <c r="G348" i="4"/>
  <c r="AC375" i="4"/>
  <c r="G335" i="4"/>
  <c r="BY361" i="4"/>
  <c r="BV361" i="4"/>
  <c r="BW361" i="4"/>
  <c r="BX361" i="4"/>
  <c r="BZ361" i="4"/>
  <c r="CA361" i="4"/>
  <c r="AW332" i="4"/>
  <c r="AW345" i="4"/>
  <c r="AW358" i="4"/>
  <c r="AW385" i="4"/>
  <c r="AW372" i="4"/>
  <c r="G372" i="4"/>
  <c r="G385" i="4"/>
  <c r="AW398" i="4"/>
  <c r="I215" i="4"/>
  <c r="I228" i="4"/>
  <c r="F134" i="4"/>
  <c r="F147" i="4"/>
  <c r="AV92" i="4"/>
  <c r="AV145" i="4"/>
  <c r="F145" i="4"/>
  <c r="AV118" i="4"/>
  <c r="AV105" i="4"/>
  <c r="AV132" i="4"/>
  <c r="AV158" i="4"/>
  <c r="F132" i="4"/>
  <c r="F122" i="4"/>
  <c r="F162" i="4" s="1"/>
  <c r="J27" i="4"/>
  <c r="J14" i="4"/>
  <c r="AF54" i="4"/>
  <c r="CP40" i="4"/>
  <c r="CQ40" i="4"/>
  <c r="CO40" i="4"/>
  <c r="CN40" i="4"/>
  <c r="CR40" i="4"/>
  <c r="CS40" i="4"/>
  <c r="L375" i="4"/>
  <c r="L388" i="4"/>
  <c r="AA169" i="4"/>
  <c r="D169" i="4"/>
  <c r="AA173" i="4"/>
  <c r="AA174" i="4"/>
  <c r="AA172" i="4"/>
  <c r="AA176" i="4"/>
  <c r="AA175" i="4"/>
  <c r="AA171" i="4"/>
  <c r="AA170" i="4"/>
  <c r="J136" i="4"/>
  <c r="J149" i="4"/>
  <c r="E282" i="4"/>
  <c r="E322" i="4" s="1"/>
  <c r="H276" i="4"/>
  <c r="H316" i="4" s="1"/>
  <c r="AW250" i="4"/>
  <c r="AW276" i="4"/>
  <c r="AW303" i="4"/>
  <c r="AW263" i="4"/>
  <c r="AW290" i="4"/>
  <c r="AW316" i="4"/>
  <c r="G303" i="4"/>
  <c r="G290" i="4"/>
  <c r="J187" i="4"/>
  <c r="J174" i="4"/>
  <c r="AF214" i="4"/>
  <c r="CO200" i="4"/>
  <c r="CP200" i="4"/>
  <c r="CN200" i="4"/>
  <c r="CQ200" i="4"/>
  <c r="CR200" i="4"/>
  <c r="CS200" i="4"/>
  <c r="F295" i="4"/>
  <c r="AV281" i="4"/>
  <c r="AV321" i="4"/>
  <c r="F308" i="4"/>
  <c r="K375" i="4"/>
  <c r="K388" i="4"/>
  <c r="K296" i="4"/>
  <c r="BA269" i="4"/>
  <c r="BA296" i="4"/>
  <c r="BA309" i="4"/>
  <c r="BA282" i="4"/>
  <c r="BA322" i="4"/>
  <c r="K309" i="4"/>
  <c r="K360" i="4"/>
  <c r="K400" i="4" s="1"/>
  <c r="BA277" i="4"/>
  <c r="BA317" i="4"/>
  <c r="K304" i="4"/>
  <c r="K291" i="4"/>
  <c r="E91" i="4"/>
  <c r="AA131" i="4"/>
  <c r="E104" i="4"/>
  <c r="BM117" i="4"/>
  <c r="BK117" i="4"/>
  <c r="BJ117" i="4"/>
  <c r="BL117" i="4"/>
  <c r="BN117" i="4"/>
  <c r="BO117" i="4"/>
  <c r="H196" i="4"/>
  <c r="H236" i="4" s="1"/>
  <c r="BA291" i="4" l="1"/>
  <c r="BA264" i="4"/>
  <c r="BA304" i="4"/>
  <c r="AZ263" i="4"/>
  <c r="AY282" i="4"/>
  <c r="AY290" i="4"/>
  <c r="AY303" i="4"/>
  <c r="BB264" i="4"/>
  <c r="AZ308" i="4"/>
  <c r="BB282" i="4"/>
  <c r="AZ295" i="4"/>
  <c r="AY250" i="4"/>
  <c r="G357" i="4"/>
  <c r="G397" i="4" s="1"/>
  <c r="AV308" i="4"/>
  <c r="BA251" i="4"/>
  <c r="AV295" i="4"/>
  <c r="AZ290" i="4"/>
  <c r="BB291" i="4"/>
  <c r="AV268" i="4"/>
  <c r="AZ276" i="4"/>
  <c r="BB304" i="4"/>
  <c r="BA256" i="4"/>
  <c r="AV255" i="4"/>
  <c r="AZ316" i="4"/>
  <c r="C57" i="2"/>
  <c r="K121" i="4"/>
  <c r="K161" i="4" s="1"/>
  <c r="F199" i="4"/>
  <c r="F239" i="4" s="1"/>
  <c r="BA295" i="4"/>
  <c r="K119" i="4"/>
  <c r="K159" i="4" s="1"/>
  <c r="F361" i="4"/>
  <c r="F401" i="4" s="1"/>
  <c r="AX282" i="4"/>
  <c r="AY296" i="4"/>
  <c r="AX296" i="4"/>
  <c r="BA255" i="4"/>
  <c r="AZ269" i="4"/>
  <c r="AY269" i="4"/>
  <c r="AX269" i="4"/>
  <c r="AY256" i="4"/>
  <c r="BB322" i="4"/>
  <c r="BB316" i="4"/>
  <c r="BB309" i="4"/>
  <c r="BB303" i="4"/>
  <c r="BB296" i="4"/>
  <c r="F40" i="4"/>
  <c r="F80" i="4" s="1"/>
  <c r="AW309" i="4"/>
  <c r="AZ303" i="4"/>
  <c r="AW282" i="4"/>
  <c r="E184" i="4"/>
  <c r="E171" i="4"/>
  <c r="AA211" i="4"/>
  <c r="BL197" i="4"/>
  <c r="BM197" i="4"/>
  <c r="BJ197" i="4"/>
  <c r="BK197" i="4"/>
  <c r="BN197" i="4"/>
  <c r="BO197" i="4"/>
  <c r="C125" i="2"/>
  <c r="E125" i="2" s="1"/>
  <c r="E117" i="2"/>
  <c r="J42" i="4"/>
  <c r="J82" i="4" s="1"/>
  <c r="J64" i="4"/>
  <c r="J51" i="4"/>
  <c r="E25" i="4"/>
  <c r="E12" i="4"/>
  <c r="AA52" i="4"/>
  <c r="BL38" i="4"/>
  <c r="BM38" i="4"/>
  <c r="BJ38" i="4"/>
  <c r="BK38" i="4"/>
  <c r="BN38" i="4"/>
  <c r="BO38" i="4"/>
  <c r="J361" i="4"/>
  <c r="J401" i="4" s="1"/>
  <c r="AV309" i="4"/>
  <c r="C106" i="2"/>
  <c r="D90" i="6"/>
  <c r="BB255" i="4"/>
  <c r="E118" i="4"/>
  <c r="E158" i="4" s="1"/>
  <c r="D91" i="4"/>
  <c r="Z131" i="4"/>
  <c r="D104" i="4"/>
  <c r="BD117" i="4"/>
  <c r="BF117" i="4"/>
  <c r="BE117" i="4"/>
  <c r="BG117" i="4"/>
  <c r="BH117" i="4"/>
  <c r="BI117" i="4"/>
  <c r="C58" i="2"/>
  <c r="E58" i="2" s="1"/>
  <c r="E54" i="2"/>
  <c r="K10" i="4"/>
  <c r="K23" i="4"/>
  <c r="AG50" i="4"/>
  <c r="CV36" i="4"/>
  <c r="CT36" i="4"/>
  <c r="CW36" i="4"/>
  <c r="CU36" i="4"/>
  <c r="CX36" i="4"/>
  <c r="CY36" i="4"/>
  <c r="J65" i="4"/>
  <c r="J52" i="4"/>
  <c r="E122" i="4"/>
  <c r="E162" i="4" s="1"/>
  <c r="AV63" i="4"/>
  <c r="AV10" i="4"/>
  <c r="AV36" i="4"/>
  <c r="AV23" i="4"/>
  <c r="F63" i="4"/>
  <c r="F50" i="4"/>
  <c r="AV76" i="4"/>
  <c r="AV50" i="4"/>
  <c r="E107" i="2"/>
  <c r="BB268" i="4"/>
  <c r="Z136" i="4"/>
  <c r="D109" i="4"/>
  <c r="D96" i="4"/>
  <c r="BF122" i="4"/>
  <c r="BD122" i="4"/>
  <c r="BG122" i="4"/>
  <c r="BE122" i="4"/>
  <c r="BH122" i="4"/>
  <c r="BI122" i="4"/>
  <c r="K28" i="4"/>
  <c r="K15" i="4"/>
  <c r="AG55" i="4"/>
  <c r="CV41" i="4"/>
  <c r="CT41" i="4"/>
  <c r="CW41" i="4"/>
  <c r="CU41" i="4"/>
  <c r="CX41" i="4"/>
  <c r="CY41" i="4"/>
  <c r="AX321" i="4"/>
  <c r="I357" i="4"/>
  <c r="I397" i="4" s="1"/>
  <c r="J41" i="4"/>
  <c r="J81" i="4" s="1"/>
  <c r="Z9" i="4"/>
  <c r="Z49" i="4"/>
  <c r="Z12" i="4"/>
  <c r="Z14" i="4"/>
  <c r="Z13" i="4"/>
  <c r="Z10" i="4"/>
  <c r="Z16" i="4"/>
  <c r="Z15" i="4"/>
  <c r="Z11" i="4"/>
  <c r="F38" i="4"/>
  <c r="F78" i="4" s="1"/>
  <c r="AV256" i="4"/>
  <c r="BB308" i="4"/>
  <c r="D95" i="4"/>
  <c r="D108" i="4"/>
  <c r="Z135" i="4"/>
  <c r="BG121" i="4"/>
  <c r="BE121" i="4"/>
  <c r="BD121" i="4"/>
  <c r="BF121" i="4"/>
  <c r="BH121" i="4"/>
  <c r="BI121" i="4"/>
  <c r="C70" i="2"/>
  <c r="C73" i="2"/>
  <c r="C71" i="2"/>
  <c r="E69" i="2"/>
  <c r="K14" i="4"/>
  <c r="K27" i="4"/>
  <c r="AG54" i="4"/>
  <c r="CV40" i="4"/>
  <c r="CW40" i="4"/>
  <c r="CT40" i="4"/>
  <c r="CU40" i="4"/>
  <c r="CX40" i="4"/>
  <c r="CY40" i="4"/>
  <c r="E149" i="4"/>
  <c r="E136" i="4"/>
  <c r="E116" i="2"/>
  <c r="C124" i="2"/>
  <c r="E124" i="2" s="1"/>
  <c r="E119" i="2"/>
  <c r="C127" i="2"/>
  <c r="E127" i="2" s="1"/>
  <c r="G384" i="4"/>
  <c r="AW331" i="4"/>
  <c r="AW344" i="4"/>
  <c r="AW371" i="4"/>
  <c r="G371" i="4"/>
  <c r="AW357" i="4"/>
  <c r="AW397" i="4"/>
  <c r="AW384" i="4"/>
  <c r="I371" i="4"/>
  <c r="I384" i="4"/>
  <c r="J216" i="4"/>
  <c r="J229" i="4"/>
  <c r="F67" i="4"/>
  <c r="F54" i="4"/>
  <c r="AW296" i="4"/>
  <c r="F56" i="4"/>
  <c r="F69" i="4"/>
  <c r="AV269" i="4"/>
  <c r="AU159" i="4"/>
  <c r="AU93" i="4"/>
  <c r="AU146" i="4"/>
  <c r="AU106" i="4"/>
  <c r="AU133" i="4"/>
  <c r="E133" i="4"/>
  <c r="AU119" i="4"/>
  <c r="E146" i="4"/>
  <c r="BA316" i="4"/>
  <c r="BB281" i="4"/>
  <c r="L91" i="4"/>
  <c r="L104" i="4"/>
  <c r="AH131" i="4"/>
  <c r="CZ117" i="4"/>
  <c r="DA117" i="4"/>
  <c r="DB117" i="4"/>
  <c r="DC117" i="4"/>
  <c r="DD117" i="4"/>
  <c r="DE117" i="4"/>
  <c r="D90" i="4"/>
  <c r="D103" i="4"/>
  <c r="Z130" i="4"/>
  <c r="BF116" i="4"/>
  <c r="BG116" i="4"/>
  <c r="BE116" i="4"/>
  <c r="BD116" i="4"/>
  <c r="BH116" i="4"/>
  <c r="BI116" i="4"/>
  <c r="E116" i="4"/>
  <c r="E156" i="4" s="1"/>
  <c r="AG52" i="4"/>
  <c r="K25" i="4"/>
  <c r="K12" i="4"/>
  <c r="CV38" i="4"/>
  <c r="CW38" i="4"/>
  <c r="CT38" i="4"/>
  <c r="CU38" i="4"/>
  <c r="CX38" i="4"/>
  <c r="CY38" i="4"/>
  <c r="AX281" i="4"/>
  <c r="J39" i="4"/>
  <c r="J79" i="4" s="1"/>
  <c r="D343" i="4"/>
  <c r="Z370" i="4"/>
  <c r="D330" i="4"/>
  <c r="BD356" i="4"/>
  <c r="BF356" i="4"/>
  <c r="BE356" i="4"/>
  <c r="BG356" i="4"/>
  <c r="BH356" i="4"/>
  <c r="BI356" i="4"/>
  <c r="L330" i="4"/>
  <c r="L343" i="4"/>
  <c r="AH370" i="4"/>
  <c r="DB356" i="4"/>
  <c r="DA356" i="4"/>
  <c r="CZ356" i="4"/>
  <c r="DC356" i="4"/>
  <c r="DD356" i="4"/>
  <c r="DE356" i="4"/>
  <c r="K146" i="4"/>
  <c r="K133" i="4"/>
  <c r="E330" i="4"/>
  <c r="E343" i="4"/>
  <c r="AA370" i="4"/>
  <c r="BL356" i="4"/>
  <c r="BJ356" i="4"/>
  <c r="BM356" i="4"/>
  <c r="BK356" i="4"/>
  <c r="BN356" i="4"/>
  <c r="BO356" i="4"/>
  <c r="AZ255" i="4"/>
  <c r="J55" i="4"/>
  <c r="J68" i="4"/>
  <c r="AZ256" i="4"/>
  <c r="AY304" i="4"/>
  <c r="L96" i="4"/>
  <c r="AH136" i="4"/>
  <c r="L109" i="4"/>
  <c r="DB122" i="4"/>
  <c r="DA122" i="4"/>
  <c r="CZ122" i="4"/>
  <c r="DC122" i="4"/>
  <c r="DD122" i="4"/>
  <c r="DE122" i="4"/>
  <c r="AU92" i="4"/>
  <c r="AU145" i="4"/>
  <c r="AU118" i="4"/>
  <c r="AU105" i="4"/>
  <c r="AU132" i="4"/>
  <c r="AU158" i="4"/>
  <c r="E132" i="4"/>
  <c r="E145" i="4"/>
  <c r="D92" i="4"/>
  <c r="Z132" i="4"/>
  <c r="D105" i="4"/>
  <c r="BD118" i="4"/>
  <c r="BG118" i="4"/>
  <c r="BE118" i="4"/>
  <c r="BF118" i="4"/>
  <c r="BH118" i="4"/>
  <c r="BI118" i="4"/>
  <c r="AU103" i="4"/>
  <c r="E143" i="4"/>
  <c r="E130" i="4"/>
  <c r="AU130" i="4"/>
  <c r="AU156" i="4"/>
  <c r="AU90" i="4"/>
  <c r="AU143" i="4"/>
  <c r="AU116" i="4"/>
  <c r="K171" i="4"/>
  <c r="AG211" i="4"/>
  <c r="K184" i="4"/>
  <c r="CW197" i="4"/>
  <c r="CT197" i="4"/>
  <c r="CU197" i="4"/>
  <c r="CV197" i="4"/>
  <c r="CX197" i="4"/>
  <c r="CY197" i="4"/>
  <c r="AX295" i="4"/>
  <c r="J69" i="4"/>
  <c r="J56" i="4"/>
  <c r="J40" i="4"/>
  <c r="J80" i="4" s="1"/>
  <c r="J36" i="4"/>
  <c r="J76" i="4" s="1"/>
  <c r="E174" i="4"/>
  <c r="E187" i="4"/>
  <c r="AA214" i="4"/>
  <c r="BK200" i="4"/>
  <c r="BL200" i="4"/>
  <c r="BM200" i="4"/>
  <c r="BJ200" i="4"/>
  <c r="BN200" i="4"/>
  <c r="BO200" i="4"/>
  <c r="E173" i="4"/>
  <c r="AA213" i="4"/>
  <c r="E186" i="4"/>
  <c r="BL199" i="4"/>
  <c r="BM199" i="4"/>
  <c r="BJ199" i="4"/>
  <c r="BK199" i="4"/>
  <c r="BN199" i="4"/>
  <c r="BO199" i="4"/>
  <c r="AV186" i="4"/>
  <c r="AV199" i="4"/>
  <c r="AV239" i="4"/>
  <c r="AV226" i="4"/>
  <c r="AV173" i="4"/>
  <c r="AV213" i="4"/>
  <c r="F226" i="4"/>
  <c r="F213" i="4"/>
  <c r="J50" i="4"/>
  <c r="J63" i="4"/>
  <c r="H330" i="4"/>
  <c r="AD370" i="4"/>
  <c r="H343" i="4"/>
  <c r="CD356" i="4"/>
  <c r="CC356" i="4"/>
  <c r="CB356" i="4"/>
  <c r="CE356" i="4"/>
  <c r="CF356" i="4"/>
  <c r="CG356" i="4"/>
  <c r="AY309" i="4"/>
  <c r="BB317" i="4"/>
  <c r="BB256" i="4"/>
  <c r="AZ321" i="4"/>
  <c r="J375" i="4"/>
  <c r="J388" i="4"/>
  <c r="AW322" i="4"/>
  <c r="AZ322" i="4"/>
  <c r="AX317" i="4"/>
  <c r="L108" i="4"/>
  <c r="AH135" i="4"/>
  <c r="L95" i="4"/>
  <c r="DB121" i="4"/>
  <c r="CZ121" i="4"/>
  <c r="DA121" i="4"/>
  <c r="DC121" i="4"/>
  <c r="DD121" i="4"/>
  <c r="DE121" i="4"/>
  <c r="D94" i="4"/>
  <c r="D107" i="4"/>
  <c r="Z134" i="4"/>
  <c r="BD120" i="4"/>
  <c r="BF120" i="4"/>
  <c r="BE120" i="4"/>
  <c r="BG120" i="4"/>
  <c r="BH120" i="4"/>
  <c r="BI120" i="4"/>
  <c r="K170" i="4"/>
  <c r="K183" i="4"/>
  <c r="AG210" i="4"/>
  <c r="CV196" i="4"/>
  <c r="CU196" i="4"/>
  <c r="CW196" i="4"/>
  <c r="CT196" i="4"/>
  <c r="CX196" i="4"/>
  <c r="CY196" i="4"/>
  <c r="AH9" i="4"/>
  <c r="AH49" i="4"/>
  <c r="AH13" i="4"/>
  <c r="AH14" i="4"/>
  <c r="AH12" i="4"/>
  <c r="AH15" i="4"/>
  <c r="AH10" i="4"/>
  <c r="AH16" i="4"/>
  <c r="AH11" i="4"/>
  <c r="AZ291" i="4"/>
  <c r="AX268" i="4"/>
  <c r="G388" i="4"/>
  <c r="G375" i="4"/>
  <c r="E189" i="4"/>
  <c r="E176" i="4"/>
  <c r="AA216" i="4"/>
  <c r="BK202" i="4"/>
  <c r="BJ202" i="4"/>
  <c r="BM202" i="4"/>
  <c r="BL202" i="4"/>
  <c r="BN202" i="4"/>
  <c r="BO202" i="4"/>
  <c r="E172" i="4"/>
  <c r="E185" i="4"/>
  <c r="AA212" i="4"/>
  <c r="BL198" i="4"/>
  <c r="BJ198" i="4"/>
  <c r="BM198" i="4"/>
  <c r="BK198" i="4"/>
  <c r="BN198" i="4"/>
  <c r="BO198" i="4"/>
  <c r="Z169" i="4"/>
  <c r="Z173" i="4"/>
  <c r="Z174" i="4"/>
  <c r="Z172" i="4"/>
  <c r="Z176" i="4"/>
  <c r="Z175" i="4"/>
  <c r="Z171" i="4"/>
  <c r="Z170" i="4"/>
  <c r="J54" i="4"/>
  <c r="J67" i="4"/>
  <c r="J330" i="4"/>
  <c r="AF370" i="4"/>
  <c r="J343" i="4"/>
  <c r="CP356" i="4"/>
  <c r="CO356" i="4"/>
  <c r="CQ356" i="4"/>
  <c r="CN356" i="4"/>
  <c r="CR356" i="4"/>
  <c r="CS356" i="4"/>
  <c r="BB277" i="4"/>
  <c r="BB269" i="4"/>
  <c r="AZ281" i="4"/>
  <c r="K116" i="4"/>
  <c r="K156" i="4" s="1"/>
  <c r="AV25" i="4"/>
  <c r="AV38" i="4"/>
  <c r="AV12" i="4"/>
  <c r="F65" i="4"/>
  <c r="AV52" i="4"/>
  <c r="F52" i="4"/>
  <c r="AV65" i="4"/>
  <c r="AV78" i="4"/>
  <c r="AW256" i="4"/>
  <c r="F39" i="4"/>
  <c r="F79" i="4" s="1"/>
  <c r="AZ282" i="4"/>
  <c r="AX291" i="4"/>
  <c r="BA303" i="4"/>
  <c r="L103" i="4"/>
  <c r="L90" i="4"/>
  <c r="AH130" i="4"/>
  <c r="DB116" i="4"/>
  <c r="CZ116" i="4"/>
  <c r="DA116" i="4"/>
  <c r="DC116" i="4"/>
  <c r="DD116" i="4"/>
  <c r="DE116" i="4"/>
  <c r="D106" i="4"/>
  <c r="Z133" i="4"/>
  <c r="D93" i="4"/>
  <c r="BD119" i="4"/>
  <c r="BF119" i="4"/>
  <c r="BG119" i="4"/>
  <c r="BE119" i="4"/>
  <c r="BH119" i="4"/>
  <c r="BI119" i="4"/>
  <c r="K188" i="4"/>
  <c r="K175" i="4"/>
  <c r="AG215" i="4"/>
  <c r="CV201" i="4"/>
  <c r="CU201" i="4"/>
  <c r="CW201" i="4"/>
  <c r="CT201" i="4"/>
  <c r="CX201" i="4"/>
  <c r="CY201" i="4"/>
  <c r="AZ264" i="4"/>
  <c r="AW321" i="4"/>
  <c r="AX308" i="4"/>
  <c r="E188" i="4"/>
  <c r="E175" i="4"/>
  <c r="AA215" i="4"/>
  <c r="BK201" i="4"/>
  <c r="BM201" i="4"/>
  <c r="BJ201" i="4"/>
  <c r="BL201" i="4"/>
  <c r="BN201" i="4"/>
  <c r="BO201" i="4"/>
  <c r="K330" i="4"/>
  <c r="K343" i="4"/>
  <c r="AG370" i="4"/>
  <c r="CV356" i="4"/>
  <c r="CU356" i="4"/>
  <c r="CW356" i="4"/>
  <c r="CT356" i="4"/>
  <c r="CX356" i="4"/>
  <c r="CY356" i="4"/>
  <c r="J211" i="4"/>
  <c r="J224" i="4"/>
  <c r="J200" i="4"/>
  <c r="J240" i="4" s="1"/>
  <c r="F330" i="4"/>
  <c r="F343" i="4"/>
  <c r="AB370" i="4"/>
  <c r="BS356" i="4"/>
  <c r="BP356" i="4"/>
  <c r="BR356" i="4"/>
  <c r="BQ356" i="4"/>
  <c r="BT356" i="4"/>
  <c r="BU356" i="4"/>
  <c r="F198" i="4"/>
  <c r="F238" i="4" s="1"/>
  <c r="AZ268" i="4"/>
  <c r="AW269" i="4"/>
  <c r="AZ309" i="4"/>
  <c r="AX277" i="4"/>
  <c r="D86" i="2"/>
  <c r="D89" i="2"/>
  <c r="D102" i="2"/>
  <c r="BA276" i="4"/>
  <c r="AY317" i="4"/>
  <c r="L92" i="4"/>
  <c r="L105" i="4"/>
  <c r="AH132" i="4"/>
  <c r="DB118" i="4"/>
  <c r="CZ118" i="4"/>
  <c r="DA118" i="4"/>
  <c r="DC118" i="4"/>
  <c r="DD118" i="4"/>
  <c r="DE118" i="4"/>
  <c r="F37" i="4"/>
  <c r="F77" i="4" s="1"/>
  <c r="K189" i="4"/>
  <c r="AG216" i="4"/>
  <c r="K176" i="4"/>
  <c r="CV202" i="4"/>
  <c r="CT202" i="4"/>
  <c r="CU202" i="4"/>
  <c r="CW202" i="4"/>
  <c r="CX202" i="4"/>
  <c r="CY202" i="4"/>
  <c r="AZ304" i="4"/>
  <c r="AW308" i="4"/>
  <c r="AX255" i="4"/>
  <c r="D349" i="4"/>
  <c r="Z376" i="4"/>
  <c r="D336" i="4"/>
  <c r="BF362" i="4"/>
  <c r="BE362" i="4"/>
  <c r="BG362" i="4"/>
  <c r="BD362" i="4"/>
  <c r="BH362" i="4"/>
  <c r="BI362" i="4"/>
  <c r="AU91" i="4"/>
  <c r="AU117" i="4"/>
  <c r="AU104" i="4"/>
  <c r="E131" i="4"/>
  <c r="AU131" i="4"/>
  <c r="E144" i="4"/>
  <c r="AU157" i="4"/>
  <c r="AU144" i="4"/>
  <c r="J198" i="4"/>
  <c r="J238" i="4" s="1"/>
  <c r="G330" i="4"/>
  <c r="G343" i="4"/>
  <c r="AC370" i="4"/>
  <c r="BW356" i="4"/>
  <c r="BX356" i="4"/>
  <c r="BY356" i="4"/>
  <c r="BV356" i="4"/>
  <c r="BZ356" i="4"/>
  <c r="CA356" i="4"/>
  <c r="I361" i="4"/>
  <c r="I401" i="4" s="1"/>
  <c r="AV185" i="4"/>
  <c r="AV198" i="4"/>
  <c r="AV212" i="4"/>
  <c r="AV238" i="4"/>
  <c r="AV225" i="4"/>
  <c r="F225" i="4"/>
  <c r="AV172" i="4"/>
  <c r="F212" i="4"/>
  <c r="H361" i="4"/>
  <c r="H401" i="4" s="1"/>
  <c r="K130" i="4"/>
  <c r="K143" i="4"/>
  <c r="K122" i="4"/>
  <c r="K162" i="4" s="1"/>
  <c r="AZ296" i="4"/>
  <c r="BA290" i="4"/>
  <c r="AY291" i="4"/>
  <c r="L107" i="4"/>
  <c r="AH134" i="4"/>
  <c r="L94" i="4"/>
  <c r="DB120" i="4"/>
  <c r="CZ120" i="4"/>
  <c r="DC120" i="4"/>
  <c r="DA120" i="4"/>
  <c r="DD120" i="4"/>
  <c r="DE120" i="4"/>
  <c r="K187" i="4"/>
  <c r="K174" i="4"/>
  <c r="AG214" i="4"/>
  <c r="CV200" i="4"/>
  <c r="CT200" i="4"/>
  <c r="CU200" i="4"/>
  <c r="CW200" i="4"/>
  <c r="CX200" i="4"/>
  <c r="CY200" i="4"/>
  <c r="AZ277" i="4"/>
  <c r="AW281" i="4"/>
  <c r="J66" i="4"/>
  <c r="J53" i="4"/>
  <c r="L336" i="4"/>
  <c r="AH376" i="4"/>
  <c r="L349" i="4"/>
  <c r="DB362" i="4"/>
  <c r="DA362" i="4"/>
  <c r="CZ362" i="4"/>
  <c r="DC362" i="4"/>
  <c r="DD362" i="4"/>
  <c r="DE362" i="4"/>
  <c r="E57" i="2"/>
  <c r="C59" i="2"/>
  <c r="E59" i="2" s="1"/>
  <c r="D94" i="2"/>
  <c r="D95" i="2"/>
  <c r="AX304" i="4"/>
  <c r="D87" i="2"/>
  <c r="BA250" i="4"/>
  <c r="AY277" i="4"/>
  <c r="F41" i="4"/>
  <c r="F81" i="4" s="1"/>
  <c r="L93" i="4"/>
  <c r="L106" i="4"/>
  <c r="AH133" i="4"/>
  <c r="DB119" i="4"/>
  <c r="CZ119" i="4"/>
  <c r="DC119" i="4"/>
  <c r="DA119" i="4"/>
  <c r="DD119" i="4"/>
  <c r="DE119" i="4"/>
  <c r="AV77" i="4"/>
  <c r="AV11" i="4"/>
  <c r="AV24" i="4"/>
  <c r="F51" i="4"/>
  <c r="AV37" i="4"/>
  <c r="AV51" i="4"/>
  <c r="F64" i="4"/>
  <c r="AV64" i="4"/>
  <c r="AY321" i="4"/>
  <c r="K185" i="4"/>
  <c r="K172" i="4"/>
  <c r="AG212" i="4"/>
  <c r="CV198" i="4"/>
  <c r="CU198" i="4"/>
  <c r="CW198" i="4"/>
  <c r="CT198" i="4"/>
  <c r="CX198" i="4"/>
  <c r="CY198" i="4"/>
  <c r="AZ317" i="4"/>
  <c r="AW295" i="4"/>
  <c r="E349" i="4"/>
  <c r="E336" i="4"/>
  <c r="AA376" i="4"/>
  <c r="BL362" i="4"/>
  <c r="BK362" i="4"/>
  <c r="BM362" i="4"/>
  <c r="BJ362" i="4"/>
  <c r="BN362" i="4"/>
  <c r="BO362" i="4"/>
  <c r="J212" i="4"/>
  <c r="J225" i="4"/>
  <c r="K118" i="4"/>
  <c r="K158" i="4" s="1"/>
  <c r="AA51" i="4"/>
  <c r="E11" i="4"/>
  <c r="E24" i="4"/>
  <c r="BL37" i="4"/>
  <c r="BM37" i="4"/>
  <c r="BJ37" i="4"/>
  <c r="BK37" i="4"/>
  <c r="BN37" i="4"/>
  <c r="BO37" i="4"/>
  <c r="J357" i="4"/>
  <c r="J397" i="4" s="1"/>
  <c r="F357" i="4"/>
  <c r="F397" i="4" s="1"/>
  <c r="K117" i="4"/>
  <c r="K157" i="4" s="1"/>
  <c r="AX264" i="4"/>
  <c r="BA263" i="4"/>
  <c r="AY264" i="4"/>
  <c r="K186" i="4"/>
  <c r="K173" i="4"/>
  <c r="AG213" i="4"/>
  <c r="CT199" i="4"/>
  <c r="CV199" i="4"/>
  <c r="CU199" i="4"/>
  <c r="CW199" i="4"/>
  <c r="CX199" i="4"/>
  <c r="CY199" i="4"/>
  <c r="AZ251" i="4"/>
  <c r="K336" i="4"/>
  <c r="AG376" i="4"/>
  <c r="K349" i="4"/>
  <c r="CV362" i="4"/>
  <c r="CW362" i="4"/>
  <c r="CU362" i="4"/>
  <c r="CT362" i="4"/>
  <c r="CX362" i="4"/>
  <c r="CY362" i="4"/>
  <c r="K120" i="4"/>
  <c r="K160" i="4" s="1"/>
  <c r="E15" i="4"/>
  <c r="AA55" i="4"/>
  <c r="E28" i="4"/>
  <c r="BJ41" i="4"/>
  <c r="BM41" i="4"/>
  <c r="BL41" i="4"/>
  <c r="BK41" i="4"/>
  <c r="BN41" i="4"/>
  <c r="BO41" i="4"/>
  <c r="J371" i="4"/>
  <c r="J384" i="4"/>
  <c r="K136" i="4"/>
  <c r="K149" i="4"/>
  <c r="AV13" i="4"/>
  <c r="F53" i="4"/>
  <c r="AV53" i="4"/>
  <c r="F66" i="4"/>
  <c r="AV39" i="4"/>
  <c r="AV26" i="4"/>
  <c r="AV66" i="4"/>
  <c r="AV79" i="4"/>
  <c r="AX251" i="4"/>
  <c r="AY251" i="4"/>
  <c r="F68" i="4"/>
  <c r="F55" i="4"/>
  <c r="E120" i="4"/>
  <c r="E160" i="4" s="1"/>
  <c r="AY281" i="4"/>
  <c r="AW268" i="4"/>
  <c r="J199" i="4"/>
  <c r="J239" i="4" s="1"/>
  <c r="I336" i="4"/>
  <c r="I349" i="4"/>
  <c r="AE376" i="4"/>
  <c r="CH362" i="4"/>
  <c r="CK362" i="4"/>
  <c r="CJ362" i="4"/>
  <c r="CI362" i="4"/>
  <c r="CL362" i="4"/>
  <c r="CM362" i="4"/>
  <c r="J227" i="4"/>
  <c r="J214" i="4"/>
  <c r="F200" i="4"/>
  <c r="F240" i="4" s="1"/>
  <c r="E132" i="2"/>
  <c r="C140" i="2"/>
  <c r="E140" i="2" s="1"/>
  <c r="F388" i="4"/>
  <c r="F375" i="4"/>
  <c r="AX309" i="4"/>
  <c r="BB276" i="4"/>
  <c r="BA308" i="4"/>
  <c r="E23" i="4"/>
  <c r="E10" i="4"/>
  <c r="AA50" i="4"/>
  <c r="BM36" i="4"/>
  <c r="BJ36" i="4"/>
  <c r="BL36" i="4"/>
  <c r="BK36" i="4"/>
  <c r="BN36" i="4"/>
  <c r="BO36" i="4"/>
  <c r="AY295" i="4"/>
  <c r="AH169" i="4"/>
  <c r="AH173" i="4"/>
  <c r="AH172" i="4"/>
  <c r="AH174" i="4"/>
  <c r="AH171" i="4"/>
  <c r="AH176" i="4"/>
  <c r="AH175" i="4"/>
  <c r="AH170" i="4"/>
  <c r="AW255" i="4"/>
  <c r="AC376" i="4"/>
  <c r="G349" i="4"/>
  <c r="G336" i="4"/>
  <c r="BY362" i="4"/>
  <c r="BX362" i="4"/>
  <c r="BV362" i="4"/>
  <c r="BW362" i="4"/>
  <c r="BZ362" i="4"/>
  <c r="CA362" i="4"/>
  <c r="E117" i="4"/>
  <c r="E157" i="4" s="1"/>
  <c r="AZ250" i="4"/>
  <c r="E131" i="2"/>
  <c r="C133" i="2"/>
  <c r="C134" i="2"/>
  <c r="C135" i="2"/>
  <c r="C139" i="2"/>
  <c r="E139" i="2" s="1"/>
  <c r="K132" i="4"/>
  <c r="K145" i="4"/>
  <c r="H388" i="4"/>
  <c r="H375" i="4"/>
  <c r="K147" i="4"/>
  <c r="K134" i="4"/>
  <c r="BB290" i="4"/>
  <c r="BA321" i="4"/>
  <c r="E16" i="4"/>
  <c r="E29" i="4"/>
  <c r="AA56" i="4"/>
  <c r="BJ42" i="4"/>
  <c r="BM42" i="4"/>
  <c r="BL42" i="4"/>
  <c r="BK42" i="4"/>
  <c r="BN42" i="4"/>
  <c r="BO42" i="4"/>
  <c r="K148" i="4"/>
  <c r="K135" i="4"/>
  <c r="H357" i="4"/>
  <c r="H397" i="4" s="1"/>
  <c r="F36" i="4"/>
  <c r="F76" i="4" s="1"/>
  <c r="AV322" i="4"/>
  <c r="BB321" i="4"/>
  <c r="E134" i="4"/>
  <c r="E147" i="4"/>
  <c r="AY308" i="4"/>
  <c r="K11" i="4"/>
  <c r="K24" i="4"/>
  <c r="AG51" i="4"/>
  <c r="CV37" i="4"/>
  <c r="CW37" i="4"/>
  <c r="CT37" i="4"/>
  <c r="CU37" i="4"/>
  <c r="CX37" i="4"/>
  <c r="CY37" i="4"/>
  <c r="E121" i="4"/>
  <c r="E161" i="4" s="1"/>
  <c r="D129" i="6"/>
  <c r="D126" i="6"/>
  <c r="H336" i="4"/>
  <c r="H349" i="4"/>
  <c r="AD376" i="4"/>
  <c r="CD362" i="4"/>
  <c r="CE362" i="4"/>
  <c r="CC362" i="4"/>
  <c r="CB362" i="4"/>
  <c r="CF362" i="4"/>
  <c r="CG362" i="4"/>
  <c r="I388" i="4"/>
  <c r="I375" i="4"/>
  <c r="C60" i="2"/>
  <c r="E149" i="2"/>
  <c r="C74" i="2"/>
  <c r="E56" i="2"/>
  <c r="G361" i="4"/>
  <c r="G401" i="4" s="1"/>
  <c r="J197" i="4"/>
  <c r="J237" i="4" s="1"/>
  <c r="AX322" i="4"/>
  <c r="BB250" i="4"/>
  <c r="BA281" i="4"/>
  <c r="E26" i="4"/>
  <c r="E13" i="4"/>
  <c r="AA53" i="4"/>
  <c r="BM39" i="4"/>
  <c r="BK39" i="4"/>
  <c r="BJ39" i="4"/>
  <c r="BL39" i="4"/>
  <c r="BN39" i="4"/>
  <c r="BO39" i="4"/>
  <c r="AV331" i="4"/>
  <c r="AV344" i="4"/>
  <c r="F371" i="4"/>
  <c r="AV357" i="4"/>
  <c r="F384" i="4"/>
  <c r="AV397" i="4"/>
  <c r="AV384" i="4"/>
  <c r="AV371" i="4"/>
  <c r="K131" i="4"/>
  <c r="K144" i="4"/>
  <c r="AV282" i="4"/>
  <c r="BB295" i="4"/>
  <c r="K16" i="4"/>
  <c r="K29" i="4"/>
  <c r="AG56" i="4"/>
  <c r="CV42" i="4"/>
  <c r="CU42" i="4"/>
  <c r="CW42" i="4"/>
  <c r="CT42" i="4"/>
  <c r="CX42" i="4"/>
  <c r="CY42" i="4"/>
  <c r="E135" i="4"/>
  <c r="E148" i="4"/>
  <c r="J38" i="4"/>
  <c r="J78" i="4" s="1"/>
  <c r="J226" i="4"/>
  <c r="J213" i="4"/>
  <c r="J336" i="4"/>
  <c r="J349" i="4"/>
  <c r="AF376" i="4"/>
  <c r="CP362" i="4"/>
  <c r="CO362" i="4"/>
  <c r="CN362" i="4"/>
  <c r="CQ362" i="4"/>
  <c r="CR362" i="4"/>
  <c r="CS362" i="4"/>
  <c r="I330" i="4"/>
  <c r="AE370" i="4"/>
  <c r="I343" i="4"/>
  <c r="CJ356" i="4"/>
  <c r="CI356" i="4"/>
  <c r="CH356" i="4"/>
  <c r="CK356" i="4"/>
  <c r="CL356" i="4"/>
  <c r="CM356" i="4"/>
  <c r="E183" i="4"/>
  <c r="E170" i="4"/>
  <c r="AA210" i="4"/>
  <c r="BJ196" i="4"/>
  <c r="BM196" i="4"/>
  <c r="BL196" i="4"/>
  <c r="BK196" i="4"/>
  <c r="BN196" i="4"/>
  <c r="BO196" i="4"/>
  <c r="E115" i="2"/>
  <c r="C123" i="2"/>
  <c r="E123" i="2" s="1"/>
  <c r="F227" i="4"/>
  <c r="F214" i="4"/>
  <c r="J37" i="4"/>
  <c r="J77" i="4" s="1"/>
  <c r="AY253" i="4"/>
  <c r="AY293" i="4"/>
  <c r="AW253" i="4"/>
  <c r="AW293" i="4"/>
  <c r="AY266" i="4"/>
  <c r="AX253" i="4"/>
  <c r="AY319" i="4"/>
  <c r="AX293" i="4"/>
  <c r="AW266" i="4"/>
  <c r="AY306" i="4"/>
  <c r="AW319" i="4"/>
  <c r="AY279" i="4"/>
  <c r="AZ253" i="4"/>
  <c r="AX266" i="4"/>
  <c r="AW306" i="4"/>
  <c r="AX319" i="4"/>
  <c r="AW279" i="4"/>
  <c r="AZ293" i="4"/>
  <c r="AZ279" i="4"/>
  <c r="AX306" i="4"/>
  <c r="AZ319" i="4"/>
  <c r="AX279" i="4"/>
  <c r="AZ266" i="4"/>
  <c r="AZ306" i="4"/>
  <c r="BB294" i="4"/>
  <c r="BA267" i="4"/>
  <c r="AX320" i="4"/>
  <c r="AX252" i="4"/>
  <c r="BB307" i="4"/>
  <c r="AY305" i="4"/>
  <c r="AX307" i="4"/>
  <c r="AX278" i="4"/>
  <c r="BB254" i="4"/>
  <c r="AZ254" i="4"/>
  <c r="BA320" i="4"/>
  <c r="AZ280" i="4"/>
  <c r="AX292" i="4"/>
  <c r="BB320" i="4"/>
  <c r="AZ267" i="4"/>
  <c r="BB252" i="4"/>
  <c r="BA280" i="4"/>
  <c r="AZ252" i="4"/>
  <c r="AX265" i="4"/>
  <c r="AY254" i="4"/>
  <c r="AX318" i="4"/>
  <c r="BB280" i="4"/>
  <c r="AY280" i="4"/>
  <c r="AZ294" i="4"/>
  <c r="BB278" i="4"/>
  <c r="AZ278" i="4"/>
  <c r="AY267" i="4"/>
  <c r="BB279" i="4"/>
  <c r="AZ320" i="4"/>
  <c r="BA252" i="4"/>
  <c r="BA253" i="4"/>
  <c r="AW254" i="4"/>
  <c r="AX305" i="4"/>
  <c r="AZ307" i="4"/>
  <c r="BB305" i="4"/>
  <c r="AZ292" i="4"/>
  <c r="AY294" i="4"/>
  <c r="BB293" i="4"/>
  <c r="BB292" i="4"/>
  <c r="BA278" i="4"/>
  <c r="AZ265" i="4"/>
  <c r="BA293" i="4"/>
  <c r="AW280" i="4"/>
  <c r="AY320" i="4"/>
  <c r="BB266" i="4"/>
  <c r="BB265" i="4"/>
  <c r="AZ318" i="4"/>
  <c r="AY252" i="4"/>
  <c r="AW267" i="4"/>
  <c r="AY307" i="4"/>
  <c r="BB253" i="4"/>
  <c r="BB318" i="4"/>
  <c r="BA292" i="4"/>
  <c r="AZ305" i="4"/>
  <c r="BA266" i="4"/>
  <c r="AY278" i="4"/>
  <c r="AW294" i="4"/>
  <c r="AX254" i="4"/>
  <c r="AX267" i="4"/>
  <c r="BA265" i="4"/>
  <c r="BA319" i="4"/>
  <c r="AW320" i="4"/>
  <c r="BB319" i="4"/>
  <c r="BA294" i="4"/>
  <c r="BA318" i="4"/>
  <c r="BA306" i="4"/>
  <c r="AY292" i="4"/>
  <c r="AW307" i="4"/>
  <c r="AX280" i="4"/>
  <c r="BB306" i="4"/>
  <c r="BA307" i="4"/>
  <c r="BA305" i="4"/>
  <c r="BA279" i="4"/>
  <c r="AY265" i="4"/>
  <c r="BB267" i="4"/>
  <c r="BA254" i="4"/>
  <c r="AY318" i="4"/>
  <c r="AX294" i="4"/>
  <c r="AX256" i="4"/>
  <c r="BB263" i="4"/>
  <c r="BA268" i="4"/>
  <c r="J202" i="4"/>
  <c r="J242" i="4" s="1"/>
  <c r="E14" i="4"/>
  <c r="E27" i="4"/>
  <c r="AA54" i="4"/>
  <c r="BL40" i="4"/>
  <c r="BK40" i="4"/>
  <c r="BM40" i="4"/>
  <c r="BJ40" i="4"/>
  <c r="BN40" i="4"/>
  <c r="BO40" i="4"/>
  <c r="AX357" i="4"/>
  <c r="H384" i="4"/>
  <c r="AX331" i="4"/>
  <c r="AX344" i="4"/>
  <c r="AX371" i="4"/>
  <c r="H371" i="4"/>
  <c r="AX397" i="4"/>
  <c r="AX384" i="4"/>
  <c r="F42" i="4"/>
  <c r="F82" i="4" s="1"/>
  <c r="AV296" i="4"/>
  <c r="E119" i="4"/>
  <c r="E159" i="4" s="1"/>
  <c r="D169" i="6"/>
  <c r="D220" i="6"/>
  <c r="D96" i="6" s="1"/>
  <c r="C99" i="2" s="1"/>
  <c r="AY268" i="4"/>
  <c r="K13" i="4"/>
  <c r="AG53" i="4"/>
  <c r="K26" i="4"/>
  <c r="CV39" i="4"/>
  <c r="CW39" i="4"/>
  <c r="CT39" i="4"/>
  <c r="CU39" i="4"/>
  <c r="CX39" i="4"/>
  <c r="CY39" i="4"/>
  <c r="AB376" i="4"/>
  <c r="F336" i="4"/>
  <c r="F349" i="4"/>
  <c r="BP362" i="4"/>
  <c r="BR362" i="4"/>
  <c r="BQ362" i="4"/>
  <c r="BS362" i="4"/>
  <c r="BT362" i="4"/>
  <c r="BU362" i="4"/>
  <c r="E362" i="4" l="1"/>
  <c r="E402" i="4" s="1"/>
  <c r="L116" i="4"/>
  <c r="L156" i="4" s="1"/>
  <c r="L362" i="4"/>
  <c r="L402" i="4" s="1"/>
  <c r="E197" i="4"/>
  <c r="E237" i="4" s="1"/>
  <c r="E196" i="4"/>
  <c r="E236" i="4" s="1"/>
  <c r="J362" i="4"/>
  <c r="J402" i="4" s="1"/>
  <c r="D119" i="4"/>
  <c r="D159" i="4" s="1"/>
  <c r="J356" i="4"/>
  <c r="J396" i="4" s="1"/>
  <c r="I362" i="4"/>
  <c r="I402" i="4" s="1"/>
  <c r="K197" i="4"/>
  <c r="K237" i="4" s="1"/>
  <c r="E41" i="4"/>
  <c r="E81" i="4" s="1"/>
  <c r="G370" i="4"/>
  <c r="AW343" i="4"/>
  <c r="AW330" i="4"/>
  <c r="AW356" i="4"/>
  <c r="G383" i="4"/>
  <c r="AW370" i="4"/>
  <c r="AW396" i="4"/>
  <c r="AW383" i="4"/>
  <c r="E229" i="4"/>
  <c r="E216" i="4"/>
  <c r="L28" i="4"/>
  <c r="L15" i="4"/>
  <c r="AH55" i="4"/>
  <c r="DB41" i="4"/>
  <c r="DA41" i="4"/>
  <c r="DC41" i="4"/>
  <c r="CZ41" i="4"/>
  <c r="DD41" i="4"/>
  <c r="DE41" i="4"/>
  <c r="AU186" i="4"/>
  <c r="AU199" i="4"/>
  <c r="AU239" i="4"/>
  <c r="AU226" i="4"/>
  <c r="AU173" i="4"/>
  <c r="E226" i="4"/>
  <c r="E213" i="4"/>
  <c r="AU213" i="4"/>
  <c r="E356" i="4"/>
  <c r="E396" i="4" s="1"/>
  <c r="L356" i="4"/>
  <c r="L396" i="4" s="1"/>
  <c r="K40" i="4"/>
  <c r="K80" i="4" s="1"/>
  <c r="D122" i="4"/>
  <c r="D162" i="4" s="1"/>
  <c r="C84" i="2"/>
  <c r="E106" i="2"/>
  <c r="C110" i="2"/>
  <c r="I356" i="4"/>
  <c r="I396" i="4" s="1"/>
  <c r="E36" i="4"/>
  <c r="E76" i="4" s="1"/>
  <c r="E37" i="4"/>
  <c r="E77" i="4" s="1"/>
  <c r="K212" i="4"/>
  <c r="K225" i="4"/>
  <c r="L119" i="4"/>
  <c r="L159" i="4" s="1"/>
  <c r="L25" i="4"/>
  <c r="AH52" i="4"/>
  <c r="L12" i="4"/>
  <c r="DC38" i="4"/>
  <c r="DA38" i="4"/>
  <c r="CZ38" i="4"/>
  <c r="DB38" i="4"/>
  <c r="DD38" i="4"/>
  <c r="DE38" i="4"/>
  <c r="AT103" i="4"/>
  <c r="D143" i="4"/>
  <c r="D130" i="4"/>
  <c r="AT130" i="4"/>
  <c r="AT90" i="4"/>
  <c r="AT156" i="4"/>
  <c r="AT143" i="4"/>
  <c r="AT116" i="4"/>
  <c r="G463" i="4"/>
  <c r="BB160" i="4" s="1"/>
  <c r="D148" i="4"/>
  <c r="D135" i="4"/>
  <c r="AU13" i="4"/>
  <c r="AU39" i="4"/>
  <c r="E53" i="4"/>
  <c r="AU53" i="4"/>
  <c r="E66" i="4"/>
  <c r="AU26" i="4"/>
  <c r="AU66" i="4"/>
  <c r="AU79" i="4"/>
  <c r="G389" i="4"/>
  <c r="G376" i="4"/>
  <c r="I389" i="4"/>
  <c r="I376" i="4"/>
  <c r="E68" i="4"/>
  <c r="E55" i="4"/>
  <c r="L147" i="4"/>
  <c r="L134" i="4"/>
  <c r="K215" i="4"/>
  <c r="K228" i="4"/>
  <c r="L14" i="4"/>
  <c r="AH54" i="4"/>
  <c r="L27" i="4"/>
  <c r="DC40" i="4"/>
  <c r="DA40" i="4"/>
  <c r="CZ40" i="4"/>
  <c r="DB40" i="4"/>
  <c r="DD40" i="4"/>
  <c r="DE40" i="4"/>
  <c r="AU370" i="4"/>
  <c r="AU330" i="4"/>
  <c r="AU356" i="4"/>
  <c r="AU343" i="4"/>
  <c r="E383" i="4"/>
  <c r="AU396" i="4"/>
  <c r="E370" i="4"/>
  <c r="AU383" i="4"/>
  <c r="K39" i="4"/>
  <c r="K79" i="4" s="1"/>
  <c r="K42" i="4"/>
  <c r="K82" i="4" s="1"/>
  <c r="AU10" i="4"/>
  <c r="AU76" i="4"/>
  <c r="AU36" i="4"/>
  <c r="AU23" i="4"/>
  <c r="AU63" i="4"/>
  <c r="E63" i="4"/>
  <c r="E50" i="4"/>
  <c r="AU50" i="4"/>
  <c r="L146" i="4"/>
  <c r="L133" i="4"/>
  <c r="AT349" i="4"/>
  <c r="AT336" i="4"/>
  <c r="D389" i="4"/>
  <c r="D376" i="4"/>
  <c r="AT376" i="4"/>
  <c r="AT402" i="4"/>
  <c r="AT362" i="4"/>
  <c r="AT389" i="4"/>
  <c r="E201" i="4"/>
  <c r="E241" i="4" s="1"/>
  <c r="L26" i="4"/>
  <c r="L13" i="4"/>
  <c r="AH53" i="4"/>
  <c r="DA39" i="4"/>
  <c r="CZ39" i="4"/>
  <c r="DB39" i="4"/>
  <c r="DC39" i="4"/>
  <c r="DD39" i="4"/>
  <c r="DE39" i="4"/>
  <c r="H356" i="4"/>
  <c r="H396" i="4" s="1"/>
  <c r="L383" i="4"/>
  <c r="L370" i="4"/>
  <c r="K67" i="4"/>
  <c r="K54" i="4"/>
  <c r="E135" i="2"/>
  <c r="C143" i="2"/>
  <c r="E143" i="2" s="1"/>
  <c r="L170" i="4"/>
  <c r="L183" i="4"/>
  <c r="AH210" i="4"/>
  <c r="DB196" i="4"/>
  <c r="DC196" i="4"/>
  <c r="DA196" i="4"/>
  <c r="CZ196" i="4"/>
  <c r="DD196" i="4"/>
  <c r="DE196" i="4"/>
  <c r="K199" i="4"/>
  <c r="K239" i="4" s="1"/>
  <c r="L130" i="4"/>
  <c r="L143" i="4"/>
  <c r="D120" i="4"/>
  <c r="D160" i="4" s="1"/>
  <c r="E200" i="4"/>
  <c r="E240" i="4" s="1"/>
  <c r="K38" i="4"/>
  <c r="K78" i="4" s="1"/>
  <c r="D149" i="4"/>
  <c r="D136" i="4"/>
  <c r="I383" i="4"/>
  <c r="I370" i="4"/>
  <c r="K37" i="4"/>
  <c r="K77" i="4" s="1"/>
  <c r="E42" i="4"/>
  <c r="E82" i="4" s="1"/>
  <c r="E134" i="2"/>
  <c r="C142" i="2"/>
  <c r="E142" i="2" s="1"/>
  <c r="L188" i="4"/>
  <c r="L175" i="4"/>
  <c r="AH215" i="4"/>
  <c r="DA201" i="4"/>
  <c r="DB201" i="4"/>
  <c r="DC201" i="4"/>
  <c r="CZ201" i="4"/>
  <c r="DD201" i="4"/>
  <c r="DE201" i="4"/>
  <c r="K213" i="4"/>
  <c r="K226" i="4"/>
  <c r="E198" i="4"/>
  <c r="E238" i="4" s="1"/>
  <c r="D134" i="4"/>
  <c r="D147" i="4"/>
  <c r="AT120" i="4"/>
  <c r="E56" i="4"/>
  <c r="E69" i="4"/>
  <c r="E133" i="2"/>
  <c r="C141" i="2"/>
  <c r="E141" i="2" s="1"/>
  <c r="L176" i="4"/>
  <c r="L189" i="4"/>
  <c r="AH216" i="4"/>
  <c r="DB202" i="4"/>
  <c r="CZ202" i="4"/>
  <c r="DA202" i="4"/>
  <c r="DC202" i="4"/>
  <c r="DD202" i="4"/>
  <c r="DE202" i="4"/>
  <c r="AU77" i="4"/>
  <c r="AU11" i="4"/>
  <c r="AU24" i="4"/>
  <c r="E51" i="4"/>
  <c r="E64" i="4"/>
  <c r="AU37" i="4"/>
  <c r="AU51" i="4"/>
  <c r="AU64" i="4"/>
  <c r="AU349" i="4"/>
  <c r="AU336" i="4"/>
  <c r="E389" i="4"/>
  <c r="E376" i="4"/>
  <c r="AU376" i="4"/>
  <c r="AU402" i="4"/>
  <c r="AU362" i="4"/>
  <c r="AU389" i="4"/>
  <c r="L389" i="4"/>
  <c r="L376" i="4"/>
  <c r="K200" i="4"/>
  <c r="K240" i="4" s="1"/>
  <c r="L118" i="4"/>
  <c r="L158" i="4" s="1"/>
  <c r="E215" i="4"/>
  <c r="E228" i="4"/>
  <c r="E70" i="2"/>
  <c r="E73" i="2"/>
  <c r="E71" i="2"/>
  <c r="E38" i="4"/>
  <c r="E78" i="4" s="1"/>
  <c r="K66" i="4"/>
  <c r="K53" i="4"/>
  <c r="K56" i="4"/>
  <c r="K69" i="4"/>
  <c r="L171" i="4"/>
  <c r="AH211" i="4"/>
  <c r="L184" i="4"/>
  <c r="DA197" i="4"/>
  <c r="DC197" i="4"/>
  <c r="DB197" i="4"/>
  <c r="CZ197" i="4"/>
  <c r="DD197" i="4"/>
  <c r="DE197" i="4"/>
  <c r="K362" i="4"/>
  <c r="K402" i="4" s="1"/>
  <c r="AU185" i="4"/>
  <c r="AU198" i="4"/>
  <c r="AU212" i="4"/>
  <c r="AU238" i="4"/>
  <c r="AU225" i="4"/>
  <c r="E225" i="4"/>
  <c r="E212" i="4"/>
  <c r="AU172" i="4"/>
  <c r="H370" i="4"/>
  <c r="AX343" i="4"/>
  <c r="AX330" i="4"/>
  <c r="AX356" i="4"/>
  <c r="H383" i="4"/>
  <c r="AX370" i="4"/>
  <c r="AX396" i="4"/>
  <c r="AX383" i="4"/>
  <c r="Z51" i="4"/>
  <c r="D11" i="4"/>
  <c r="D24" i="4"/>
  <c r="BG37" i="4"/>
  <c r="BE37" i="4"/>
  <c r="BF37" i="4"/>
  <c r="BD37" i="4"/>
  <c r="BH37" i="4"/>
  <c r="BI37" i="4"/>
  <c r="K41" i="4"/>
  <c r="K81" i="4" s="1"/>
  <c r="H362" i="4"/>
  <c r="H402" i="4" s="1"/>
  <c r="K51" i="4"/>
  <c r="K64" i="4"/>
  <c r="L187" i="4"/>
  <c r="L174" i="4"/>
  <c r="AH214" i="4"/>
  <c r="DB200" i="4"/>
  <c r="DA200" i="4"/>
  <c r="DC200" i="4"/>
  <c r="CZ200" i="4"/>
  <c r="DD200" i="4"/>
  <c r="DE200" i="4"/>
  <c r="K227" i="4"/>
  <c r="K214" i="4"/>
  <c r="BB105" i="4"/>
  <c r="BB118" i="4"/>
  <c r="L132" i="4"/>
  <c r="L145" i="4"/>
  <c r="K196" i="4"/>
  <c r="K236" i="4" s="1"/>
  <c r="AU200" i="4"/>
  <c r="AU187" i="4"/>
  <c r="E214" i="4"/>
  <c r="AU240" i="4"/>
  <c r="AU214" i="4"/>
  <c r="AU227" i="4"/>
  <c r="AU174" i="4"/>
  <c r="E227" i="4"/>
  <c r="Z55" i="4"/>
  <c r="D15" i="4"/>
  <c r="D28" i="4"/>
  <c r="BG41" i="4"/>
  <c r="BE41" i="4"/>
  <c r="BD41" i="4"/>
  <c r="BF41" i="4"/>
  <c r="BH41" i="4"/>
  <c r="BI41" i="4"/>
  <c r="E40" i="4"/>
  <c r="E80" i="4" s="1"/>
  <c r="L185" i="4"/>
  <c r="L172" i="4"/>
  <c r="AH212" i="4"/>
  <c r="CZ198" i="4"/>
  <c r="DC198" i="4"/>
  <c r="DA198" i="4"/>
  <c r="DB198" i="4"/>
  <c r="DD198" i="4"/>
  <c r="DE198" i="4"/>
  <c r="F356" i="4"/>
  <c r="F396" i="4" s="1"/>
  <c r="K356" i="4"/>
  <c r="K396" i="4" s="1"/>
  <c r="D183" i="4"/>
  <c r="D170" i="4"/>
  <c r="Z210" i="4"/>
  <c r="BG196" i="4"/>
  <c r="BD196" i="4"/>
  <c r="BF196" i="4"/>
  <c r="BE196" i="4"/>
  <c r="BH196" i="4"/>
  <c r="BI196" i="4"/>
  <c r="K52" i="4"/>
  <c r="K65" i="4"/>
  <c r="L117" i="4"/>
  <c r="L157" i="4" s="1"/>
  <c r="D16" i="4"/>
  <c r="D29" i="4"/>
  <c r="Z56" i="4"/>
  <c r="BD42" i="4"/>
  <c r="BG42" i="4"/>
  <c r="BF42" i="4"/>
  <c r="BE42" i="4"/>
  <c r="BH42" i="4"/>
  <c r="BI42" i="4"/>
  <c r="K55" i="4"/>
  <c r="K68" i="4"/>
  <c r="D117" i="4"/>
  <c r="D157" i="4" s="1"/>
  <c r="AU25" i="4"/>
  <c r="E52" i="4"/>
  <c r="AU12" i="4"/>
  <c r="AU52" i="4"/>
  <c r="AU38" i="4"/>
  <c r="E65" i="4"/>
  <c r="AU65" i="4"/>
  <c r="AU78" i="4"/>
  <c r="L186" i="4"/>
  <c r="L173" i="4"/>
  <c r="AH213" i="4"/>
  <c r="DB199" i="4"/>
  <c r="DA199" i="4"/>
  <c r="CZ199" i="4"/>
  <c r="DC199" i="4"/>
  <c r="DD199" i="4"/>
  <c r="DE199" i="4"/>
  <c r="D184" i="4"/>
  <c r="D171" i="4"/>
  <c r="Z211" i="4"/>
  <c r="BF197" i="4"/>
  <c r="BE197" i="4"/>
  <c r="BG197" i="4"/>
  <c r="BD197" i="4"/>
  <c r="BH197" i="4"/>
  <c r="BI197" i="4"/>
  <c r="BB91" i="4"/>
  <c r="BB144" i="4"/>
  <c r="BB104" i="4"/>
  <c r="BB157" i="4"/>
  <c r="L131" i="4"/>
  <c r="L144" i="4"/>
  <c r="D23" i="4"/>
  <c r="Z50" i="4"/>
  <c r="D10" i="4"/>
  <c r="BF36" i="4"/>
  <c r="BG36" i="4"/>
  <c r="BD36" i="4"/>
  <c r="BE36" i="4"/>
  <c r="BH36" i="4"/>
  <c r="BI36" i="4"/>
  <c r="AU170" i="4"/>
  <c r="AU183" i="4"/>
  <c r="AU196" i="4"/>
  <c r="E223" i="4"/>
  <c r="E210" i="4"/>
  <c r="AU210" i="4"/>
  <c r="AU223" i="4"/>
  <c r="AU236" i="4"/>
  <c r="AV343" i="4"/>
  <c r="AV370" i="4"/>
  <c r="AV330" i="4"/>
  <c r="AV356" i="4"/>
  <c r="F383" i="4"/>
  <c r="AV396" i="4"/>
  <c r="F370" i="4"/>
  <c r="AV383" i="4"/>
  <c r="D175" i="4"/>
  <c r="D188" i="4"/>
  <c r="Z215" i="4"/>
  <c r="BE201" i="4"/>
  <c r="BG201" i="4"/>
  <c r="BF201" i="4"/>
  <c r="BD201" i="4"/>
  <c r="BH201" i="4"/>
  <c r="BI201" i="4"/>
  <c r="L122" i="4"/>
  <c r="L162" i="4" s="1"/>
  <c r="D356" i="4"/>
  <c r="D396" i="4" s="1"/>
  <c r="D26" i="4"/>
  <c r="D13" i="4"/>
  <c r="Z53" i="4"/>
  <c r="BF39" i="4"/>
  <c r="BG39" i="4"/>
  <c r="BD39" i="4"/>
  <c r="BE39" i="4"/>
  <c r="BH39" i="4"/>
  <c r="BI39" i="4"/>
  <c r="AT104" i="4"/>
  <c r="AT131" i="4"/>
  <c r="AT117" i="4"/>
  <c r="D144" i="4"/>
  <c r="AT157" i="4"/>
  <c r="D131" i="4"/>
  <c r="AT91" i="4"/>
  <c r="AT144" i="4"/>
  <c r="E99" i="2"/>
  <c r="C101" i="2"/>
  <c r="E101" i="2" s="1"/>
  <c r="F362" i="4"/>
  <c r="F402" i="4" s="1"/>
  <c r="H389" i="4"/>
  <c r="H376" i="4"/>
  <c r="K389" i="4"/>
  <c r="K376" i="4"/>
  <c r="G356" i="4"/>
  <c r="G396" i="4" s="1"/>
  <c r="K202" i="4"/>
  <c r="K242" i="4" s="1"/>
  <c r="AT119" i="4"/>
  <c r="AT159" i="4"/>
  <c r="AT93" i="4"/>
  <c r="AT146" i="4"/>
  <c r="AT106" i="4"/>
  <c r="AT133" i="4"/>
  <c r="D133" i="4"/>
  <c r="D146" i="4"/>
  <c r="D189" i="4"/>
  <c r="D176" i="4"/>
  <c r="Z216" i="4"/>
  <c r="BG202" i="4"/>
  <c r="BD202" i="4"/>
  <c r="BF202" i="4"/>
  <c r="BE202" i="4"/>
  <c r="BH202" i="4"/>
  <c r="BI202" i="4"/>
  <c r="K210" i="4"/>
  <c r="K223" i="4"/>
  <c r="L121" i="4"/>
  <c r="L161" i="4" s="1"/>
  <c r="E199" i="4"/>
  <c r="E239" i="4" s="1"/>
  <c r="D118" i="4"/>
  <c r="D158" i="4" s="1"/>
  <c r="D27" i="4"/>
  <c r="Z54" i="4"/>
  <c r="D14" i="4"/>
  <c r="BF40" i="4"/>
  <c r="BE40" i="4"/>
  <c r="BD40" i="4"/>
  <c r="BG40" i="4"/>
  <c r="BH40" i="4"/>
  <c r="BI40" i="4"/>
  <c r="AU40" i="4"/>
  <c r="AU27" i="4"/>
  <c r="AU14" i="4"/>
  <c r="E67" i="4"/>
  <c r="AU54" i="4"/>
  <c r="AU80" i="4"/>
  <c r="E54" i="4"/>
  <c r="AU67" i="4"/>
  <c r="J389" i="4"/>
  <c r="J376" i="4"/>
  <c r="E60" i="2"/>
  <c r="C62" i="2"/>
  <c r="G362" i="4"/>
  <c r="G402" i="4" s="1"/>
  <c r="K198" i="4"/>
  <c r="K238" i="4" s="1"/>
  <c r="K383" i="4"/>
  <c r="K370" i="4"/>
  <c r="D172" i="4"/>
  <c r="D185" i="4"/>
  <c r="Z212" i="4"/>
  <c r="BF198" i="4"/>
  <c r="BE198" i="4"/>
  <c r="BG198" i="4"/>
  <c r="BD198" i="4"/>
  <c r="BH198" i="4"/>
  <c r="BI198" i="4"/>
  <c r="L24" i="4"/>
  <c r="L11" i="4"/>
  <c r="AH51" i="4"/>
  <c r="DA37" i="4"/>
  <c r="CZ37" i="4"/>
  <c r="DB37" i="4"/>
  <c r="DC37" i="4"/>
  <c r="DD37" i="4"/>
  <c r="DE37" i="4"/>
  <c r="K211" i="4"/>
  <c r="K224" i="4"/>
  <c r="AT330" i="4"/>
  <c r="AT356" i="4"/>
  <c r="AT343" i="4"/>
  <c r="D383" i="4"/>
  <c r="AT396" i="4"/>
  <c r="G468" i="4"/>
  <c r="BB370" i="4" s="1"/>
  <c r="AT370" i="4"/>
  <c r="D370" i="4"/>
  <c r="AT383" i="4"/>
  <c r="D116" i="4"/>
  <c r="D156" i="4" s="1"/>
  <c r="D25" i="4"/>
  <c r="D12" i="4"/>
  <c r="Z52" i="4"/>
  <c r="BD38" i="4"/>
  <c r="BF38" i="4"/>
  <c r="BG38" i="4"/>
  <c r="BE38" i="4"/>
  <c r="BH38" i="4"/>
  <c r="BI38" i="4"/>
  <c r="K36" i="4"/>
  <c r="K76" i="4" s="1"/>
  <c r="AU197" i="4"/>
  <c r="AU171" i="4"/>
  <c r="E211" i="4"/>
  <c r="AU211" i="4"/>
  <c r="E224" i="4"/>
  <c r="AU184" i="4"/>
  <c r="AU237" i="4"/>
  <c r="AU224" i="4"/>
  <c r="D362" i="4"/>
  <c r="D402" i="4" s="1"/>
  <c r="K201" i="4"/>
  <c r="K241" i="4" s="1"/>
  <c r="D174" i="4"/>
  <c r="Z214" i="4"/>
  <c r="D187" i="4"/>
  <c r="BG200" i="4"/>
  <c r="BF200" i="4"/>
  <c r="BD200" i="4"/>
  <c r="BE200" i="4"/>
  <c r="BH200" i="4"/>
  <c r="BI200" i="4"/>
  <c r="E202" i="4"/>
  <c r="E242" i="4" s="1"/>
  <c r="L16" i="4"/>
  <c r="L29" i="4"/>
  <c r="AH56" i="4"/>
  <c r="DB42" i="4"/>
  <c r="DA42" i="4"/>
  <c r="CZ42" i="4"/>
  <c r="DC42" i="4"/>
  <c r="DD42" i="4"/>
  <c r="DE42" i="4"/>
  <c r="AT92" i="4"/>
  <c r="AT105" i="4"/>
  <c r="AT132" i="4"/>
  <c r="AT158" i="4"/>
  <c r="D132" i="4"/>
  <c r="AT145" i="4"/>
  <c r="D145" i="4"/>
  <c r="AT118" i="4"/>
  <c r="D121" i="4"/>
  <c r="D161" i="4" s="1"/>
  <c r="F389" i="4"/>
  <c r="F376" i="4"/>
  <c r="E39" i="4"/>
  <c r="E79" i="4" s="1"/>
  <c r="D130" i="6"/>
  <c r="L120" i="4"/>
  <c r="L160" i="4" s="1"/>
  <c r="K216" i="4"/>
  <c r="K229" i="4"/>
  <c r="J383" i="4"/>
  <c r="J370" i="4"/>
  <c r="D173" i="4"/>
  <c r="Z213" i="4"/>
  <c r="D186" i="4"/>
  <c r="BF199" i="4"/>
  <c r="BG199" i="4"/>
  <c r="BE199" i="4"/>
  <c r="BD199" i="4"/>
  <c r="BH199" i="4"/>
  <c r="BI199" i="4"/>
  <c r="L10" i="4"/>
  <c r="L23" i="4"/>
  <c r="AH50" i="4"/>
  <c r="CZ36" i="4"/>
  <c r="DB36" i="4"/>
  <c r="DA36" i="4"/>
  <c r="DC36" i="4"/>
  <c r="DD36" i="4"/>
  <c r="DE36" i="4"/>
  <c r="BB121" i="4"/>
  <c r="BB148" i="4"/>
  <c r="BB108" i="4"/>
  <c r="BB95" i="4"/>
  <c r="L148" i="4"/>
  <c r="L135" i="4"/>
  <c r="BB161" i="4"/>
  <c r="BB162" i="4"/>
  <c r="BB109" i="4"/>
  <c r="L136" i="4"/>
  <c r="BB149" i="4"/>
  <c r="BB96" i="4"/>
  <c r="BB136" i="4"/>
  <c r="BB122" i="4"/>
  <c r="L149" i="4"/>
  <c r="K63" i="4"/>
  <c r="K50" i="4"/>
  <c r="D93" i="6"/>
  <c r="G410" i="4" s="1"/>
  <c r="G411" i="4" s="1"/>
  <c r="D94" i="6"/>
  <c r="D95" i="6"/>
  <c r="C96" i="2" s="1"/>
  <c r="D156" i="6"/>
  <c r="G407" i="4"/>
  <c r="C92" i="2"/>
  <c r="D152" i="6"/>
  <c r="AT160" i="4" l="1"/>
  <c r="BB156" i="4"/>
  <c r="AT136" i="4"/>
  <c r="BB147" i="4"/>
  <c r="AT95" i="4"/>
  <c r="AT149" i="4"/>
  <c r="AT108" i="4"/>
  <c r="AV402" i="4"/>
  <c r="BB131" i="4"/>
  <c r="BB135" i="4"/>
  <c r="BB117" i="4"/>
  <c r="AT162" i="4"/>
  <c r="BB93" i="4"/>
  <c r="BB120" i="4"/>
  <c r="BB107" i="4"/>
  <c r="BB92" i="4"/>
  <c r="AT148" i="4"/>
  <c r="BB145" i="4"/>
  <c r="BB94" i="4"/>
  <c r="AT134" i="4"/>
  <c r="BB116" i="4"/>
  <c r="BB143" i="4"/>
  <c r="AT94" i="4"/>
  <c r="BB90" i="4"/>
  <c r="BB130" i="4"/>
  <c r="AT161" i="4"/>
  <c r="BB103" i="4"/>
  <c r="AT121" i="4"/>
  <c r="AT135" i="4"/>
  <c r="BB158" i="4"/>
  <c r="AT122" i="4"/>
  <c r="BB132" i="4"/>
  <c r="AT96" i="4"/>
  <c r="BB159" i="4"/>
  <c r="AT147" i="4"/>
  <c r="AT109" i="4"/>
  <c r="AX402" i="4"/>
  <c r="BB146" i="4"/>
  <c r="BB119" i="4"/>
  <c r="BB134" i="4"/>
  <c r="AZ396" i="4"/>
  <c r="AV376" i="4"/>
  <c r="AZ389" i="4"/>
  <c r="AX376" i="4"/>
  <c r="D196" i="4"/>
  <c r="D236" i="4" s="1"/>
  <c r="BA370" i="4"/>
  <c r="AZ370" i="4"/>
  <c r="L36" i="4"/>
  <c r="L76" i="4" s="1"/>
  <c r="AZ356" i="4"/>
  <c r="AV349" i="4"/>
  <c r="BA330" i="4"/>
  <c r="AZ383" i="4"/>
  <c r="BA343" i="4"/>
  <c r="D36" i="4"/>
  <c r="D76" i="4" s="1"/>
  <c r="D197" i="4"/>
  <c r="D237" i="4" s="1"/>
  <c r="AZ330" i="4"/>
  <c r="AZ343" i="4"/>
  <c r="L197" i="4"/>
  <c r="L237" i="4" s="1"/>
  <c r="AZ362" i="4"/>
  <c r="AZ402" i="4"/>
  <c r="BB133" i="4"/>
  <c r="BA376" i="4"/>
  <c r="AZ376" i="4"/>
  <c r="BA389" i="4"/>
  <c r="AV389" i="4"/>
  <c r="AV362" i="4"/>
  <c r="AX362" i="4"/>
  <c r="AT107" i="4"/>
  <c r="BB106" i="4"/>
  <c r="L63" i="4"/>
  <c r="L50" i="4"/>
  <c r="AT25" i="4"/>
  <c r="D52" i="4"/>
  <c r="AT12" i="4"/>
  <c r="AT38" i="4"/>
  <c r="D65" i="4"/>
  <c r="AT65" i="4"/>
  <c r="AT78" i="4"/>
  <c r="AT52" i="4"/>
  <c r="D199" i="4"/>
  <c r="D239" i="4" s="1"/>
  <c r="AV336" i="4"/>
  <c r="C75" i="2"/>
  <c r="E62" i="2"/>
  <c r="C63" i="2"/>
  <c r="BA362" i="4"/>
  <c r="AT11" i="4"/>
  <c r="AT24" i="4"/>
  <c r="AT64" i="4"/>
  <c r="D51" i="4"/>
  <c r="D64" i="4"/>
  <c r="AT37" i="4"/>
  <c r="AT51" i="4"/>
  <c r="AT77" i="4"/>
  <c r="BB349" i="4"/>
  <c r="AW389" i="4"/>
  <c r="L56" i="4"/>
  <c r="L69" i="4"/>
  <c r="AX389" i="4"/>
  <c r="D201" i="4"/>
  <c r="D241" i="4" s="1"/>
  <c r="D42" i="4"/>
  <c r="D82" i="4" s="1"/>
  <c r="BB362" i="4"/>
  <c r="L196" i="4"/>
  <c r="L236" i="4" s="1"/>
  <c r="L53" i="4"/>
  <c r="L66" i="4"/>
  <c r="AW362" i="4"/>
  <c r="D56" i="4"/>
  <c r="D69" i="4"/>
  <c r="BB396" i="4"/>
  <c r="AW402" i="4"/>
  <c r="AT225" i="4"/>
  <c r="AT185" i="4"/>
  <c r="D225" i="4"/>
  <c r="AT172" i="4"/>
  <c r="AT198" i="4"/>
  <c r="AT238" i="4"/>
  <c r="AT212" i="4"/>
  <c r="D212" i="4"/>
  <c r="AY383" i="4"/>
  <c r="AW376" i="4"/>
  <c r="AT170" i="4"/>
  <c r="AT183" i="4"/>
  <c r="AT196" i="4"/>
  <c r="D223" i="4"/>
  <c r="D210" i="4"/>
  <c r="AT210" i="4"/>
  <c r="AT236" i="4"/>
  <c r="AT223" i="4"/>
  <c r="G464" i="4"/>
  <c r="BB223" i="4" s="1"/>
  <c r="AY396" i="4"/>
  <c r="L38" i="4"/>
  <c r="L78" i="4" s="1"/>
  <c r="AT186" i="4"/>
  <c r="AT199" i="4"/>
  <c r="AT239" i="4"/>
  <c r="AT226" i="4"/>
  <c r="AT173" i="4"/>
  <c r="D226" i="4"/>
  <c r="D213" i="4"/>
  <c r="AT213" i="4"/>
  <c r="D40" i="4"/>
  <c r="D80" i="4" s="1"/>
  <c r="AT188" i="4"/>
  <c r="D215" i="4"/>
  <c r="D228" i="4"/>
  <c r="AT215" i="4"/>
  <c r="AT175" i="4"/>
  <c r="AT241" i="4"/>
  <c r="AT201" i="4"/>
  <c r="AT228" i="4"/>
  <c r="L199" i="4"/>
  <c r="L239" i="4" s="1"/>
  <c r="L210" i="4"/>
  <c r="L223" i="4"/>
  <c r="AW399" i="4"/>
  <c r="AW386" i="4"/>
  <c r="AW346" i="4"/>
  <c r="AY359" i="4"/>
  <c r="AW373" i="4"/>
  <c r="AY333" i="4"/>
  <c r="AY399" i="4"/>
  <c r="AY386" i="4"/>
  <c r="AY346" i="4"/>
  <c r="AY373" i="4"/>
  <c r="AW359" i="4"/>
  <c r="AW333" i="4"/>
  <c r="AX359" i="4"/>
  <c r="AX386" i="4"/>
  <c r="AX373" i="4"/>
  <c r="AX333" i="4"/>
  <c r="AX399" i="4"/>
  <c r="AX346" i="4"/>
  <c r="AZ359" i="4"/>
  <c r="AX334" i="4"/>
  <c r="AZ333" i="4"/>
  <c r="AX374" i="4"/>
  <c r="AX347" i="4"/>
  <c r="AZ399" i="4"/>
  <c r="AX400" i="4"/>
  <c r="AZ386" i="4"/>
  <c r="AX387" i="4"/>
  <c r="AZ346" i="4"/>
  <c r="AX360" i="4"/>
  <c r="AZ373" i="4"/>
  <c r="BB334" i="4"/>
  <c r="BA359" i="4"/>
  <c r="BA347" i="4"/>
  <c r="AY347" i="4"/>
  <c r="AY372" i="4"/>
  <c r="AZ385" i="4"/>
  <c r="BA345" i="4"/>
  <c r="BB357" i="4"/>
  <c r="BA335" i="4"/>
  <c r="BA333" i="4"/>
  <c r="AZ374" i="4"/>
  <c r="AZ372" i="4"/>
  <c r="BA358" i="4"/>
  <c r="BB331" i="4"/>
  <c r="BB348" i="4"/>
  <c r="BB335" i="4"/>
  <c r="BA373" i="4"/>
  <c r="BA334" i="4"/>
  <c r="AY400" i="4"/>
  <c r="BA385" i="4"/>
  <c r="BB359" i="4"/>
  <c r="BB397" i="4"/>
  <c r="BB375" i="4"/>
  <c r="BB374" i="4"/>
  <c r="AY387" i="4"/>
  <c r="AZ400" i="4"/>
  <c r="BA372" i="4"/>
  <c r="BB333" i="4"/>
  <c r="BB371" i="4"/>
  <c r="BB361" i="4"/>
  <c r="BB384" i="4"/>
  <c r="BB344" i="4"/>
  <c r="BB401" i="4"/>
  <c r="BB400" i="4"/>
  <c r="BA399" i="4"/>
  <c r="BA374" i="4"/>
  <c r="AY360" i="4"/>
  <c r="AZ387" i="4"/>
  <c r="BB387" i="4"/>
  <c r="BA386" i="4"/>
  <c r="BA400" i="4"/>
  <c r="AZ360" i="4"/>
  <c r="BB373" i="4"/>
  <c r="BA348" i="4"/>
  <c r="BB360" i="4"/>
  <c r="BA346" i="4"/>
  <c r="AX332" i="4"/>
  <c r="BA387" i="4"/>
  <c r="AX345" i="4"/>
  <c r="BA360" i="4"/>
  <c r="BB399" i="4"/>
  <c r="BB388" i="4"/>
  <c r="BA361" i="4"/>
  <c r="AX398" i="4"/>
  <c r="BB386" i="4"/>
  <c r="BB332" i="4"/>
  <c r="AX358" i="4"/>
  <c r="BA357" i="4"/>
  <c r="BB346" i="4"/>
  <c r="BB398" i="4"/>
  <c r="BA401" i="4"/>
  <c r="AX385" i="4"/>
  <c r="BA331" i="4"/>
  <c r="AW334" i="4"/>
  <c r="BB345" i="4"/>
  <c r="BA388" i="4"/>
  <c r="BA375" i="4"/>
  <c r="AX372" i="4"/>
  <c r="BA344" i="4"/>
  <c r="AW374" i="4"/>
  <c r="AY332" i="4"/>
  <c r="BB358" i="4"/>
  <c r="BA397" i="4"/>
  <c r="AW347" i="4"/>
  <c r="AY398" i="4"/>
  <c r="AZ332" i="4"/>
  <c r="BB385" i="4"/>
  <c r="AY334" i="4"/>
  <c r="BA371" i="4"/>
  <c r="AW400" i="4"/>
  <c r="AY345" i="4"/>
  <c r="AZ398" i="4"/>
  <c r="BB372" i="4"/>
  <c r="BA384" i="4"/>
  <c r="AW387" i="4"/>
  <c r="AZ347" i="4"/>
  <c r="AY358" i="4"/>
  <c r="AZ345" i="4"/>
  <c r="BA332" i="4"/>
  <c r="BB347" i="4"/>
  <c r="AY374" i="4"/>
  <c r="AW360" i="4"/>
  <c r="AZ334" i="4"/>
  <c r="AY385" i="4"/>
  <c r="AZ358" i="4"/>
  <c r="BA398" i="4"/>
  <c r="AV335" i="4"/>
  <c r="AY388" i="4"/>
  <c r="AV401" i="4"/>
  <c r="AV388" i="4"/>
  <c r="AZ375" i="4"/>
  <c r="AZ348" i="4"/>
  <c r="AW348" i="4"/>
  <c r="AZ371" i="4"/>
  <c r="AV375" i="4"/>
  <c r="AX348" i="4"/>
  <c r="AZ361" i="4"/>
  <c r="AW361" i="4"/>
  <c r="AZ357" i="4"/>
  <c r="AV348" i="4"/>
  <c r="AX361" i="4"/>
  <c r="AY371" i="4"/>
  <c r="AZ335" i="4"/>
  <c r="AW335" i="4"/>
  <c r="AZ331" i="4"/>
  <c r="AX335" i="4"/>
  <c r="AY357" i="4"/>
  <c r="AZ344" i="4"/>
  <c r="AY331" i="4"/>
  <c r="AW401" i="4"/>
  <c r="AZ384" i="4"/>
  <c r="AX401" i="4"/>
  <c r="AY344" i="4"/>
  <c r="AZ401" i="4"/>
  <c r="AW388" i="4"/>
  <c r="AX388" i="4"/>
  <c r="AY375" i="4"/>
  <c r="AY384" i="4"/>
  <c r="AZ388" i="4"/>
  <c r="AY348" i="4"/>
  <c r="AW375" i="4"/>
  <c r="AZ397" i="4"/>
  <c r="AX375" i="4"/>
  <c r="AY361" i="4"/>
  <c r="AY335" i="4"/>
  <c r="AY397" i="4"/>
  <c r="AV361" i="4"/>
  <c r="AY401" i="4"/>
  <c r="BA396" i="4"/>
  <c r="D41" i="4"/>
  <c r="D81" i="4" s="1"/>
  <c r="L202" i="4"/>
  <c r="L242" i="4" s="1"/>
  <c r="BB356" i="4"/>
  <c r="AW336" i="4"/>
  <c r="E110" i="2"/>
  <c r="C111" i="2"/>
  <c r="C46" i="2"/>
  <c r="E46" i="2" s="1"/>
  <c r="C45" i="2"/>
  <c r="E45" i="2" s="1"/>
  <c r="C42" i="2"/>
  <c r="E42" i="2" s="1"/>
  <c r="C44" i="2"/>
  <c r="E44" i="2" s="1"/>
  <c r="AX336" i="4"/>
  <c r="D39" i="4"/>
  <c r="D79" i="4" s="1"/>
  <c r="L200" i="4"/>
  <c r="L240" i="4" s="1"/>
  <c r="AY356" i="4"/>
  <c r="BB383" i="4"/>
  <c r="AW349" i="4"/>
  <c r="C94" i="2"/>
  <c r="E94" i="2" s="1"/>
  <c r="C95" i="2"/>
  <c r="E92" i="2"/>
  <c r="G422" i="4"/>
  <c r="G423" i="4" s="1"/>
  <c r="G425" i="4"/>
  <c r="G426" i="4" s="1"/>
  <c r="G419" i="4"/>
  <c r="G420" i="4" s="1"/>
  <c r="G408" i="4"/>
  <c r="D200" i="4"/>
  <c r="D240" i="4" s="1"/>
  <c r="L37" i="4"/>
  <c r="L77" i="4" s="1"/>
  <c r="BA356" i="4"/>
  <c r="AZ336" i="4"/>
  <c r="AX349" i="4"/>
  <c r="L213" i="4"/>
  <c r="L226" i="4"/>
  <c r="BB226" i="4"/>
  <c r="L216" i="4"/>
  <c r="BB229" i="4"/>
  <c r="L229" i="4"/>
  <c r="L201" i="4"/>
  <c r="L241" i="4" s="1"/>
  <c r="AY330" i="4"/>
  <c r="BB330" i="4"/>
  <c r="AY389" i="4"/>
  <c r="AX92" i="4"/>
  <c r="AW93" i="4"/>
  <c r="AX93" i="4"/>
  <c r="AX132" i="4"/>
  <c r="AY92" i="4"/>
  <c r="AW106" i="4"/>
  <c r="AX106" i="4"/>
  <c r="AX158" i="4"/>
  <c r="AY105" i="4"/>
  <c r="AW146" i="4"/>
  <c r="AX107" i="4"/>
  <c r="AX145" i="4"/>
  <c r="AW133" i="4"/>
  <c r="AX146" i="4"/>
  <c r="AY106" i="4"/>
  <c r="AY132" i="4"/>
  <c r="AW159" i="4"/>
  <c r="AX133" i="4"/>
  <c r="AX120" i="4"/>
  <c r="AY93" i="4"/>
  <c r="AX118" i="4"/>
  <c r="AY145" i="4"/>
  <c r="AY94" i="4"/>
  <c r="AX159" i="4"/>
  <c r="AX94" i="4"/>
  <c r="AX105" i="4"/>
  <c r="AW119" i="4"/>
  <c r="AX147" i="4"/>
  <c r="AY146" i="4"/>
  <c r="AY118" i="4"/>
  <c r="AY120" i="4"/>
  <c r="AX119" i="4"/>
  <c r="AX134" i="4"/>
  <c r="AY133" i="4"/>
  <c r="AY158" i="4"/>
  <c r="AY107" i="4"/>
  <c r="AX160" i="4"/>
  <c r="AY159" i="4"/>
  <c r="AY147" i="4"/>
  <c r="AY134" i="4"/>
  <c r="AY119" i="4"/>
  <c r="AY160" i="4"/>
  <c r="AX121" i="4"/>
  <c r="AW120" i="4"/>
  <c r="AY90" i="4"/>
  <c r="AW94" i="4"/>
  <c r="AY103" i="4"/>
  <c r="AY108" i="4"/>
  <c r="AW147" i="4"/>
  <c r="AY143" i="4"/>
  <c r="AW134" i="4"/>
  <c r="AY130" i="4"/>
  <c r="AW160" i="4"/>
  <c r="AY116" i="4"/>
  <c r="AY95" i="4"/>
  <c r="AW92" i="4"/>
  <c r="AY156" i="4"/>
  <c r="AY148" i="4"/>
  <c r="AW132" i="4"/>
  <c r="AY149" i="4"/>
  <c r="AY135" i="4"/>
  <c r="AW158" i="4"/>
  <c r="AY136" i="4"/>
  <c r="AY161" i="4"/>
  <c r="AW108" i="4"/>
  <c r="AZ108" i="4"/>
  <c r="AW145" i="4"/>
  <c r="AY122" i="4"/>
  <c r="AY121" i="4"/>
  <c r="AX108" i="4"/>
  <c r="AY96" i="4"/>
  <c r="AZ95" i="4"/>
  <c r="AW118" i="4"/>
  <c r="AY109" i="4"/>
  <c r="AX95" i="4"/>
  <c r="AW135" i="4"/>
  <c r="AZ148" i="4"/>
  <c r="AW105" i="4"/>
  <c r="AX148" i="4"/>
  <c r="AW95" i="4"/>
  <c r="AZ135" i="4"/>
  <c r="AY162" i="4"/>
  <c r="AX135" i="4"/>
  <c r="AW148" i="4"/>
  <c r="AX161" i="4"/>
  <c r="AW161" i="4"/>
  <c r="AZ121" i="4"/>
  <c r="AW121" i="4"/>
  <c r="AZ161" i="4"/>
  <c r="AW107" i="4"/>
  <c r="AV133" i="4"/>
  <c r="AW96" i="4"/>
  <c r="AV95" i="4"/>
  <c r="AZ146" i="4"/>
  <c r="AZ107" i="4"/>
  <c r="AZ122" i="4"/>
  <c r="AX149" i="4"/>
  <c r="AV107" i="4"/>
  <c r="AV159" i="4"/>
  <c r="AV108" i="4"/>
  <c r="AZ133" i="4"/>
  <c r="AX136" i="4"/>
  <c r="AZ109" i="4"/>
  <c r="AZ136" i="4"/>
  <c r="AZ92" i="4"/>
  <c r="AW162" i="4"/>
  <c r="AZ159" i="4"/>
  <c r="AX122" i="4"/>
  <c r="AZ118" i="4"/>
  <c r="AV119" i="4"/>
  <c r="AW109" i="4"/>
  <c r="AY91" i="4"/>
  <c r="AX96" i="4"/>
  <c r="AZ149" i="4"/>
  <c r="AZ105" i="4"/>
  <c r="AY117" i="4"/>
  <c r="AV135" i="4"/>
  <c r="AZ94" i="4"/>
  <c r="AX109" i="4"/>
  <c r="AW149" i="4"/>
  <c r="AY144" i="4"/>
  <c r="AV161" i="4"/>
  <c r="AZ96" i="4"/>
  <c r="AZ132" i="4"/>
  <c r="AY104" i="4"/>
  <c r="AV121" i="4"/>
  <c r="AV122" i="4"/>
  <c r="AV148" i="4"/>
  <c r="AZ120" i="4"/>
  <c r="AV120" i="4"/>
  <c r="AZ117" i="4"/>
  <c r="AZ158" i="4"/>
  <c r="AY131" i="4"/>
  <c r="AX91" i="4"/>
  <c r="AZ147" i="4"/>
  <c r="AX162" i="4"/>
  <c r="AV94" i="4"/>
  <c r="AZ162" i="4"/>
  <c r="AV96" i="4"/>
  <c r="AZ145" i="4"/>
  <c r="AX144" i="4"/>
  <c r="AZ134" i="4"/>
  <c r="AZ91" i="4"/>
  <c r="AV162" i="4"/>
  <c r="AZ90" i="4"/>
  <c r="AY157" i="4"/>
  <c r="AX104" i="4"/>
  <c r="AZ160" i="4"/>
  <c r="AZ157" i="4"/>
  <c r="AV147" i="4"/>
  <c r="AZ106" i="4"/>
  <c r="AZ119" i="4"/>
  <c r="AV136" i="4"/>
  <c r="AZ116" i="4"/>
  <c r="AZ144" i="4"/>
  <c r="AV134" i="4"/>
  <c r="AZ104" i="4"/>
  <c r="AV160" i="4"/>
  <c r="AV109" i="4"/>
  <c r="AZ103" i="4"/>
  <c r="AX117" i="4"/>
  <c r="AZ93" i="4"/>
  <c r="AV93" i="4"/>
  <c r="AZ143" i="4"/>
  <c r="AX131" i="4"/>
  <c r="AV149" i="4"/>
  <c r="AV146" i="4"/>
  <c r="AZ130" i="4"/>
  <c r="AW136" i="4"/>
  <c r="AV106" i="4"/>
  <c r="AZ156" i="4"/>
  <c r="AW122" i="4"/>
  <c r="AX157" i="4"/>
  <c r="AZ131" i="4"/>
  <c r="BA90" i="4"/>
  <c r="BA149" i="4"/>
  <c r="BA120" i="4"/>
  <c r="BA108" i="4"/>
  <c r="AU134" i="4"/>
  <c r="BA117" i="4"/>
  <c r="AU95" i="4"/>
  <c r="BA143" i="4"/>
  <c r="BA136" i="4"/>
  <c r="BA132" i="4"/>
  <c r="BA147" i="4"/>
  <c r="BA95" i="4"/>
  <c r="AU160" i="4"/>
  <c r="BA116" i="4"/>
  <c r="BA96" i="4"/>
  <c r="BA134" i="4"/>
  <c r="BA148" i="4"/>
  <c r="BA131" i="4"/>
  <c r="AU109" i="4"/>
  <c r="BA93" i="4"/>
  <c r="BA103" i="4"/>
  <c r="BA158" i="4"/>
  <c r="BA135" i="4"/>
  <c r="AU147" i="4"/>
  <c r="AU135" i="4"/>
  <c r="AU96" i="4"/>
  <c r="BA106" i="4"/>
  <c r="BA130" i="4"/>
  <c r="BA122" i="4"/>
  <c r="BA145" i="4"/>
  <c r="BA160" i="4"/>
  <c r="BA161" i="4"/>
  <c r="AU161" i="4"/>
  <c r="AU122" i="4"/>
  <c r="BA119" i="4"/>
  <c r="BA156" i="4"/>
  <c r="AU121" i="4"/>
  <c r="BA133" i="4"/>
  <c r="AU148" i="4"/>
  <c r="AU162" i="4"/>
  <c r="BA121" i="4"/>
  <c r="AU136" i="4"/>
  <c r="BA146" i="4"/>
  <c r="BA159" i="4"/>
  <c r="AU149" i="4"/>
  <c r="AU120" i="4"/>
  <c r="BA91" i="4"/>
  <c r="BA162" i="4"/>
  <c r="BA92" i="4"/>
  <c r="BA94" i="4"/>
  <c r="AU94" i="4"/>
  <c r="BA157" i="4"/>
  <c r="BA109" i="4"/>
  <c r="BA118" i="4"/>
  <c r="BA107" i="4"/>
  <c r="AU107" i="4"/>
  <c r="BA144" i="4"/>
  <c r="BA105" i="4"/>
  <c r="BA104" i="4"/>
  <c r="AU108" i="4"/>
  <c r="L65" i="4"/>
  <c r="L52" i="4"/>
  <c r="E84" i="2"/>
  <c r="C85" i="2"/>
  <c r="L80" i="2"/>
  <c r="M80" i="2"/>
  <c r="N80" i="2"/>
  <c r="O80" i="2"/>
  <c r="P80" i="2"/>
  <c r="Q80" i="2"/>
  <c r="L41" i="4"/>
  <c r="L81" i="4" s="1"/>
  <c r="BA383" i="4"/>
  <c r="AZ349" i="4"/>
  <c r="AT40" i="4"/>
  <c r="AT14" i="4"/>
  <c r="D67" i="4"/>
  <c r="AT27" i="4"/>
  <c r="AT54" i="4"/>
  <c r="AT80" i="4"/>
  <c r="D54" i="4"/>
  <c r="AT67" i="4"/>
  <c r="BA402" i="4"/>
  <c r="BB171" i="4"/>
  <c r="BB184" i="4"/>
  <c r="L211" i="4"/>
  <c r="L224" i="4"/>
  <c r="AY370" i="4"/>
  <c r="BB343" i="4"/>
  <c r="AY362" i="4"/>
  <c r="C43" i="2"/>
  <c r="E43" i="2" s="1"/>
  <c r="L64" i="4"/>
  <c r="L51" i="4"/>
  <c r="D202" i="4"/>
  <c r="D242" i="4" s="1"/>
  <c r="AT26" i="4"/>
  <c r="AT53" i="4"/>
  <c r="D66" i="4"/>
  <c r="AT39" i="4"/>
  <c r="AT13" i="4"/>
  <c r="D53" i="4"/>
  <c r="AT66" i="4"/>
  <c r="AT79" i="4"/>
  <c r="D37" i="4"/>
  <c r="D77" i="4" s="1"/>
  <c r="BB376" i="4"/>
  <c r="AY343" i="4"/>
  <c r="L40" i="4"/>
  <c r="L80" i="4" s="1"/>
  <c r="AY402" i="4"/>
  <c r="D55" i="4"/>
  <c r="D68" i="4"/>
  <c r="L227" i="4"/>
  <c r="BB240" i="4"/>
  <c r="L214" i="4"/>
  <c r="AY376" i="4"/>
  <c r="E96" i="2"/>
  <c r="C98" i="2"/>
  <c r="E98" i="2" s="1"/>
  <c r="AT200" i="4"/>
  <c r="AT187" i="4"/>
  <c r="D214" i="4"/>
  <c r="AT240" i="4"/>
  <c r="AT214" i="4"/>
  <c r="AT227" i="4"/>
  <c r="AT174" i="4"/>
  <c r="D227" i="4"/>
  <c r="AT202" i="4"/>
  <c r="AT189" i="4"/>
  <c r="D229" i="4"/>
  <c r="AT176" i="4"/>
  <c r="AT242" i="4"/>
  <c r="AT229" i="4"/>
  <c r="AT216" i="4"/>
  <c r="D216" i="4"/>
  <c r="BB201" i="4"/>
  <c r="L215" i="4"/>
  <c r="L228" i="4"/>
  <c r="BB215" i="4"/>
  <c r="L55" i="4"/>
  <c r="L68" i="4"/>
  <c r="BB336" i="4"/>
  <c r="L42" i="4"/>
  <c r="L82" i="4" s="1"/>
  <c r="D38" i="4"/>
  <c r="D78" i="4" s="1"/>
  <c r="BA336" i="4"/>
  <c r="L198" i="4"/>
  <c r="L238" i="4" s="1"/>
  <c r="BB389" i="4"/>
  <c r="L54" i="4"/>
  <c r="L67" i="4"/>
  <c r="AY336" i="4"/>
  <c r="D198" i="4"/>
  <c r="D238" i="4" s="1"/>
  <c r="BA349" i="4"/>
  <c r="AT10" i="4"/>
  <c r="AT23" i="4"/>
  <c r="AT63" i="4"/>
  <c r="AT36" i="4"/>
  <c r="D63" i="4"/>
  <c r="D50" i="4"/>
  <c r="AT76" i="4"/>
  <c r="AT50" i="4"/>
  <c r="G451" i="4"/>
  <c r="BB79" i="4" s="1"/>
  <c r="AT171" i="4"/>
  <c r="D211" i="4"/>
  <c r="AT211" i="4"/>
  <c r="D224" i="4"/>
  <c r="AT197" i="4"/>
  <c r="AT184" i="4"/>
  <c r="AT237" i="4"/>
  <c r="AT224" i="4"/>
  <c r="BB172" i="4"/>
  <c r="BB185" i="4"/>
  <c r="L225" i="4"/>
  <c r="BB198" i="4"/>
  <c r="L212" i="4"/>
  <c r="BB212" i="4"/>
  <c r="BB225" i="4"/>
  <c r="BB402" i="4"/>
  <c r="L39" i="4"/>
  <c r="L79" i="4" s="1"/>
  <c r="AY349" i="4"/>
  <c r="BB228" i="4" l="1"/>
  <c r="BB237" i="4"/>
  <c r="BB211" i="4"/>
  <c r="BB188" i="4"/>
  <c r="BB238" i="4"/>
  <c r="BB174" i="4"/>
  <c r="BB241" i="4"/>
  <c r="BB214" i="4"/>
  <c r="BB187" i="4"/>
  <c r="BB175" i="4"/>
  <c r="BB216" i="4"/>
  <c r="BB200" i="4"/>
  <c r="BB213" i="4"/>
  <c r="BB197" i="4"/>
  <c r="BB227" i="4"/>
  <c r="BB224" i="4"/>
  <c r="BB173" i="4"/>
  <c r="BB199" i="4"/>
  <c r="BB202" i="4"/>
  <c r="BB67" i="4"/>
  <c r="BB24" i="4"/>
  <c r="BB242" i="4"/>
  <c r="BB176" i="4"/>
  <c r="BB236" i="4"/>
  <c r="BB170" i="4"/>
  <c r="BB239" i="4"/>
  <c r="BB196" i="4"/>
  <c r="BB186" i="4"/>
  <c r="BB183" i="4"/>
  <c r="BB11" i="4"/>
  <c r="BB210" i="4"/>
  <c r="BB28" i="4"/>
  <c r="BB189" i="4"/>
  <c r="BB15" i="4"/>
  <c r="BB80" i="4"/>
  <c r="BB54" i="4"/>
  <c r="BB81" i="4"/>
  <c r="BB77" i="4"/>
  <c r="BB26" i="4"/>
  <c r="AT56" i="4"/>
  <c r="C87" i="2"/>
  <c r="E87" i="2" s="1"/>
  <c r="AX27" i="4"/>
  <c r="AX12" i="4"/>
  <c r="AX54" i="4"/>
  <c r="AX25" i="4"/>
  <c r="AX67" i="4"/>
  <c r="AX40" i="4"/>
  <c r="AX38" i="4"/>
  <c r="AX14" i="4"/>
  <c r="AX52" i="4"/>
  <c r="AX80" i="4"/>
  <c r="AX65" i="4"/>
  <c r="AX78" i="4"/>
  <c r="AY53" i="4"/>
  <c r="AX13" i="4"/>
  <c r="AW41" i="4"/>
  <c r="AX64" i="4"/>
  <c r="AY24" i="4"/>
  <c r="AW81" i="4"/>
  <c r="AY11" i="4"/>
  <c r="AY39" i="4"/>
  <c r="AX39" i="4"/>
  <c r="AX15" i="4"/>
  <c r="AY66" i="4"/>
  <c r="AX53" i="4"/>
  <c r="AX77" i="4"/>
  <c r="AX55" i="4"/>
  <c r="AY37" i="4"/>
  <c r="AY36" i="4"/>
  <c r="AX41" i="4"/>
  <c r="AY77" i="4"/>
  <c r="AX66" i="4"/>
  <c r="AW16" i="4"/>
  <c r="AY10" i="4"/>
  <c r="AX28" i="4"/>
  <c r="AY51" i="4"/>
  <c r="AX79" i="4"/>
  <c r="AY16" i="4"/>
  <c r="AW29" i="4"/>
  <c r="AX81" i="4"/>
  <c r="AY64" i="4"/>
  <c r="AY29" i="4"/>
  <c r="AW42" i="4"/>
  <c r="AY15" i="4"/>
  <c r="AY76" i="4"/>
  <c r="AX16" i="4"/>
  <c r="AY56" i="4"/>
  <c r="AY81" i="4"/>
  <c r="AY63" i="4"/>
  <c r="AY82" i="4"/>
  <c r="AY28" i="4"/>
  <c r="AW68" i="4"/>
  <c r="AX29" i="4"/>
  <c r="AY42" i="4"/>
  <c r="AW69" i="4"/>
  <c r="AY23" i="4"/>
  <c r="AW28" i="4"/>
  <c r="AX82" i="4"/>
  <c r="AW82" i="4"/>
  <c r="AY50" i="4"/>
  <c r="AY26" i="4"/>
  <c r="AX42" i="4"/>
  <c r="AW56" i="4"/>
  <c r="AY68" i="4"/>
  <c r="AX11" i="4"/>
  <c r="AW15" i="4"/>
  <c r="AY69" i="4"/>
  <c r="AY55" i="4"/>
  <c r="AX37" i="4"/>
  <c r="AY13" i="4"/>
  <c r="AX56" i="4"/>
  <c r="AY41" i="4"/>
  <c r="AX24" i="4"/>
  <c r="AY79" i="4"/>
  <c r="AX26" i="4"/>
  <c r="AW55" i="4"/>
  <c r="AX69" i="4"/>
  <c r="AX51" i="4"/>
  <c r="AX68" i="4"/>
  <c r="AY40" i="4"/>
  <c r="AY25" i="4"/>
  <c r="AY14" i="4"/>
  <c r="AY65" i="4"/>
  <c r="AY78" i="4"/>
  <c r="AY27" i="4"/>
  <c r="AW13" i="4"/>
  <c r="AY38" i="4"/>
  <c r="AY67" i="4"/>
  <c r="AW26" i="4"/>
  <c r="AY52" i="4"/>
  <c r="AY54" i="4"/>
  <c r="AW53" i="4"/>
  <c r="AW14" i="4"/>
  <c r="AW39" i="4"/>
  <c r="AW54" i="4"/>
  <c r="AW66" i="4"/>
  <c r="AW67" i="4"/>
  <c r="AW79" i="4"/>
  <c r="AW40" i="4"/>
  <c r="AW27" i="4"/>
  <c r="AY12" i="4"/>
  <c r="AW80" i="4"/>
  <c r="AY80" i="4"/>
  <c r="AZ77" i="4"/>
  <c r="AV16" i="4"/>
  <c r="AZ82" i="4"/>
  <c r="AZ66" i="4"/>
  <c r="AV28" i="4"/>
  <c r="AZ51" i="4"/>
  <c r="AV82" i="4"/>
  <c r="AZ50" i="4"/>
  <c r="AZ26" i="4"/>
  <c r="AZ64" i="4"/>
  <c r="AV29" i="4"/>
  <c r="AZ69" i="4"/>
  <c r="AZ36" i="4"/>
  <c r="AZ53" i="4"/>
  <c r="AV56" i="4"/>
  <c r="AZ63" i="4"/>
  <c r="AZ13" i="4"/>
  <c r="AV68" i="4"/>
  <c r="AV42" i="4"/>
  <c r="AZ23" i="4"/>
  <c r="AZ79" i="4"/>
  <c r="AV55" i="4"/>
  <c r="AZ15" i="4"/>
  <c r="AZ76" i="4"/>
  <c r="AV41" i="4"/>
  <c r="AZ28" i="4"/>
  <c r="AZ39" i="4"/>
  <c r="AV81" i="4"/>
  <c r="AV27" i="4"/>
  <c r="AV69" i="4"/>
  <c r="AZ41" i="4"/>
  <c r="AZ25" i="4"/>
  <c r="AV14" i="4"/>
  <c r="AZ81" i="4"/>
  <c r="AZ54" i="4"/>
  <c r="AZ12" i="4"/>
  <c r="AV40" i="4"/>
  <c r="AZ67" i="4"/>
  <c r="AZ65" i="4"/>
  <c r="AZ40" i="4"/>
  <c r="AZ78" i="4"/>
  <c r="AV80" i="4"/>
  <c r="AZ68" i="4"/>
  <c r="AZ29" i="4"/>
  <c r="AZ80" i="4"/>
  <c r="AZ24" i="4"/>
  <c r="AZ38" i="4"/>
  <c r="AZ55" i="4"/>
  <c r="AZ42" i="4"/>
  <c r="AZ14" i="4"/>
  <c r="AZ11" i="4"/>
  <c r="AZ52" i="4"/>
  <c r="AV54" i="4"/>
  <c r="AV67" i="4"/>
  <c r="AZ16" i="4"/>
  <c r="AZ27" i="4"/>
  <c r="AZ37" i="4"/>
  <c r="AZ56" i="4"/>
  <c r="AZ10" i="4"/>
  <c r="AV15" i="4"/>
  <c r="BA80" i="4"/>
  <c r="AU82" i="4"/>
  <c r="BA56" i="4"/>
  <c r="BA14" i="4"/>
  <c r="AU42" i="4"/>
  <c r="BA82" i="4"/>
  <c r="BA76" i="4"/>
  <c r="AU56" i="4"/>
  <c r="BA25" i="4"/>
  <c r="BA27" i="4"/>
  <c r="BA12" i="4"/>
  <c r="BA69" i="4"/>
  <c r="BA65" i="4"/>
  <c r="BA55" i="4"/>
  <c r="BA40" i="4"/>
  <c r="BA26" i="4"/>
  <c r="BA78" i="4"/>
  <c r="BA15" i="4"/>
  <c r="BA66" i="4"/>
  <c r="BA38" i="4"/>
  <c r="BA41" i="4"/>
  <c r="BA36" i="4"/>
  <c r="BA13" i="4"/>
  <c r="BA52" i="4"/>
  <c r="BA81" i="4"/>
  <c r="AU15" i="4"/>
  <c r="BA79" i="4"/>
  <c r="AU28" i="4"/>
  <c r="BA53" i="4"/>
  <c r="AU41" i="4"/>
  <c r="BA51" i="4"/>
  <c r="BA68" i="4"/>
  <c r="BA10" i="4"/>
  <c r="BA50" i="4"/>
  <c r="AU16" i="4"/>
  <c r="BA37" i="4"/>
  <c r="BA28" i="4"/>
  <c r="AU68" i="4"/>
  <c r="BA39" i="4"/>
  <c r="BA11" i="4"/>
  <c r="AU69" i="4"/>
  <c r="BA29" i="4"/>
  <c r="BA24" i="4"/>
  <c r="AU55" i="4"/>
  <c r="BA54" i="4"/>
  <c r="AU29" i="4"/>
  <c r="BA42" i="4"/>
  <c r="BA77" i="4"/>
  <c r="BA23" i="4"/>
  <c r="AU81" i="4"/>
  <c r="BA67" i="4"/>
  <c r="BA16" i="4"/>
  <c r="BA64" i="4"/>
  <c r="BA63" i="4"/>
  <c r="BB41" i="4"/>
  <c r="C86" i="2"/>
  <c r="E86" i="2" s="1"/>
  <c r="C89" i="2"/>
  <c r="E89" i="2" s="1"/>
  <c r="C102" i="2"/>
  <c r="E85" i="2"/>
  <c r="AT42" i="4"/>
  <c r="AT82" i="4"/>
  <c r="BB27" i="4"/>
  <c r="BB14" i="4"/>
  <c r="AT29" i="4"/>
  <c r="AT69" i="4"/>
  <c r="AT81" i="4"/>
  <c r="BB52" i="4"/>
  <c r="BB69" i="4"/>
  <c r="BB50" i="4"/>
  <c r="BB55" i="4"/>
  <c r="BB37" i="4"/>
  <c r="BB51" i="4"/>
  <c r="BB38" i="4"/>
  <c r="AT16" i="4"/>
  <c r="BB63" i="4"/>
  <c r="AT55" i="4"/>
  <c r="BB78" i="4"/>
  <c r="BB76" i="4"/>
  <c r="BB65" i="4"/>
  <c r="BB39" i="4"/>
  <c r="BB82" i="4"/>
  <c r="E63" i="2"/>
  <c r="C64" i="2"/>
  <c r="E64" i="2" s="1"/>
  <c r="BB36" i="4"/>
  <c r="AT28" i="4"/>
  <c r="BB12" i="4"/>
  <c r="BB56" i="4"/>
  <c r="BB10" i="4"/>
  <c r="BB25" i="4"/>
  <c r="AX173" i="4"/>
  <c r="AX186" i="4"/>
  <c r="AX199" i="4"/>
  <c r="AX239" i="4"/>
  <c r="AX226" i="4"/>
  <c r="AX213" i="4"/>
  <c r="AW240" i="4"/>
  <c r="AY185" i="4"/>
  <c r="AX187" i="4"/>
  <c r="AW200" i="4"/>
  <c r="AX200" i="4"/>
  <c r="AW174" i="4"/>
  <c r="AY212" i="4"/>
  <c r="AX227" i="4"/>
  <c r="AW227" i="4"/>
  <c r="AY238" i="4"/>
  <c r="AX172" i="4"/>
  <c r="AW214" i="4"/>
  <c r="AY225" i="4"/>
  <c r="AX214" i="4"/>
  <c r="AX185" i="4"/>
  <c r="AY198" i="4"/>
  <c r="AX240" i="4"/>
  <c r="AX198" i="4"/>
  <c r="AW185" i="4"/>
  <c r="AY174" i="4"/>
  <c r="AW198" i="4"/>
  <c r="AX212" i="4"/>
  <c r="AW172" i="4"/>
  <c r="AY187" i="4"/>
  <c r="AX238" i="4"/>
  <c r="AY200" i="4"/>
  <c r="AX225" i="4"/>
  <c r="AW212" i="4"/>
  <c r="AY240" i="4"/>
  <c r="AW238" i="4"/>
  <c r="AY227" i="4"/>
  <c r="AW225" i="4"/>
  <c r="AW187" i="4"/>
  <c r="AY214" i="4"/>
  <c r="AX174" i="4"/>
  <c r="AY172" i="4"/>
  <c r="AX184" i="4"/>
  <c r="AW216" i="4"/>
  <c r="AY196" i="4"/>
  <c r="AZ183" i="4"/>
  <c r="AX237" i="4"/>
  <c r="AX215" i="4"/>
  <c r="AW202" i="4"/>
  <c r="AY170" i="4"/>
  <c r="AZ210" i="4"/>
  <c r="AX224" i="4"/>
  <c r="AX188" i="4"/>
  <c r="AW189" i="4"/>
  <c r="AY223" i="4"/>
  <c r="AZ236" i="4"/>
  <c r="AY215" i="4"/>
  <c r="AX201" i="4"/>
  <c r="AY183" i="4"/>
  <c r="AY241" i="4"/>
  <c r="AY188" i="4"/>
  <c r="AY228" i="4"/>
  <c r="AX211" i="4"/>
  <c r="AX241" i="4"/>
  <c r="AW176" i="4"/>
  <c r="AZ201" i="4"/>
  <c r="AX197" i="4"/>
  <c r="AX228" i="4"/>
  <c r="AW242" i="4"/>
  <c r="AZ175" i="4"/>
  <c r="AY236" i="4"/>
  <c r="AX176" i="4"/>
  <c r="AV215" i="4"/>
  <c r="AY171" i="4"/>
  <c r="AZ228" i="4"/>
  <c r="AW215" i="4"/>
  <c r="AV175" i="4"/>
  <c r="AY184" i="4"/>
  <c r="AY210" i="4"/>
  <c r="AX229" i="4"/>
  <c r="AY189" i="4"/>
  <c r="AW175" i="4"/>
  <c r="AV188" i="4"/>
  <c r="AY237" i="4"/>
  <c r="AW186" i="4"/>
  <c r="AV216" i="4"/>
  <c r="AX216" i="4"/>
  <c r="AY176" i="4"/>
  <c r="AY202" i="4"/>
  <c r="AW188" i="4"/>
  <c r="AV201" i="4"/>
  <c r="AY224" i="4"/>
  <c r="AZ215" i="4"/>
  <c r="AW199" i="4"/>
  <c r="AV202" i="4"/>
  <c r="AX202" i="4"/>
  <c r="AY173" i="4"/>
  <c r="AY242" i="4"/>
  <c r="AX242" i="4"/>
  <c r="AY216" i="4"/>
  <c r="AW201" i="4"/>
  <c r="AV241" i="4"/>
  <c r="AZ241" i="4"/>
  <c r="AW239" i="4"/>
  <c r="AV189" i="4"/>
  <c r="AX189" i="4"/>
  <c r="AY186" i="4"/>
  <c r="AW241" i="4"/>
  <c r="AV228" i="4"/>
  <c r="AY211" i="4"/>
  <c r="AZ188" i="4"/>
  <c r="AW226" i="4"/>
  <c r="AY213" i="4"/>
  <c r="AY229" i="4"/>
  <c r="AY199" i="4"/>
  <c r="AZ170" i="4"/>
  <c r="AY175" i="4"/>
  <c r="AW228" i="4"/>
  <c r="AY197" i="4"/>
  <c r="AW213" i="4"/>
  <c r="AV176" i="4"/>
  <c r="AV242" i="4"/>
  <c r="AZ196" i="4"/>
  <c r="AX175" i="4"/>
  <c r="AV229" i="4"/>
  <c r="AY239" i="4"/>
  <c r="AX171" i="4"/>
  <c r="AW229" i="4"/>
  <c r="AW173" i="4"/>
  <c r="AY226" i="4"/>
  <c r="AZ223" i="4"/>
  <c r="AY201" i="4"/>
  <c r="AZ176" i="4"/>
  <c r="AZ211" i="4"/>
  <c r="AZ172" i="4"/>
  <c r="AZ242" i="4"/>
  <c r="AZ185" i="4"/>
  <c r="AV240" i="4"/>
  <c r="AV174" i="4"/>
  <c r="AZ229" i="4"/>
  <c r="AZ212" i="4"/>
  <c r="AV227" i="4"/>
  <c r="AZ216" i="4"/>
  <c r="AZ238" i="4"/>
  <c r="AZ174" i="4"/>
  <c r="AV214" i="4"/>
  <c r="AZ202" i="4"/>
  <c r="AZ225" i="4"/>
  <c r="AZ187" i="4"/>
  <c r="AZ198" i="4"/>
  <c r="AZ200" i="4"/>
  <c r="AZ240" i="4"/>
  <c r="AZ173" i="4"/>
  <c r="AZ171" i="4"/>
  <c r="AZ227" i="4"/>
  <c r="AZ186" i="4"/>
  <c r="AZ184" i="4"/>
  <c r="AZ213" i="4"/>
  <c r="AZ237" i="4"/>
  <c r="AZ214" i="4"/>
  <c r="AZ224" i="4"/>
  <c r="AZ199" i="4"/>
  <c r="AZ239" i="4"/>
  <c r="AV200" i="4"/>
  <c r="AZ197" i="4"/>
  <c r="AZ226" i="4"/>
  <c r="AV187" i="4"/>
  <c r="AZ189" i="4"/>
  <c r="BA239" i="4"/>
  <c r="BA210" i="4"/>
  <c r="BA212" i="4"/>
  <c r="BA226" i="4"/>
  <c r="BA200" i="4"/>
  <c r="BA197" i="4"/>
  <c r="BA238" i="4"/>
  <c r="BA214" i="4"/>
  <c r="BA225" i="4"/>
  <c r="BA211" i="4"/>
  <c r="BA176" i="4"/>
  <c r="BA242" i="4"/>
  <c r="BA175" i="4"/>
  <c r="AU216" i="4"/>
  <c r="BA188" i="4"/>
  <c r="BA189" i="4"/>
  <c r="AU202" i="4"/>
  <c r="BA201" i="4"/>
  <c r="BA173" i="4"/>
  <c r="AU215" i="4"/>
  <c r="BA183" i="4"/>
  <c r="AU189" i="4"/>
  <c r="BA228" i="4"/>
  <c r="AU175" i="4"/>
  <c r="BA174" i="4"/>
  <c r="BA196" i="4"/>
  <c r="BA213" i="4"/>
  <c r="AU188" i="4"/>
  <c r="BA170" i="4"/>
  <c r="BA171" i="4"/>
  <c r="AU176" i="4"/>
  <c r="BA172" i="4"/>
  <c r="AU201" i="4"/>
  <c r="BA187" i="4"/>
  <c r="BA236" i="4"/>
  <c r="BA184" i="4"/>
  <c r="AU242" i="4"/>
  <c r="BA185" i="4"/>
  <c r="BA215" i="4"/>
  <c r="BA199" i="4"/>
  <c r="AU241" i="4"/>
  <c r="BA240" i="4"/>
  <c r="BA223" i="4"/>
  <c r="BA237" i="4"/>
  <c r="BA216" i="4"/>
  <c r="AU229" i="4"/>
  <c r="BA198" i="4"/>
  <c r="BA241" i="4"/>
  <c r="BA186" i="4"/>
  <c r="AU228" i="4"/>
  <c r="BA227" i="4"/>
  <c r="BA224" i="4"/>
  <c r="BA202" i="4"/>
  <c r="BA229" i="4"/>
  <c r="BB13" i="4"/>
  <c r="BB29" i="4"/>
  <c r="E75" i="2"/>
  <c r="E76" i="2" s="1"/>
  <c r="E77" i="2" s="1"/>
  <c r="C76" i="2"/>
  <c r="C77" i="2" s="1"/>
  <c r="AT68" i="4"/>
  <c r="BB53" i="4"/>
  <c r="BB16" i="4"/>
  <c r="BB68" i="4"/>
  <c r="AT41" i="4"/>
  <c r="BB40" i="4"/>
  <c r="AT15" i="4"/>
  <c r="BB64" i="4"/>
  <c r="BB66" i="4"/>
  <c r="BB42" i="4"/>
  <c r="BB23" i="4"/>
</calcChain>
</file>

<file path=xl/sharedStrings.xml><?xml version="1.0" encoding="utf-8"?>
<sst xmlns="http://schemas.openxmlformats.org/spreadsheetml/2006/main" count="1029" uniqueCount="596">
  <si>
    <t>Keystone Bookkeepers</t>
  </si>
  <si>
    <t>Jon's Topkey Ownership % — Year 5 (Diluted)</t>
  </si>
  <si>
    <t>Jon = Topkey's existing owner; 1 − Ben's %</t>
  </si>
  <si>
    <t>Jon's Topkey Ownership % — Today</t>
  </si>
  <si>
    <t>Ben's Topkey Ownership % — Year 5 (Diluted)</t>
  </si>
  <si>
    <t>Ben's Topkey Ownership % — Today</t>
  </si>
  <si>
    <t>Variance</t>
  </si>
  <si>
    <t>100% Buyout</t>
  </si>
  <si>
    <t>Partnership</t>
  </si>
  <si>
    <t>Ownership %</t>
  </si>
  <si>
    <t>Base CAGR less break-even CAGR</t>
  </si>
  <si>
    <t>Keystone Revenue CAGR — Cushion (% pts)</t>
  </si>
  <si>
    <t>Base revenue per client less break-even</t>
  </si>
  <si>
    <t>Keystone Avg. Revenue Per Client — Cushion ($)</t>
  </si>
  <si>
    <t>Base total wins (standalone + Topkey-sourced) less break-even wins</t>
  </si>
  <si>
    <t>Keystone Annual Net Client Wins — Cushion (#)</t>
  </si>
  <si>
    <t>Base multiple less break-even</t>
  </si>
  <si>
    <t>Software-Integration Revenue Multiple — Cushion (x)</t>
  </si>
  <si>
    <t>Keystone Revenue (Year 5) — Cushion ($)</t>
  </si>
  <si>
    <t>Keystone Stake Value (Year 5) — Cushion ($)</t>
  </si>
  <si>
    <t>Topkey's Break-Even Cushion — Base Case vs. Break-Even</t>
  </si>
  <si>
    <t>Keystone Revenue CAGR</t>
  </si>
  <si>
    <t>At base total net client wins</t>
  </si>
  <si>
    <t>Keystone Avg. Revenue Per Client</t>
  </si>
  <si>
    <t>Total wins incl. Topkey-sourced; at base revenue per client</t>
  </si>
  <si>
    <t>Keystone Annual Net Client Wins</t>
  </si>
  <si>
    <t>Software-Integration Revenue Multiple</t>
  </si>
  <si>
    <t>Required Keystone Revenue — Year 5</t>
  </si>
  <si>
    <t>Cash at close + Topkey value shared with Ben via equity issued (gross Topkey value incl. cash kept)</t>
  </si>
  <si>
    <t>Required Keystone Stake Value — Year 5</t>
  </si>
  <si>
    <t>Break-even = Jon's net value created equals zero; no earnout paid at break-even (below threshold)</t>
  </si>
  <si>
    <t>Topkey's Break-Even — Downside Threshold</t>
  </si>
  <si>
    <t>Topkey Value CAGR — Cushion (% pts)</t>
  </si>
  <si>
    <t>Dilution of Ben's Topkey Stake — Cushion (% pts)</t>
  </si>
  <si>
    <t>Topkey Annual Net Client Wins — Cushion (#)</t>
  </si>
  <si>
    <t>Base multiple less break-even multiple</t>
  </si>
  <si>
    <t>Topkey Future Revenue Multiple — Cushion (x)</t>
  </si>
  <si>
    <t>Base-case value less break-even value</t>
  </si>
  <si>
    <t>Topkey ex-Keystone Value (Year 5) — Cushion ($)</t>
  </si>
  <si>
    <t>n/m</t>
  </si>
  <si>
    <t>Partnership Revenue Multiple — Cushion (x)</t>
  </si>
  <si>
    <t>Ben's Break-Even Cushion — Base Case vs. Break-Even</t>
  </si>
  <si>
    <t>Growth in Topkey's ex-Keystone value (net of cash paid, before earnout) vs. today's valuation</t>
  </si>
  <si>
    <t>Topkey Value CAGR (ex-Keystone, Net of Cash)</t>
  </si>
  <si>
    <t>Total Dilution of Ben's Topkey Stake</t>
  </si>
  <si>
    <t>Topkey Annual Net Client Wins</t>
  </si>
  <si>
    <t>Topkey Future Revenue Multiple</t>
  </si>
  <si>
    <t>Required Topkey ex-Keystone Value — Year 5</t>
  </si>
  <si>
    <t>n/m: Ben keeps no direct Keystone stake in the buyout</t>
  </si>
  <si>
    <t>Partnership Revenue Multiple</t>
  </si>
  <si>
    <t>Ben's Break-Even — Downside Threshold</t>
  </si>
  <si>
    <t>Must equal zero</t>
  </si>
  <si>
    <t>Tie Out — Value by Source vs. Offer</t>
  </si>
  <si>
    <t>Ben's Value — Offer (Year 5)</t>
  </si>
  <si>
    <t>(+) Cash Earnout — Year 3</t>
  </si>
  <si>
    <t>(+) Cash at Close</t>
  </si>
  <si>
    <t>(+) Topkey ex-Keystone</t>
  </si>
  <si>
    <t>(+) Keystone via Topkey</t>
  </si>
  <si>
    <t>Buyout: no retained stake</t>
  </si>
  <si>
    <t>Retained Keystone Stake (Direct)</t>
  </si>
  <si>
    <t>Ben's Year 5 Value</t>
  </si>
  <si>
    <t>Tie Out — Ben's Value by Source vs. Offer</t>
  </si>
  <si>
    <t>IRR Delta — Offer vs. Standalone</t>
  </si>
  <si>
    <t>(-) IRR — Standalone</t>
  </si>
  <si>
    <t>From each tab's cash-flow IRR (includes cash timing)</t>
  </si>
  <si>
    <t>IRR — Offer</t>
  </si>
  <si>
    <t>MOIC Delta — Offer vs. Standalone</t>
  </si>
  <si>
    <t>(-) MOIC — Standalone</t>
  </si>
  <si>
    <t>MOIC — Offer</t>
  </si>
  <si>
    <t>Offer Less Standalone (%)</t>
  </si>
  <si>
    <t>Offer Less Standalone ($)</t>
  </si>
  <si>
    <t>(-) Ben's Value — Standalone</t>
  </si>
  <si>
    <t>Ben's Value — Offer</t>
  </si>
  <si>
    <t>Ben — Offer vs. Standalone (Year 5)</t>
  </si>
  <si>
    <t>Offer vs. keeping 100% of Keystone</t>
  </si>
  <si>
    <t>Net Value Created for Ben</t>
  </si>
  <si>
    <t>Ben keeps 100% of Keystone</t>
  </si>
  <si>
    <t>(-) Ben's Year 5 Value — Standalone</t>
  </si>
  <si>
    <t>Total IRR</t>
  </si>
  <si>
    <t>Total value received ÷ Keystone value contributed</t>
  </si>
  <si>
    <t>Total MOIC</t>
  </si>
  <si>
    <t>Total Value Received by Ben</t>
  </si>
  <si>
    <t>Diluted Topkey stake, incl. Ben's indirect share of Keystone</t>
  </si>
  <si>
    <t>(+) Topkey Equity — Year 5</t>
  </si>
  <si>
    <t>(+) Retained Keystone Stake — Year 5</t>
  </si>
  <si>
    <t>(+) Target Cash Earnout (at 100% Achievement) (Year 3)</t>
  </si>
  <si>
    <t>Helper: Buyout CF</t>
  </si>
  <si>
    <t>Cash at Close (Year 0)</t>
  </si>
  <si>
    <t>Helper: Partnership CF</t>
  </si>
  <si>
    <t>Ben gives up 100% of Keystone at today's value in both offers</t>
  </si>
  <si>
    <t>Keystone Value Contributed by Ben (Year 0)</t>
  </si>
  <si>
    <t>Helper: Year</t>
  </si>
  <si>
    <t>Return Profile — Ben</t>
  </si>
  <si>
    <t>MOIC^(1 / horizon) − 1</t>
  </si>
  <si>
    <t>All-In IRR</t>
  </si>
  <si>
    <t>(Invested + net value created) ÷ invested</t>
  </si>
  <si>
    <t>All-In MOIC</t>
  </si>
  <si>
    <t>Net Value Created for Jon</t>
  </si>
  <si>
    <t>Hurdle MOIC — Break-Even</t>
  </si>
  <si>
    <t>Stake value ÷ consideration at issue price</t>
  </si>
  <si>
    <t>Deal MOIC</t>
  </si>
  <si>
    <t>Keystone Stake Value — Year 5</t>
  </si>
  <si>
    <t>Stock is Jon's most expensive currency (shares Topkey's growth)</t>
  </si>
  <si>
    <t>Paid in Topkey Stock (% of Invested)</t>
  </si>
  <si>
    <t>Cost per 1% of Keystone</t>
  </si>
  <si>
    <t>Total Invested by Jon (Topkey)</t>
  </si>
  <si>
    <t>Keystone Stake Acquired by Topkey</t>
  </si>
  <si>
    <t>Partnership Upside Analysis</t>
  </si>
  <si>
    <t>Includes the cost of stock sharing Topkey's growth with Ben</t>
  </si>
  <si>
    <t>Topkey keeps its cash and pays no earnout; Jon diluted by the same est. %</t>
  </si>
  <si>
    <t>(-) Jon's Year 5 Value — Without Deal</t>
  </si>
  <si>
    <t>Jon's diluted % × (Topkey ex-Keystone + Keystone stake)</t>
  </si>
  <si>
    <t>Jon's Year 5 Value — With Deal</t>
  </si>
  <si>
    <t>Deal IRR less hurdle IRR</t>
  </si>
  <si>
    <t>Excess IRR over Hurdle (% pts)</t>
  </si>
  <si>
    <t>Deal return after backing out the cost of paying in Topkey stock</t>
  </si>
  <si>
    <t>Excess MOIC over Hurdle</t>
  </si>
  <si>
    <t>(-) Hurdle IRR — Break-Even</t>
  </si>
  <si>
    <t>(-) Hurdle MOIC — Break-Even</t>
  </si>
  <si>
    <t>Deal IRR</t>
  </si>
  <si>
    <t>Standard acquirer view: stake value ÷ consideration at issue price</t>
  </si>
  <si>
    <t>Helper: Buyout Hurdle CF</t>
  </si>
  <si>
    <t>Topkey's Keystone Stake — Year 5 Value</t>
  </si>
  <si>
    <t>Helper: Partnership Hurdle CF</t>
  </si>
  <si>
    <t>Year the target earnout is paid — linked to 100% Buyout Analysis (Earnout Measurement Year)</t>
  </si>
  <si>
    <t>Helper: Earnout Year</t>
  </si>
  <si>
    <t>(+) Equity Issued to Ben (Year 0)</t>
  </si>
  <si>
    <t>Return Profile — Jon (Topkey)</t>
  </si>
  <si>
    <t>Cash Earnout — Year 3</t>
  </si>
  <si>
    <t>Cash at Close</t>
  </si>
  <si>
    <t>Topkey ex-Keystone</t>
  </si>
  <si>
    <t>Keystone via Topkey</t>
  </si>
  <si>
    <t>Where Ben's Year 5 Value Comes From</t>
  </si>
  <si>
    <t>% of Consideration in Cash (incl. Earnout)</t>
  </si>
  <si>
    <t>Tie Out — Consideration vs. Analysis Tab</t>
  </si>
  <si>
    <t>Total Consideration Paid by Topkey</t>
  </si>
  <si>
    <t>(+) Target Cash Earnout (at 100% Achievement) — Year 3</t>
  </si>
  <si>
    <t>(+) Topkey Equity Issued to Ben</t>
  </si>
  <si>
    <t>Price for Topkey's Stake (at Close)</t>
  </si>
  <si>
    <t>Ben's Rollover % — Keystone</t>
  </si>
  <si>
    <t>Keystone Value Today (100%)</t>
  </si>
  <si>
    <t>Offer Structure</t>
  </si>
  <si>
    <t>Input — drives Partnership and Buyout tabs (D = C). Topkey-provided; red = pending seller confirmation</t>
  </si>
  <si>
    <t>Additional Annual Net Client Wins From Topkey</t>
  </si>
  <si>
    <t>Input — drives Partnership and Buyout tabs (D = C). Run-rate tech cost provided by the target; memo only</t>
  </si>
  <si>
    <t>VR Platform Run-Rate Tech Cost</t>
  </si>
  <si>
    <t>Keystone Partnership Assumptions</t>
  </si>
  <si>
    <t>Target Monthly Net Client Wins</t>
  </si>
  <si>
    <t>Avg. Revenue Per Client</t>
  </si>
  <si>
    <t>Keystone Standalone Assumptions</t>
  </si>
  <si>
    <t>Input — drives Partnership and Buyout tabs (D = C). AMB placeholder; red = pending confirmation</t>
  </si>
  <si>
    <t>Topkey - Annual Net Client Wins</t>
  </si>
  <si>
    <t>Input — drives Partnership and Buyout tabs (D = C). Topkey-provided client count; red = pending seller confirmation</t>
  </si>
  <si>
    <t>Topkey - Current Client Count</t>
  </si>
  <si>
    <t>Input — drives Partnership and Buyout tabs (D = C). Topkey-provided monthly revenue ($000s); red = pending seller confirmation</t>
  </si>
  <si>
    <t>Topkey - Current Monthly Revenue</t>
  </si>
  <si>
    <t>General Assumptions</t>
  </si>
  <si>
    <t>Input — drives Partnership and Buyout tabs (D = C)</t>
  </si>
  <si>
    <t>Keystone Software-Integration Revenue Multiple</t>
  </si>
  <si>
    <t>Keystone Scaled Revenue Multiple</t>
  </si>
  <si>
    <t>Keystone Initial Revenue Multiple</t>
  </si>
  <si>
    <t>Total additional partnership revenue ÷ Keystone run-rate revenue at close</t>
  </si>
  <si>
    <t>Keystone 5-Yr Revenue Increase — Partnership (% of Start)</t>
  </si>
  <si>
    <t>Total additional standalone revenue ÷ Keystone run-rate revenue at close</t>
  </si>
  <si>
    <t>Keystone 5-Yr Revenue Increase — Standalone (% of Start)</t>
  </si>
  <si>
    <t>Differs because each offer's cash at close is netted from Topkey's ex-Keystone base; measures value growth, not revenue</t>
  </si>
  <si>
    <t>Input — single Topkey valuation; drives Offer Overview, Partnership and Buyout tabs</t>
  </si>
  <si>
    <t>Topkey Valuation Today — Pre-Deal</t>
  </si>
  <si>
    <t>Est. Topkey Dilution — Ben's Stake (Year 5)</t>
  </si>
  <si>
    <t>Horizon (Years)</t>
  </si>
  <si>
    <t>Notes</t>
  </si>
  <si>
    <t>Deal Assumptions</t>
  </si>
  <si>
    <t>Print</t>
  </si>
  <si>
    <t>Offer Comparison — Partnership vs. 100% Buyout ($000s)</t>
  </si>
  <si>
    <t>From Client Retention H30 (v49); LTM Sep'26 average client count</t>
  </si>
  <si>
    <t>Avg. Clients — LTM Sep'26</t>
  </si>
  <si>
    <t>From Client Retention H27 (v49); LTM Sep'26 total client losses</t>
  </si>
  <si>
    <t>(-) Total Client Losses</t>
  </si>
  <si>
    <t>From Client Retention H23 (v49); LTM Sep'26 client wins</t>
  </si>
  <si>
    <t>(+) Client Wins</t>
  </si>
  <si>
    <t>From Client Retention H22 (v49); LTM Sep'26 starting client count</t>
  </si>
  <si>
    <t>Starting Count — Oct'25</t>
  </si>
  <si>
    <t>Client Roll-Forward — LTM Sep'26 (#)</t>
  </si>
  <si>
    <t>From Steady-State Staffing AB8 (v49); avg. annual fee per non-tax client, Sep'26</t>
  </si>
  <si>
    <t>Avg. Revenue Per Client — Sep'26</t>
  </si>
  <si>
    <t>From P&amp;L Overview K16 (v49); PF Jul'26 total run-rate revenue</t>
  </si>
  <si>
    <t>Keystone Run-Rate Revenue (PF Jul'26)</t>
  </si>
  <si>
    <t>From Offer Overview C9 (v49); cash paid at close under partial rollover offer</t>
  </si>
  <si>
    <t>From Offer Overview C27 (diligence workbook v49); seller's current ownership of Keystone</t>
  </si>
  <si>
    <t>Ben's Ownership % — Keystone</t>
  </si>
  <si>
    <t>Offer Tool Assumptions</t>
  </si>
  <si>
    <t>Rationale</t>
  </si>
  <si>
    <t>Value</t>
  </si>
  <si>
    <t>Label</t>
  </si>
  <si>
    <t>(Largest $ gain vs. standalone in block − hurdle) ÷ bands</t>
  </si>
  <si>
    <t>Gradient Band Width — Multiple × Topkey Growth ($000s)</t>
  </si>
  <si>
    <t>Gradient Band Width — Multiple × Client Wins ($000s)</t>
  </si>
  <si>
    <t>Per AMB; 1.00x–3.00x range</t>
  </si>
  <si>
    <t>Keystone Yr 5 Revenue Multiple — Step</t>
  </si>
  <si>
    <t>Linked to software-integration multiple (G455); grid re-centers if the input changes</t>
  </si>
  <si>
    <t>Keystone Yr 5 Revenue Multiple — Midpoint</t>
  </si>
  <si>
    <t>Gradient Band Width — Growth × Client Wins ($000s)</t>
  </si>
  <si>
    <t>Gradient Band Width — Net Client Wins ($000s)</t>
  </si>
  <si>
    <t>Scenario 1: Ben retains 100%</t>
  </si>
  <si>
    <t>Ben's Ownership % — Standalone</t>
  </si>
  <si>
    <t>Standalone Yr 5 multiple</t>
  </si>
  <si>
    <t>Scaled Revenue Multiple — Standalone</t>
  </si>
  <si>
    <t>Standalone pricing (no software-enabled increase)</t>
  </si>
  <si>
    <t>Avg. Revenue Per Client — Standalone</t>
  </si>
  <si>
    <t>Removed from partnership wins to get standalone wins at each column</t>
  </si>
  <si>
    <t>(-) Additional Annual Net Client Wins From Topkey</t>
  </si>
  <si>
    <t>Per AMB; 32–64 range</t>
  </si>
  <si>
    <t>Net Client Wins — Step</t>
  </si>
  <si>
    <t>Linked to model net client wins (G456); grid re-centers if the input changes</t>
  </si>
  <si>
    <t>Net Client Wins — Midpoint</t>
  </si>
  <si>
    <t>Current model input: standalone wins + Topkey-sourced wins (G459)</t>
  </si>
  <si>
    <t>Model Total Annual Net Client Wins — Partnership</t>
  </si>
  <si>
    <t>Applied to Keystone Yr 5 partnership revenue</t>
  </si>
  <si>
    <t>Includes software-enabled price increase</t>
  </si>
  <si>
    <t>Total Avg. Revenue Per Client — Partnership</t>
  </si>
  <si>
    <t>Keystone run-rate revenue at close</t>
  </si>
  <si>
    <t>Keystone Revenue at Close</t>
  </si>
  <si>
    <t>Per AMB; $ tables shown to nearest $100K; % and IRR tables use unrounded values</t>
  </si>
  <si>
    <t>Rounding — $ Tables (Digits)</t>
  </si>
  <si>
    <t>Gradient Band Width — Topkey Growth ($000s)</t>
  </si>
  <si>
    <t>Required premium ÷ standalone Yr 5 value</t>
  </si>
  <si>
    <t>Highlight Threshold — % Return vs. Standalone</t>
  </si>
  <si>
    <t>Per AMB; green shading in every table starts where partnering beats standalone by $1M</t>
  </si>
  <si>
    <t>Required Premium vs. Standalone ($000s)</t>
  </si>
  <si>
    <t>Keystone value today (G430) grown to standalone Year 5 value (G447) over the horizon</t>
  </si>
  <si>
    <t>Standalone IRR — Keystone (Ben)</t>
  </si>
  <si>
    <t>Scenario 1 (Ben retains 100%); fixed, not driven by growth or rollover</t>
  </si>
  <si>
    <t>Standalone Value — Keystone (Year 5)</t>
  </si>
  <si>
    <t>Number of green shades between the $1M hurdle and each block's largest gain</t>
  </si>
  <si>
    <t>Gradient Bands (#)</t>
  </si>
  <si>
    <t>Model input; year Ben's stake value is realized</t>
  </si>
  <si>
    <t>Projection Horizon (Years)</t>
  </si>
  <si>
    <t>Model input; year the cash earnout is received</t>
  </si>
  <si>
    <t>Earnout Measurement Year</t>
  </si>
  <si>
    <t>% return that equals standalone plus required premium (G449)</t>
  </si>
  <si>
    <t>Highlight Threshold — % Return</t>
  </si>
  <si>
    <t>Standalone Yr 5 value less Keystone today, plus required premium (G449)</t>
  </si>
  <si>
    <t>Highlight Threshold — Net Return ($000s)</t>
  </si>
  <si>
    <t>Per AMB; 100%–300% range</t>
  </si>
  <si>
    <t>Topkey Growth — Step</t>
  </si>
  <si>
    <t>Linked to model growth (G437); center column equals the base case exactly</t>
  </si>
  <si>
    <t>Topkey Growth — Midpoint</t>
  </si>
  <si>
    <t>Per AMB; 15%–45% range</t>
  </si>
  <si>
    <t>Rollover % — Step</t>
  </si>
  <si>
    <t>Linked to model rollover (G436); grid re-centers if the input changes</t>
  </si>
  <si>
    <t>Rollover % — Midpoint</t>
  </si>
  <si>
    <t>Current model result; used in tie-out</t>
  </si>
  <si>
    <t>Model Topkey Growth (Today → Year 5)</t>
  </si>
  <si>
    <t>Current model input; used in tie-out</t>
  </si>
  <si>
    <t>Model Rollover % — Keystone</t>
  </si>
  <si>
    <t>Held constant; not driven by rollover % or Topkey growth</t>
  </si>
  <si>
    <t>AMB estimate; applied to Ben's Topkey % at every rollover</t>
  </si>
  <si>
    <t>Est. Topkey Dilution — Ben's Stake (Yr 5)</t>
  </si>
  <si>
    <t>Fixed $650K at every rollover % (sized to Ben's tax situation); stock issued = stake price − cash</t>
  </si>
  <si>
    <t>Cash at Close — Partnership</t>
  </si>
  <si>
    <t>Linked via Partnership Analysis (C191); input set on Offer Comparison C9</t>
  </si>
  <si>
    <t>Topkey Pre-Deal Valuation</t>
  </si>
  <si>
    <t>Year 5 partnership revenue × partnership multiple</t>
  </si>
  <si>
    <t>Keystone EV — Partnership (Year 5)</t>
  </si>
  <si>
    <t>Offer valuation of 100% of Keystone; deducted to show Ben's gain</t>
  </si>
  <si>
    <t>Sensitivity Assumptions</t>
  </si>
  <si>
    <t>Tie Out — Multiple × Topkey Growth</t>
  </si>
  <si>
    <t>(-) Partnership Analysis — Scenario 2 Gain</t>
  </si>
  <si>
    <t>Same formula as the block (rows 330-336) at the model multiple (G455) and model growth (G437); grid midpoint is 200%, not the model's growth</t>
  </si>
  <si>
    <t>Ben's Yr 5 Value Less Keystone Today — Rebuilt at Model Multiple &amp; Growth (Multiple × Growth Block)</t>
  </si>
  <si>
    <t>Tie Out — Multiple × Client Wins</t>
  </si>
  <si>
    <t>Center cell of the net-return table (row 253); ties only while the multiple midpoint (G465) and wins midpoint (G457) equal the model</t>
  </si>
  <si>
    <t>Ben's Yr 5 Value Less Keystone Today — Multiple × Wins Grid Center (Unrounded)</t>
  </si>
  <si>
    <t>Tie Out — Growth × Client Wins</t>
  </si>
  <si>
    <t>Tie Out — Standalone Value</t>
  </si>
  <si>
    <t>(-) Partnership Analysis — Standalone Value (Year 5)</t>
  </si>
  <si>
    <t>Standalone Value Yr 5 — Rebuilt at Model Net Client Wins</t>
  </si>
  <si>
    <t>Tie Out — Keystone EV</t>
  </si>
  <si>
    <t>(-) Partnership Analysis — Keystone EV (Year 5)</t>
  </si>
  <si>
    <t>Keystone EV Yr 5 — Rebuilt at Model Net Client Wins</t>
  </si>
  <si>
    <t>Tie Out — vs. Standalone</t>
  </si>
  <si>
    <t>(-) Partnership Analysis — Increase in Proceeds</t>
  </si>
  <si>
    <t>Ben's Yr 5 Value Less Standalone — Model</t>
  </si>
  <si>
    <t>Tie Out</t>
  </si>
  <si>
    <t>Ben's Yr 5 Value Less Keystone Today — Model</t>
  </si>
  <si>
    <t>Base Case Check</t>
  </si>
  <si>
    <t>Partnership IRR (table above) less standalone IRR (helper AM330:AM336), in percentage points</t>
  </si>
  <si>
    <t>Topkey ex-Keystone Value Growth (%)</t>
  </si>
  <si>
    <t>Helper: Gradient Band (0 = below $1M hurdle)</t>
  </si>
  <si>
    <t>Keystone Yr 5 Revenue Multiple (x)</t>
  </si>
  <si>
    <t>Ben's IRR Premium vs. Standalone Based on Keystone Yr 5 Multiple &amp; Topkey Growth</t>
  </si>
  <si>
    <t>Ben's Year 5 partnership value ÷ standalone Yr 5 value at model client wins (helper AL330:AL336), less 1</t>
  </si>
  <si>
    <t>Ben's % Return vs. Standalone Based on Keystone Yr 5 Multiple &amp; Topkey Growth</t>
  </si>
  <si>
    <t>Ben's Yr 5 partnership value less standalone Yr 5 value at model client wins (helper AL330:AL336); standalone is unaffected by the partnership multiple</t>
  </si>
  <si>
    <t>Helper: Unrounded Net Return vs. Standalone — Multiple × Topkey Growth</t>
  </si>
  <si>
    <t>Ben's Net Returns vs. Standalone Based on Keystone Yr 5 Multiple &amp; Topkey Growth</t>
  </si>
  <si>
    <t>Helper: IRR CF — Col L</t>
  </si>
  <si>
    <t>Helper: IRR CF — Col K</t>
  </si>
  <si>
    <t>Helper: IRR CF — Col J</t>
  </si>
  <si>
    <t>Helper: IRR CF — Col I</t>
  </si>
  <si>
    <t>Helper: IRR CF — Col H</t>
  </si>
  <si>
    <t>Helper: IRR CF — Col G</t>
  </si>
  <si>
    <t>Helper: IRR CF — Col F</t>
  </si>
  <si>
    <t>Helper: IRR CF — Col E</t>
  </si>
  <si>
    <t>Helper: IRR CF — Col D</t>
  </si>
  <si>
    <t>Ben's IRR Based on Keystone Yr 5 Multiple &amp; Topkey Growth</t>
  </si>
  <si>
    <t>Ben's % Return on Keystone Value Based on Keystone Yr 5 Multiple &amp; Topkey Growth</t>
  </si>
  <si>
    <t>Helper: Standalone IRR</t>
  </si>
  <si>
    <t>Helper: Standalone Yr 5 Value</t>
  </si>
  <si>
    <t>Helper: Keystone Revenue Yr 5</t>
  </si>
  <si>
    <t>Helper: Net Client Wins (Model, G456)</t>
  </si>
  <si>
    <t>Ben's Net Returns Based on Keystone Yr 5 Multiple &amp; Topkey Growth</t>
  </si>
  <si>
    <t>Partnership IRR (table above) less standalone IRR (helper AM250:AM256), in percentage points</t>
  </si>
  <si>
    <t>Net Client Wins (#)</t>
  </si>
  <si>
    <t>Ben's IRR Premium vs. Standalone Based on Keystone Yr 5 Multiple &amp; Net Client Wins</t>
  </si>
  <si>
    <t>Ben's Year 5 partnership value ÷ standalone Yr 5 value at each row's client wins (helper AL250:AL256), less 1</t>
  </si>
  <si>
    <t>Ben's % Return vs. Standalone Based on Keystone Yr 5 Multiple &amp; Net Client Wins</t>
  </si>
  <si>
    <t>Ben's Yr 5 partnership value less standalone Yr 5 value at each row's client wins (helper AL250:AL256)</t>
  </si>
  <si>
    <t>Helper: Unrounded Net Return vs. Standalone — Multiple × Net Client Wins</t>
  </si>
  <si>
    <t>Ben's Net Returns vs. Standalone Based on Keystone Yr 5 Multiple &amp; Net Client Wins</t>
  </si>
  <si>
    <t>Ben's IRR Based on Keystone Yr 5 Multiple &amp; Net Client Wins</t>
  </si>
  <si>
    <t>Ben's % Return on Keystone Value Based on Keystone Yr 5 Multiple &amp; Net Client Wins</t>
  </si>
  <si>
    <t>Helper: Net Client Wins</t>
  </si>
  <si>
    <t>Ben's Net Returns Based on Keystone Yr 5 Multiple &amp; Net Client Wins</t>
  </si>
  <si>
    <t>Partnership IRR (table above) less standalone IRR at each row's client wins (helper AM170:AM176), in percentage points</t>
  </si>
  <si>
    <t>Ben's IRR Premium vs. Standalone Based on Topkey Growth &amp; Net Client Wins</t>
  </si>
  <si>
    <t>Ben's Year 5 partnership value ÷ standalone Year 5 value at each row's client wins (helper AL170:AL176), less 1</t>
  </si>
  <si>
    <t>Ben's % Return vs. Standalone Based on Topkey Growth &amp; Net Client Wins</t>
  </si>
  <si>
    <t>Ben's Yr 5 partnership value less standalone Yr 5 value at each row's client wins (helper AL170:AL176)</t>
  </si>
  <si>
    <t>Helper: Unrounded Net Return vs. Standalone — Growth × Net Client Wins</t>
  </si>
  <si>
    <t>Ben's Net Returns vs. Standalone Based on Topkey Growth &amp; Net Client Wins</t>
  </si>
  <si>
    <t>Ben's IRR Based on Topkey Growth &amp; Net Client Wins</t>
  </si>
  <si>
    <t>Ben's % Return on Keystone Value Based on Topkey Growth &amp; Net Client Wins</t>
  </si>
  <si>
    <t>Helper: Keystone EV Yr 5</t>
  </si>
  <si>
    <t>Ben's Net Returns Based on Topkey Growth &amp; Net Client Wins</t>
  </si>
  <si>
    <t>Partnership IRR (table above) less standalone IRR at matching client wins (helper AJ95), in percentage points</t>
  </si>
  <si>
    <t>Ben's Rollover %</t>
  </si>
  <si>
    <t>Keystone Total Annual Net Client Wins — Partnership (#)</t>
  </si>
  <si>
    <t>Ben's IRR Premium vs. Standalone Based on Net Client Wins &amp; Rollover %</t>
  </si>
  <si>
    <t>Ben's Year 5 partnership value ÷ standalone Year 5 value at matching client wins (helper AJ93), less 1</t>
  </si>
  <si>
    <t>Ben's % Return vs. Standalone Based on Net Client Wins &amp; Rollover %</t>
  </si>
  <si>
    <t>Ben's Year 5 partnership value less standalone Year 5 value at matching net client wins less Topkey's added wins (G459)</t>
  </si>
  <si>
    <t>Helper: Unrounded Net Return vs. Standalone — Net Client Wins</t>
  </si>
  <si>
    <t>Ben's Net Returns vs. Standalone Based on Net Client Wins &amp; Rollover %</t>
  </si>
  <si>
    <t>Ben's Return Profile Based on Partnering — Net Client Wins — Less Standalone</t>
  </si>
  <si>
    <t>IRR on Ben's cash flows: Yr 0 = cash at close less Keystone value today; earnout in Yr 3; Yr 5 = stake value</t>
  </si>
  <si>
    <t>Ben's IRR Based on Net Client Wins &amp; Rollover %</t>
  </si>
  <si>
    <t>Ben's Year 5 total value ÷ Keystone value today (G430), less 1</t>
  </si>
  <si>
    <t>Ben's % Return on Keystone Value Based on Net Client Wins &amp; Rollover %</t>
  </si>
  <si>
    <t>Ben's Year 5 value (cash at close + earnout + retained Keystone stake + Topkey stock, after dilution) less Keystone value today (G430); Topkey growth held at model (G437)</t>
  </si>
  <si>
    <t>Helper: Standalone IRR by Net Client Wins</t>
  </si>
  <si>
    <t>Helper: Standalone Yr 5 Value by Net Client Wins</t>
  </si>
  <si>
    <t>Helper: Ben's Yr 5 Topkey %</t>
  </si>
  <si>
    <t>Helper: Topkey ex-Keystone Today</t>
  </si>
  <si>
    <t>Helper: Topkey Equity Issued</t>
  </si>
  <si>
    <t>Helper: Cash at Close</t>
  </si>
  <si>
    <t>Helper: Rollover %</t>
  </si>
  <si>
    <t>Helper: Keystone EV Yr 5 by Net Client Wins</t>
  </si>
  <si>
    <t>Helper: Unrounded Net Return — Net Client Wins</t>
  </si>
  <si>
    <t>Ben's Net Returns Based on Net Client Wins &amp; Rollover %</t>
  </si>
  <si>
    <t>Ben's Return Profile Based on Partnering — Net Client Wins</t>
  </si>
  <si>
    <t>Partnership IRR (table above) less standalone IRR (G448), in percentage points</t>
  </si>
  <si>
    <t>Ben's IRR Premium vs. Standalone Based on Topkey Growth &amp; Rollover %</t>
  </si>
  <si>
    <t>Ben's Year 5 partnership value ÷ standalone Year 5 value (G447), less 1</t>
  </si>
  <si>
    <t>Ben's % Return vs. Standalone Based on Topkey Growth &amp; Rollover %</t>
  </si>
  <si>
    <t>Ben's Year 5 partnership value less standalone Year 5 value (G447)</t>
  </si>
  <si>
    <t>Helper: Unrounded Net Return vs. Standalone</t>
  </si>
  <si>
    <t>Ben's Net Returns vs. Standalone Based on Topkey Growth &amp; Rollover %</t>
  </si>
  <si>
    <t>Ben's Return Profile Based on Partnering — Less Standalone</t>
  </si>
  <si>
    <t>Ben's IRR Based on Topkey Growth &amp; Rollover %</t>
  </si>
  <si>
    <t>Ben's % Return on Keystone Value Based on Topkey Growth &amp; Rollover %</t>
  </si>
  <si>
    <t>Ben's Year 5 value (cash at close + earnout + retained Keystone stake + Topkey stock, after dilution) less Keystone value today (G430)</t>
  </si>
  <si>
    <t>Helper: Unrounded Net Return</t>
  </si>
  <si>
    <t>Helper: IRR Year Index</t>
  </si>
  <si>
    <t>Ben's Net Returns Based on Topkey Growth &amp; Rollover %</t>
  </si>
  <si>
    <t>Ben's Return Profile Based on Partnering</t>
  </si>
  <si>
    <t>Partnership Sensitivity Tables ($000s)</t>
  </si>
  <si>
    <t>Cash Flow</t>
  </si>
  <si>
    <t>Year</t>
  </si>
  <si>
    <t>Keystone (Ben) Cash Flows — Scenario 2</t>
  </si>
  <si>
    <t>Topkey Cash Flows — Keystone Acquisition</t>
  </si>
  <si>
    <t>Q4'25 through Q3'26</t>
  </si>
  <si>
    <t>Net Client Wins — Last 4 Quarters</t>
  </si>
  <si>
    <t>Ties to Client Retention H28 (177)</t>
  </si>
  <si>
    <t>Ending Count — Sep'26</t>
  </si>
  <si>
    <t>Core bookkeeping = Property Manager, STR Owner &amp; Short-Term Rental block (Client Retention rows 22-28); excludes Small Business and Tax-Only</t>
  </si>
  <si>
    <t>Keystone Core Bookkeeping Net Client Wins — LTM Sep'26 (#)</t>
  </si>
  <si>
    <t>Tie Out — Ben's Topkey Equity vs. Equity Consideration</t>
  </si>
  <si>
    <t>Tie Out — Combined EV Today vs. Post-Money</t>
  </si>
  <si>
    <t>Topkey value net of cash paid at close</t>
  </si>
  <si>
    <t>Topkey ex-Keystone Growth Base</t>
  </si>
  <si>
    <t>Ben's Topkey Ownership %</t>
  </si>
  <si>
    <t>Pre-deal value + Keystone acquired − cash paid</t>
  </si>
  <si>
    <t>Topkey Post-Money Valuation</t>
  </si>
  <si>
    <t>Keystone value less cash at close; balance paid in Topkey stock</t>
  </si>
  <si>
    <t>Topkey Equity Consideration</t>
  </si>
  <si>
    <t>Keystone Value Today</t>
  </si>
  <si>
    <t>Unrounded PF Jul'26 run-rate revenue (P&amp;L Overview K16)</t>
  </si>
  <si>
    <t>Today</t>
  </si>
  <si>
    <t>Deal Terms — 100% Buyout</t>
  </si>
  <si>
    <t>Share of Ben's Scenario 2 value held in illiquid minority stock</t>
  </si>
  <si>
    <t>Illiquid Share of Ben's Value — Scenario 2</t>
  </si>
  <si>
    <t>% of Consideration in Topkey Stock</t>
  </si>
  <si>
    <t>% of Consideration in Cash</t>
  </si>
  <si>
    <t>Cash at Close (Year 5: + Earnout)</t>
  </si>
  <si>
    <t>Liquidity &amp; Control</t>
  </si>
  <si>
    <t>Multiple, wins and dilution downsides, and no earnout</t>
  </si>
  <si>
    <t>All Four Downsides Combined (incl. No Earnout)</t>
  </si>
  <si>
    <t>Earnout Missed — Below Threshold</t>
  </si>
  <si>
    <t>Downside dilution from future Topkey funding rounds</t>
  </si>
  <si>
    <t>Topkey Raises More Capital — Total Dilution</t>
  </si>
  <si>
    <t>Downside Topkey client growth</t>
  </si>
  <si>
    <t>Topkey Annual Net Client Wins Fall To</t>
  </si>
  <si>
    <t>Downside multiple compression. Negative = offer worse than keeping Keystone</t>
  </si>
  <si>
    <t>Topkey Future Revenue Multiple Falls To</t>
  </si>
  <si>
    <t>Input</t>
  </si>
  <si>
    <t>Downside Cases — Scenario 2 vs. Scenario 1</t>
  </si>
  <si>
    <t>Tie Out — Diluted Value vs. Scenario 2</t>
  </si>
  <si>
    <t>Dilution Headroom vs. Break-Even (pts)</t>
  </si>
  <si>
    <t>Cost of Dilution to Ben</t>
  </si>
  <si>
    <t>Scenario 2 Less Scenario 1</t>
  </si>
  <si>
    <t>(-) Ben's Value — Scenario 1</t>
  </si>
  <si>
    <t>Ben's Value — Scenario 2</t>
  </si>
  <si>
    <t>(+) Cash at Close + Earnout</t>
  </si>
  <si>
    <t>Ben's Topkey Equity Value</t>
  </si>
  <si>
    <t>Diluted</t>
  </si>
  <si>
    <t>Undiluted</t>
  </si>
  <si>
    <t>Net wins per year at which the offer breaks even. Base is an AMB placeholder</t>
  </si>
  <si>
    <t>Multiple at which the offer breaks even (base holds the current multiple flat)</t>
  </si>
  <si>
    <t>Base Case</t>
  </si>
  <si>
    <t>Break-Even</t>
  </si>
  <si>
    <t>Break-Even Stress Tests</t>
  </si>
  <si>
    <t>Ben's Topkey % × Topkey + Keystone run-rate revenue</t>
  </si>
  <si>
    <t>Ben's Share of Combined Revenue After Close</t>
  </si>
  <si>
    <t>Keystone Revenue Given Up</t>
  </si>
  <si>
    <t>Topkey Multiple ÷ Keystone Multiple</t>
  </si>
  <si>
    <t>Topkey pre-deal valuation ÷ Topkey run-rate revenue</t>
  </si>
  <si>
    <t>Topkey Purchase Multiple (x Revenue)</t>
  </si>
  <si>
    <t>Keystone Sale Multiple incl. Earnout (x Revenue)</t>
  </si>
  <si>
    <t>Offer value ÷ Keystone run-rate revenue</t>
  </si>
  <si>
    <t>Keystone Sale Multiple (x Revenue)</t>
  </si>
  <si>
    <t>Price Paid vs. Price Received</t>
  </si>
  <si>
    <t>Ben's Value per 1.0x of Partnership Multiple</t>
  </si>
  <si>
    <t>(+) Ben's Share of Keystone Post-Acquisition Value</t>
  </si>
  <si>
    <t>Ben's Share of Topkey ex-Keystone Value</t>
  </si>
  <si>
    <t>% of Total</t>
  </si>
  <si>
    <t>Implied EBITDA Multiple</t>
  </si>
  <si>
    <t>Year 5 Keystone Valuation</t>
  </si>
  <si>
    <t>Year 5 EBITDA</t>
  </si>
  <si>
    <t>Assumed steady-state EBITDA margin with software integration</t>
  </si>
  <si>
    <t>(x) Steady-State Margins</t>
  </si>
  <si>
    <t>Year 5 Keystone Partnership Revenue</t>
  </si>
  <si>
    <t>Internal - Implied Keystone Partnership Multiple</t>
  </si>
  <si>
    <t>Assumed steady-state EBITDA margin</t>
  </si>
  <si>
    <t>Year 5 Keystone Standalone Revenue</t>
  </si>
  <si>
    <t>Internal - Implied Keystone Standalone Multiple</t>
  </si>
  <si>
    <t>IRR — Topkey</t>
  </si>
  <si>
    <t>MOIC — Topkey</t>
  </si>
  <si>
    <t>Value of Topkey's Keystone Stake — Year 5</t>
  </si>
  <si>
    <t>Keystone Enterprise Value — Year 5</t>
  </si>
  <si>
    <t>(x) Topkey's Keystone Stake %</t>
  </si>
  <si>
    <t>Everything Topkey gives up for Keystone</t>
  </si>
  <si>
    <t>Cash Paid at Close</t>
  </si>
  <si>
    <t>Topkey's Return on the Keystone Acquisition</t>
  </si>
  <si>
    <t>Estimated Topkey Value CAGR (ex-Keystone, Net of Cash)</t>
  </si>
  <si>
    <t>Break-Even Topkey Value CAGR (ex-Keystone, Net of Cash)</t>
  </si>
  <si>
    <t>Buyout IRR — Keystone (Ben)</t>
  </si>
  <si>
    <t>Buyout MOIC — Keystone (Ben)</t>
  </si>
  <si>
    <t>Delta (%)</t>
  </si>
  <si>
    <t>Increase in Proceeds</t>
  </si>
  <si>
    <t>Scenario 2 vs. Scenario 1</t>
  </si>
  <si>
    <t>Combined Enterprise Value</t>
  </si>
  <si>
    <t>Today at offer value (same as Scenario 1)</t>
  </si>
  <si>
    <t>(+) Keystone Value — Post-Acquisition</t>
  </si>
  <si>
    <t>Topkey ex-Keystone Value</t>
  </si>
  <si>
    <t>Scenario 2 — Ben Accepts the Topkey Offer</t>
  </si>
  <si>
    <t>Ben's Value — Scenario 1</t>
  </si>
  <si>
    <t>Keystone Enterprise Value</t>
  </si>
  <si>
    <t>Scenario 1 — Ben Retains 100% of Keystone</t>
  </si>
  <si>
    <t>Total Consideration incl. Earnout</t>
  </si>
  <si>
    <t>(+) Cash Earnout — Year 3 (Contingent)</t>
  </si>
  <si>
    <t>Total Offer Value — at Close</t>
  </si>
  <si>
    <t>Memo only; not used in Scenario 2</t>
  </si>
  <si>
    <t>Risk-Weighted Earnout — PV at Close (Memo)</t>
  </si>
  <si>
    <t>AMB estimate for the memo line below</t>
  </si>
  <si>
    <t>Discount Rate</t>
  </si>
  <si>
    <t>Probability of Achievement</t>
  </si>
  <si>
    <t>Cash Earnout Payable — Year 3</t>
  </si>
  <si>
    <t>Run-Rate Window — Months Averaged</t>
  </si>
  <si>
    <t>Topkey's maximum earnout exposure</t>
  </si>
  <si>
    <t>Maximum Earnout (Cap)</t>
  </si>
  <si>
    <t>Payout % Earned</t>
  </si>
  <si>
    <t>Cap — % of Target Earnout</t>
  </si>
  <si>
    <t>Payout at Threshold — % of Target Earnout</t>
  </si>
  <si>
    <t>Target Earnout — at 100% of Target</t>
  </si>
  <si>
    <t>No earnout below this share of target; payout starts at the threshold % below</t>
  </si>
  <si>
    <t>Threshold — % of Target</t>
  </si>
  <si>
    <t>Year 3 Run-Rate Revenue — Achieved</t>
  </si>
  <si>
    <t>(x) Achievement vs. Target</t>
  </si>
  <si>
    <t>Year 3 Run-Rate Revenue Target</t>
  </si>
  <si>
    <t>Cash Earnout — Year 3 Keystone Revenue (Sliding Scale)</t>
  </si>
  <si>
    <t>Increase in Keystone Revenue vs. Standalone</t>
  </si>
  <si>
    <t>Total Additional Revenue</t>
  </si>
  <si>
    <t>Total Net Client Wins</t>
  </si>
  <si>
    <t>Total Annual Net Client Wins</t>
  </si>
  <si>
    <t>(+) Additional Annual Net Client Wins From Topkey</t>
  </si>
  <si>
    <t>Target monthly pace × 12</t>
  </si>
  <si>
    <t>Annual Net Client Wins</t>
  </si>
  <si>
    <t>Scaled Revenue Multiple</t>
  </si>
  <si>
    <t>Revenue Multiple</t>
  </si>
  <si>
    <t>Topkey - Avg. Revenue Per Client</t>
  </si>
  <si>
    <t>Held flat at the current implied multiple</t>
  </si>
  <si>
    <t>Topkey - Future Revenue Multiple</t>
  </si>
  <si>
    <t>Topkey - Current Revenue Multiple</t>
  </si>
  <si>
    <t>Topkey - Current Run-Rate Revenue</t>
  </si>
  <si>
    <t>Rationale / Notes</t>
  </si>
  <si>
    <t>Revenue Growth Assumptions</t>
  </si>
  <si>
    <t>Valuation Growth Scenarios ($000s)</t>
  </si>
  <si>
    <t>Topkey Cash Flows — Keystone Stake</t>
  </si>
  <si>
    <t>Annual savings × Ben's direct + indirect Keystone ownership</t>
  </si>
  <si>
    <t>Ben's Share of Annual Savings</t>
  </si>
  <si>
    <t>Savings — % of Year 5 Partnership Revenue</t>
  </si>
  <si>
    <t>Year 5 Annual VR Savings</t>
  </si>
  <si>
    <t>Fee Keystone pays Topkey; not added to Topkey's value (would double-count)</t>
  </si>
  <si>
    <t>Year 5 Annual Topkey Fee</t>
  </si>
  <si>
    <t>Year 5 Keystone Core Clients</t>
  </si>
  <si>
    <t>Cost Keystone saves per client vs. paying VR</t>
  </si>
  <si>
    <t>VR Savings / Client</t>
  </si>
  <si>
    <t>Greater of discounted VR cost or hosting floor</t>
  </si>
  <si>
    <t>Topkey Fee / Client</t>
  </si>
  <si>
    <t>Topkey's hosting cost per client; pending from Topkey. Fee cannot go below this</t>
  </si>
  <si>
    <t>Hosting Cost Floor / Client</t>
  </si>
  <si>
    <t>(x) Topkey Fee — % of VR Cost</t>
  </si>
  <si>
    <t>VR run-rate cost ÷ LTM avg. PM/STR clients (Client Retention H30)</t>
  </si>
  <si>
    <t>VR Platform Cost / Client — Today</t>
  </si>
  <si>
    <t>VR Platform Replacement — Topkey Software Fee</t>
  </si>
  <si>
    <t>Tie Out — Ben's Value Today vs. Keystone Value Today</t>
  </si>
  <si>
    <t>Tie Out — Ben's Topkey Equity vs. Equity Issued</t>
  </si>
  <si>
    <t>Tie Out — Topkey Combined EV Today vs. Post-Money</t>
  </si>
  <si>
    <t>Pre-deal value + Keystone stake acquired − cash paid</t>
  </si>
  <si>
    <t>Balance of stake price paid in Topkey stock</t>
  </si>
  <si>
    <t>Topkey Equity Issued to Ben</t>
  </si>
  <si>
    <t>Cash portion unchanged from offer (Offer Overview C9)</t>
  </si>
  <si>
    <t>Price for Topkey Stake</t>
  </si>
  <si>
    <t>Topkey Stake % — Keystone</t>
  </si>
  <si>
    <t>Deal Terms — Partial Rollover</t>
  </si>
  <si>
    <t>Retained Keystone stake + Topkey stock ÷ Ben's total value</t>
  </si>
  <si>
    <t>Minority stake in a Topkey-controlled company</t>
  </si>
  <si>
    <t>Ben's Keystone Ownership % After Close</t>
  </si>
  <si>
    <t>% of Topkey Stake Price in Cash</t>
  </si>
  <si>
    <t>Negative = rollover worse than keeping 100% of Keystone</t>
  </si>
  <si>
    <t>Combined Downside Less Scenario 1</t>
  </si>
  <si>
    <t>Ben's Scenario 2 value with all four downsides at once</t>
  </si>
  <si>
    <t>All Four Downsides Combined</t>
  </si>
  <si>
    <t>Ben's Scenario 2 value after dilution of his Topkey stake</t>
  </si>
  <si>
    <t>Ben's Scenario 2 value if Topkey net wins fall to the input</t>
  </si>
  <si>
    <t>Ben's Scenario 2 value if Topkey's multiple falls to the input</t>
  </si>
  <si>
    <t>Ben's Scenario 2 value if the partnership multiple falls to the input</t>
  </si>
  <si>
    <t>Partnership Revenue Multiple Falls To</t>
  </si>
  <si>
    <t>Scenario 2 — Base Case</t>
  </si>
  <si>
    <t>Downside Cases — Ben's Year 5 Value</t>
  </si>
  <si>
    <t>(+) Retained Keystone + Cash + Earnout</t>
  </si>
  <si>
    <t>Topkey Value Decline Ben Can Absorb</t>
  </si>
  <si>
    <t>Positive = Ben beats keeping 100% even if Topkey stock is worth nothing</t>
  </si>
  <si>
    <t>Retained Keystone + Cash + Earnout Less Scenario 1</t>
  </si>
  <si>
    <t>Multiple at which the offer breaks even (flat multiple assumed in base)</t>
  </si>
  <si>
    <t>Keystone partnership multiple at which Scenario 2 equals Scenario 1</t>
  </si>
  <si>
    <t>Ben's Topkey % × Topkey's Keystone stake</t>
  </si>
  <si>
    <t>(+) Ben's Share of Topkey's Keystone Stake</t>
  </si>
  <si>
    <t>(+) Ben's Share of Topkey ex-Keystone Value</t>
  </si>
  <si>
    <t>Ben's Retained Keystone Value</t>
  </si>
  <si>
    <t>Split of Ben's Scenario 2 value</t>
  </si>
  <si>
    <t>AMB estimate of steady-state EBITDA margin</t>
  </si>
  <si>
    <t>Everything Topkey gives up for its Keystone stake</t>
  </si>
  <si>
    <t>Topkey's Return on the Keystone Stake</t>
  </si>
  <si>
    <t>Partnership IRR — Keystone (Ben)</t>
  </si>
  <si>
    <t>Partnership MOIC — Keystone (Ben)</t>
  </si>
  <si>
    <t>Direct Keystone + indirect Keystone + Topkey + cash</t>
  </si>
  <si>
    <t>Ben's Topkey % × Topkey's own business</t>
  </si>
  <si>
    <t>(+) Topkey ex-Keystone — Ben's Share</t>
  </si>
  <si>
    <t>(+) Keystone — Ben's Indirect Share via Topkey</t>
  </si>
  <si>
    <t>Keystone value Ben owns directly</t>
  </si>
  <si>
    <t>Keystone — Ben's Direct Retained Stake</t>
  </si>
  <si>
    <t>Ben's Value by Source</t>
  </si>
  <si>
    <t>(x) Ben's Topkey Ownership %</t>
  </si>
  <si>
    <t>Topkey Combined Enterprise Value</t>
  </si>
  <si>
    <t>Topkey's stake in Keystone is part of Topkey's value</t>
  </si>
  <si>
    <t>(+) Topkey's Share of Keystone Value</t>
  </si>
  <si>
    <t>Ben's retained Keystone stake (rollover % × Keystone value)</t>
  </si>
  <si>
    <t>Ben's Keystone Equity Value</t>
  </si>
  <si>
    <t>(x) Ben's Retained Keystone %</t>
  </si>
  <si>
    <t>Keystone Enterprise Value — Partnership</t>
  </si>
  <si>
    <t>(+) Ben's Rolled Keystone Equity</t>
  </si>
  <si>
    <t>Initial position does not include earnout</t>
  </si>
  <si>
    <t>Partnership Rollover Scenarios ($000s)</t>
  </si>
  <si>
    <t>Offer Structure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</si>
</sst>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%;\(#,##0.0%\);&quot;–&quot;;@"/>
    <numFmt numFmtId="165" formatCode="#,##0.0;\(#,##0.0\);&quot;–&quot;;@"/>
    <numFmt numFmtId="166" formatCode="0.00\x;\(0.00\x\);&quot;–&quot;"/>
    <numFmt numFmtId="167" formatCode="#,##0;\(#,##0\);&quot;–&quot;;@"/>
    <numFmt numFmtId="168" formatCode="[$$]#,##0;\([$$]#,##0\);&quot;–&quot;;@"/>
    <numFmt numFmtId="169" formatCode="0.0\x;\(0.0\x\);&quot;–&quot;"/>
    <numFmt numFmtId="170" formatCode="#,##0%;\(#,##0%\);&quot;–&quot;;@"/>
    <numFmt numFmtId="171" formatCode="[$$]#,##0.0;\([$$]#,##0.0\);&quot;–&quot;;@"/>
    <numFmt numFmtId="172" formatCode="0.00&quot;x&quot;"/>
    <numFmt numFmtId="173" formatCode="0.0\x"/>
    <numFmt numFmtId="174" formatCode="[$$-380A]\ #,##0.00;\-[$$-380A]\ #,##0.00"/>
    <numFmt numFmtId="175" formatCode="#,##0.00;\(#,##0.00\);&quot;–&quot;;@"/>
    <numFmt numFmtId="176" formatCode="[$$]#,##0.00;\([$$]#,##0.00\);&quot;–&quot;;@"/>
  </numFmts>
  <fonts count="4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i/>
      <sz val="18"/>
      <color theme="1"/>
      <name val="Arial"/>
      <family val="2"/>
    </font>
    <font>
      <b/>
      <i/>
      <sz val="20"/>
      <color rgb="FF000000"/>
      <name val="Arial"/>
      <family val="2"/>
    </font>
    <font>
      <b/>
      <sz val="26"/>
      <color rgb="FF000000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FFFFFF"/>
      <name val="Arial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b/>
      <sz val="9"/>
      <color rgb="FFFFFFFF"/>
      <name val="Arial"/>
      <family val="2"/>
    </font>
    <font>
      <b/>
      <i/>
      <sz val="9"/>
      <color rgb="FF000000"/>
      <name val="arial"/>
      <family val="2"/>
    </font>
    <font>
      <sz val="9"/>
      <color rgb="FF800080"/>
      <name val="arial"/>
      <family val="2"/>
    </font>
    <font>
      <b/>
      <i/>
      <sz val="9"/>
      <color theme="1"/>
      <name val="arial"/>
      <family val="2"/>
    </font>
    <font>
      <sz val="9"/>
      <color rgb="FF808080"/>
      <name val="Arial"/>
      <family val="2"/>
    </font>
    <font>
      <b/>
      <sz val="9"/>
      <color rgb="FF800080"/>
      <name val="arial"/>
      <family val="2"/>
    </font>
    <font>
      <b/>
      <sz val="9"/>
      <name val="Arial"/>
      <family val="2"/>
    </font>
    <font>
      <i/>
      <sz val="9"/>
      <color rgb="FF000000"/>
      <name val="arial"/>
      <family val="2"/>
    </font>
    <font>
      <b/>
      <sz val="13"/>
      <color rgb="FF000000"/>
      <name val="Arial"/>
      <family val="2"/>
    </font>
    <font>
      <sz val="9"/>
      <color theme="1"/>
      <name val="Arial"/>
    </font>
    <font>
      <sz val="9"/>
      <color rgb="FF0000FF"/>
      <name val="Arial"/>
    </font>
    <font>
      <b/>
      <sz val="9"/>
      <color theme="1"/>
      <name val="Arial"/>
    </font>
    <font>
      <b/>
      <sz val="9"/>
      <color rgb="FF0000FF"/>
      <name val="Arial"/>
    </font>
    <font>
      <i/>
      <sz val="9"/>
      <color theme="1"/>
      <name val="Arial"/>
    </font>
    <font>
      <sz val="9"/>
      <color rgb="FF800080"/>
      <name val="Arial"/>
    </font>
    <font>
      <sz val="9"/>
      <color rgb="FF008000"/>
      <name val="Arial"/>
    </font>
    <font>
      <sz val="9"/>
      <color rgb="FF808080"/>
      <name val="Arial"/>
    </font>
    <font>
      <b/>
      <sz val="9"/>
      <color rgb="FF808080"/>
      <name val="Arial"/>
    </font>
    <font>
      <b/>
      <u/>
      <sz val="9"/>
      <color theme="1"/>
      <name val="arial"/>
      <family val="2"/>
    </font>
    <font>
      <b/>
      <sz val="9"/>
      <color rgb="FF808080"/>
      <name val="Arial"/>
      <family val="2"/>
    </font>
    <font>
      <b/>
      <sz val="13"/>
      <color theme="1"/>
      <name val="Arial"/>
    </font>
    <font>
      <sz val="9"/>
      <color rgb="FF000000"/>
      <name val="Arial"/>
    </font>
    <font>
      <sz val="9"/>
      <name val="Arial"/>
      <family val="2"/>
    </font>
    <font>
      <b/>
      <sz val="9"/>
      <color rgb="FF000000"/>
      <name val="Arial"/>
    </font>
    <font>
      <b/>
      <sz val="9"/>
      <color rgb="FF800080"/>
      <name val="Arial"/>
    </font>
    <font>
      <b/>
      <i/>
      <sz val="9"/>
      <color rgb="FF000000"/>
      <name val="Arial"/>
    </font>
    <font>
      <i/>
      <sz val="9"/>
      <color rgb="FF000000"/>
      <name val="Arial"/>
    </font>
    <font>
      <i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7B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rgb="FF000000"/>
      </patternFill>
    </fill>
  </fills>
  <borders count="2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5" fillId="2" borderId="0" xfId="0" applyFont="1" applyFill="1"/>
    <xf numFmtId="0" fontId="5" fillId="0" borderId="1" xfId="0" applyFont="1" applyBorder="1"/>
    <xf numFmtId="0" fontId="5" fillId="0" borderId="0" xfId="0" applyFont="1"/>
    <xf numFmtId="0" fontId="5" fillId="0" borderId="2" xfId="0" applyFont="1" applyBorder="1"/>
    <xf numFmtId="0" fontId="9" fillId="0" borderId="0" xfId="0" applyFont="1"/>
    <xf numFmtId="164" fontId="9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>
      <alignment horizontal="right"/>
    </xf>
    <xf numFmtId="0" fontId="11" fillId="3" borderId="0" xfId="0" applyFont="1" applyFill="1"/>
    <xf numFmtId="0" fontId="5" fillId="0" borderId="0" xfId="0" applyFont="1" applyAlignment="1">
      <alignment horizontal="right"/>
    </xf>
    <xf numFmtId="16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9" fontId="9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170" fontId="10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169" fontId="10" fillId="0" borderId="0" xfId="0" applyNumberFormat="1" applyFont="1" applyAlignment="1">
      <alignment horizontal="right"/>
    </xf>
    <xf numFmtId="168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8" fontId="12" fillId="4" borderId="3" xfId="0" applyNumberFormat="1" applyFont="1" applyFill="1" applyBorder="1" applyAlignment="1">
      <alignment horizontal="right"/>
    </xf>
    <xf numFmtId="168" fontId="12" fillId="4" borderId="4" xfId="0" applyNumberFormat="1" applyFont="1" applyFill="1" applyBorder="1" applyAlignment="1">
      <alignment horizontal="right"/>
    </xf>
    <xf numFmtId="0" fontId="12" fillId="4" borderId="5" xfId="0" applyFont="1" applyFill="1" applyBorder="1"/>
    <xf numFmtId="0" fontId="9" fillId="0" borderId="0" xfId="0" applyFont="1" applyAlignment="1">
      <alignment horizontal="left" indent="1"/>
    </xf>
    <xf numFmtId="168" fontId="13" fillId="0" borderId="0" xfId="0" applyNumberFormat="1" applyFont="1" applyAlignment="1">
      <alignment horizontal="right"/>
    </xf>
    <xf numFmtId="0" fontId="14" fillId="3" borderId="0" xfId="0" applyFont="1" applyFill="1"/>
    <xf numFmtId="164" fontId="12" fillId="4" borderId="6" xfId="0" applyNumberFormat="1" applyFont="1" applyFill="1" applyBorder="1" applyAlignment="1">
      <alignment horizontal="right"/>
    </xf>
    <xf numFmtId="164" fontId="12" fillId="4" borderId="7" xfId="0" applyNumberFormat="1" applyFont="1" applyFill="1" applyBorder="1" applyAlignment="1">
      <alignment horizontal="right"/>
    </xf>
    <xf numFmtId="0" fontId="12" fillId="4" borderId="8" xfId="0" applyFont="1" applyFill="1" applyBorder="1"/>
    <xf numFmtId="166" fontId="12" fillId="4" borderId="6" xfId="0" applyNumberFormat="1" applyFont="1" applyFill="1" applyBorder="1" applyAlignment="1">
      <alignment horizontal="right"/>
    </xf>
    <xf numFmtId="166" fontId="12" fillId="4" borderId="7" xfId="0" applyNumberFormat="1" applyFont="1" applyFill="1" applyBorder="1" applyAlignment="1">
      <alignment horizontal="right"/>
    </xf>
    <xf numFmtId="164" fontId="15" fillId="4" borderId="9" xfId="0" applyNumberFormat="1" applyFont="1" applyFill="1" applyBorder="1" applyAlignment="1">
      <alignment horizontal="right"/>
    </xf>
    <xf numFmtId="164" fontId="15" fillId="4" borderId="10" xfId="0" applyNumberFormat="1" applyFont="1" applyFill="1" applyBorder="1" applyAlignment="1">
      <alignment horizontal="right"/>
    </xf>
    <xf numFmtId="0" fontId="15" fillId="4" borderId="11" xfId="0" applyFont="1" applyFill="1" applyBorder="1"/>
    <xf numFmtId="168" fontId="12" fillId="4" borderId="12" xfId="0" applyNumberFormat="1" applyFont="1" applyFill="1" applyBorder="1" applyAlignment="1">
      <alignment horizontal="right"/>
    </xf>
    <xf numFmtId="168" fontId="12" fillId="4" borderId="13" xfId="0" applyNumberFormat="1" applyFont="1" applyFill="1" applyBorder="1" applyAlignment="1">
      <alignment horizontal="right"/>
    </xf>
    <xf numFmtId="0" fontId="12" fillId="4" borderId="14" xfId="0" applyFont="1" applyFill="1" applyBorder="1"/>
    <xf numFmtId="0" fontId="1" fillId="0" borderId="0" xfId="0" applyFont="1"/>
    <xf numFmtId="168" fontId="4" fillId="4" borderId="6" xfId="0" applyNumberFormat="1" applyFont="1" applyFill="1" applyBorder="1" applyAlignment="1">
      <alignment horizontal="right"/>
    </xf>
    <xf numFmtId="168" fontId="12" fillId="4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167" fontId="1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0" fontId="1" fillId="0" borderId="0" xfId="0" applyFont="1" applyAlignment="1">
      <alignment horizontal="left" indent="1"/>
    </xf>
    <xf numFmtId="164" fontId="17" fillId="4" borderId="15" xfId="0" applyNumberFormat="1" applyFont="1" applyFill="1" applyBorder="1" applyAlignment="1">
      <alignment horizontal="right"/>
    </xf>
    <xf numFmtId="164" fontId="15" fillId="4" borderId="16" xfId="0" applyNumberFormat="1" applyFont="1" applyFill="1" applyBorder="1" applyAlignment="1">
      <alignment horizontal="right"/>
    </xf>
    <xf numFmtId="0" fontId="17" fillId="4" borderId="17" xfId="0" applyFont="1" applyFill="1" applyBorder="1"/>
    <xf numFmtId="166" fontId="4" fillId="4" borderId="18" xfId="0" applyNumberFormat="1" applyFont="1" applyFill="1" applyBorder="1" applyAlignment="1">
      <alignment horizontal="right"/>
    </xf>
    <xf numFmtId="166" fontId="12" fillId="4" borderId="0" xfId="0" applyNumberFormat="1" applyFont="1" applyFill="1" applyAlignment="1">
      <alignment horizontal="right"/>
    </xf>
    <xf numFmtId="0" fontId="4" fillId="4" borderId="19" xfId="0" applyFont="1" applyFill="1" applyBorder="1"/>
    <xf numFmtId="168" fontId="4" fillId="4" borderId="20" xfId="0" applyNumberFormat="1" applyFont="1" applyFill="1" applyBorder="1" applyAlignment="1">
      <alignment horizontal="right"/>
    </xf>
    <xf numFmtId="168" fontId="12" fillId="4" borderId="2" xfId="0" applyNumberFormat="1" applyFont="1" applyFill="1" applyBorder="1" applyAlignment="1">
      <alignment horizontal="right"/>
    </xf>
    <xf numFmtId="0" fontId="4" fillId="4" borderId="21" xfId="0" applyFont="1" applyFill="1" applyBorder="1"/>
    <xf numFmtId="167" fontId="18" fillId="0" borderId="0" xfId="0" applyNumberFormat="1" applyFont="1"/>
    <xf numFmtId="0" fontId="18" fillId="0" borderId="0" xfId="0" applyFont="1"/>
    <xf numFmtId="168" fontId="4" fillId="0" borderId="0" xfId="0" applyNumberFormat="1" applyFont="1" applyAlignment="1">
      <alignment horizontal="right"/>
    </xf>
    <xf numFmtId="168" fontId="19" fillId="0" borderId="0" xfId="0" applyNumberFormat="1" applyFont="1" applyAlignment="1">
      <alignment horizontal="right"/>
    </xf>
    <xf numFmtId="0" fontId="4" fillId="0" borderId="0" xfId="0" applyFont="1"/>
    <xf numFmtId="166" fontId="12" fillId="4" borderId="12" xfId="0" applyNumberFormat="1" applyFont="1" applyFill="1" applyBorder="1" applyAlignment="1">
      <alignment horizontal="right"/>
    </xf>
    <xf numFmtId="166" fontId="12" fillId="4" borderId="13" xfId="0" applyNumberFormat="1" applyFont="1" applyFill="1" applyBorder="1" applyAlignment="1">
      <alignment horizontal="right"/>
    </xf>
    <xf numFmtId="168" fontId="12" fillId="0" borderId="13" xfId="0" applyNumberFormat="1" applyFont="1" applyBorder="1" applyAlignment="1">
      <alignment horizontal="right"/>
    </xf>
    <xf numFmtId="168" fontId="19" fillId="0" borderId="13" xfId="0" applyNumberFormat="1" applyFont="1" applyBorder="1" applyAlignment="1">
      <alignment horizontal="right"/>
    </xf>
    <xf numFmtId="0" fontId="12" fillId="0" borderId="13" xfId="0" applyFont="1" applyBorder="1"/>
    <xf numFmtId="166" fontId="16" fillId="0" borderId="0" xfId="0" applyNumberFormat="1" applyFont="1" applyAlignment="1">
      <alignment horizontal="right"/>
    </xf>
    <xf numFmtId="171" fontId="9" fillId="0" borderId="0" xfId="0" applyNumberFormat="1" applyFont="1" applyAlignment="1">
      <alignment horizontal="right"/>
    </xf>
    <xf numFmtId="170" fontId="16" fillId="0" borderId="0" xfId="0" applyNumberFormat="1" applyFont="1" applyAlignment="1">
      <alignment horizontal="right"/>
    </xf>
    <xf numFmtId="0" fontId="20" fillId="5" borderId="0" xfId="0" applyFont="1" applyFill="1" applyAlignment="1">
      <alignment horizontal="right" wrapText="1"/>
    </xf>
    <xf numFmtId="0" fontId="14" fillId="5" borderId="0" xfId="0" applyFont="1" applyFill="1" applyAlignment="1">
      <alignment wrapText="1"/>
    </xf>
    <xf numFmtId="0" fontId="14" fillId="3" borderId="0" xfId="0" applyFont="1" applyFill="1" applyAlignment="1">
      <alignment horizontal="center" wrapText="1"/>
    </xf>
    <xf numFmtId="0" fontId="14" fillId="3" borderId="0" xfId="0" applyFont="1" applyFill="1" applyAlignment="1">
      <alignment horizontal="right" wrapText="1"/>
    </xf>
    <xf numFmtId="164" fontId="15" fillId="4" borderId="15" xfId="0" applyNumberFormat="1" applyFont="1" applyFill="1" applyBorder="1" applyAlignment="1">
      <alignment horizontal="right"/>
    </xf>
    <xf numFmtId="0" fontId="15" fillId="4" borderId="17" xfId="0" applyFont="1" applyFill="1" applyBorder="1"/>
    <xf numFmtId="166" fontId="12" fillId="4" borderId="20" xfId="0" applyNumberFormat="1" applyFont="1" applyFill="1" applyBorder="1" applyAlignment="1">
      <alignment horizontal="right"/>
    </xf>
    <xf numFmtId="166" fontId="12" fillId="4" borderId="2" xfId="0" applyNumberFormat="1" applyFont="1" applyFill="1" applyBorder="1" applyAlignment="1">
      <alignment horizontal="right"/>
    </xf>
    <xf numFmtId="0" fontId="12" fillId="4" borderId="21" xfId="0" applyFont="1" applyFill="1" applyBorder="1"/>
    <xf numFmtId="164" fontId="17" fillId="4" borderId="9" xfId="0" applyNumberFormat="1" applyFont="1" applyFill="1" applyBorder="1" applyAlignment="1">
      <alignment horizontal="right"/>
    </xf>
    <xf numFmtId="0" fontId="17" fillId="4" borderId="11" xfId="0" applyFont="1" applyFill="1" applyBorder="1"/>
    <xf numFmtId="166" fontId="4" fillId="4" borderId="12" xfId="0" applyNumberFormat="1" applyFont="1" applyFill="1" applyBorder="1" applyAlignment="1">
      <alignment horizontal="right"/>
    </xf>
    <xf numFmtId="0" fontId="4" fillId="4" borderId="14" xfId="0" applyFont="1" applyFill="1" applyBorder="1"/>
    <xf numFmtId="168" fontId="4" fillId="0" borderId="13" xfId="0" applyNumberFormat="1" applyFont="1" applyBorder="1" applyAlignment="1">
      <alignment horizontal="right"/>
    </xf>
    <xf numFmtId="0" fontId="4" fillId="0" borderId="13" xfId="0" applyFont="1" applyBorder="1"/>
    <xf numFmtId="0" fontId="10" fillId="0" borderId="0" xfId="0" applyFont="1"/>
    <xf numFmtId="168" fontId="1" fillId="0" borderId="0" xfId="0" applyNumberFormat="1" applyFont="1" applyAlignment="1">
      <alignment horizontal="right"/>
    </xf>
    <xf numFmtId="168" fontId="16" fillId="0" borderId="0" xfId="0" applyNumberFormat="1" applyFont="1" applyAlignment="1">
      <alignment horizontal="right"/>
    </xf>
    <xf numFmtId="170" fontId="9" fillId="4" borderId="15" xfId="0" applyNumberFormat="1" applyFont="1" applyFill="1" applyBorder="1" applyAlignment="1">
      <alignment horizontal="right"/>
    </xf>
    <xf numFmtId="170" fontId="9" fillId="4" borderId="16" xfId="0" applyNumberFormat="1" applyFont="1" applyFill="1" applyBorder="1" applyAlignment="1">
      <alignment horizontal="right"/>
    </xf>
    <xf numFmtId="0" fontId="9" fillId="4" borderId="17" xfId="0" applyFont="1" applyFill="1" applyBorder="1" applyAlignment="1">
      <alignment horizontal="left"/>
    </xf>
    <xf numFmtId="170" fontId="9" fillId="4" borderId="18" xfId="0" applyNumberFormat="1" applyFont="1" applyFill="1" applyBorder="1" applyAlignment="1">
      <alignment horizontal="right"/>
    </xf>
    <xf numFmtId="170" fontId="9" fillId="4" borderId="0" xfId="0" applyNumberFormat="1" applyFont="1" applyFill="1" applyAlignment="1">
      <alignment horizontal="right"/>
    </xf>
    <xf numFmtId="0" fontId="9" fillId="4" borderId="19" xfId="0" applyFont="1" applyFill="1" applyBorder="1" applyAlignment="1">
      <alignment horizontal="left"/>
    </xf>
    <xf numFmtId="170" fontId="9" fillId="4" borderId="20" xfId="0" applyNumberFormat="1" applyFont="1" applyFill="1" applyBorder="1" applyAlignment="1">
      <alignment horizontal="right"/>
    </xf>
    <xf numFmtId="170" fontId="9" fillId="4" borderId="2" xfId="0" applyNumberFormat="1" applyFont="1" applyFill="1" applyBorder="1" applyAlignment="1">
      <alignment horizontal="right"/>
    </xf>
    <xf numFmtId="0" fontId="9" fillId="4" borderId="21" xfId="0" applyFont="1" applyFill="1" applyBorder="1"/>
    <xf numFmtId="0" fontId="12" fillId="0" borderId="0" xfId="0" applyFont="1"/>
    <xf numFmtId="0" fontId="12" fillId="4" borderId="5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167" fontId="16" fillId="0" borderId="0" xfId="0" applyNumberFormat="1" applyFont="1"/>
    <xf numFmtId="167" fontId="3" fillId="0" borderId="0" xfId="0" applyNumberFormat="1" applyFont="1"/>
    <xf numFmtId="165" fontId="16" fillId="0" borderId="0" xfId="0" applyNumberFormat="1" applyFont="1"/>
    <xf numFmtId="165" fontId="13" fillId="0" borderId="0" xfId="0" applyNumberFormat="1" applyFont="1"/>
    <xf numFmtId="168" fontId="16" fillId="0" borderId="0" xfId="0" applyNumberFormat="1" applyFont="1"/>
    <xf numFmtId="168" fontId="13" fillId="0" borderId="0" xfId="0" applyNumberFormat="1" applyFont="1"/>
    <xf numFmtId="0" fontId="9" fillId="5" borderId="0" xfId="0" applyFont="1" applyFill="1"/>
    <xf numFmtId="0" fontId="12" fillId="5" borderId="0" xfId="0" applyFont="1" applyFill="1"/>
    <xf numFmtId="171" fontId="16" fillId="0" borderId="0" xfId="0" applyNumberFormat="1" applyFont="1"/>
    <xf numFmtId="171" fontId="10" fillId="0" borderId="0" xfId="0" applyNumberFormat="1" applyFont="1"/>
    <xf numFmtId="168" fontId="3" fillId="0" borderId="0" xfId="0" applyNumberFormat="1" applyFont="1"/>
    <xf numFmtId="170" fontId="13" fillId="0" borderId="0" xfId="0" applyNumberFormat="1" applyFont="1"/>
    <xf numFmtId="166" fontId="13" fillId="0" borderId="0" xfId="0" applyNumberFormat="1" applyFont="1" applyAlignment="1">
      <alignment horizontal="right"/>
    </xf>
    <xf numFmtId="170" fontId="13" fillId="0" borderId="0" xfId="0" applyNumberFormat="1" applyFont="1" applyAlignment="1">
      <alignment horizontal="right"/>
    </xf>
    <xf numFmtId="167" fontId="1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4" fillId="3" borderId="0" xfId="0" applyFont="1" applyFill="1" applyAlignment="1">
      <alignment wrapText="1"/>
    </xf>
    <xf numFmtId="0" fontId="13" fillId="0" borderId="22" xfId="0" applyFont="1" applyBorder="1" applyAlignment="1">
      <alignment horizontal="center"/>
    </xf>
    <xf numFmtId="0" fontId="9" fillId="0" borderId="10" xfId="0" applyFont="1" applyBorder="1"/>
    <xf numFmtId="0" fontId="21" fillId="0" borderId="10" xfId="0" applyFont="1" applyBorder="1"/>
    <xf numFmtId="0" fontId="22" fillId="0" borderId="0" xfId="0" applyFont="1"/>
    <xf numFmtId="0" fontId="23" fillId="0" borderId="0" xfId="0" applyFont="1"/>
    <xf numFmtId="167" fontId="24" fillId="0" borderId="0" xfId="0" applyNumberFormat="1" applyFont="1" applyAlignment="1">
      <alignment horizontal="right"/>
    </xf>
    <xf numFmtId="0" fontId="25" fillId="5" borderId="0" xfId="0" applyFont="1" applyFill="1"/>
    <xf numFmtId="0" fontId="26" fillId="5" borderId="0" xfId="0" applyFont="1" applyFill="1" applyAlignment="1">
      <alignment horizontal="right"/>
    </xf>
    <xf numFmtId="171" fontId="24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170" fontId="24" fillId="0" borderId="0" xfId="0" applyNumberFormat="1" applyFont="1" applyAlignment="1">
      <alignment horizontal="right"/>
    </xf>
    <xf numFmtId="0" fontId="25" fillId="5" borderId="0" xfId="0" applyFont="1" applyFill="1" applyAlignment="1">
      <alignment horizontal="right"/>
    </xf>
    <xf numFmtId="168" fontId="9" fillId="0" borderId="0" xfId="0" applyNumberFormat="1" applyFont="1"/>
    <xf numFmtId="172" fontId="13" fillId="0" borderId="0" xfId="0" applyNumberFormat="1" applyFont="1"/>
    <xf numFmtId="172" fontId="16" fillId="0" borderId="0" xfId="0" applyNumberFormat="1" applyFont="1"/>
    <xf numFmtId="170" fontId="10" fillId="0" borderId="0" xfId="0" applyNumberFormat="1" applyFont="1"/>
    <xf numFmtId="173" fontId="10" fillId="0" borderId="0" xfId="0" applyNumberFormat="1" applyFont="1"/>
    <xf numFmtId="165" fontId="10" fillId="0" borderId="0" xfId="0" applyNumberFormat="1" applyFont="1"/>
    <xf numFmtId="167" fontId="10" fillId="0" borderId="0" xfId="0" applyNumberFormat="1" applyFont="1"/>
    <xf numFmtId="167" fontId="13" fillId="0" borderId="0" xfId="0" applyNumberFormat="1" applyFont="1"/>
    <xf numFmtId="1" fontId="13" fillId="0" borderId="0" xfId="0" applyNumberFormat="1" applyFont="1"/>
    <xf numFmtId="164" fontId="9" fillId="0" borderId="0" xfId="0" applyNumberFormat="1" applyFont="1"/>
    <xf numFmtId="170" fontId="9" fillId="0" borderId="0" xfId="0" applyNumberFormat="1" applyFont="1"/>
    <xf numFmtId="170" fontId="24" fillId="0" borderId="0" xfId="0" applyNumberFormat="1" applyFont="1"/>
    <xf numFmtId="170" fontId="28" fillId="0" borderId="0" xfId="0" applyNumberFormat="1" applyFont="1"/>
    <xf numFmtId="164" fontId="29" fillId="0" borderId="0" xfId="0" applyNumberFormat="1" applyFont="1"/>
    <xf numFmtId="167" fontId="29" fillId="0" borderId="0" xfId="0" applyNumberFormat="1" applyFont="1"/>
    <xf numFmtId="168" fontId="29" fillId="0" borderId="0" xfId="0" applyNumberFormat="1" applyFont="1"/>
    <xf numFmtId="0" fontId="4" fillId="5" borderId="0" xfId="0" applyFont="1" applyFill="1"/>
    <xf numFmtId="0" fontId="4" fillId="5" borderId="0" xfId="0" applyFont="1" applyFill="1" applyAlignment="1">
      <alignment horizontal="right"/>
    </xf>
    <xf numFmtId="167" fontId="25" fillId="0" borderId="0" xfId="0" applyNumberFormat="1" applyFont="1"/>
    <xf numFmtId="0" fontId="25" fillId="0" borderId="0" xfId="0" applyFont="1"/>
    <xf numFmtId="167" fontId="23" fillId="0" borderId="10" xfId="0" applyNumberFormat="1" applyFont="1" applyBorder="1"/>
    <xf numFmtId="0" fontId="0" fillId="0" borderId="10" xfId="0" applyBorder="1"/>
    <xf numFmtId="0" fontId="23" fillId="0" borderId="10" xfId="0" applyFont="1" applyBorder="1"/>
    <xf numFmtId="168" fontId="23" fillId="0" borderId="0" xfId="0" applyNumberFormat="1" applyFont="1"/>
    <xf numFmtId="0" fontId="27" fillId="0" borderId="0" xfId="0" applyFont="1"/>
    <xf numFmtId="1" fontId="30" fillId="0" borderId="0" xfId="0" applyNumberFormat="1" applyFont="1"/>
    <xf numFmtId="164" fontId="23" fillId="0" borderId="10" xfId="0" applyNumberFormat="1" applyFont="1" applyBorder="1"/>
    <xf numFmtId="170" fontId="2" fillId="3" borderId="10" xfId="0" applyNumberFormat="1" applyFont="1" applyFill="1" applyBorder="1" applyAlignment="1">
      <alignment horizontal="center"/>
    </xf>
    <xf numFmtId="164" fontId="23" fillId="0" borderId="0" xfId="0" applyNumberFormat="1" applyFont="1"/>
    <xf numFmtId="170" fontId="2" fillId="3" borderId="0" xfId="0" applyNumberFormat="1" applyFont="1" applyFill="1" applyAlignment="1">
      <alignment horizontal="center"/>
    </xf>
    <xf numFmtId="164" fontId="1" fillId="0" borderId="0" xfId="0" applyNumberFormat="1" applyFont="1"/>
    <xf numFmtId="0" fontId="30" fillId="0" borderId="0" xfId="0" applyFont="1"/>
    <xf numFmtId="0" fontId="31" fillId="0" borderId="0" xfId="0" applyFont="1"/>
    <xf numFmtId="172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Continuous"/>
    </xf>
    <xf numFmtId="0" fontId="32" fillId="0" borderId="0" xfId="0" applyFont="1"/>
    <xf numFmtId="170" fontId="23" fillId="0" borderId="10" xfId="0" applyNumberFormat="1" applyFont="1" applyBorder="1"/>
    <xf numFmtId="170" fontId="23" fillId="0" borderId="0" xfId="0" applyNumberFormat="1" applyFont="1"/>
    <xf numFmtId="170" fontId="1" fillId="0" borderId="0" xfId="0" applyNumberFormat="1" applyFont="1"/>
    <xf numFmtId="167" fontId="23" fillId="0" borderId="0" xfId="0" applyNumberFormat="1" applyFont="1"/>
    <xf numFmtId="167" fontId="1" fillId="0" borderId="0" xfId="0" applyNumberFormat="1" applyFont="1"/>
    <xf numFmtId="172" fontId="18" fillId="0" borderId="0" xfId="0" applyNumberFormat="1" applyFont="1"/>
    <xf numFmtId="0" fontId="33" fillId="0" borderId="0" xfId="0" applyFont="1"/>
    <xf numFmtId="0" fontId="20" fillId="6" borderId="0" xfId="0" applyFont="1" applyFill="1"/>
    <xf numFmtId="167" fontId="30" fillId="0" borderId="0" xfId="0" applyNumberFormat="1" applyFont="1"/>
    <xf numFmtId="1" fontId="30" fillId="0" borderId="0" xfId="0" applyNumberFormat="1" applyFont="1" applyAlignment="1">
      <alignment horizontal="center"/>
    </xf>
    <xf numFmtId="164" fontId="18" fillId="0" borderId="0" xfId="0" applyNumberFormat="1" applyFont="1"/>
    <xf numFmtId="0" fontId="33" fillId="0" borderId="0" xfId="0" applyFont="1" applyAlignment="1">
      <alignment wrapText="1"/>
    </xf>
    <xf numFmtId="0" fontId="11" fillId="7" borderId="0" xfId="0" applyFont="1" applyFill="1"/>
    <xf numFmtId="0" fontId="2" fillId="7" borderId="0" xfId="0" applyFont="1" applyFill="1"/>
    <xf numFmtId="167" fontId="2" fillId="3" borderId="10" xfId="0" applyNumberFormat="1" applyFont="1" applyFill="1" applyBorder="1" applyAlignment="1">
      <alignment horizontal="center"/>
    </xf>
    <xf numFmtId="167" fontId="2" fillId="3" borderId="0" xfId="0" applyNumberFormat="1" applyFont="1" applyFill="1" applyAlignment="1">
      <alignment horizontal="center"/>
    </xf>
    <xf numFmtId="170" fontId="11" fillId="3" borderId="0" xfId="0" applyNumberFormat="1" applyFont="1" applyFill="1" applyAlignment="1">
      <alignment horizontal="center"/>
    </xf>
    <xf numFmtId="170" fontId="18" fillId="0" borderId="0" xfId="0" applyNumberFormat="1" applyFont="1"/>
    <xf numFmtId="167" fontId="11" fillId="3" borderId="0" xfId="0" applyNumberFormat="1" applyFont="1" applyFill="1" applyAlignment="1">
      <alignment horizontal="center"/>
    </xf>
    <xf numFmtId="10" fontId="30" fillId="0" borderId="0" xfId="0" applyNumberFormat="1" applyFont="1"/>
    <xf numFmtId="170" fontId="30" fillId="0" borderId="0" xfId="0" applyNumberFormat="1" applyFont="1"/>
    <xf numFmtId="167" fontId="0" fillId="0" borderId="0" xfId="0" applyNumberFormat="1"/>
    <xf numFmtId="1" fontId="18" fillId="0" borderId="0" xfId="0" applyNumberFormat="1" applyFont="1"/>
    <xf numFmtId="167" fontId="24" fillId="0" borderId="22" xfId="0" applyNumberFormat="1" applyFont="1" applyBorder="1" applyAlignment="1">
      <alignment horizontal="center"/>
    </xf>
    <xf numFmtId="0" fontId="27" fillId="0" borderId="10" xfId="0" applyFont="1" applyBorder="1"/>
    <xf numFmtId="0" fontId="34" fillId="0" borderId="0" xfId="0" applyFont="1"/>
    <xf numFmtId="167" fontId="35" fillId="0" borderId="0" xfId="0" applyNumberFormat="1" applyFont="1"/>
    <xf numFmtId="1" fontId="35" fillId="0" borderId="0" xfId="0" applyNumberFormat="1" applyFont="1"/>
    <xf numFmtId="0" fontId="35" fillId="0" borderId="0" xfId="0" applyFont="1"/>
    <xf numFmtId="168" fontId="35" fillId="0" borderId="0" xfId="0" applyNumberFormat="1" applyFont="1"/>
    <xf numFmtId="1" fontId="24" fillId="0" borderId="0" xfId="0" applyNumberFormat="1" applyFont="1"/>
    <xf numFmtId="167" fontId="12" fillId="0" borderId="2" xfId="0" applyNumberFormat="1" applyFont="1" applyBorder="1"/>
    <xf numFmtId="0" fontId="4" fillId="0" borderId="2" xfId="0" applyFont="1" applyBorder="1"/>
    <xf numFmtId="167" fontId="9" fillId="0" borderId="0" xfId="0" applyNumberFormat="1" applyFont="1"/>
    <xf numFmtId="164" fontId="35" fillId="0" borderId="0" xfId="0" applyNumberFormat="1" applyFont="1"/>
    <xf numFmtId="167" fontId="24" fillId="0" borderId="0" xfId="0" applyNumberFormat="1" applyFont="1"/>
    <xf numFmtId="168" fontId="10" fillId="0" borderId="0" xfId="0" applyNumberFormat="1" applyFont="1"/>
    <xf numFmtId="164" fontId="16" fillId="0" borderId="0" xfId="0" applyNumberFormat="1" applyFont="1"/>
    <xf numFmtId="168" fontId="12" fillId="4" borderId="6" xfId="0" applyNumberFormat="1" applyFont="1" applyFill="1" applyBorder="1"/>
    <xf numFmtId="0" fontId="12" fillId="4" borderId="7" xfId="0" applyFont="1" applyFill="1" applyBorder="1"/>
    <xf numFmtId="169" fontId="13" fillId="0" borderId="0" xfId="0" applyNumberFormat="1" applyFont="1"/>
    <xf numFmtId="168" fontId="1" fillId="0" borderId="0" xfId="0" applyNumberFormat="1" applyFont="1"/>
    <xf numFmtId="168" fontId="4" fillId="0" borderId="13" xfId="0" applyNumberFormat="1" applyFont="1" applyBorder="1"/>
    <xf numFmtId="168" fontId="4" fillId="4" borderId="3" xfId="0" applyNumberFormat="1" applyFont="1" applyFill="1" applyBorder="1"/>
    <xf numFmtId="168" fontId="4" fillId="4" borderId="4" xfId="0" applyNumberFormat="1" applyFont="1" applyFill="1" applyBorder="1"/>
    <xf numFmtId="0" fontId="4" fillId="4" borderId="5" xfId="0" applyFont="1" applyFill="1" applyBorder="1"/>
    <xf numFmtId="0" fontId="14" fillId="3" borderId="0" xfId="0" applyFont="1" applyFill="1" applyAlignment="1">
      <alignment horizontal="right"/>
    </xf>
    <xf numFmtId="169" fontId="16" fillId="0" borderId="0" xfId="0" applyNumberFormat="1" applyFont="1"/>
    <xf numFmtId="169" fontId="9" fillId="0" borderId="0" xfId="0" applyNumberFormat="1" applyFont="1"/>
    <xf numFmtId="169" fontId="12" fillId="4" borderId="6" xfId="0" applyNumberFormat="1" applyFont="1" applyFill="1" applyBorder="1"/>
    <xf numFmtId="170" fontId="12" fillId="0" borderId="2" xfId="0" applyNumberFormat="1" applyFont="1" applyBorder="1"/>
    <xf numFmtId="168" fontId="12" fillId="0" borderId="2" xfId="0" applyNumberFormat="1" applyFont="1" applyBorder="1"/>
    <xf numFmtId="0" fontId="12" fillId="0" borderId="2" xfId="0" applyFont="1" applyBorder="1"/>
    <xf numFmtId="169" fontId="12" fillId="0" borderId="0" xfId="0" applyNumberFormat="1" applyFont="1"/>
    <xf numFmtId="168" fontId="20" fillId="0" borderId="2" xfId="0" applyNumberFormat="1" applyFont="1" applyBorder="1"/>
    <xf numFmtId="0" fontId="4" fillId="0" borderId="2" xfId="0" applyFont="1" applyBorder="1" applyAlignment="1">
      <alignment horizontal="left"/>
    </xf>
    <xf numFmtId="164" fontId="13" fillId="0" borderId="0" xfId="0" applyNumberFormat="1" applyFont="1"/>
    <xf numFmtId="174" fontId="9" fillId="0" borderId="0" xfId="0" applyNumberFormat="1" applyFont="1"/>
    <xf numFmtId="164" fontId="12" fillId="4" borderId="15" xfId="0" applyNumberFormat="1" applyFont="1" applyFill="1" applyBorder="1"/>
    <xf numFmtId="0" fontId="12" fillId="4" borderId="17" xfId="0" applyFont="1" applyFill="1" applyBorder="1"/>
    <xf numFmtId="169" fontId="12" fillId="4" borderId="18" xfId="0" applyNumberFormat="1" applyFont="1" applyFill="1" applyBorder="1"/>
    <xf numFmtId="0" fontId="12" fillId="4" borderId="19" xfId="0" applyFont="1" applyFill="1" applyBorder="1"/>
    <xf numFmtId="168" fontId="12" fillId="4" borderId="20" xfId="0" applyNumberFormat="1" applyFont="1" applyFill="1" applyBorder="1"/>
    <xf numFmtId="170" fontId="12" fillId="4" borderId="15" xfId="0" applyNumberFormat="1" applyFont="1" applyFill="1" applyBorder="1"/>
    <xf numFmtId="167" fontId="12" fillId="8" borderId="16" xfId="0" applyNumberFormat="1" applyFont="1" applyFill="1" applyBorder="1" applyAlignment="1">
      <alignment horizontal="right"/>
    </xf>
    <xf numFmtId="170" fontId="12" fillId="4" borderId="18" xfId="0" applyNumberFormat="1" applyFont="1" applyFill="1" applyBorder="1"/>
    <xf numFmtId="167" fontId="12" fillId="8" borderId="0" xfId="0" applyNumberFormat="1" applyFont="1" applyFill="1" applyAlignment="1">
      <alignment horizontal="right"/>
    </xf>
    <xf numFmtId="164" fontId="19" fillId="4" borderId="18" xfId="0" applyNumberFormat="1" applyFont="1" applyFill="1" applyBorder="1"/>
    <xf numFmtId="164" fontId="12" fillId="4" borderId="0" xfId="0" applyNumberFormat="1" applyFont="1" applyFill="1" applyAlignment="1">
      <alignment horizontal="right"/>
    </xf>
    <xf numFmtId="166" fontId="19" fillId="4" borderId="18" xfId="0" applyNumberFormat="1" applyFont="1" applyFill="1" applyBorder="1"/>
    <xf numFmtId="170" fontId="9" fillId="4" borderId="18" xfId="0" applyNumberFormat="1" applyFont="1" applyFill="1" applyBorder="1"/>
    <xf numFmtId="170" fontId="9" fillId="8" borderId="0" xfId="0" applyNumberFormat="1" applyFont="1" applyFill="1" applyAlignment="1">
      <alignment horizontal="right"/>
    </xf>
    <xf numFmtId="0" fontId="9" fillId="4" borderId="19" xfId="0" applyFont="1" applyFill="1" applyBorder="1"/>
    <xf numFmtId="167" fontId="12" fillId="8" borderId="2" xfId="0" applyNumberFormat="1" applyFont="1" applyFill="1" applyBorder="1" applyAlignment="1">
      <alignment horizontal="right"/>
    </xf>
    <xf numFmtId="0" fontId="14" fillId="3" borderId="0" xfId="0" applyFont="1" applyFill="1" applyAlignment="1">
      <alignment horizontal="center"/>
    </xf>
    <xf numFmtId="168" fontId="12" fillId="4" borderId="7" xfId="0" applyNumberFormat="1" applyFont="1" applyFill="1" applyBorder="1"/>
    <xf numFmtId="170" fontId="16" fillId="0" borderId="0" xfId="0" applyNumberFormat="1" applyFont="1"/>
    <xf numFmtId="168" fontId="36" fillId="0" borderId="0" xfId="0" applyNumberFormat="1" applyFont="1"/>
    <xf numFmtId="164" fontId="37" fillId="4" borderId="6" xfId="0" applyNumberFormat="1" applyFont="1" applyFill="1" applyBorder="1"/>
    <xf numFmtId="168" fontId="37" fillId="4" borderId="7" xfId="0" applyNumberFormat="1" applyFont="1" applyFill="1" applyBorder="1"/>
    <xf numFmtId="0" fontId="37" fillId="4" borderId="8" xfId="0" applyFont="1" applyFill="1" applyBorder="1"/>
    <xf numFmtId="167" fontId="28" fillId="0" borderId="0" xfId="0" applyNumberFormat="1" applyFont="1"/>
    <xf numFmtId="0" fontId="35" fillId="0" borderId="0" xfId="0" applyFont="1" applyAlignment="1">
      <alignment horizontal="left" indent="1"/>
    </xf>
    <xf numFmtId="164" fontId="37" fillId="4" borderId="3" xfId="0" applyNumberFormat="1" applyFont="1" applyFill="1" applyBorder="1"/>
    <xf numFmtId="168" fontId="37" fillId="4" borderId="4" xfId="0" applyNumberFormat="1" applyFont="1" applyFill="1" applyBorder="1"/>
    <xf numFmtId="0" fontId="37" fillId="4" borderId="5" xfId="0" applyFont="1" applyFill="1" applyBorder="1"/>
    <xf numFmtId="168" fontId="28" fillId="0" borderId="0" xfId="0" applyNumberFormat="1" applyFont="1"/>
    <xf numFmtId="167" fontId="9" fillId="0" borderId="2" xfId="0" applyNumberFormat="1" applyFont="1" applyBorder="1"/>
    <xf numFmtId="0" fontId="9" fillId="0" borderId="2" xfId="0" applyFont="1" applyBorder="1"/>
    <xf numFmtId="167" fontId="36" fillId="4" borderId="15" xfId="0" applyNumberFormat="1" applyFont="1" applyFill="1" applyBorder="1"/>
    <xf numFmtId="0" fontId="9" fillId="4" borderId="17" xfId="0" applyFont="1" applyFill="1" applyBorder="1"/>
    <xf numFmtId="168" fontId="20" fillId="4" borderId="18" xfId="0" applyNumberFormat="1" applyFont="1" applyFill="1" applyBorder="1"/>
    <xf numFmtId="167" fontId="20" fillId="4" borderId="18" xfId="0" applyNumberFormat="1" applyFont="1" applyFill="1" applyBorder="1"/>
    <xf numFmtId="167" fontId="4" fillId="4" borderId="20" xfId="0" applyNumberFormat="1" applyFont="1" applyFill="1" applyBorder="1"/>
    <xf numFmtId="0" fontId="3" fillId="0" borderId="0" xfId="0" applyFont="1"/>
    <xf numFmtId="166" fontId="10" fillId="0" borderId="0" xfId="0" applyNumberFormat="1" applyFont="1"/>
    <xf numFmtId="168" fontId="4" fillId="4" borderId="15" xfId="0" applyNumberFormat="1" applyFont="1" applyFill="1" applyBorder="1"/>
    <xf numFmtId="167" fontId="12" fillId="4" borderId="20" xfId="0" applyNumberFormat="1" applyFont="1" applyFill="1" applyBorder="1"/>
    <xf numFmtId="170" fontId="21" fillId="0" borderId="0" xfId="0" applyNumberFormat="1" applyFont="1" applyAlignment="1">
      <alignment horizontal="right"/>
    </xf>
    <xf numFmtId="0" fontId="21" fillId="0" borderId="0" xfId="0" applyFont="1"/>
    <xf numFmtId="170" fontId="21" fillId="4" borderId="9" xfId="0" applyNumberFormat="1" applyFont="1" applyFill="1" applyBorder="1" applyAlignment="1">
      <alignment horizontal="right"/>
    </xf>
    <xf numFmtId="0" fontId="21" fillId="4" borderId="11" xfId="0" applyFont="1" applyFill="1" applyBorder="1"/>
    <xf numFmtId="167" fontId="20" fillId="4" borderId="20" xfId="0" applyNumberFormat="1" applyFont="1" applyFill="1" applyBorder="1"/>
    <xf numFmtId="171" fontId="9" fillId="0" borderId="0" xfId="0" applyNumberFormat="1" applyFont="1"/>
    <xf numFmtId="167" fontId="13" fillId="0" borderId="22" xfId="0" applyNumberFormat="1" applyFont="1" applyBorder="1" applyAlignment="1">
      <alignment horizontal="center"/>
    </xf>
    <xf numFmtId="0" fontId="9" fillId="0" borderId="16" xfId="0" applyFont="1" applyBorder="1"/>
    <xf numFmtId="0" fontId="37" fillId="0" borderId="0" xfId="0" applyFont="1"/>
    <xf numFmtId="168" fontId="37" fillId="4" borderId="6" xfId="0" applyNumberFormat="1" applyFont="1" applyFill="1" applyBorder="1"/>
    <xf numFmtId="168" fontId="37" fillId="0" borderId="2" xfId="0" applyNumberFormat="1" applyFont="1" applyBorder="1"/>
    <xf numFmtId="0" fontId="37" fillId="0" borderId="2" xfId="0" applyFont="1" applyBorder="1"/>
    <xf numFmtId="175" fontId="35" fillId="0" borderId="0" xfId="0" applyNumberFormat="1" applyFont="1"/>
    <xf numFmtId="175" fontId="24" fillId="0" borderId="0" xfId="0" applyNumberFormat="1" applyFont="1"/>
    <xf numFmtId="176" fontId="35" fillId="0" borderId="0" xfId="0" applyNumberFormat="1" applyFont="1"/>
    <xf numFmtId="167" fontId="25" fillId="0" borderId="2" xfId="0" applyNumberFormat="1" applyFont="1" applyBorder="1"/>
    <xf numFmtId="0" fontId="25" fillId="0" borderId="2" xfId="0" applyFont="1" applyBorder="1"/>
    <xf numFmtId="167" fontId="25" fillId="0" borderId="6" xfId="0" applyNumberFormat="1" applyFont="1" applyBorder="1"/>
    <xf numFmtId="0" fontId="25" fillId="0" borderId="8" xfId="0" applyFont="1" applyBorder="1"/>
    <xf numFmtId="0" fontId="23" fillId="0" borderId="0" xfId="0" applyFont="1" applyAlignment="1">
      <alignment horizontal="left" indent="1"/>
    </xf>
    <xf numFmtId="164" fontId="28" fillId="0" borderId="0" xfId="0" applyNumberFormat="1" applyFont="1"/>
    <xf numFmtId="0" fontId="37" fillId="4" borderId="7" xfId="0" applyFont="1" applyFill="1" applyBorder="1"/>
    <xf numFmtId="169" fontId="24" fillId="0" borderId="0" xfId="0" applyNumberFormat="1" applyFont="1"/>
    <xf numFmtId="169" fontId="35" fillId="0" borderId="0" xfId="0" applyNumberFormat="1" applyFont="1"/>
    <xf numFmtId="170" fontId="35" fillId="0" borderId="0" xfId="0" applyNumberFormat="1" applyFont="1"/>
    <xf numFmtId="173" fontId="16" fillId="0" borderId="0" xfId="0" applyNumberFormat="1" applyFont="1"/>
    <xf numFmtId="173" fontId="9" fillId="0" borderId="0" xfId="0" applyNumberFormat="1" applyFont="1"/>
    <xf numFmtId="166" fontId="28" fillId="0" borderId="0" xfId="0" applyNumberFormat="1" applyFont="1"/>
    <xf numFmtId="166" fontId="23" fillId="0" borderId="0" xfId="0" applyNumberFormat="1" applyFont="1"/>
    <xf numFmtId="170" fontId="17" fillId="0" borderId="2" xfId="0" applyNumberFormat="1" applyFont="1" applyBorder="1"/>
    <xf numFmtId="168" fontId="25" fillId="0" borderId="2" xfId="0" applyNumberFormat="1" applyFont="1" applyBorder="1"/>
    <xf numFmtId="169" fontId="37" fillId="4" borderId="6" xfId="0" applyNumberFormat="1" applyFont="1" applyFill="1" applyBorder="1"/>
    <xf numFmtId="0" fontId="37" fillId="0" borderId="2" xfId="0" applyFont="1" applyBorder="1" applyAlignment="1">
      <alignment horizontal="left"/>
    </xf>
    <xf numFmtId="164" fontId="24" fillId="0" borderId="0" xfId="0" applyNumberFormat="1" applyFont="1"/>
    <xf numFmtId="164" fontId="37" fillId="0" borderId="0" xfId="0" applyNumberFormat="1" applyFont="1"/>
    <xf numFmtId="164" fontId="37" fillId="4" borderId="15" xfId="0" applyNumberFormat="1" applyFont="1" applyFill="1" applyBorder="1"/>
    <xf numFmtId="0" fontId="37" fillId="4" borderId="17" xfId="0" applyFont="1" applyFill="1" applyBorder="1"/>
    <xf numFmtId="169" fontId="37" fillId="4" borderId="18" xfId="0" applyNumberFormat="1" applyFont="1" applyFill="1" applyBorder="1"/>
    <xf numFmtId="0" fontId="37" fillId="4" borderId="19" xfId="0" applyFont="1" applyFill="1" applyBorder="1"/>
    <xf numFmtId="168" fontId="37" fillId="4" borderId="20" xfId="0" applyNumberFormat="1" applyFont="1" applyFill="1" applyBorder="1"/>
    <xf numFmtId="0" fontId="37" fillId="4" borderId="21" xfId="0" applyFont="1" applyFill="1" applyBorder="1"/>
    <xf numFmtId="164" fontId="37" fillId="4" borderId="16" xfId="0" applyNumberFormat="1" applyFont="1" applyFill="1" applyBorder="1" applyAlignment="1">
      <alignment horizontal="right"/>
    </xf>
    <xf numFmtId="164" fontId="12" fillId="4" borderId="18" xfId="0" applyNumberFormat="1" applyFont="1" applyFill="1" applyBorder="1"/>
    <xf numFmtId="164" fontId="37" fillId="4" borderId="0" xfId="0" applyNumberFormat="1" applyFont="1" applyFill="1" applyAlignment="1">
      <alignment horizontal="right"/>
    </xf>
    <xf numFmtId="164" fontId="38" fillId="4" borderId="18" xfId="0" applyNumberFormat="1" applyFont="1" applyFill="1" applyBorder="1"/>
    <xf numFmtId="166" fontId="38" fillId="4" borderId="18" xfId="0" applyNumberFormat="1" applyFont="1" applyFill="1" applyBorder="1"/>
    <xf numFmtId="170" fontId="39" fillId="4" borderId="18" xfId="0" applyNumberFormat="1" applyFont="1" applyFill="1" applyBorder="1"/>
    <xf numFmtId="0" fontId="39" fillId="4" borderId="19" xfId="0" applyFont="1" applyFill="1" applyBorder="1"/>
    <xf numFmtId="168" fontId="37" fillId="4" borderId="2" xfId="0" applyNumberFormat="1" applyFont="1" applyFill="1" applyBorder="1" applyAlignment="1">
      <alignment horizontal="right"/>
    </xf>
    <xf numFmtId="0" fontId="39" fillId="0" borderId="0" xfId="0" applyFont="1"/>
    <xf numFmtId="164" fontId="37" fillId="0" borderId="13" xfId="0" applyNumberFormat="1" applyFont="1" applyBorder="1"/>
    <xf numFmtId="168" fontId="37" fillId="0" borderId="13" xfId="0" applyNumberFormat="1" applyFont="1" applyBorder="1"/>
    <xf numFmtId="0" fontId="37" fillId="0" borderId="13" xfId="0" applyFont="1" applyBorder="1"/>
    <xf numFmtId="0" fontId="40" fillId="0" borderId="0" xfId="0" applyFont="1"/>
    <xf numFmtId="168" fontId="40" fillId="0" borderId="0" xfId="0" applyNumberFormat="1" applyFont="1"/>
    <xf numFmtId="167" fontId="35" fillId="0" borderId="2" xfId="0" applyNumberFormat="1" applyFont="1" applyBorder="1"/>
    <xf numFmtId="0" fontId="35" fillId="0" borderId="2" xfId="0" applyFont="1" applyBorder="1"/>
    <xf numFmtId="167" fontId="41" fillId="4" borderId="15" xfId="0" applyNumberFormat="1" applyFont="1" applyFill="1" applyBorder="1"/>
    <xf numFmtId="0" fontId="21" fillId="4" borderId="17" xfId="0" applyFont="1" applyFill="1" applyBorder="1"/>
    <xf numFmtId="170" fontId="41" fillId="4" borderId="15" xfId="0" applyNumberFormat="1" applyFont="1" applyFill="1" applyBorder="1"/>
    <xf numFmtId="0" fontId="21" fillId="0" borderId="16" xfId="0" applyFont="1" applyBorder="1"/>
    <xf numFmtId="0" fontId="23" fillId="3" borderId="0" xfId="0" applyFont="1" applyFill="1"/>
    <xf numFmtId="0" fontId="23" fillId="5" borderId="0" xfId="0" applyFont="1" applyFill="1"/>
    <xf numFmtId="0" fontId="23" fillId="0" borderId="2" xfId="0" applyFont="1" applyBorder="1"/>
    <xf numFmtId="167" fontId="24" fillId="0" borderId="2" xfId="0" applyNumberFormat="1" applyFont="1" applyBorder="1" applyAlignment="1">
      <alignment horizontal="right"/>
    </xf>
    <xf numFmtId="0" fontId="2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116609</xdr:colOff>
      <xdr:row>32</xdr:row>
      <xdr:rowOff>129687</xdr:rowOff>
    </xdr:from>
    <xdr:ext cx="2284939" cy="765663"/>
    <xdr:pic>
      <xdr:nvPicPr>
        <xdr:cNvPr id="2" name="Picture 1">
          <a:extLst>
            <a:ext uri="{FF2B5EF4-FFF2-40B4-BE49-F238E27FC236}">
              <a16:creationId xmlns:a16="http://schemas.microsoft.com/office/drawing/2014/main" id="{35F8DE8D-CB7D-4501-8AB8-7694A918D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1409" y="6225687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371475</xdr:colOff>
      <xdr:row>7</xdr:row>
      <xdr:rowOff>180974</xdr:rowOff>
    </xdr:from>
    <xdr:ext cx="3124200" cy="2447925"/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39F44D0F-41A9-4A7B-A4DF-4B5224279B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5239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2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F3899D-C331-4903-B3E4-DF09BD30136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524c1c4-c01e-4d83-bbf8-eadb056a1ee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F7FF-9E12-4DF7-BB2D-BB171AE92286}">
  <sheetPr>
    <pageSetUpPr fitToPage="1"/>
  </sheetPr>
  <dimension ref="B2:Q39"/>
  <sheetViews>
    <sheetView showGridLines="0" tabSelected="1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25">
      <c r="B11" s="3"/>
      <c r="C11" s="3"/>
      <c r="D11" s="3"/>
      <c r="E11" s="3"/>
      <c r="F11" s="3"/>
      <c r="G11" s="3"/>
      <c r="H11" s="3"/>
      <c r="J11" s="3"/>
      <c r="K11" s="3"/>
      <c r="L11" s="3"/>
      <c r="M11" s="3"/>
      <c r="N11" s="3"/>
      <c r="O11" s="3"/>
      <c r="P11" s="3"/>
      <c r="Q11" s="3"/>
    </row>
    <row r="12" spans="2:17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25">
      <c r="B14" s="3"/>
      <c r="C14" s="3"/>
      <c r="D14" s="3"/>
      <c r="E14" s="3"/>
      <c r="F14" s="3"/>
      <c r="G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25"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</row>
    <row r="17" spans="2:17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5"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  <c r="P23" s="3"/>
      <c r="Q23" s="3"/>
    </row>
    <row r="24" spans="2:17" ht="33.75" x14ac:dyDescent="0.5">
      <c r="B24" s="329" t="s">
        <v>0</v>
      </c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</row>
    <row r="25" spans="2:17" ht="25.5" x14ac:dyDescent="0.25">
      <c r="B25" s="331" t="s">
        <v>595</v>
      </c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0"/>
      <c r="Q25" s="330"/>
    </row>
    <row r="26" spans="2:17" ht="23.25" x14ac:dyDescent="0.35">
      <c r="B26" s="332" t="str">
        <f ca="1">"As of "&amp;TEXT(TODAY(),"mm/dd/yy")</f>
        <v>As of 09/24/26</v>
      </c>
      <c r="C26" s="330"/>
      <c r="D26" s="330"/>
      <c r="E26" s="330"/>
      <c r="F26" s="330"/>
      <c r="G26" s="330"/>
      <c r="H26" s="330"/>
      <c r="I26" s="330"/>
      <c r="J26" s="330"/>
      <c r="K26" s="330"/>
      <c r="L26" s="330"/>
      <c r="M26" s="330"/>
      <c r="N26" s="330"/>
      <c r="O26" s="330"/>
      <c r="P26" s="330"/>
      <c r="Q26" s="330"/>
    </row>
    <row r="27" spans="2:17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25"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3"/>
      <c r="P28" s="3"/>
      <c r="Q28" s="3"/>
    </row>
    <row r="29" spans="2:1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2:17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2:17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2:17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2:17" ht="15.75" thickBo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2:17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5405-A9D1-44B3-971A-5729FA2DB385}">
  <sheetPr>
    <pageSetUpPr fitToPage="1"/>
  </sheetPr>
  <dimension ref="A1:Q162"/>
  <sheetViews>
    <sheetView showGridLines="0" view="pageBreakPreview" topLeftCell="A7" zoomScale="145" zoomScaleNormal="100" zoomScaleSheetLayoutView="145" workbookViewId="0">
      <selection activeCell="I4" sqref="I4"/>
    </sheetView>
  </sheetViews>
  <sheetFormatPr defaultRowHeight="15" x14ac:dyDescent="0.25"/>
  <cols>
    <col min="1" max="1" width="1.28515625" customWidth="1"/>
    <col min="2" max="2" width="51.42578125" customWidth="1"/>
    <col min="3" max="3" width="12.28515625" bestFit="1" customWidth="1"/>
    <col min="4" max="4" width="11.7109375" bestFit="1" customWidth="1"/>
    <col min="5" max="5" width="9.140625" bestFit="1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 x14ac:dyDescent="0.25">
      <c r="A1" s="5"/>
      <c r="B1" s="5"/>
      <c r="C1" s="5"/>
      <c r="D1" s="5"/>
      <c r="E1" s="5"/>
      <c r="F1" s="5"/>
      <c r="G1" s="5"/>
      <c r="H1" s="5"/>
      <c r="I1" s="5"/>
    </row>
    <row r="2" spans="1:17" ht="16.5" x14ac:dyDescent="0.25">
      <c r="A2" s="5"/>
      <c r="B2" s="120" t="str">
        <f>Cover!$B$24</f>
        <v>Keystone Bookkeepers</v>
      </c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</row>
    <row r="3" spans="1:17" x14ac:dyDescent="0.25">
      <c r="A3" s="5"/>
      <c r="B3" s="119" t="s">
        <v>173</v>
      </c>
      <c r="C3" s="118"/>
      <c r="D3" s="118"/>
      <c r="E3" s="118"/>
      <c r="F3" s="5"/>
      <c r="G3" s="5"/>
      <c r="H3" s="5" t="s">
        <v>172</v>
      </c>
      <c r="I3" s="117">
        <v>0</v>
      </c>
      <c r="J3" s="3"/>
      <c r="K3" s="3"/>
      <c r="L3" s="3"/>
      <c r="M3" s="3"/>
      <c r="N3" s="3"/>
      <c r="O3" s="3"/>
      <c r="P3" s="3"/>
      <c r="Q3" s="3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  <c r="M4" s="3"/>
      <c r="N4" s="3"/>
      <c r="O4" s="3"/>
      <c r="P4" s="3"/>
      <c r="Q4" s="3"/>
    </row>
    <row r="5" spans="1:17" x14ac:dyDescent="0.25">
      <c r="A5" s="5"/>
      <c r="B5" s="116" t="s">
        <v>171</v>
      </c>
      <c r="C5" s="73" t="s">
        <v>8</v>
      </c>
      <c r="D5" s="73" t="s">
        <v>7</v>
      </c>
      <c r="E5" s="72" t="s">
        <v>6</v>
      </c>
      <c r="F5" s="5"/>
      <c r="G5" s="97" t="s">
        <v>170</v>
      </c>
      <c r="H5" s="5"/>
      <c r="I5" s="5"/>
      <c r="J5" s="3"/>
      <c r="K5" s="3"/>
      <c r="L5" s="3"/>
      <c r="M5" s="3"/>
      <c r="N5" s="3"/>
      <c r="O5" s="3"/>
      <c r="P5" s="3"/>
      <c r="Q5" s="3"/>
    </row>
    <row r="6" spans="1:17" ht="2.1" customHeight="1" x14ac:dyDescent="0.25">
      <c r="A6" s="5"/>
      <c r="E6" s="11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</row>
    <row r="7" spans="1:17" x14ac:dyDescent="0.25">
      <c r="A7" s="5"/>
      <c r="B7" s="5" t="s">
        <v>169</v>
      </c>
      <c r="C7" s="114">
        <v>5</v>
      </c>
      <c r="D7" s="46">
        <f>C7</f>
        <v>5</v>
      </c>
      <c r="E7" s="14">
        <f t="shared" ref="E7:E15" si="0">C7-D7</f>
        <v>0</v>
      </c>
      <c r="F7" s="5"/>
      <c r="G7" s="5" t="s">
        <v>157</v>
      </c>
      <c r="H7" s="5"/>
      <c r="I7" s="5"/>
      <c r="J7" s="3"/>
      <c r="K7" s="3"/>
      <c r="L7" s="3"/>
      <c r="M7" s="3"/>
      <c r="N7" s="3"/>
      <c r="O7" s="3"/>
      <c r="P7" s="3"/>
      <c r="Q7" s="3"/>
    </row>
    <row r="8" spans="1:17" x14ac:dyDescent="0.25">
      <c r="A8" s="5"/>
      <c r="B8" s="5" t="s">
        <v>168</v>
      </c>
      <c r="C8" s="113">
        <v>0.05</v>
      </c>
      <c r="D8" s="69">
        <f>C8</f>
        <v>0.05</v>
      </c>
      <c r="E8" s="18">
        <f t="shared" si="0"/>
        <v>0</v>
      </c>
      <c r="F8" s="5"/>
      <c r="G8" s="5" t="s">
        <v>157</v>
      </c>
      <c r="H8" s="5"/>
      <c r="I8" s="5"/>
      <c r="J8" s="3"/>
      <c r="K8" s="3"/>
      <c r="L8" s="3"/>
      <c r="M8" s="3"/>
      <c r="N8" s="3"/>
      <c r="O8" s="3"/>
      <c r="P8" s="3"/>
      <c r="Q8" s="3"/>
    </row>
    <row r="9" spans="1:17" x14ac:dyDescent="0.25">
      <c r="A9" s="5"/>
      <c r="B9" s="5" t="s">
        <v>167</v>
      </c>
      <c r="C9" s="28">
        <v>60000</v>
      </c>
      <c r="D9" s="87">
        <f>C9</f>
        <v>60000</v>
      </c>
      <c r="E9" s="15">
        <f t="shared" si="0"/>
        <v>0</v>
      </c>
      <c r="F9" s="5"/>
      <c r="G9" s="5" t="s">
        <v>166</v>
      </c>
      <c r="H9" s="5"/>
      <c r="I9" s="5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5"/>
      <c r="B10" s="5" t="str">
        <f>"Topkey "&amp;$C$7&amp;"-Year Valuation Growth (ex-Keystone)"</f>
        <v>Topkey 5-Year Valuation Growth (ex-Keystone)</v>
      </c>
      <c r="C10" s="19">
        <f>'Partnership Analysis'!$C$19</f>
        <v>2.0219039595619215</v>
      </c>
      <c r="D10" s="19">
        <f>'100% Buyout Analysis'!$C$18</f>
        <v>2.0084033613445382</v>
      </c>
      <c r="E10" s="18">
        <f t="shared" si="0"/>
        <v>1.3500598217383253E-2</v>
      </c>
      <c r="F10" s="5"/>
      <c r="G10" s="5" t="s">
        <v>165</v>
      </c>
      <c r="H10" s="5"/>
      <c r="I10" s="5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5"/>
      <c r="B11" s="5" t="s">
        <v>164</v>
      </c>
      <c r="C11" s="18">
        <f>IFERROR('Partnership Analysis'!$C$28/'Partnership Analysis'!$C$45,0)</f>
        <v>0.99837391551943944</v>
      </c>
      <c r="D11" s="18">
        <f>IFERROR('100% Buyout Analysis'!$C$27/'100% Buyout Analysis'!$C$44,0)</f>
        <v>0.99837391551943944</v>
      </c>
      <c r="E11" s="18">
        <f t="shared" si="0"/>
        <v>0</v>
      </c>
      <c r="F11" s="5"/>
      <c r="G11" s="5" t="s">
        <v>163</v>
      </c>
      <c r="H11" s="5"/>
      <c r="I11" s="5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5"/>
      <c r="B12" s="5" t="s">
        <v>162</v>
      </c>
      <c r="C12" s="18">
        <f>IFERROR('Partnership Analysis'!$C$40/'Partnership Analysis'!$C$45,0)</f>
        <v>1.3311652206925859</v>
      </c>
      <c r="D12" s="18">
        <f>IFERROR('100% Buyout Analysis'!$C$39/'100% Buyout Analysis'!$C$44,0)</f>
        <v>1.3311652206925859</v>
      </c>
      <c r="E12" s="18">
        <f t="shared" si="0"/>
        <v>0</v>
      </c>
      <c r="F12" s="5"/>
      <c r="G12" s="5" t="s">
        <v>161</v>
      </c>
      <c r="H12" s="5"/>
      <c r="I12" s="5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5"/>
      <c r="B13" s="5" t="s">
        <v>160</v>
      </c>
      <c r="C13" s="112">
        <v>1</v>
      </c>
      <c r="D13" s="67">
        <f>C13</f>
        <v>1</v>
      </c>
      <c r="E13" s="13">
        <f t="shared" si="0"/>
        <v>0</v>
      </c>
      <c r="F13" s="5"/>
      <c r="G13" s="5" t="s">
        <v>157</v>
      </c>
      <c r="H13" s="5"/>
      <c r="I13" s="5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5"/>
      <c r="B14" s="5" t="s">
        <v>159</v>
      </c>
      <c r="C14" s="112">
        <v>1.25</v>
      </c>
      <c r="D14" s="67">
        <f>C14</f>
        <v>1.25</v>
      </c>
      <c r="E14" s="13">
        <f t="shared" si="0"/>
        <v>0</v>
      </c>
      <c r="F14" s="5"/>
      <c r="G14" s="5" t="s">
        <v>157</v>
      </c>
      <c r="H14" s="5"/>
      <c r="I14" s="5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5"/>
      <c r="B15" s="5" t="s">
        <v>158</v>
      </c>
      <c r="C15" s="112">
        <v>2</v>
      </c>
      <c r="D15" s="67">
        <f>C15</f>
        <v>2</v>
      </c>
      <c r="E15" s="13">
        <f t="shared" si="0"/>
        <v>0</v>
      </c>
      <c r="F15" s="5"/>
      <c r="G15" s="5" t="s">
        <v>157</v>
      </c>
      <c r="H15" s="5"/>
      <c r="I15" s="5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5"/>
      <c r="B16" s="107" t="s">
        <v>156</v>
      </c>
      <c r="C16" s="106"/>
      <c r="D16" s="106"/>
      <c r="E16" s="106"/>
      <c r="F16" s="5"/>
      <c r="G16" s="5"/>
    </row>
    <row r="17" spans="1:17" x14ac:dyDescent="0.25">
      <c r="A17" s="5"/>
      <c r="B17" s="5" t="s">
        <v>139</v>
      </c>
      <c r="C17" s="111">
        <v>0.3</v>
      </c>
      <c r="D17" s="111">
        <v>0</v>
      </c>
      <c r="E17" s="18">
        <f>C17-D17</f>
        <v>0.3</v>
      </c>
      <c r="F17" s="5"/>
      <c r="G17" s="5" t="str">
        <f>"Input — share of Keystone Ben keeps ("&amp;"Partnership "&amp;TEXT(C17,"0%")&amp;"; "&amp;"Buyout "&amp;TEXT(D17,"0%")&amp;" = Topkey "&amp;"acquires "&amp;TEXT(1-D17,"0%")&amp;")"</f>
        <v>Input — share of Keystone Ben keeps (Partnership 30%; Buyout 0% = Topkey acquires 100%)</v>
      </c>
    </row>
    <row r="18" spans="1:17" x14ac:dyDescent="0.25">
      <c r="A18" s="5"/>
      <c r="B18" s="5" t="s">
        <v>155</v>
      </c>
      <c r="C18" s="110">
        <v>261</v>
      </c>
      <c r="D18" s="104">
        <f>C18</f>
        <v>261</v>
      </c>
      <c r="E18" s="15">
        <f>C18-D18</f>
        <v>0</v>
      </c>
      <c r="F18" s="5"/>
      <c r="G18" s="5" t="s">
        <v>154</v>
      </c>
    </row>
    <row r="19" spans="1:17" x14ac:dyDescent="0.25">
      <c r="A19" s="5"/>
      <c r="B19" s="5" t="s">
        <v>153</v>
      </c>
      <c r="C19" s="101">
        <v>325</v>
      </c>
      <c r="D19" s="100">
        <f>C19</f>
        <v>325</v>
      </c>
      <c r="E19" s="14">
        <f>C19-D19</f>
        <v>0</v>
      </c>
      <c r="F19" s="5"/>
      <c r="G19" s="5" t="s">
        <v>152</v>
      </c>
    </row>
    <row r="20" spans="1:17" x14ac:dyDescent="0.25">
      <c r="A20" s="5"/>
      <c r="B20" s="5" t="s">
        <v>151</v>
      </c>
      <c r="C20" s="101">
        <v>130</v>
      </c>
      <c r="D20" s="100">
        <f>C20</f>
        <v>130</v>
      </c>
      <c r="E20" s="14">
        <f>C20-D20</f>
        <v>0</v>
      </c>
      <c r="F20" s="5"/>
      <c r="G20" s="5" t="s">
        <v>150</v>
      </c>
    </row>
    <row r="21" spans="1:17" x14ac:dyDescent="0.25">
      <c r="A21" s="5"/>
      <c r="B21" s="107" t="s">
        <v>149</v>
      </c>
      <c r="C21" s="106"/>
      <c r="D21" s="106"/>
      <c r="E21" s="106"/>
      <c r="F21" s="5"/>
      <c r="G21" s="5"/>
    </row>
    <row r="22" spans="1:17" x14ac:dyDescent="0.25">
      <c r="A22" s="5"/>
      <c r="B22" s="5" t="s">
        <v>148</v>
      </c>
      <c r="C22" s="108">
        <f>$C$156</f>
        <v>16.6314729943503</v>
      </c>
      <c r="D22" s="108">
        <f>C22</f>
        <v>16.6314729943503</v>
      </c>
      <c r="E22" s="68">
        <f>C22-D22</f>
        <v>0</v>
      </c>
      <c r="F22" s="5"/>
      <c r="G22" s="5" t="str">
        <f>"Linked to Avg. Revenue Per Client — Sep'26 input ("&amp;ADDRESS(ROW(C156),COLUMN(C156),4)&amp;"; from Steady-State Staffing AB8, v49); drives both tabs (D = C)"</f>
        <v>Linked to Avg. Revenue Per Client — Sep'26 input (C156; from Steady-State Staffing AB8, v49); drives both tabs (D = C)</v>
      </c>
    </row>
    <row r="23" spans="1:17" x14ac:dyDescent="0.25">
      <c r="A23" s="5"/>
      <c r="B23" s="5" t="s">
        <v>147</v>
      </c>
      <c r="C23" s="103">
        <v>3</v>
      </c>
      <c r="D23" s="102">
        <f>C23</f>
        <v>3</v>
      </c>
      <c r="E23" s="12">
        <f>C23-D23</f>
        <v>0</v>
      </c>
      <c r="F23" s="5"/>
      <c r="G23" s="5" t="str">
        <f>"Input — drives Partnership and Buyout tabs (D = C). AMB target pace; LTM actual is "&amp;TEXT(C160+C161,"0")&amp;"/yr (~"&amp;TEXT((C160+C161)/12,"0.0")&amp;"/month)"</f>
        <v>Input — drives Partnership and Buyout tabs (D = C). AMB target pace; LTM actual is 26/yr (~2.2/month)</v>
      </c>
    </row>
    <row r="24" spans="1:17" x14ac:dyDescent="0.25">
      <c r="A24" s="5"/>
      <c r="B24" s="107" t="s">
        <v>146</v>
      </c>
      <c r="C24" s="106"/>
      <c r="D24" s="106"/>
      <c r="E24" s="106"/>
      <c r="F24" s="5"/>
      <c r="G24" s="5"/>
    </row>
    <row r="25" spans="1:17" x14ac:dyDescent="0.25">
      <c r="A25" s="5"/>
      <c r="B25" s="5" t="s">
        <v>145</v>
      </c>
      <c r="C25" s="105">
        <v>240</v>
      </c>
      <c r="D25" s="104">
        <f>C25</f>
        <v>240</v>
      </c>
      <c r="E25" s="15">
        <f>C25-D25</f>
        <v>0</v>
      </c>
      <c r="F25" s="5"/>
      <c r="G25" s="5" t="s">
        <v>144</v>
      </c>
    </row>
    <row r="26" spans="1:17" x14ac:dyDescent="0.25">
      <c r="A26" s="5"/>
      <c r="B26" s="5" t="s">
        <v>143</v>
      </c>
      <c r="C26" s="101">
        <v>12</v>
      </c>
      <c r="D26" s="100">
        <f>C26</f>
        <v>12</v>
      </c>
      <c r="E26" s="14">
        <f>C26-D26</f>
        <v>0</v>
      </c>
      <c r="F26" s="5"/>
      <c r="G26" s="5" t="s">
        <v>142</v>
      </c>
    </row>
    <row r="27" spans="1:17" ht="3.95" customHeight="1" x14ac:dyDescent="0.25">
      <c r="A27" s="5"/>
      <c r="B27" s="5"/>
      <c r="C27" s="16"/>
      <c r="D27" s="16"/>
      <c r="E27" s="16"/>
      <c r="F27" s="5"/>
      <c r="G27" s="5"/>
      <c r="H27" s="5"/>
      <c r="I27" s="5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5"/>
      <c r="B28" s="10" t="s">
        <v>141</v>
      </c>
      <c r="C28" s="9" t="s">
        <v>8</v>
      </c>
      <c r="D28" s="9" t="s">
        <v>7</v>
      </c>
      <c r="E28" s="8" t="s">
        <v>6</v>
      </c>
      <c r="F28" s="5"/>
      <c r="G28" s="5"/>
      <c r="H28" s="5"/>
      <c r="I28" s="5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5"/>
      <c r="B29" s="5" t="s">
        <v>140</v>
      </c>
      <c r="C29" s="22">
        <f>'Partnership Analysis'!$C$173</f>
        <v>3000</v>
      </c>
      <c r="D29" s="22">
        <f>'100% Buyout Analysis'!$C$164</f>
        <v>3000</v>
      </c>
      <c r="E29" s="15">
        <f t="shared" ref="E29:E36" si="1">C29-D29</f>
        <v>0</v>
      </c>
      <c r="F29" s="5"/>
      <c r="G29" s="5"/>
      <c r="H29" s="5"/>
      <c r="I29" s="5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5"/>
      <c r="B30" s="5" t="s">
        <v>139</v>
      </c>
      <c r="C30" s="69">
        <f>C17</f>
        <v>0.3</v>
      </c>
      <c r="D30" s="69">
        <f>D17</f>
        <v>0</v>
      </c>
      <c r="E30" s="18">
        <f t="shared" si="1"/>
        <v>0.3</v>
      </c>
      <c r="F30" s="5"/>
      <c r="G30" s="5" t="str">
        <f>"Linked to Ben's Rollover % input (row "&amp;ROW($B$17)&amp;")"</f>
        <v>Linked to Ben's Rollover % input (row 17)</v>
      </c>
      <c r="H30" s="5"/>
      <c r="I30" s="5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5"/>
      <c r="B31" s="5" t="s">
        <v>106</v>
      </c>
      <c r="C31" s="19">
        <f>'Partnership Analysis'!$C$175</f>
        <v>0.7</v>
      </c>
      <c r="D31" s="19">
        <f>'100% Buyout Analysis'!$C$94</f>
        <v>1</v>
      </c>
      <c r="E31" s="18">
        <f t="shared" si="1"/>
        <v>-0.30000000000000004</v>
      </c>
      <c r="F31" s="5"/>
      <c r="G31" s="5"/>
      <c r="H31" s="5"/>
      <c r="I31" s="5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5"/>
      <c r="B32" s="5" t="s">
        <v>138</v>
      </c>
      <c r="C32" s="20">
        <f>'Partnership Analysis'!$C$176</f>
        <v>2100</v>
      </c>
      <c r="D32" s="20">
        <f>'100% Buyout Analysis'!$C$164</f>
        <v>3000</v>
      </c>
      <c r="E32" s="14">
        <f t="shared" si="1"/>
        <v>-900</v>
      </c>
      <c r="F32" s="5"/>
      <c r="G32" s="5"/>
      <c r="H32" s="5"/>
      <c r="I32" s="5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5"/>
      <c r="B33" s="99" t="s">
        <v>129</v>
      </c>
      <c r="C33" s="22">
        <f>'Partnership Analysis'!$C$177</f>
        <v>650</v>
      </c>
      <c r="D33" s="22">
        <f>'100% Buyout Analysis'!$C$165</f>
        <v>500</v>
      </c>
      <c r="E33" s="15">
        <f t="shared" si="1"/>
        <v>150</v>
      </c>
      <c r="F33" s="5"/>
      <c r="G33" s="5" t="str">
        <f>"Partnership cash of "&amp;TEXT(C33,"$#,##0")&amp;"K"&amp;" is set to cover Ben's tax situation"</f>
        <v>Partnership cash of $650K is set to cover Ben's tax situation</v>
      </c>
      <c r="H33" s="5"/>
      <c r="I33" s="5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5"/>
      <c r="B34" s="27" t="s">
        <v>137</v>
      </c>
      <c r="C34" s="20">
        <f>'Partnership Analysis'!$C$178</f>
        <v>1450</v>
      </c>
      <c r="D34" s="20">
        <f>'100% Buyout Analysis'!$C$166</f>
        <v>2500</v>
      </c>
      <c r="E34" s="14">
        <f t="shared" si="1"/>
        <v>-1050</v>
      </c>
      <c r="F34" s="5"/>
      <c r="G34" s="5"/>
      <c r="H34" s="5"/>
      <c r="I34" s="5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5"/>
      <c r="B35" s="27" t="s">
        <v>136</v>
      </c>
      <c r="C35" s="20">
        <f>'Partnership Analysis'!$C$56</f>
        <v>0</v>
      </c>
      <c r="D35" s="20">
        <f>'100% Buyout Analysis'!$C$55</f>
        <v>500</v>
      </c>
      <c r="E35" s="14">
        <f t="shared" si="1"/>
        <v>-500</v>
      </c>
      <c r="F35" s="5"/>
      <c r="G35" s="5" t="str">
        <f>"Buyout: "&amp;TEXT('100% Buyout Analysis'!C49,"$#,##0")&amp;"K target"&amp;", capped at "&amp;TEXT('100% Buyout Analysis'!C53,"$#,##0")&amp;"K"&amp;" ("&amp;TEXT('100% Buyout Analysis'!C51,"0%")&amp;" of target"&amp;"). Partnership: no earnout"</f>
        <v>Buyout: $500K target, capped at $750K (150% of target). Partnership: no earnout</v>
      </c>
      <c r="H35" s="5"/>
      <c r="I35" s="5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5"/>
      <c r="B36" s="98" t="s">
        <v>135</v>
      </c>
      <c r="C36" s="25">
        <f>SUM(C33:C35)</f>
        <v>2100</v>
      </c>
      <c r="D36" s="25">
        <f>SUM(D33:D35)</f>
        <v>3500</v>
      </c>
      <c r="E36" s="24">
        <f t="shared" si="1"/>
        <v>-1400</v>
      </c>
      <c r="F36" s="5"/>
      <c r="G36" s="5" t="str">
        <f>"Cash + equity issued + target earnout; tie-out to analysis tabs in row "&amp;ROW($B$37)</f>
        <v>Cash + equity issued + target earnout; tie-out to analysis tabs in row 37</v>
      </c>
      <c r="H36" s="5"/>
      <c r="I36" s="5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5"/>
      <c r="B37" s="5" t="s">
        <v>134</v>
      </c>
      <c r="C37" s="14">
        <f>C36-'Partnership Analysis'!$C$104</f>
        <v>0</v>
      </c>
      <c r="D37" s="14">
        <f>D36-'100% Buyout Analysis'!$C$93</f>
        <v>0</v>
      </c>
      <c r="E37" s="15"/>
      <c r="F37" s="5"/>
      <c r="G37" s="5" t="s">
        <v>51</v>
      </c>
      <c r="H37" s="5"/>
      <c r="I37" s="5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5"/>
      <c r="B38" s="5" t="s">
        <v>133</v>
      </c>
      <c r="C38" s="18">
        <f>IFERROR((C33+C35)/C36,0)</f>
        <v>0.30952380952380953</v>
      </c>
      <c r="D38" s="18">
        <f>IFERROR((D33+D35)/D36,0)</f>
        <v>0.2857142857142857</v>
      </c>
      <c r="E38" s="18">
        <f>C38-D38</f>
        <v>2.3809523809523836E-2</v>
      </c>
      <c r="F38" s="5"/>
      <c r="G38" s="5"/>
      <c r="H38" s="5"/>
      <c r="I38" s="5"/>
      <c r="J38" s="3"/>
      <c r="K38" s="3"/>
      <c r="L38" s="3"/>
      <c r="M38" s="3"/>
      <c r="N38" s="3"/>
      <c r="O38" s="3"/>
      <c r="P38" s="3"/>
      <c r="Q38" s="3"/>
    </row>
    <row r="39" spans="1:17" ht="3.95" customHeight="1" x14ac:dyDescent="0.25">
      <c r="A39" s="5"/>
      <c r="B39" s="5"/>
      <c r="C39" s="16"/>
      <c r="D39" s="16"/>
      <c r="E39" s="16"/>
      <c r="F39" s="5"/>
      <c r="G39" s="5"/>
      <c r="H39" s="5"/>
      <c r="I39" s="5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5"/>
      <c r="B40" s="10" t="s">
        <v>132</v>
      </c>
      <c r="C40" s="9" t="s">
        <v>8</v>
      </c>
      <c r="D40" s="9" t="s">
        <v>7</v>
      </c>
      <c r="E40" s="8" t="s">
        <v>6</v>
      </c>
      <c r="F40" s="5"/>
      <c r="G40" s="5"/>
      <c r="H40" s="5"/>
      <c r="I40" s="5"/>
      <c r="J40" s="3"/>
      <c r="K40" s="3"/>
      <c r="L40" s="3"/>
      <c r="M40" s="3"/>
      <c r="N40" s="3"/>
      <c r="O40" s="3"/>
      <c r="P40" s="3"/>
      <c r="Q40" s="3"/>
    </row>
    <row r="41" spans="1:17" ht="3.95" customHeight="1" x14ac:dyDescent="0.25">
      <c r="A41" s="5"/>
      <c r="B41" s="97"/>
      <c r="C41" s="16"/>
      <c r="D41" s="16"/>
      <c r="E41" s="16"/>
      <c r="F41" s="5"/>
      <c r="G41" s="5"/>
      <c r="H41" s="5"/>
      <c r="I41" s="5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5"/>
      <c r="B42" s="96" t="s">
        <v>59</v>
      </c>
      <c r="C42" s="95">
        <f t="shared" ref="C42:D46" si="2">IFERROR(C105/C$110,0)</f>
        <v>0.4617049803731581</v>
      </c>
      <c r="D42" s="95">
        <f t="shared" si="2"/>
        <v>0</v>
      </c>
      <c r="E42" s="94">
        <f>C42-D42</f>
        <v>0.4617049803731581</v>
      </c>
      <c r="F42" s="5"/>
      <c r="G42" s="5"/>
      <c r="H42" s="5"/>
      <c r="I42" s="5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5"/>
      <c r="B43" s="93" t="s">
        <v>131</v>
      </c>
      <c r="C43" s="92">
        <f t="shared" si="2"/>
        <v>2.4149662453204102E-2</v>
      </c>
      <c r="D43" s="92">
        <f t="shared" si="2"/>
        <v>6.3750321230987089E-2</v>
      </c>
      <c r="E43" s="91">
        <f>C43-D43</f>
        <v>-3.9600658777782988E-2</v>
      </c>
      <c r="F43" s="5"/>
      <c r="G43" s="5"/>
      <c r="H43" s="5"/>
      <c r="I43" s="5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5"/>
      <c r="B44" s="93" t="s">
        <v>130</v>
      </c>
      <c r="C44" s="92">
        <f t="shared" si="2"/>
        <v>0.44258975908564996</v>
      </c>
      <c r="D44" s="92">
        <f t="shared" si="2"/>
        <v>0.81624843821928039</v>
      </c>
      <c r="E44" s="91">
        <f>C44-D44</f>
        <v>-0.37365867913363043</v>
      </c>
      <c r="F44" s="5"/>
      <c r="G44" s="5"/>
      <c r="H44" s="5"/>
      <c r="I44" s="5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5"/>
      <c r="B45" s="93" t="s">
        <v>129</v>
      </c>
      <c r="C45" s="92">
        <f t="shared" si="2"/>
        <v>7.1555598087987921E-2</v>
      </c>
      <c r="D45" s="92">
        <f t="shared" si="2"/>
        <v>6.0000620274866238E-2</v>
      </c>
      <c r="E45" s="91">
        <f>C45-D45</f>
        <v>1.1554977813121682E-2</v>
      </c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5"/>
      <c r="B46" s="90" t="s">
        <v>128</v>
      </c>
      <c r="C46" s="89">
        <f t="shared" si="2"/>
        <v>0</v>
      </c>
      <c r="D46" s="89">
        <f t="shared" si="2"/>
        <v>6.0000620274866238E-2</v>
      </c>
      <c r="E46" s="88">
        <f>C46-D46</f>
        <v>-6.0000620274866238E-2</v>
      </c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</row>
    <row r="47" spans="1:17" ht="3.95" customHeight="1" x14ac:dyDescent="0.25">
      <c r="A47" s="5"/>
      <c r="B47" s="5"/>
      <c r="C47" s="16"/>
      <c r="D47" s="16"/>
      <c r="E47" s="16"/>
      <c r="F47" s="5"/>
      <c r="G47" s="5"/>
      <c r="H47" s="5"/>
      <c r="I47" s="5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5"/>
      <c r="B48" s="10" t="s">
        <v>127</v>
      </c>
      <c r="C48" s="9" t="s">
        <v>8</v>
      </c>
      <c r="D48" s="9" t="s">
        <v>7</v>
      </c>
      <c r="E48" s="8" t="s">
        <v>6</v>
      </c>
      <c r="F48" s="5"/>
      <c r="G48" s="5"/>
      <c r="H48" s="5"/>
      <c r="I48" s="5"/>
      <c r="J48" s="3"/>
      <c r="K48" s="58" t="s">
        <v>91</v>
      </c>
      <c r="L48" s="58">
        <v>0</v>
      </c>
      <c r="M48" s="58">
        <v>1</v>
      </c>
      <c r="N48" s="58">
        <v>2</v>
      </c>
      <c r="O48" s="58">
        <v>3</v>
      </c>
      <c r="P48" s="58">
        <v>4</v>
      </c>
      <c r="Q48" s="58">
        <v>5</v>
      </c>
    </row>
    <row r="49" spans="1:17" ht="15" customHeight="1" x14ac:dyDescent="0.25">
      <c r="A49" s="5"/>
      <c r="B49" s="41" t="s">
        <v>87</v>
      </c>
      <c r="C49" s="87">
        <f t="shared" ref="C49:D51" si="3">C33</f>
        <v>650</v>
      </c>
      <c r="D49" s="87">
        <f t="shared" si="3"/>
        <v>500</v>
      </c>
      <c r="E49" s="86">
        <f t="shared" ref="E49:E64" si="4">C49-D49</f>
        <v>150</v>
      </c>
      <c r="F49" s="41"/>
      <c r="G49" s="41"/>
      <c r="H49" s="5"/>
      <c r="I49" s="5"/>
      <c r="J49" s="3"/>
      <c r="K49" s="58" t="s">
        <v>88</v>
      </c>
      <c r="L49" s="57">
        <f t="shared" ref="L49:Q49" si="5">-(L$48=0)*($C$33+$C$34)-(L$48=$L$51)*$C$35+(L$48=$C$7)*$C$53</f>
        <v>-2100</v>
      </c>
      <c r="M49" s="57">
        <f t="shared" si="5"/>
        <v>0</v>
      </c>
      <c r="N49" s="57">
        <f t="shared" si="5"/>
        <v>0</v>
      </c>
      <c r="O49" s="57">
        <f t="shared" si="5"/>
        <v>0</v>
      </c>
      <c r="P49" s="57">
        <f t="shared" si="5"/>
        <v>0</v>
      </c>
      <c r="Q49" s="57">
        <f t="shared" si="5"/>
        <v>9786.1323541017009</v>
      </c>
    </row>
    <row r="50" spans="1:17" ht="15" customHeight="1" x14ac:dyDescent="0.25">
      <c r="A50" s="5"/>
      <c r="B50" s="47" t="s">
        <v>126</v>
      </c>
      <c r="C50" s="46">
        <f t="shared" si="3"/>
        <v>1450</v>
      </c>
      <c r="D50" s="46">
        <f t="shared" si="3"/>
        <v>2500</v>
      </c>
      <c r="E50" s="45">
        <f t="shared" si="4"/>
        <v>-1050</v>
      </c>
      <c r="F50" s="41"/>
      <c r="G50" s="41"/>
      <c r="H50" s="5"/>
      <c r="I50" s="5"/>
      <c r="J50" s="3"/>
      <c r="K50" s="58" t="s">
        <v>86</v>
      </c>
      <c r="L50" s="57">
        <f t="shared" ref="L50:Q50" si="6">-(L$48=0)*($D$33+$D$34)-(L$48=$L$51)*$D$35+(L$48=$D$7)*$D$53</f>
        <v>-3000</v>
      </c>
      <c r="M50" s="57">
        <f t="shared" si="6"/>
        <v>0</v>
      </c>
      <c r="N50" s="57">
        <f t="shared" si="6"/>
        <v>0</v>
      </c>
      <c r="O50" s="57">
        <f t="shared" si="6"/>
        <v>-500</v>
      </c>
      <c r="P50" s="57">
        <f t="shared" si="6"/>
        <v>0</v>
      </c>
      <c r="Q50" s="57">
        <f t="shared" si="6"/>
        <v>13980.189077288145</v>
      </c>
    </row>
    <row r="51" spans="1:17" ht="15" customHeight="1" x14ac:dyDescent="0.25">
      <c r="A51" s="5"/>
      <c r="B51" s="47" t="s">
        <v>85</v>
      </c>
      <c r="C51" s="46">
        <f t="shared" si="3"/>
        <v>0</v>
      </c>
      <c r="D51" s="46">
        <f t="shared" si="3"/>
        <v>500</v>
      </c>
      <c r="E51" s="45">
        <f t="shared" si="4"/>
        <v>-500</v>
      </c>
      <c r="F51" s="41"/>
      <c r="G51" s="41"/>
      <c r="H51" s="5"/>
      <c r="I51" s="5"/>
      <c r="J51" s="3"/>
      <c r="K51" s="58" t="s">
        <v>125</v>
      </c>
      <c r="L51" s="85">
        <f>'100% Buyout Analysis'!$C$43</f>
        <v>3</v>
      </c>
      <c r="M51" s="58" t="s">
        <v>124</v>
      </c>
      <c r="N51" s="58"/>
      <c r="O51" s="58"/>
      <c r="P51" s="58"/>
      <c r="Q51" s="58"/>
    </row>
    <row r="52" spans="1:17" ht="15" customHeight="1" x14ac:dyDescent="0.25">
      <c r="A52" s="5"/>
      <c r="B52" s="84" t="s">
        <v>105</v>
      </c>
      <c r="C52" s="64">
        <f>SUM(C49:C51)</f>
        <v>2100</v>
      </c>
      <c r="D52" s="64">
        <f>SUM(D49:D51)</f>
        <v>3500</v>
      </c>
      <c r="E52" s="83">
        <f t="shared" si="4"/>
        <v>-1400</v>
      </c>
      <c r="F52" s="41"/>
      <c r="G52" s="41" t="str">
        <f>"Ties to Total Consideration (row "&amp;ROW($B$36)&amp;")"</f>
        <v>Ties to Total Consideration (row 36)</v>
      </c>
      <c r="H52" s="5"/>
      <c r="I52" s="5"/>
      <c r="J52" s="3"/>
      <c r="K52" s="58" t="s">
        <v>123</v>
      </c>
      <c r="L52" s="57">
        <f t="shared" ref="L52:Q52" si="7">-(L$48=0)*($C$33+$C$34)+(L$48=$C$7)*$C$130</f>
        <v>-2100</v>
      </c>
      <c r="M52" s="57">
        <f t="shared" si="7"/>
        <v>0</v>
      </c>
      <c r="N52" s="57">
        <f t="shared" si="7"/>
        <v>0</v>
      </c>
      <c r="O52" s="57">
        <f t="shared" si="7"/>
        <v>0</v>
      </c>
      <c r="P52" s="57">
        <f t="shared" si="7"/>
        <v>0</v>
      </c>
      <c r="Q52" s="57">
        <f t="shared" si="7"/>
        <v>5000.0000000000009</v>
      </c>
    </row>
    <row r="53" spans="1:17" ht="15" customHeight="1" x14ac:dyDescent="0.25">
      <c r="A53" s="5"/>
      <c r="B53" s="41" t="s">
        <v>122</v>
      </c>
      <c r="C53" s="20">
        <f>'Partnership Analysis'!$D$80</f>
        <v>9786.1323541017009</v>
      </c>
      <c r="D53" s="20">
        <f>'100% Buyout Analysis'!$D$74</f>
        <v>13980.189077288145</v>
      </c>
      <c r="E53" s="45">
        <f t="shared" si="4"/>
        <v>-4194.0567231864443</v>
      </c>
      <c r="F53" s="41"/>
      <c r="G53" s="41" t="str">
        <f>"Topkey's stake acquired (row "&amp;ROW($B$31)&amp;") × Keystone Year "&amp;$C$7&amp;" value"</f>
        <v>Topkey's stake acquired (row 31) × Keystone Year 5 value</v>
      </c>
      <c r="H53" s="5"/>
      <c r="I53" s="5"/>
      <c r="J53" s="3"/>
      <c r="K53" s="58" t="s">
        <v>121</v>
      </c>
      <c r="L53" s="57">
        <f t="shared" ref="L53:Q53" si="8">-(L$48=0)*($D$33+$D$34)+(L$48=$D$7)*$D$130</f>
        <v>-3000</v>
      </c>
      <c r="M53" s="57">
        <f t="shared" si="8"/>
        <v>0</v>
      </c>
      <c r="N53" s="57">
        <f t="shared" si="8"/>
        <v>0</v>
      </c>
      <c r="O53" s="57">
        <f t="shared" si="8"/>
        <v>0</v>
      </c>
      <c r="P53" s="57">
        <f t="shared" si="8"/>
        <v>0</v>
      </c>
      <c r="Q53" s="57">
        <f t="shared" si="8"/>
        <v>8000.0000000000018</v>
      </c>
    </row>
    <row r="54" spans="1:17" ht="15" customHeight="1" x14ac:dyDescent="0.25">
      <c r="A54" s="5"/>
      <c r="B54" s="82" t="s">
        <v>100</v>
      </c>
      <c r="C54" s="63">
        <f>IFERROR(C53/C52,0)</f>
        <v>4.6600630257627147</v>
      </c>
      <c r="D54" s="63">
        <f>IFERROR(D53/D52,0)</f>
        <v>3.9943397363680413</v>
      </c>
      <c r="E54" s="81">
        <f t="shared" si="4"/>
        <v>0.6657232893946734</v>
      </c>
      <c r="F54" s="41"/>
      <c r="G54" s="41" t="s">
        <v>120</v>
      </c>
      <c r="H54" s="5"/>
      <c r="I54" s="5"/>
      <c r="J54" s="3"/>
      <c r="K54" s="3"/>
      <c r="L54" s="3"/>
      <c r="M54" s="3"/>
      <c r="N54" s="3"/>
      <c r="O54" s="3"/>
      <c r="P54" s="3"/>
      <c r="Q54" s="3"/>
    </row>
    <row r="55" spans="1:17" ht="15" customHeight="1" x14ac:dyDescent="0.25">
      <c r="A55" s="5"/>
      <c r="B55" s="80" t="s">
        <v>119</v>
      </c>
      <c r="C55" s="36">
        <f>IFERROR(IRR($L49:$Q49),0)</f>
        <v>0.3604367590850639</v>
      </c>
      <c r="D55" s="36">
        <f>IFERROR(IRR($L50:$Q50),0)</f>
        <v>0.34242961148605411</v>
      </c>
      <c r="E55" s="79">
        <f t="shared" si="4"/>
        <v>1.8007147599009787E-2</v>
      </c>
      <c r="F55" s="41"/>
      <c r="G55" s="41" t="str">
        <f>"Cash-flow IRR; see helper cash flows in "&amp;ADDRESS(ROW(L49),COLUMN(L49),4)&amp;":"&amp;ADDRESS(ROW(Q50),COLUMN(Q50),4)</f>
        <v>Cash-flow IRR; see helper cash flows in L49:Q50</v>
      </c>
      <c r="H55" s="5"/>
      <c r="I55" s="5"/>
      <c r="J55" s="3"/>
      <c r="K55" s="3"/>
      <c r="L55" s="3"/>
      <c r="M55" s="3"/>
      <c r="N55" s="3"/>
      <c r="O55" s="3"/>
      <c r="P55" s="3"/>
      <c r="Q55" s="3"/>
    </row>
    <row r="56" spans="1:17" ht="15" customHeight="1" x14ac:dyDescent="0.25">
      <c r="A56" s="5"/>
      <c r="B56" s="27" t="s">
        <v>118</v>
      </c>
      <c r="C56" s="13">
        <f>IFERROR(C130/(C49+C50),0)</f>
        <v>2.3809523809523814</v>
      </c>
      <c r="D56" s="13">
        <f>IFERROR(D130/(D49+D50),0)</f>
        <v>2.6666666666666674</v>
      </c>
      <c r="E56" s="13">
        <f t="shared" si="4"/>
        <v>-0.28571428571428603</v>
      </c>
      <c r="F56" s="5"/>
      <c r="G56" s="5" t="str">
        <f>"Break-even stake value (row "&amp;ROW($B$130)&amp;") ÷ cash + stock; no earnout paid at break-even"</f>
        <v>Break-even stake value (row 130) ÷ cash + stock; no earnout paid at break-even</v>
      </c>
      <c r="H56" s="5"/>
      <c r="I56" s="5"/>
      <c r="J56" s="3"/>
      <c r="K56" s="3"/>
      <c r="L56" s="3"/>
      <c r="M56" s="3"/>
      <c r="N56" s="3"/>
      <c r="O56" s="3"/>
      <c r="P56" s="3"/>
      <c r="Q56" s="3"/>
    </row>
    <row r="57" spans="1:17" ht="15" customHeight="1" x14ac:dyDescent="0.25">
      <c r="A57" s="5"/>
      <c r="B57" s="27" t="s">
        <v>117</v>
      </c>
      <c r="C57" s="6">
        <f>IFERROR(IRR($L52:$Q52),0)</f>
        <v>0.18946082182210611</v>
      </c>
      <c r="D57" s="6">
        <f>IFERROR(IRR($L53:$Q53),0)</f>
        <v>0.21672868378641108</v>
      </c>
      <c r="E57" s="6">
        <f t="shared" si="4"/>
        <v>-2.7267861964304974E-2</v>
      </c>
      <c r="F57" s="5"/>
      <c r="G57" s="5" t="str">
        <f>"Cash-flow IRR on break-even flows ("&amp;ADDRESS(ROW(L52),COLUMN(L52),4)&amp;":"&amp;ADDRESS(ROW(Q53),COLUMN(Q53),4)&amp;"): cash + stock at Yr 0, break-even stake value (row "&amp;ROW($B$130)&amp;") at Yr "&amp;$C$7&amp;"; no earnout"</f>
        <v>Cash-flow IRR on break-even flows (L52:Q53): cash + stock at Yr 0, break-even stake value (row 130) at Yr 5; no earnout</v>
      </c>
      <c r="H57" s="5"/>
      <c r="I57" s="5"/>
      <c r="J57" s="3"/>
      <c r="K57" s="3"/>
      <c r="L57" s="3"/>
      <c r="M57" s="3"/>
      <c r="N57" s="3"/>
      <c r="O57" s="3"/>
      <c r="P57" s="3"/>
      <c r="Q57" s="3"/>
    </row>
    <row r="58" spans="1:17" ht="15" customHeight="1" x14ac:dyDescent="0.25">
      <c r="A58" s="5"/>
      <c r="B58" s="78" t="s">
        <v>116</v>
      </c>
      <c r="C58" s="77">
        <f>C54-C56</f>
        <v>2.2791106448103333</v>
      </c>
      <c r="D58" s="77">
        <f>D54-D56</f>
        <v>1.3276730697013739</v>
      </c>
      <c r="E58" s="76">
        <f t="shared" si="4"/>
        <v>0.95143757510895943</v>
      </c>
      <c r="F58" s="5"/>
      <c r="G58" s="5" t="s">
        <v>115</v>
      </c>
      <c r="H58" s="5"/>
      <c r="I58" s="5"/>
      <c r="J58" s="3"/>
      <c r="K58" s="3"/>
      <c r="L58" s="3"/>
      <c r="M58" s="3"/>
      <c r="N58" s="3"/>
      <c r="O58" s="3"/>
      <c r="P58" s="3"/>
      <c r="Q58" s="3"/>
    </row>
    <row r="59" spans="1:17" ht="15" customHeight="1" x14ac:dyDescent="0.25">
      <c r="A59" s="5"/>
      <c r="B59" s="75" t="s">
        <v>114</v>
      </c>
      <c r="C59" s="49">
        <f>C55-C57</f>
        <v>0.17097593726295779</v>
      </c>
      <c r="D59" s="49">
        <f>D55-D57</f>
        <v>0.12570092769964303</v>
      </c>
      <c r="E59" s="74">
        <f t="shared" si="4"/>
        <v>4.5275009563314761E-2</v>
      </c>
      <c r="F59" s="5"/>
      <c r="G59" s="5" t="s">
        <v>113</v>
      </c>
      <c r="H59" s="5"/>
      <c r="I59" s="5"/>
      <c r="J59" s="3"/>
      <c r="K59" s="3"/>
      <c r="L59" s="3"/>
      <c r="M59" s="3"/>
      <c r="N59" s="3"/>
      <c r="O59" s="3"/>
      <c r="P59" s="3"/>
      <c r="Q59" s="3"/>
    </row>
    <row r="60" spans="1:17" ht="15" customHeight="1" x14ac:dyDescent="0.25">
      <c r="A60" s="5"/>
      <c r="B60" s="41" t="s">
        <v>112</v>
      </c>
      <c r="C60" s="14">
        <f>C$149*('Partnership Analysis'!$D$79+'Partnership Analysis'!$D$80)</f>
        <v>175439.53692731974</v>
      </c>
      <c r="D60" s="14">
        <f>D$149*('100% Buyout Analysis'!$D$73+'100% Buyout Analysis'!$D$74)</f>
        <v>175997.93243848681</v>
      </c>
      <c r="E60" s="45">
        <f t="shared" si="4"/>
        <v>-558.39551116706571</v>
      </c>
      <c r="F60" s="41"/>
      <c r="G60" s="41" t="s">
        <v>111</v>
      </c>
      <c r="H60" s="5"/>
      <c r="I60" s="5"/>
      <c r="J60" s="3"/>
      <c r="K60" s="3"/>
      <c r="L60" s="3"/>
      <c r="M60" s="3"/>
      <c r="N60" s="3"/>
      <c r="O60" s="3"/>
      <c r="P60" s="3"/>
      <c r="Q60" s="3"/>
    </row>
    <row r="61" spans="1:17" ht="15" customHeight="1" x14ac:dyDescent="0.25">
      <c r="A61" s="5"/>
      <c r="B61" s="47" t="s">
        <v>110</v>
      </c>
      <c r="C61" s="14">
        <f>(1-C$8)*('Partnership Analysis'!$D$79+C33+C35)</f>
        <v>171000.00000000003</v>
      </c>
      <c r="D61" s="14">
        <f>(1-D$8)*('100% Buyout Analysis'!$D$73+D33+D35)</f>
        <v>171000.00000000003</v>
      </c>
      <c r="E61" s="45">
        <f t="shared" si="4"/>
        <v>0</v>
      </c>
      <c r="F61" s="41"/>
      <c r="G61" s="41" t="s">
        <v>109</v>
      </c>
      <c r="H61" s="5"/>
      <c r="I61" s="5"/>
      <c r="J61" s="3"/>
      <c r="K61" s="3"/>
      <c r="L61" s="3"/>
      <c r="M61" s="3"/>
      <c r="N61" s="3"/>
      <c r="O61" s="3"/>
      <c r="P61" s="3"/>
      <c r="Q61" s="3"/>
    </row>
    <row r="62" spans="1:17" ht="15" customHeight="1" x14ac:dyDescent="0.25">
      <c r="A62" s="5"/>
      <c r="B62" s="56" t="s">
        <v>97</v>
      </c>
      <c r="C62" s="55">
        <f>C60-C61</f>
        <v>4439.5369273197139</v>
      </c>
      <c r="D62" s="55">
        <f>D60-D61</f>
        <v>4997.9324384867796</v>
      </c>
      <c r="E62" s="54">
        <f t="shared" si="4"/>
        <v>-558.39551116706571</v>
      </c>
      <c r="F62" s="41"/>
      <c r="G62" s="41" t="s">
        <v>108</v>
      </c>
      <c r="H62" s="5"/>
      <c r="I62" s="5"/>
      <c r="J62" s="3"/>
      <c r="K62" s="3"/>
      <c r="L62" s="3"/>
      <c r="M62" s="3"/>
      <c r="N62" s="3"/>
      <c r="O62" s="3"/>
      <c r="P62" s="3"/>
      <c r="Q62" s="3"/>
    </row>
    <row r="63" spans="1:17" ht="15" customHeight="1" x14ac:dyDescent="0.25">
      <c r="A63" s="5"/>
      <c r="B63" s="53" t="s">
        <v>96</v>
      </c>
      <c r="C63" s="52">
        <f>IFERROR((C52+C62)/C52,0)</f>
        <v>3.1140652034855782</v>
      </c>
      <c r="D63" s="52">
        <f>IFERROR((D52+D62)/D52,0)</f>
        <v>2.4279806967105086</v>
      </c>
      <c r="E63" s="51">
        <f t="shared" si="4"/>
        <v>0.6860845067750696</v>
      </c>
      <c r="F63" s="41"/>
      <c r="G63" s="41" t="s">
        <v>95</v>
      </c>
      <c r="H63" s="5"/>
      <c r="I63" s="5"/>
      <c r="J63" s="3"/>
      <c r="K63" s="3"/>
      <c r="L63" s="3"/>
      <c r="M63" s="3"/>
      <c r="N63" s="3"/>
      <c r="O63" s="3"/>
      <c r="P63" s="3"/>
      <c r="Q63" s="3"/>
    </row>
    <row r="64" spans="1:17" ht="15" customHeight="1" x14ac:dyDescent="0.25">
      <c r="A64" s="5"/>
      <c r="B64" s="50" t="s">
        <v>94</v>
      </c>
      <c r="C64" s="49">
        <f>IFERROR(C63^(1/C$7)-1,0)</f>
        <v>0.25506304000579672</v>
      </c>
      <c r="D64" s="49">
        <f>IFERROR(D63^(1/D$7)-1,0)</f>
        <v>0.19412295203952645</v>
      </c>
      <c r="E64" s="48">
        <f t="shared" si="4"/>
        <v>6.0940087966270262E-2</v>
      </c>
      <c r="F64" s="41"/>
      <c r="G64" s="41" t="s">
        <v>93</v>
      </c>
      <c r="H64" s="5"/>
      <c r="I64" s="5"/>
      <c r="J64" s="3"/>
      <c r="K64" s="3"/>
      <c r="L64" s="3"/>
      <c r="M64" s="3"/>
      <c r="N64" s="3"/>
      <c r="O64" s="3"/>
      <c r="P64" s="3"/>
      <c r="Q64" s="3"/>
    </row>
    <row r="65" spans="1:17" ht="3.95" customHeight="1" x14ac:dyDescent="0.25">
      <c r="A65" s="5"/>
      <c r="B65" s="5"/>
      <c r="C65" s="16"/>
      <c r="D65" s="16"/>
      <c r="E65" s="16"/>
      <c r="F65" s="5"/>
      <c r="G65" s="5"/>
      <c r="H65" s="5"/>
      <c r="I65" s="5"/>
      <c r="J65" s="3"/>
      <c r="K65" s="3"/>
      <c r="L65" s="3"/>
      <c r="M65" s="3"/>
      <c r="N65" s="3"/>
      <c r="O65" s="3"/>
      <c r="P65" s="3"/>
      <c r="Q65" s="3"/>
    </row>
    <row r="66" spans="1:17" ht="15" customHeight="1" x14ac:dyDescent="0.25">
      <c r="A66" s="5"/>
      <c r="B66" s="29" t="s">
        <v>107</v>
      </c>
      <c r="C66" s="73"/>
      <c r="D66" s="73"/>
      <c r="E66" s="72"/>
      <c r="F66" s="5"/>
      <c r="G66" s="5"/>
      <c r="H66" s="5"/>
      <c r="I66" s="5"/>
      <c r="J66" s="3"/>
      <c r="K66" s="3"/>
      <c r="L66" s="3"/>
      <c r="M66" s="3"/>
      <c r="N66" s="3"/>
      <c r="O66" s="3"/>
      <c r="P66" s="3"/>
      <c r="Q66" s="3"/>
    </row>
    <row r="67" spans="1:17" ht="26.25" customHeight="1" x14ac:dyDescent="0.25">
      <c r="A67" s="5"/>
      <c r="B67" s="71"/>
      <c r="C67" s="70" t="str">
        <f>"First "&amp;TEXT(C31,"0%")&amp;" (Partnership)"</f>
        <v>First 70% (Partnership)</v>
      </c>
      <c r="D67" s="70" t="str">
        <f>TEXT(D31,"0%")&amp;" (Buyout)"</f>
        <v>100% (Buyout)</v>
      </c>
      <c r="E67" s="70" t="str">
        <f>"Extra "&amp;TEXT(D31-C31,"0%")</f>
        <v>Extra 30%</v>
      </c>
      <c r="F67" s="5"/>
      <c r="G67" s="5" t="str">
        <f>"Column E = incremental cost and return of buying the "&amp;"last "&amp;TEXT(C17,"0%")&amp;" (Buyout less Partnership)"</f>
        <v>Column E = incremental cost and return of buying the last 30% (Buyout less Partnership)</v>
      </c>
      <c r="H67" s="5"/>
      <c r="I67" s="5"/>
      <c r="J67" s="3"/>
      <c r="K67" s="3"/>
      <c r="L67" s="3"/>
      <c r="M67" s="3"/>
      <c r="N67" s="3"/>
      <c r="O67" s="3"/>
      <c r="P67" s="3"/>
      <c r="Q67" s="3"/>
    </row>
    <row r="68" spans="1:17" ht="15" customHeight="1" x14ac:dyDescent="0.25">
      <c r="A68" s="5"/>
      <c r="B68" s="5" t="s">
        <v>106</v>
      </c>
      <c r="C68" s="69">
        <f>C31</f>
        <v>0.7</v>
      </c>
      <c r="D68" s="69">
        <f>D31</f>
        <v>1</v>
      </c>
      <c r="E68" s="18">
        <f>D68-C68</f>
        <v>0.30000000000000004</v>
      </c>
      <c r="F68" s="5"/>
      <c r="G68" s="5"/>
      <c r="H68" s="5"/>
      <c r="I68" s="5"/>
      <c r="J68" s="3"/>
      <c r="K68" s="3"/>
      <c r="L68" s="3"/>
      <c r="M68" s="3"/>
      <c r="N68" s="3"/>
      <c r="O68" s="3"/>
      <c r="P68" s="3"/>
      <c r="Q68" s="3"/>
    </row>
    <row r="69" spans="1:17" ht="15" customHeight="1" x14ac:dyDescent="0.25">
      <c r="A69" s="5"/>
      <c r="B69" s="66" t="s">
        <v>105</v>
      </c>
      <c r="C69" s="65">
        <f>C52</f>
        <v>2100</v>
      </c>
      <c r="D69" s="65">
        <f>D52</f>
        <v>3500</v>
      </c>
      <c r="E69" s="64">
        <f>D69-C69</f>
        <v>1400</v>
      </c>
      <c r="F69" s="5"/>
      <c r="G69" s="5" t="str">
        <f>"Incremental cost of the "&amp;"last "&amp;TEXT(C17,"0%")</f>
        <v>Incremental cost of the last 30%</v>
      </c>
      <c r="H69" s="5"/>
      <c r="I69" s="5"/>
      <c r="J69" s="3"/>
      <c r="K69" s="3"/>
      <c r="L69" s="3"/>
      <c r="M69" s="3"/>
      <c r="N69" s="3"/>
      <c r="O69" s="3"/>
      <c r="P69" s="3"/>
      <c r="Q69" s="3"/>
    </row>
    <row r="70" spans="1:17" ht="15" customHeight="1" x14ac:dyDescent="0.25">
      <c r="A70" s="5"/>
      <c r="B70" s="5" t="s">
        <v>104</v>
      </c>
      <c r="C70" s="68">
        <f>IFERROR(C69/(C68*100),0)</f>
        <v>30</v>
      </c>
      <c r="D70" s="68">
        <f>IFERROR(D69/(D68*100),0)</f>
        <v>35</v>
      </c>
      <c r="E70" s="68">
        <f>IFERROR(E69/(E68*100),0)</f>
        <v>46.666666666666664</v>
      </c>
      <c r="F70" s="5"/>
      <c r="G70" s="5" t="str">
        <f>"Price per point rises on the "&amp;"extra "&amp;TEXT(C17,"0%")&amp;" (earnout added)"</f>
        <v>Price per point rises on the extra 30% (earnout added)</v>
      </c>
      <c r="H70" s="5"/>
      <c r="I70" s="5"/>
      <c r="J70" s="3"/>
      <c r="K70" s="3"/>
      <c r="L70" s="3"/>
      <c r="M70" s="3"/>
      <c r="N70" s="3"/>
      <c r="O70" s="3"/>
      <c r="P70" s="3"/>
      <c r="Q70" s="3"/>
    </row>
    <row r="71" spans="1:17" ht="15" customHeight="1" x14ac:dyDescent="0.25">
      <c r="A71" s="5"/>
      <c r="B71" s="5" t="s">
        <v>103</v>
      </c>
      <c r="C71" s="18">
        <f>IFERROR(C50/C69,0)</f>
        <v>0.69047619047619047</v>
      </c>
      <c r="D71" s="18">
        <f>IFERROR(D50/D69,0)</f>
        <v>0.7142857142857143</v>
      </c>
      <c r="E71" s="18">
        <f>IFERROR((D50-C50)/E69,0)</f>
        <v>0.75</v>
      </c>
      <c r="F71" s="5"/>
      <c r="G71" s="5" t="s">
        <v>102</v>
      </c>
      <c r="H71" s="5"/>
      <c r="I71" s="5"/>
      <c r="J71" s="3"/>
      <c r="K71" s="3"/>
      <c r="L71" s="3"/>
      <c r="M71" s="3"/>
      <c r="N71" s="3"/>
      <c r="O71" s="3"/>
      <c r="P71" s="3"/>
      <c r="Q71" s="3"/>
    </row>
    <row r="72" spans="1:17" ht="15" customHeight="1" x14ac:dyDescent="0.25">
      <c r="A72" s="5"/>
      <c r="B72" s="5" t="s">
        <v>101</v>
      </c>
      <c r="C72" s="46">
        <f>C53</f>
        <v>9786.1323541017009</v>
      </c>
      <c r="D72" s="46">
        <f>D53</f>
        <v>13980.189077288145</v>
      </c>
      <c r="E72" s="14">
        <f>D72-C72</f>
        <v>4194.0567231864443</v>
      </c>
      <c r="F72" s="5"/>
      <c r="G72" s="5"/>
      <c r="H72" s="5"/>
      <c r="I72" s="5"/>
      <c r="J72" s="3"/>
      <c r="K72" s="3"/>
      <c r="L72" s="3"/>
      <c r="M72" s="3"/>
      <c r="N72" s="3"/>
      <c r="O72" s="3"/>
      <c r="P72" s="3"/>
      <c r="Q72" s="3"/>
    </row>
    <row r="73" spans="1:17" ht="15" customHeight="1" x14ac:dyDescent="0.25">
      <c r="A73" s="5"/>
      <c r="B73" s="5" t="s">
        <v>100</v>
      </c>
      <c r="C73" s="13">
        <f>IFERROR(C72/C69,0)</f>
        <v>4.6600630257627147</v>
      </c>
      <c r="D73" s="13">
        <f>IFERROR(D72/D69,0)</f>
        <v>3.9943397363680413</v>
      </c>
      <c r="E73" s="13">
        <f>IFERROR(E72/E69,0)</f>
        <v>2.9957548022760316</v>
      </c>
      <c r="F73" s="5"/>
      <c r="G73" s="5" t="s">
        <v>99</v>
      </c>
      <c r="H73" s="5"/>
      <c r="I73" s="5"/>
      <c r="J73" s="3"/>
      <c r="K73" s="3"/>
      <c r="L73" s="3"/>
      <c r="M73" s="3"/>
      <c r="N73" s="3"/>
      <c r="O73" s="3"/>
      <c r="P73" s="3"/>
      <c r="Q73" s="3"/>
    </row>
    <row r="74" spans="1:17" ht="15" customHeight="1" x14ac:dyDescent="0.25">
      <c r="A74" s="5"/>
      <c r="B74" s="5" t="s">
        <v>98</v>
      </c>
      <c r="C74" s="67">
        <f>C56</f>
        <v>2.3809523809523814</v>
      </c>
      <c r="D74" s="67">
        <f>D56</f>
        <v>2.6666666666666674</v>
      </c>
      <c r="E74" s="13" t="s">
        <v>39</v>
      </c>
      <c r="F74" s="5"/>
      <c r="G74" s="5" t="str">
        <f>"From Jon's return profile (row "&amp;ROW($B$56)&amp;"); n/m for the "&amp;"extra "&amp;TEXT(C17,"0%")&amp;" (break-even excludes earnout, so hurdles aren't additive)"</f>
        <v>From Jon's return profile (row 56); n/m for the extra 30% (break-even excludes earnout, so hurdles aren't additive)</v>
      </c>
      <c r="H74" s="5"/>
      <c r="I74" s="5"/>
      <c r="J74" s="3"/>
      <c r="K74" s="3"/>
      <c r="L74" s="3"/>
      <c r="M74" s="3"/>
      <c r="N74" s="3"/>
      <c r="O74" s="3"/>
      <c r="P74" s="3"/>
      <c r="Q74" s="3"/>
    </row>
    <row r="75" spans="1:17" ht="15" customHeight="1" x14ac:dyDescent="0.25">
      <c r="A75" s="5"/>
      <c r="B75" s="66" t="s">
        <v>97</v>
      </c>
      <c r="C75" s="65">
        <f>C62</f>
        <v>4439.5369273197139</v>
      </c>
      <c r="D75" s="65">
        <f>D62</f>
        <v>4997.9324384867796</v>
      </c>
      <c r="E75" s="64">
        <f>D75-C75</f>
        <v>558.39551116706571</v>
      </c>
      <c r="F75" s="5"/>
      <c r="G75" s="5" t="str">
        <f>"Incremental value to Jon from the "&amp;"last "&amp;TEXT(C17,"0%")</f>
        <v>Incremental value to Jon from the last 30%</v>
      </c>
      <c r="H75" s="5"/>
      <c r="I75" s="5"/>
      <c r="J75" s="3"/>
      <c r="K75" s="3"/>
      <c r="L75" s="3"/>
      <c r="M75" s="3"/>
      <c r="N75" s="3"/>
      <c r="O75" s="3"/>
      <c r="P75" s="3"/>
      <c r="Q75" s="3"/>
    </row>
    <row r="76" spans="1:17" ht="15" customHeight="1" x14ac:dyDescent="0.25">
      <c r="A76" s="5"/>
      <c r="B76" s="40" t="s">
        <v>96</v>
      </c>
      <c r="C76" s="63">
        <f>IFERROR((C69+C75)/C69,0)</f>
        <v>3.1140652034855782</v>
      </c>
      <c r="D76" s="63">
        <f>IFERROR((D69+D75)/D69,0)</f>
        <v>2.4279806967105086</v>
      </c>
      <c r="E76" s="62">
        <f>IFERROR((E69+E75)/E69,0)</f>
        <v>1.398853936547904</v>
      </c>
      <c r="F76" s="5"/>
      <c r="G76" s="5" t="s">
        <v>95</v>
      </c>
      <c r="H76" s="5"/>
      <c r="I76" s="5"/>
      <c r="J76" s="3"/>
      <c r="K76" s="3"/>
      <c r="L76" s="3"/>
      <c r="M76" s="3"/>
      <c r="N76" s="3"/>
      <c r="O76" s="3"/>
      <c r="P76" s="3"/>
      <c r="Q76" s="3"/>
    </row>
    <row r="77" spans="1:17" ht="15" customHeight="1" x14ac:dyDescent="0.25">
      <c r="A77" s="5"/>
      <c r="B77" s="37" t="s">
        <v>94</v>
      </c>
      <c r="C77" s="36">
        <f>IFERROR(C76^(1/C$7)-1,0)</f>
        <v>0.25506304000579672</v>
      </c>
      <c r="D77" s="36">
        <f>IFERROR(D76^(1/D$7)-1,0)</f>
        <v>0.19412295203952645</v>
      </c>
      <c r="E77" s="35">
        <f>IFERROR(E76^(1/D$7)-1,0)</f>
        <v>6.943519816012933E-2</v>
      </c>
      <c r="F77" s="5"/>
      <c r="G77" s="5" t="s">
        <v>93</v>
      </c>
      <c r="H77" s="5"/>
      <c r="I77" s="5"/>
      <c r="J77" s="3"/>
      <c r="K77" s="3"/>
      <c r="L77" s="3"/>
      <c r="M77" s="3"/>
      <c r="N77" s="3"/>
      <c r="O77" s="3"/>
      <c r="P77" s="3"/>
      <c r="Q77" s="3"/>
    </row>
    <row r="78" spans="1:17" ht="3.95" customHeight="1" x14ac:dyDescent="0.25">
      <c r="A78" s="5"/>
      <c r="B78" s="5"/>
      <c r="C78" s="5"/>
      <c r="D78" s="5"/>
      <c r="E78" s="16"/>
      <c r="F78" s="5"/>
      <c r="G78" s="5"/>
      <c r="H78" s="5"/>
      <c r="I78" s="5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5"/>
      <c r="B79" s="10" t="s">
        <v>92</v>
      </c>
      <c r="C79" s="9" t="s">
        <v>8</v>
      </c>
      <c r="D79" s="9" t="s">
        <v>7</v>
      </c>
      <c r="E79" s="8" t="s">
        <v>6</v>
      </c>
      <c r="F79" s="5"/>
      <c r="G79" s="5"/>
      <c r="H79" s="5"/>
      <c r="I79" s="5"/>
      <c r="J79" s="3"/>
      <c r="K79" s="58" t="s">
        <v>91</v>
      </c>
      <c r="L79" s="58">
        <v>0</v>
      </c>
      <c r="M79" s="58">
        <v>1</v>
      </c>
      <c r="N79" s="58">
        <v>2</v>
      </c>
      <c r="O79" s="58">
        <v>3</v>
      </c>
      <c r="P79" s="58">
        <v>4</v>
      </c>
      <c r="Q79" s="58">
        <v>5</v>
      </c>
    </row>
    <row r="80" spans="1:17" ht="15" customHeight="1" x14ac:dyDescent="0.25">
      <c r="A80" s="5"/>
      <c r="B80" s="61" t="s">
        <v>90</v>
      </c>
      <c r="C80" s="60">
        <f>C29</f>
        <v>3000</v>
      </c>
      <c r="D80" s="60">
        <f>D29</f>
        <v>3000</v>
      </c>
      <c r="E80" s="59">
        <f t="shared" ref="E80:E89" si="9">C80-D80</f>
        <v>0</v>
      </c>
      <c r="F80" s="41"/>
      <c r="G80" s="41" t="s">
        <v>89</v>
      </c>
      <c r="H80" s="5"/>
      <c r="I80" s="5"/>
      <c r="J80" s="3"/>
      <c r="K80" s="58" t="s">
        <v>88</v>
      </c>
      <c r="L80" s="57">
        <f t="shared" ref="L80:Q80" si="10">-(L$79=0)*($C$80-$C$81)+(L$79=$L$51)*$C$82+(L$79=$C$7)*($C$83+$C$84)</f>
        <v>-2350</v>
      </c>
      <c r="M80" s="57">
        <f t="shared" si="10"/>
        <v>0</v>
      </c>
      <c r="N80" s="57">
        <f t="shared" si="10"/>
        <v>0</v>
      </c>
      <c r="O80" s="57">
        <f t="shared" si="10"/>
        <v>0</v>
      </c>
      <c r="P80" s="57">
        <f t="shared" si="10"/>
        <v>0</v>
      </c>
      <c r="Q80" s="57">
        <f t="shared" si="10"/>
        <v>8433.8455322633381</v>
      </c>
    </row>
    <row r="81" spans="1:17" ht="15" customHeight="1" x14ac:dyDescent="0.25">
      <c r="A81" s="5"/>
      <c r="B81" s="41" t="s">
        <v>87</v>
      </c>
      <c r="C81" s="46">
        <f>C108</f>
        <v>650</v>
      </c>
      <c r="D81" s="46">
        <f>D108</f>
        <v>500</v>
      </c>
      <c r="E81" s="45">
        <f t="shared" si="9"/>
        <v>150</v>
      </c>
      <c r="F81" s="41"/>
      <c r="G81" s="41"/>
      <c r="H81" s="5"/>
      <c r="I81" s="5"/>
      <c r="J81" s="3"/>
      <c r="K81" s="58" t="s">
        <v>86</v>
      </c>
      <c r="L81" s="57">
        <f t="shared" ref="L81:Q81" si="11">-(L$79=0)*($D$80-$D$81)+(L$79=$L$51)*$D$82+(L$79=$D$7)*($D$83+$D$84)</f>
        <v>-2500</v>
      </c>
      <c r="M81" s="57">
        <f t="shared" si="11"/>
        <v>0</v>
      </c>
      <c r="N81" s="57">
        <f t="shared" si="11"/>
        <v>0</v>
      </c>
      <c r="O81" s="57">
        <f t="shared" si="11"/>
        <v>500</v>
      </c>
      <c r="P81" s="57">
        <f t="shared" si="11"/>
        <v>0</v>
      </c>
      <c r="Q81" s="57">
        <f t="shared" si="11"/>
        <v>7333.2471849369504</v>
      </c>
    </row>
    <row r="82" spans="1:17" ht="15" customHeight="1" x14ac:dyDescent="0.25">
      <c r="A82" s="5"/>
      <c r="B82" s="47" t="s">
        <v>85</v>
      </c>
      <c r="C82" s="46">
        <f>C109</f>
        <v>0</v>
      </c>
      <c r="D82" s="46">
        <f>D109</f>
        <v>500</v>
      </c>
      <c r="E82" s="45">
        <f t="shared" si="9"/>
        <v>-500</v>
      </c>
      <c r="F82" s="41"/>
      <c r="G82" s="41"/>
      <c r="H82" s="5"/>
      <c r="I82" s="5"/>
      <c r="J82" s="3"/>
      <c r="K82" s="3"/>
      <c r="L82" s="3"/>
      <c r="M82" s="3"/>
      <c r="N82" s="3"/>
      <c r="O82" s="3"/>
      <c r="P82" s="3"/>
      <c r="Q82" s="3"/>
    </row>
    <row r="83" spans="1:17" ht="15" customHeight="1" x14ac:dyDescent="0.25">
      <c r="A83" s="5"/>
      <c r="B83" s="47" t="s">
        <v>84</v>
      </c>
      <c r="C83" s="46">
        <f>C105</f>
        <v>4194.0567231864434</v>
      </c>
      <c r="D83" s="46">
        <f>D105</f>
        <v>0</v>
      </c>
      <c r="E83" s="45">
        <f t="shared" si="9"/>
        <v>4194.0567231864434</v>
      </c>
      <c r="F83" s="41"/>
      <c r="G83" s="41" t="str">
        <f>"Partnership: Ben's retained stake (row "&amp;ROW($B$30)&amp;"); Buyout: none"</f>
        <v>Partnership: Ben's retained stake (row 30); Buyout: none</v>
      </c>
      <c r="H83" s="5"/>
      <c r="I83" s="5"/>
      <c r="J83" s="3"/>
      <c r="K83" s="3"/>
      <c r="L83" s="3"/>
      <c r="M83" s="3"/>
      <c r="N83" s="3"/>
      <c r="O83" s="3"/>
      <c r="P83" s="3"/>
      <c r="Q83" s="3"/>
    </row>
    <row r="84" spans="1:17" ht="15" customHeight="1" x14ac:dyDescent="0.25">
      <c r="A84" s="5"/>
      <c r="B84" s="47" t="s">
        <v>83</v>
      </c>
      <c r="C84" s="14">
        <f>C106+C107</f>
        <v>4239.7888090768938</v>
      </c>
      <c r="D84" s="14">
        <f>D106+D107</f>
        <v>7333.2471849369504</v>
      </c>
      <c r="E84" s="45">
        <f t="shared" si="9"/>
        <v>-3093.4583758600565</v>
      </c>
      <c r="F84" s="41"/>
      <c r="G84" s="41" t="s">
        <v>82</v>
      </c>
      <c r="H84" s="5"/>
      <c r="I84" s="5"/>
      <c r="J84" s="3"/>
      <c r="K84" s="3"/>
      <c r="L84" s="3"/>
      <c r="M84" s="3"/>
      <c r="N84" s="3"/>
      <c r="O84" s="3"/>
      <c r="P84" s="3"/>
      <c r="Q84" s="3"/>
    </row>
    <row r="85" spans="1:17" ht="15" customHeight="1" x14ac:dyDescent="0.25">
      <c r="A85" s="5"/>
      <c r="B85" s="56" t="s">
        <v>81</v>
      </c>
      <c r="C85" s="55">
        <f>SUM(C81:C84)</f>
        <v>9083.8455322633381</v>
      </c>
      <c r="D85" s="55">
        <f>SUM(D81:D84)</f>
        <v>8333.2471849369504</v>
      </c>
      <c r="E85" s="54">
        <f t="shared" si="9"/>
        <v>750.59834732638774</v>
      </c>
      <c r="F85" s="41"/>
      <c r="G85" s="41" t="str">
        <f>"Ties to Ben's Value — Offer (row "&amp;ROW($B$92)&amp;"); tie-out in row "&amp;ROW($B$102)</f>
        <v>Ties to Ben's Value — Offer (row 92); tie-out in row 102</v>
      </c>
      <c r="H85" s="5"/>
      <c r="I85" s="5"/>
      <c r="J85" s="3"/>
      <c r="K85" s="3"/>
      <c r="L85" s="3"/>
      <c r="M85" s="3"/>
      <c r="N85" s="3"/>
      <c r="O85" s="3"/>
      <c r="P85" s="3"/>
      <c r="Q85" s="3"/>
    </row>
    <row r="86" spans="1:17" ht="15" customHeight="1" x14ac:dyDescent="0.25">
      <c r="A86" s="5"/>
      <c r="B86" s="53" t="s">
        <v>80</v>
      </c>
      <c r="C86" s="52">
        <f>IFERROR(C85/C80,0)</f>
        <v>3.0279485107544462</v>
      </c>
      <c r="D86" s="52">
        <f>IFERROR(D85/D80,0)</f>
        <v>2.7777490616456499</v>
      </c>
      <c r="E86" s="51">
        <f t="shared" si="9"/>
        <v>0.25019944910879621</v>
      </c>
      <c r="F86" s="41"/>
      <c r="G86" s="41" t="s">
        <v>79</v>
      </c>
      <c r="H86" s="5"/>
      <c r="I86" s="5"/>
      <c r="J86" s="3"/>
      <c r="K86" s="3"/>
      <c r="L86" s="3"/>
      <c r="M86" s="3"/>
      <c r="N86" s="3"/>
      <c r="O86" s="3"/>
      <c r="P86" s="3"/>
      <c r="Q86" s="3"/>
    </row>
    <row r="87" spans="1:17" ht="15" customHeight="1" x14ac:dyDescent="0.25">
      <c r="A87" s="5"/>
      <c r="B87" s="50" t="s">
        <v>78</v>
      </c>
      <c r="C87" s="49">
        <f>IFERROR(IRR($L80:$Q80),0)</f>
        <v>0.29119416880747617</v>
      </c>
      <c r="D87" s="49">
        <f>IFERROR(IRR($L81:$Q81),0)</f>
        <v>0.26613900142438429</v>
      </c>
      <c r="E87" s="48">
        <f t="shared" si="9"/>
        <v>2.5055167383091881E-2</v>
      </c>
      <c r="F87" s="41"/>
      <c r="G87" s="41" t="str">
        <f>"Cash-flow IRR; see helper cash flows in "&amp;ADDRESS(ROW(L80),COLUMN(L80),4)&amp;":"&amp;ADDRESS(ROW(Q81),COLUMN(Q81),4)</f>
        <v>Cash-flow IRR; see helper cash flows in L80:Q81</v>
      </c>
      <c r="H87" s="5"/>
      <c r="I87" s="5"/>
      <c r="J87" s="3"/>
      <c r="K87" s="3"/>
      <c r="L87" s="3"/>
      <c r="M87" s="3"/>
      <c r="N87" s="3"/>
      <c r="O87" s="3"/>
      <c r="P87" s="3"/>
      <c r="Q87" s="3"/>
    </row>
    <row r="88" spans="1:17" ht="15" customHeight="1" x14ac:dyDescent="0.25">
      <c r="A88" s="5"/>
      <c r="B88" s="47" t="s">
        <v>77</v>
      </c>
      <c r="C88" s="46">
        <f>C93</f>
        <v>7490.2576987288176</v>
      </c>
      <c r="D88" s="46">
        <f>D93</f>
        <v>7490.2576987288176</v>
      </c>
      <c r="E88" s="45">
        <f t="shared" si="9"/>
        <v>0</v>
      </c>
      <c r="F88" s="41"/>
      <c r="G88" s="41" t="s">
        <v>76</v>
      </c>
      <c r="H88" s="5"/>
      <c r="I88" s="5"/>
      <c r="J88" s="3"/>
      <c r="K88" s="3"/>
      <c r="L88" s="3"/>
      <c r="M88" s="3"/>
      <c r="N88" s="3"/>
      <c r="O88" s="3"/>
      <c r="P88" s="3"/>
      <c r="Q88" s="3"/>
    </row>
    <row r="89" spans="1:17" ht="15" customHeight="1" x14ac:dyDescent="0.25">
      <c r="A89" s="5"/>
      <c r="B89" s="44" t="s">
        <v>75</v>
      </c>
      <c r="C89" s="43">
        <f>C85-C88</f>
        <v>1593.5878335345205</v>
      </c>
      <c r="D89" s="43">
        <f>D85-D88</f>
        <v>842.9894862081328</v>
      </c>
      <c r="E89" s="42">
        <f t="shared" si="9"/>
        <v>750.59834732638774</v>
      </c>
      <c r="F89" s="41"/>
      <c r="G89" s="41" t="s">
        <v>74</v>
      </c>
      <c r="H89" s="5"/>
      <c r="I89" s="5"/>
      <c r="J89" s="3"/>
      <c r="K89" s="3"/>
      <c r="L89" s="3"/>
      <c r="M89" s="3"/>
      <c r="N89" s="3"/>
      <c r="O89" s="3"/>
      <c r="P89" s="3"/>
      <c r="Q89" s="3"/>
    </row>
    <row r="90" spans="1:17" ht="3.95" customHeight="1" x14ac:dyDescent="0.25">
      <c r="A90" s="5"/>
      <c r="B90" s="5"/>
      <c r="C90" s="16"/>
      <c r="D90" s="16"/>
      <c r="E90" s="16"/>
      <c r="F90" s="5"/>
      <c r="G90" s="5"/>
      <c r="H90" s="5"/>
      <c r="I90" s="5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5"/>
      <c r="B91" s="10" t="s">
        <v>73</v>
      </c>
      <c r="C91" s="9" t="s">
        <v>8</v>
      </c>
      <c r="D91" s="9" t="s">
        <v>7</v>
      </c>
      <c r="E91" s="8" t="s">
        <v>6</v>
      </c>
      <c r="F91" s="5"/>
      <c r="G91" s="5"/>
      <c r="H91" s="5"/>
      <c r="I91" s="5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5"/>
      <c r="B92" s="5" t="s">
        <v>72</v>
      </c>
      <c r="C92" s="22">
        <f>'Partnership Analysis'!$D$90</f>
        <v>9083.8455322633363</v>
      </c>
      <c r="D92" s="22">
        <f>'100% Buyout Analysis'!$D$79</f>
        <v>8333.2471849369504</v>
      </c>
      <c r="E92" s="15">
        <f>C92-D92</f>
        <v>750.59834732638592</v>
      </c>
      <c r="F92" s="5"/>
      <c r="G92" s="5"/>
      <c r="H92" s="5"/>
      <c r="I92" s="5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5"/>
      <c r="B93" s="27" t="s">
        <v>71</v>
      </c>
      <c r="C93" s="20">
        <f>'Partnership Analysis'!$D$72</f>
        <v>7490.2576987288176</v>
      </c>
      <c r="D93" s="20">
        <f>'100% Buyout Analysis'!$D$70</f>
        <v>7490.2576987288176</v>
      </c>
      <c r="E93" s="14">
        <f>C93-D93</f>
        <v>0</v>
      </c>
      <c r="F93" s="5"/>
      <c r="G93" s="5"/>
      <c r="H93" s="5"/>
      <c r="I93" s="5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5"/>
      <c r="B94" s="40" t="s">
        <v>70</v>
      </c>
      <c r="C94" s="39">
        <f>C92-C93</f>
        <v>1593.5878335345187</v>
      </c>
      <c r="D94" s="39">
        <f>D92-D93</f>
        <v>842.9894862081328</v>
      </c>
      <c r="E94" s="38">
        <f>C94-D94</f>
        <v>750.59834732638592</v>
      </c>
      <c r="F94" s="5"/>
      <c r="G94" s="5"/>
      <c r="H94" s="5"/>
      <c r="I94" s="5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5"/>
      <c r="B95" s="37" t="s">
        <v>69</v>
      </c>
      <c r="C95" s="36">
        <f>IFERROR(C92/C93-1,0)</f>
        <v>0.21275474057520993</v>
      </c>
      <c r="D95" s="36">
        <f>IFERROR(D92/D93-1,0)</f>
        <v>0.11254479086229541</v>
      </c>
      <c r="E95" s="35"/>
      <c r="F95" s="5"/>
      <c r="G95" s="5"/>
      <c r="H95" s="5"/>
      <c r="I95" s="5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5"/>
      <c r="B96" s="5" t="s">
        <v>68</v>
      </c>
      <c r="C96" s="23">
        <f>'Partnership Analysis'!$D$95</f>
        <v>3.0279485107544453</v>
      </c>
      <c r="D96" s="23">
        <f>'100% Buyout Analysis'!$D$84</f>
        <v>2.7777490616456499</v>
      </c>
      <c r="E96" s="13">
        <f t="shared" ref="E96:E101" si="12">C96-D96</f>
        <v>0.25019944910879532</v>
      </c>
      <c r="F96" s="5"/>
      <c r="G96" s="5"/>
      <c r="H96" s="5"/>
      <c r="I96" s="5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5"/>
      <c r="B97" s="27" t="s">
        <v>67</v>
      </c>
      <c r="C97" s="13">
        <f>IFERROR('Partnership Analysis'!$D$72/'Partnership Analysis'!$C$72,0)</f>
        <v>2.4967525662429391</v>
      </c>
      <c r="D97" s="13">
        <f>IFERROR('100% Buyout Analysis'!$D$70/'100% Buyout Analysis'!$C$70,0)</f>
        <v>2.4967525662429391</v>
      </c>
      <c r="E97" s="13">
        <f t="shared" si="12"/>
        <v>0</v>
      </c>
      <c r="F97" s="5"/>
      <c r="G97" s="5" t="str">
        <f>"Keystone Year "&amp;$C$7&amp;" value ÷ value today"</f>
        <v>Keystone Year 5 value ÷ value today</v>
      </c>
      <c r="H97" s="5"/>
      <c r="I97" s="5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5"/>
      <c r="B98" s="32" t="s">
        <v>66</v>
      </c>
      <c r="C98" s="34">
        <f>C96-C97</f>
        <v>0.5311959445115062</v>
      </c>
      <c r="D98" s="34">
        <f>D96-D97</f>
        <v>0.28099649540271088</v>
      </c>
      <c r="E98" s="33">
        <f t="shared" si="12"/>
        <v>0.25019944910879532</v>
      </c>
      <c r="F98" s="5"/>
      <c r="G98" s="5"/>
      <c r="H98" s="5"/>
      <c r="I98" s="5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5"/>
      <c r="B99" s="5" t="s">
        <v>65</v>
      </c>
      <c r="C99" s="7">
        <f>'Partnership Analysis'!$D$96</f>
        <v>0.29119416880747617</v>
      </c>
      <c r="D99" s="7">
        <f>'100% Buyout Analysis'!$D$85</f>
        <v>0.26613900142438429</v>
      </c>
      <c r="E99" s="6">
        <f t="shared" si="12"/>
        <v>2.5055167383091881E-2</v>
      </c>
      <c r="F99" s="5"/>
      <c r="G99" s="5" t="s">
        <v>64</v>
      </c>
      <c r="H99" s="5"/>
      <c r="I99" s="5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5"/>
      <c r="B100" s="27" t="s">
        <v>63</v>
      </c>
      <c r="C100" s="6">
        <f>IFERROR(C97^(1/C$7)-1,0)</f>
        <v>0.20081222595661186</v>
      </c>
      <c r="D100" s="6">
        <f>IFERROR(D97^(1/D$7)-1,0)</f>
        <v>0.20081222595661186</v>
      </c>
      <c r="E100" s="6">
        <f t="shared" si="12"/>
        <v>0</v>
      </c>
      <c r="F100" s="5"/>
      <c r="G100" s="5"/>
      <c r="H100" s="5"/>
      <c r="I100" s="5"/>
      <c r="J100" s="3"/>
      <c r="K100" s="3"/>
      <c r="L100" s="3"/>
      <c r="M100" s="3"/>
      <c r="N100" s="3"/>
      <c r="O100" s="3"/>
      <c r="P100" s="3"/>
      <c r="Q100" s="3"/>
    </row>
    <row r="101" spans="1:17" x14ac:dyDescent="0.25">
      <c r="A101" s="5"/>
      <c r="B101" s="32" t="s">
        <v>62</v>
      </c>
      <c r="C101" s="31">
        <f>C99-C100</f>
        <v>9.0381942850864316E-2</v>
      </c>
      <c r="D101" s="31">
        <f>D99-D100</f>
        <v>6.5326775467772435E-2</v>
      </c>
      <c r="E101" s="30">
        <f t="shared" si="12"/>
        <v>2.5055167383091881E-2</v>
      </c>
      <c r="F101" s="5"/>
      <c r="G101" s="5"/>
      <c r="H101" s="5"/>
      <c r="I101" s="5"/>
      <c r="J101" s="3"/>
      <c r="K101" s="3"/>
      <c r="L101" s="3"/>
      <c r="M101" s="3"/>
      <c r="N101" s="3"/>
      <c r="O101" s="3"/>
      <c r="P101" s="3"/>
      <c r="Q101" s="3"/>
    </row>
    <row r="102" spans="1:17" x14ac:dyDescent="0.25">
      <c r="A102" s="5"/>
      <c r="B102" s="5" t="s">
        <v>61</v>
      </c>
      <c r="C102" s="14">
        <f>C85-C92</f>
        <v>0</v>
      </c>
      <c r="D102" s="14">
        <f>D85-D92</f>
        <v>0</v>
      </c>
      <c r="E102" s="14"/>
      <c r="F102" s="5"/>
      <c r="G102" s="5" t="s">
        <v>51</v>
      </c>
      <c r="H102" s="5"/>
      <c r="I102" s="5"/>
      <c r="J102" s="3"/>
      <c r="K102" s="3"/>
      <c r="L102" s="3"/>
      <c r="M102" s="3"/>
      <c r="N102" s="3"/>
      <c r="O102" s="3"/>
      <c r="P102" s="3"/>
      <c r="Q102" s="3"/>
    </row>
    <row r="103" spans="1:17" ht="3.95" customHeight="1" x14ac:dyDescent="0.25">
      <c r="A103" s="5"/>
      <c r="B103" s="5"/>
      <c r="C103" s="16"/>
      <c r="D103" s="16"/>
      <c r="E103" s="16"/>
      <c r="F103" s="5"/>
      <c r="G103" s="5"/>
      <c r="H103" s="5"/>
      <c r="I103" s="5"/>
      <c r="J103" s="3"/>
      <c r="K103" s="3"/>
      <c r="L103" s="3"/>
      <c r="M103" s="3"/>
      <c r="N103" s="3"/>
      <c r="O103" s="3"/>
      <c r="P103" s="3"/>
      <c r="Q103" s="3"/>
    </row>
    <row r="104" spans="1:17" x14ac:dyDescent="0.25">
      <c r="A104" s="5"/>
      <c r="B104" s="29" t="s">
        <v>60</v>
      </c>
      <c r="C104" s="9" t="s">
        <v>8</v>
      </c>
      <c r="D104" s="9" t="s">
        <v>7</v>
      </c>
      <c r="E104" s="8" t="s">
        <v>6</v>
      </c>
      <c r="F104" s="5"/>
      <c r="G104" s="5"/>
      <c r="H104" s="5"/>
      <c r="I104" s="5"/>
      <c r="J104" s="3"/>
      <c r="K104" s="3"/>
      <c r="L104" s="3"/>
      <c r="M104" s="3"/>
      <c r="N104" s="3"/>
      <c r="O104" s="3"/>
      <c r="P104" s="3"/>
      <c r="Q104" s="3"/>
    </row>
    <row r="105" spans="1:17" x14ac:dyDescent="0.25">
      <c r="A105" s="5"/>
      <c r="B105" s="5" t="s">
        <v>59</v>
      </c>
      <c r="C105" s="22">
        <f>'Partnership Analysis'!$D$85</f>
        <v>4194.0567231864434</v>
      </c>
      <c r="D105" s="28">
        <v>0</v>
      </c>
      <c r="E105" s="15">
        <f t="shared" ref="E105:E110" si="13">C105-D105</f>
        <v>4194.0567231864434</v>
      </c>
      <c r="F105" s="5"/>
      <c r="G105" s="5" t="s">
        <v>58</v>
      </c>
      <c r="H105" s="5"/>
      <c r="I105" s="5"/>
      <c r="J105" s="3"/>
      <c r="K105" s="3"/>
      <c r="L105" s="3"/>
      <c r="M105" s="3"/>
      <c r="N105" s="3"/>
      <c r="O105" s="3"/>
      <c r="P105" s="3"/>
      <c r="Q105" s="3"/>
    </row>
    <row r="106" spans="1:17" x14ac:dyDescent="0.25">
      <c r="A106" s="5"/>
      <c r="B106" s="27" t="s">
        <v>57</v>
      </c>
      <c r="C106" s="20">
        <f>'Partnership Analysis'!$D$86</f>
        <v>219.37180338120572</v>
      </c>
      <c r="D106" s="20">
        <f>'100% Buyout Analysis'!$C$116</f>
        <v>531.24718493694945</v>
      </c>
      <c r="E106" s="14">
        <f t="shared" si="13"/>
        <v>-311.87538155574373</v>
      </c>
      <c r="F106" s="5"/>
      <c r="G106" s="5"/>
      <c r="H106" s="5"/>
      <c r="I106" s="5"/>
      <c r="J106" s="3"/>
      <c r="K106" s="3"/>
      <c r="L106" s="3"/>
      <c r="M106" s="3"/>
      <c r="N106" s="3"/>
      <c r="O106" s="3"/>
      <c r="P106" s="3"/>
      <c r="Q106" s="3"/>
    </row>
    <row r="107" spans="1:17" x14ac:dyDescent="0.25">
      <c r="A107" s="5"/>
      <c r="B107" s="27" t="s">
        <v>56</v>
      </c>
      <c r="C107" s="20">
        <f>'Partnership Analysis'!$D$87</f>
        <v>4020.4170056956877</v>
      </c>
      <c r="D107" s="20">
        <f>'100% Buyout Analysis'!$C$115</f>
        <v>6802.0000000000009</v>
      </c>
      <c r="E107" s="14">
        <f t="shared" si="13"/>
        <v>-2781.5829943043132</v>
      </c>
      <c r="F107" s="5"/>
      <c r="G107" s="5"/>
      <c r="H107" s="5"/>
      <c r="I107" s="5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5"/>
      <c r="B108" s="27" t="s">
        <v>55</v>
      </c>
      <c r="C108" s="20">
        <f>'Partnership Analysis'!$D$88</f>
        <v>650</v>
      </c>
      <c r="D108" s="20">
        <f>'100% Buyout Analysis'!$C$117</f>
        <v>500</v>
      </c>
      <c r="E108" s="14">
        <f t="shared" si="13"/>
        <v>150</v>
      </c>
      <c r="F108" s="5"/>
      <c r="G108" s="5"/>
      <c r="H108" s="5"/>
      <c r="I108" s="5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 s="5"/>
      <c r="B109" s="27" t="s">
        <v>54</v>
      </c>
      <c r="C109" s="20">
        <f>'Partnership Analysis'!$D$89</f>
        <v>0</v>
      </c>
      <c r="D109" s="20">
        <f>'100% Buyout Analysis'!$C$118</f>
        <v>500</v>
      </c>
      <c r="E109" s="14">
        <f t="shared" si="13"/>
        <v>-500</v>
      </c>
      <c r="F109" s="5"/>
      <c r="G109" s="5"/>
      <c r="H109" s="5"/>
      <c r="I109" s="5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5"/>
      <c r="B110" s="26" t="s">
        <v>53</v>
      </c>
      <c r="C110" s="25">
        <f>SUM(C105:C109)</f>
        <v>9083.8455322633363</v>
      </c>
      <c r="D110" s="25">
        <f>SUM(D105:D109)</f>
        <v>8333.2471849369504</v>
      </c>
      <c r="E110" s="24">
        <f t="shared" si="13"/>
        <v>750.59834732638592</v>
      </c>
      <c r="F110" s="5"/>
      <c r="G110" s="5"/>
      <c r="H110" s="5"/>
      <c r="I110" s="5"/>
      <c r="J110" s="3"/>
      <c r="K110" s="3"/>
      <c r="L110" s="3"/>
      <c r="M110" s="3"/>
      <c r="N110" s="3"/>
      <c r="O110" s="3"/>
      <c r="P110" s="3"/>
      <c r="Q110" s="3"/>
    </row>
    <row r="111" spans="1:17" x14ac:dyDescent="0.25">
      <c r="A111" s="5"/>
      <c r="B111" s="5" t="s">
        <v>52</v>
      </c>
      <c r="C111" s="14">
        <f>C110-C92</f>
        <v>0</v>
      </c>
      <c r="D111" s="14">
        <f>D110-D92</f>
        <v>0</v>
      </c>
      <c r="E111" s="14"/>
      <c r="F111" s="5"/>
      <c r="G111" s="5" t="s">
        <v>51</v>
      </c>
      <c r="H111" s="5"/>
      <c r="I111" s="5"/>
      <c r="J111" s="3"/>
      <c r="K111" s="3"/>
      <c r="L111" s="3"/>
      <c r="M111" s="3"/>
      <c r="N111" s="3"/>
      <c r="O111" s="3"/>
      <c r="P111" s="3"/>
      <c r="Q111" s="3"/>
    </row>
    <row r="112" spans="1:17" ht="3.95" customHeight="1" x14ac:dyDescent="0.25">
      <c r="A112" s="5"/>
      <c r="B112" s="5"/>
      <c r="C112" s="16"/>
      <c r="D112" s="16"/>
      <c r="E112" s="16"/>
      <c r="F112" s="5"/>
      <c r="G112" s="5"/>
      <c r="H112" s="5"/>
      <c r="I112" s="5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5"/>
      <c r="B113" s="10" t="s">
        <v>50</v>
      </c>
      <c r="C113" s="9" t="s">
        <v>8</v>
      </c>
      <c r="D113" s="9" t="s">
        <v>7</v>
      </c>
      <c r="E113" s="8" t="s">
        <v>6</v>
      </c>
      <c r="F113" s="5"/>
      <c r="G113" s="5"/>
      <c r="H113" s="5"/>
      <c r="I113" s="5"/>
      <c r="J113" s="3"/>
      <c r="K113" s="3"/>
      <c r="L113" s="3"/>
      <c r="M113" s="3"/>
      <c r="N113" s="3"/>
      <c r="O113" s="3"/>
      <c r="P113" s="3"/>
      <c r="Q113" s="3"/>
    </row>
    <row r="114" spans="1:17" x14ac:dyDescent="0.25">
      <c r="A114" s="5"/>
      <c r="B114" s="5" t="s">
        <v>49</v>
      </c>
      <c r="C114" s="23">
        <f>'Partnership Analysis'!$C$134</f>
        <v>1.277845863395521</v>
      </c>
      <c r="D114" s="13" t="s">
        <v>39</v>
      </c>
      <c r="E114" s="13" t="str">
        <f>IF(ISNUMBER(D114),C114-D114,"n/m")</f>
        <v>n/m</v>
      </c>
      <c r="F114" s="5"/>
      <c r="G114" s="5" t="s">
        <v>48</v>
      </c>
      <c r="H114" s="5"/>
      <c r="I114" s="5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5"/>
      <c r="B115" s="5" t="s">
        <v>47</v>
      </c>
      <c r="C115" s="22">
        <f>'Partnership Analysis'!$C$135</f>
        <v>108260.36488515703</v>
      </c>
      <c r="D115" s="22">
        <f>'100% Buyout Analysis'!$C$131</f>
        <v>156816.0661524176</v>
      </c>
      <c r="E115" s="15">
        <f>C115-D115</f>
        <v>-48555.701267260563</v>
      </c>
      <c r="F115" s="5"/>
      <c r="G115" s="5"/>
      <c r="H115" s="5"/>
      <c r="I115" s="5"/>
      <c r="J115" s="3"/>
      <c r="K115" s="3"/>
      <c r="L115" s="3"/>
      <c r="M115" s="3"/>
      <c r="N115" s="3"/>
      <c r="O115" s="3"/>
      <c r="P115" s="3"/>
      <c r="Q115" s="3"/>
    </row>
    <row r="116" spans="1:17" x14ac:dyDescent="0.25">
      <c r="A116" s="5"/>
      <c r="B116" s="5" t="s">
        <v>46</v>
      </c>
      <c r="C116" s="21">
        <f>'Partnership Analysis'!$C$136</f>
        <v>11.591141430944766</v>
      </c>
      <c r="D116" s="21">
        <f>'100% Buyout Analysis'!$C$132</f>
        <v>16.796090480248786</v>
      </c>
      <c r="E116" s="17">
        <f>C116-D116</f>
        <v>-5.2049490493040196</v>
      </c>
      <c r="F116" s="5"/>
      <c r="G116" s="5"/>
      <c r="H116" s="5"/>
      <c r="I116" s="5"/>
      <c r="J116" s="3"/>
      <c r="K116" s="3"/>
      <c r="L116" s="3"/>
      <c r="M116" s="3"/>
      <c r="N116" s="3"/>
      <c r="O116" s="3"/>
      <c r="P116" s="3"/>
      <c r="Q116" s="3"/>
    </row>
    <row r="117" spans="1:17" x14ac:dyDescent="0.25">
      <c r="A117" s="5"/>
      <c r="B117" s="5" t="s">
        <v>45</v>
      </c>
      <c r="C117" s="20">
        <f>'Partnership Analysis'!$C$137</f>
        <v>52.986228625586776</v>
      </c>
      <c r="D117" s="20">
        <f>'100% Buyout Analysis'!$C$133</f>
        <v>105.96740499845237</v>
      </c>
      <c r="E117" s="14">
        <f>C117-D117</f>
        <v>-52.98117637286559</v>
      </c>
      <c r="F117" s="5"/>
      <c r="G117" s="5"/>
      <c r="H117" s="5"/>
      <c r="I117" s="5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5"/>
      <c r="B118" s="5" t="s">
        <v>44</v>
      </c>
      <c r="C118" s="19">
        <f>'Partnership Analysis'!$C$139</f>
        <v>0.40707166324338884</v>
      </c>
      <c r="D118" s="19">
        <f>'100% Buyout Analysis'!$C$134</f>
        <v>0.15920673907497795</v>
      </c>
      <c r="E118" s="18">
        <f>C118-D118</f>
        <v>0.24786492416841088</v>
      </c>
      <c r="F118" s="5"/>
      <c r="G118" s="5"/>
      <c r="H118" s="5"/>
      <c r="I118" s="5"/>
      <c r="J118" s="3"/>
      <c r="K118" s="3"/>
      <c r="L118" s="3"/>
      <c r="M118" s="3"/>
      <c r="N118" s="3"/>
      <c r="O118" s="3"/>
      <c r="P118" s="3"/>
      <c r="Q118" s="3"/>
    </row>
    <row r="119" spans="1:17" x14ac:dyDescent="0.25">
      <c r="A119" s="5"/>
      <c r="B119" s="5" t="s">
        <v>43</v>
      </c>
      <c r="C119" s="7">
        <f>'Partnership Analysis'!$C$138</f>
        <v>0.12774199395700991</v>
      </c>
      <c r="D119" s="7">
        <f>'100% Buyout Analysis'!$C$135</f>
        <v>0.21465018998633045</v>
      </c>
      <c r="E119" s="6">
        <f>C119-D119</f>
        <v>-8.6908196029320539E-2</v>
      </c>
      <c r="F119" s="5"/>
      <c r="G119" s="5" t="s">
        <v>42</v>
      </c>
      <c r="H119" s="5"/>
      <c r="I119" s="5"/>
      <c r="J119" s="3"/>
      <c r="K119" s="3"/>
      <c r="L119" s="3"/>
      <c r="M119" s="3"/>
      <c r="N119" s="3"/>
      <c r="O119" s="3"/>
      <c r="P119" s="3"/>
      <c r="Q119" s="3"/>
    </row>
    <row r="120" spans="1:17" ht="3.95" customHeight="1" x14ac:dyDescent="0.25">
      <c r="A120" s="5"/>
      <c r="B120" s="5"/>
      <c r="C120" s="16"/>
      <c r="D120" s="16"/>
      <c r="E120" s="16"/>
      <c r="F120" s="5"/>
      <c r="G120" s="5"/>
      <c r="H120" s="5"/>
      <c r="I120" s="5"/>
      <c r="J120" s="3"/>
      <c r="K120" s="3"/>
      <c r="L120" s="3"/>
      <c r="M120" s="3"/>
      <c r="N120" s="3"/>
      <c r="O120" s="3"/>
      <c r="P120" s="3"/>
      <c r="Q120" s="3"/>
    </row>
    <row r="121" spans="1:17" x14ac:dyDescent="0.25">
      <c r="A121" s="5"/>
      <c r="B121" s="10" t="s">
        <v>41</v>
      </c>
      <c r="C121" s="9" t="s">
        <v>8</v>
      </c>
      <c r="D121" s="9" t="s">
        <v>7</v>
      </c>
      <c r="E121" s="8" t="s">
        <v>6</v>
      </c>
      <c r="F121" s="5"/>
      <c r="G121" s="5"/>
      <c r="H121" s="5"/>
      <c r="I121" s="5"/>
      <c r="J121" s="3"/>
      <c r="K121" s="3"/>
      <c r="L121" s="3"/>
      <c r="M121" s="3"/>
      <c r="N121" s="3"/>
      <c r="O121" s="3"/>
      <c r="P121" s="3"/>
      <c r="Q121" s="3"/>
    </row>
    <row r="122" spans="1:17" x14ac:dyDescent="0.25">
      <c r="A122" s="5"/>
      <c r="B122" s="5" t="s">
        <v>40</v>
      </c>
      <c r="C122" s="13">
        <f>'Partnership Analysis'!$D$134-C114</f>
        <v>0.72215413660447902</v>
      </c>
      <c r="D122" s="13" t="s">
        <v>39</v>
      </c>
      <c r="E122" s="13" t="str">
        <f>IF(ISNUMBER(D122),C122-D122,"n/m")</f>
        <v>n/m</v>
      </c>
      <c r="F122" s="5"/>
      <c r="G122" s="5" t="str">
        <f>"Base integration multiple (row "&amp;ROW($B$15)&amp;") less break-even; n/m for Buyout (no retained stake)"</f>
        <v>Base integration multiple (row 15) less break-even; n/m for Buyout (no retained stake)</v>
      </c>
      <c r="H122" s="5"/>
      <c r="I122" s="5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5"/>
      <c r="B123" s="5" t="s">
        <v>38</v>
      </c>
      <c r="C123" s="15">
        <f>'Partnership Analysis'!$D$135-C115</f>
        <v>71089.635114842997</v>
      </c>
      <c r="D123" s="15">
        <f>'100% Buyout Analysis'!$D$131-D115</f>
        <v>22183.933847582433</v>
      </c>
      <c r="E123" s="15">
        <f>C123-D123</f>
        <v>48905.701267260563</v>
      </c>
      <c r="F123" s="5"/>
      <c r="G123" s="5" t="s">
        <v>37</v>
      </c>
      <c r="H123" s="5"/>
      <c r="I123" s="5"/>
      <c r="J123" s="3"/>
      <c r="K123" s="3"/>
      <c r="L123" s="3"/>
      <c r="M123" s="3"/>
      <c r="N123" s="3"/>
      <c r="O123" s="3"/>
      <c r="P123" s="3"/>
      <c r="Q123" s="3"/>
    </row>
    <row r="124" spans="1:17" x14ac:dyDescent="0.25">
      <c r="A124" s="5"/>
      <c r="B124" s="5" t="s">
        <v>36</v>
      </c>
      <c r="C124" s="17">
        <f>'Partnership Analysis'!$D$136-C116</f>
        <v>7.5659466916605993</v>
      </c>
      <c r="D124" s="17">
        <f>'100% Buyout Analysis'!$D$132-D116</f>
        <v>2.3609976423565797</v>
      </c>
      <c r="E124" s="17">
        <f>C124-D124</f>
        <v>5.2049490493040196</v>
      </c>
      <c r="F124" s="5"/>
      <c r="G124" s="5" t="s">
        <v>35</v>
      </c>
      <c r="H124" s="5"/>
      <c r="I124" s="5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5"/>
      <c r="B125" s="5" t="s">
        <v>34</v>
      </c>
      <c r="C125" s="14">
        <f>'Partnership Analysis'!$D$137-C117</f>
        <v>77.013771374413224</v>
      </c>
      <c r="D125" s="14">
        <f>'100% Buyout Analysis'!$D$133-D117</f>
        <v>24.032595001547634</v>
      </c>
      <c r="E125" s="14">
        <f>C125-D125</f>
        <v>52.98117637286559</v>
      </c>
      <c r="F125" s="5"/>
      <c r="G125" s="5" t="str">
        <f>"Base net wins (AMB placeholder, row "&amp;ROW($B$20)&amp;") less break-even wins"</f>
        <v>Base net wins (AMB placeholder, row 20) less break-even wins</v>
      </c>
      <c r="H125" s="5"/>
      <c r="I125" s="5"/>
      <c r="J125" s="3"/>
      <c r="K125" s="3"/>
      <c r="L125" s="3"/>
      <c r="M125" s="3"/>
      <c r="N125" s="3"/>
      <c r="O125" s="3"/>
      <c r="P125" s="3"/>
      <c r="Q125" s="3"/>
    </row>
    <row r="126" spans="1:17" x14ac:dyDescent="0.25">
      <c r="A126" s="5"/>
      <c r="B126" s="5" t="s">
        <v>33</v>
      </c>
      <c r="C126" s="6">
        <f>C118-'Partnership Analysis'!$D$139</f>
        <v>0.35707166324338885</v>
      </c>
      <c r="D126" s="6">
        <f>D118-'100% Buyout Analysis'!$D$134</f>
        <v>0.10920673907497795</v>
      </c>
      <c r="E126" s="6">
        <f>C126-D126</f>
        <v>0.24786492416841088</v>
      </c>
      <c r="F126" s="5"/>
      <c r="G126" s="5" t="str">
        <f>"Break-even dilution less est. dilution ("&amp;ADDRESS(ROW(C8),COLUMN(C8),4)&amp;")"</f>
        <v>Break-even dilution less est. dilution (C8)</v>
      </c>
      <c r="H126" s="5"/>
      <c r="I126" s="5"/>
      <c r="J126" s="3"/>
      <c r="K126" s="3"/>
      <c r="L126" s="3"/>
      <c r="M126" s="3"/>
      <c r="N126" s="3"/>
      <c r="O126" s="3"/>
      <c r="P126" s="3"/>
      <c r="Q126" s="3"/>
    </row>
    <row r="127" spans="1:17" x14ac:dyDescent="0.25">
      <c r="A127" s="5"/>
      <c r="B127" s="5" t="s">
        <v>32</v>
      </c>
      <c r="C127" s="6">
        <f>'Partnership Analysis'!$D$138-C119</f>
        <v>0.1198027521018401</v>
      </c>
      <c r="D127" s="6">
        <f>'100% Buyout Analysis'!$D$135-D119</f>
        <v>3.2473409273357401E-2</v>
      </c>
      <c r="E127" s="6">
        <f>C127-D127</f>
        <v>8.7329342828482703E-2</v>
      </c>
      <c r="F127" s="5"/>
      <c r="G127" s="5" t="str">
        <f>"Base less break-even; CAGR of Topkey's ex-Keystone value, net of cash (row "&amp;ROW($B$119)&amp;")"</f>
        <v>Base less break-even; CAGR of Topkey's ex-Keystone value, net of cash (row 119)</v>
      </c>
      <c r="H127" s="5"/>
      <c r="I127" s="5"/>
      <c r="J127" s="3"/>
      <c r="K127" s="3"/>
      <c r="L127" s="3"/>
      <c r="M127" s="3"/>
      <c r="N127" s="3"/>
      <c r="O127" s="3"/>
      <c r="P127" s="3"/>
      <c r="Q127" s="3"/>
    </row>
    <row r="128" spans="1:17" ht="3.95" customHeight="1" x14ac:dyDescent="0.25">
      <c r="B128" s="3"/>
      <c r="C128" s="3"/>
      <c r="D128" s="3"/>
      <c r="E128" s="1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2:17" ht="15" customHeight="1" x14ac:dyDescent="0.25">
      <c r="B129" s="10" t="s">
        <v>31</v>
      </c>
      <c r="C129" s="9" t="s">
        <v>8</v>
      </c>
      <c r="D129" s="9" t="s">
        <v>7</v>
      </c>
      <c r="E129" s="8" t="s">
        <v>6</v>
      </c>
      <c r="F129" s="5"/>
      <c r="G129" s="5" t="s">
        <v>30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2:17" ht="15" customHeight="1" x14ac:dyDescent="0.25">
      <c r="B130" s="5" t="s">
        <v>29</v>
      </c>
      <c r="C130" s="15">
        <f>C33+C$146/(1-C$146)*('Partnership Analysis'!$D$79+C33+C35)</f>
        <v>5000.0000000000009</v>
      </c>
      <c r="D130" s="15">
        <f>D33+D$146/(1-D$146)*('100% Buyout Analysis'!$D$73+D33+D35)</f>
        <v>8000.0000000000018</v>
      </c>
      <c r="E130" s="15">
        <f t="shared" ref="E130:E135" si="14">C130-D130</f>
        <v>-3000.0000000000009</v>
      </c>
      <c r="F130" s="5"/>
      <c r="G130" s="5" t="s">
        <v>28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2:17" ht="15" customHeight="1" x14ac:dyDescent="0.25">
      <c r="B131" s="5" t="s">
        <v>27</v>
      </c>
      <c r="C131" s="14">
        <f>IFERROR(C130/C$31/C$15,0)</f>
        <v>3571.4285714285725</v>
      </c>
      <c r="D131" s="14">
        <f>IFERROR(D130/D$31/D$15,0)</f>
        <v>4000.0000000000009</v>
      </c>
      <c r="E131" s="14">
        <f t="shared" si="14"/>
        <v>-428.57142857142844</v>
      </c>
      <c r="F131" s="5"/>
      <c r="G131" s="5" t="str">
        <f>"At the base software-integration multiple (row "&amp;ROW($B$15)&amp;")"</f>
        <v>At the base software-integration multiple (row 15)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2:17" ht="15" customHeight="1" x14ac:dyDescent="0.25">
      <c r="B132" s="5" t="s">
        <v>26</v>
      </c>
      <c r="C132" s="13">
        <f>IFERROR(C130/C$31/('Partnership Analysis'!$C$45+'Partnership Analysis'!$C$40),0)</f>
        <v>1.0218541542419117</v>
      </c>
      <c r="D132" s="13">
        <f>IFERROR(D130/D$31/('100% Buyout Analysis'!$C$44+'100% Buyout Analysis'!$C$39),0)</f>
        <v>1.1444766527509411</v>
      </c>
      <c r="E132" s="13">
        <f t="shared" si="14"/>
        <v>-0.1226224985090294</v>
      </c>
      <c r="F132" s="5"/>
      <c r="G132" s="5" t="str">
        <f>"At base Keystone Year "&amp;$C$7&amp;" revenue"</f>
        <v>At base Keystone Year 5 revenue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2:17" ht="15" customHeight="1" x14ac:dyDescent="0.25">
      <c r="B133" s="5" t="s">
        <v>25</v>
      </c>
      <c r="C133" s="12">
        <f>IFERROR((C131-'Partnership Analysis'!$C$45)/'Partnership Analysis'!$C$34/C$7,0)</f>
        <v>6.8891979877330387</v>
      </c>
      <c r="D133" s="12">
        <f>IFERROR((D131-'100% Buyout Analysis'!$C$44)/'100% Buyout Analysis'!$C$33/D$7,0)</f>
        <v>12.042937872552788</v>
      </c>
      <c r="E133" s="12">
        <f t="shared" si="14"/>
        <v>-5.1537398848197489</v>
      </c>
      <c r="F133" s="5"/>
      <c r="G133" s="5" t="s">
        <v>24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2:17" ht="15" customHeight="1" x14ac:dyDescent="0.25">
      <c r="B134" s="5" t="s">
        <v>23</v>
      </c>
      <c r="C134" s="12">
        <f>IFERROR((C131-'Partnership Analysis'!$C$45)/'Partnership Analysis'!$C$39,0)</f>
        <v>2.3870314642857182</v>
      </c>
      <c r="D134" s="12">
        <f>IFERROR((D131-'100% Buyout Analysis'!$C$44)/'100% Buyout Analysis'!$C$38,0)</f>
        <v>4.1727457500000034</v>
      </c>
      <c r="E134" s="12">
        <f t="shared" si="14"/>
        <v>-1.7857142857142851</v>
      </c>
      <c r="F134" s="5"/>
      <c r="G134" s="5" t="s">
        <v>22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2:17" ht="15" customHeight="1" x14ac:dyDescent="0.25">
      <c r="B135" s="5" t="s">
        <v>21</v>
      </c>
      <c r="C135" s="6">
        <f>IFERROR((C131/'Partnership Analysis'!$C$45)^(1/C$7)-1,0)</f>
        <v>3.5586534725546626E-2</v>
      </c>
      <c r="D135" s="6">
        <f>IFERROR((D131/'100% Buyout Analysis'!$C$44)^(1/D$7)-1,0)</f>
        <v>5.9326896882016866E-2</v>
      </c>
      <c r="E135" s="6">
        <f t="shared" si="14"/>
        <v>-2.3740362156470241E-2</v>
      </c>
      <c r="F135" s="5"/>
      <c r="G135" s="5" t="str">
        <f>"From revenue at close to break-even Year "&amp;$C$7&amp;" revenue"</f>
        <v>From revenue at close to break-even Year 5 revenue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2:17" ht="3.95" customHeight="1" x14ac:dyDescent="0.25">
      <c r="B136" s="5"/>
      <c r="C136" s="16"/>
      <c r="D136" s="16"/>
      <c r="E136" s="16"/>
      <c r="F136" s="5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2:17" ht="15" customHeight="1" x14ac:dyDescent="0.25">
      <c r="B137" s="10" t="s">
        <v>20</v>
      </c>
      <c r="C137" s="9" t="s">
        <v>8</v>
      </c>
      <c r="D137" s="9" t="s">
        <v>7</v>
      </c>
      <c r="E137" s="8" t="s">
        <v>6</v>
      </c>
      <c r="F137" s="5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2:17" ht="15" customHeight="1" x14ac:dyDescent="0.25">
      <c r="B138" s="5" t="s">
        <v>19</v>
      </c>
      <c r="C138" s="15">
        <f>C53-C130</f>
        <v>4786.1323541017</v>
      </c>
      <c r="D138" s="15">
        <f>D53-D130</f>
        <v>5980.1890772881434</v>
      </c>
      <c r="E138" s="15">
        <f t="shared" ref="E138:E143" si="15">C138-D138</f>
        <v>-1194.0567231864434</v>
      </c>
      <c r="F138" s="5"/>
      <c r="G138" s="5" t="str">
        <f>"Base stake value (row "&amp;ROW($B$53)&amp;") less break-even"</f>
        <v>Base stake value (row 53) less break-even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2:17" ht="15" customHeight="1" x14ac:dyDescent="0.25">
      <c r="B139" s="5" t="s">
        <v>18</v>
      </c>
      <c r="C139" s="14">
        <f>'Partnership Analysis'!$C$45+'Partnership Analysis'!$C$40-C131</f>
        <v>3418.6659672155001</v>
      </c>
      <c r="D139" s="14">
        <f>'100% Buyout Analysis'!$C$44+'100% Buyout Analysis'!$C$39-D131</f>
        <v>2990.0945386440717</v>
      </c>
      <c r="E139" s="14">
        <f t="shared" si="15"/>
        <v>428.57142857142844</v>
      </c>
      <c r="F139" s="5"/>
      <c r="G139" s="5" t="str">
        <f>"Base Year "&amp;$C$7&amp;" revenue less break-even"</f>
        <v>Base Year 5 revenue less break-even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2:17" ht="15" customHeight="1" x14ac:dyDescent="0.25">
      <c r="B140" s="5" t="s">
        <v>17</v>
      </c>
      <c r="C140" s="13">
        <f>C$15-C132</f>
        <v>0.97814584575808827</v>
      </c>
      <c r="D140" s="13">
        <f>D$15-D132</f>
        <v>0.85552334724905887</v>
      </c>
      <c r="E140" s="13">
        <f t="shared" si="15"/>
        <v>0.1226224985090294</v>
      </c>
      <c r="F140" s="5"/>
      <c r="G140" s="5" t="s">
        <v>16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2:17" ht="15" customHeight="1" x14ac:dyDescent="0.25">
      <c r="B141" s="5" t="s">
        <v>15</v>
      </c>
      <c r="C141" s="12">
        <f>'Partnership Analysis'!$C$38-C133</f>
        <v>41.110802012266959</v>
      </c>
      <c r="D141" s="12">
        <f>'100% Buyout Analysis'!$C$37-D133</f>
        <v>35.957062127447216</v>
      </c>
      <c r="E141" s="12">
        <f t="shared" si="15"/>
        <v>5.1537398848197427</v>
      </c>
      <c r="F141" s="5"/>
      <c r="G141" s="5" t="s">
        <v>14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2:17" ht="15" customHeight="1" x14ac:dyDescent="0.25">
      <c r="B142" s="5" t="s">
        <v>13</v>
      </c>
      <c r="C142" s="12">
        <f>'Partnership Analysis'!$C$34-C134</f>
        <v>14.244441530064583</v>
      </c>
      <c r="D142" s="12">
        <f>'100% Buyout Analysis'!$C$33-D134</f>
        <v>12.458727244350296</v>
      </c>
      <c r="E142" s="12">
        <f t="shared" si="15"/>
        <v>1.7857142857142865</v>
      </c>
      <c r="F142" s="5"/>
      <c r="G142" s="5" t="s">
        <v>12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2:17" ht="15" customHeight="1" x14ac:dyDescent="0.25">
      <c r="B143" s="5" t="s">
        <v>11</v>
      </c>
      <c r="C143" s="6">
        <f>IFERROR((('Partnership Analysis'!$C$45+'Partnership Analysis'!$C$40)/'Partnership Analysis'!$C$45)^(1/C$7)-1,0)-C135</f>
        <v>0.14885768000358901</v>
      </c>
      <c r="D143" s="6">
        <f>IFERROR((('100% Buyout Analysis'!$C$44+'100% Buyout Analysis'!$C$39)/'100% Buyout Analysis'!$C$44)^(1/D$7)-1,0)-D135</f>
        <v>0.12511731784711877</v>
      </c>
      <c r="E143" s="6">
        <f t="shared" si="15"/>
        <v>2.3740362156470241E-2</v>
      </c>
      <c r="F143" s="5"/>
      <c r="G143" s="5" t="s">
        <v>10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2:17" ht="3.95" customHeight="1" x14ac:dyDescent="0.25">
      <c r="B144" s="3"/>
      <c r="C144" s="3"/>
      <c r="D144" s="3"/>
      <c r="E144" s="1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5">
      <c r="B145" s="10" t="s">
        <v>9</v>
      </c>
      <c r="C145" s="9" t="s">
        <v>8</v>
      </c>
      <c r="D145" s="9" t="s">
        <v>7</v>
      </c>
      <c r="E145" s="8" t="s">
        <v>6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5">
      <c r="A146" s="5"/>
      <c r="B146" s="5" t="s">
        <v>5</v>
      </c>
      <c r="C146" s="7">
        <f>'Partnership Analysis'!$C$181</f>
        <v>2.3596419853539462E-2</v>
      </c>
      <c r="D146" s="7">
        <f>'100% Buyout Analysis'!$C$169</f>
        <v>0.04</v>
      </c>
      <c r="E146" s="6">
        <f>C146-D146</f>
        <v>-1.6403580146460539E-2</v>
      </c>
      <c r="F146" s="5"/>
      <c r="G146" s="5"/>
      <c r="H146" s="5"/>
      <c r="I146" s="5"/>
      <c r="J146" s="3"/>
      <c r="K146" s="3"/>
      <c r="L146" s="3"/>
      <c r="M146" s="3"/>
      <c r="N146" s="3"/>
      <c r="O146" s="3"/>
      <c r="P146" s="3"/>
      <c r="Q146" s="3"/>
    </row>
    <row r="147" spans="1:17" x14ac:dyDescent="0.25">
      <c r="A147" s="5"/>
      <c r="B147" s="5" t="s">
        <v>4</v>
      </c>
      <c r="C147" s="7">
        <f>'Partnership Analysis'!$D$181</f>
        <v>2.2416598860862488E-2</v>
      </c>
      <c r="D147" s="7">
        <f>'100% Buyout Analysis'!$D$169</f>
        <v>3.7999999999999999E-2</v>
      </c>
      <c r="E147" s="6">
        <f>C147-D147</f>
        <v>-1.5583401139137511E-2</v>
      </c>
      <c r="F147" s="5"/>
      <c r="G147" s="5"/>
      <c r="H147" s="5"/>
      <c r="I147" s="5"/>
      <c r="J147" s="3"/>
      <c r="K147" s="3"/>
      <c r="L147" s="3"/>
      <c r="M147" s="3"/>
      <c r="N147" s="3"/>
      <c r="O147" s="3"/>
      <c r="P147" s="3"/>
      <c r="Q147" s="3"/>
    </row>
    <row r="148" spans="1:17" x14ac:dyDescent="0.25">
      <c r="A148" s="5"/>
      <c r="B148" s="5" t="s">
        <v>3</v>
      </c>
      <c r="C148" s="6">
        <f>1-C146</f>
        <v>0.97640358014646056</v>
      </c>
      <c r="D148" s="6">
        <f>1-D146</f>
        <v>0.96</v>
      </c>
      <c r="E148" s="6">
        <f>C148-D148</f>
        <v>1.6403580146460595E-2</v>
      </c>
      <c r="F148" s="5"/>
      <c r="G148" s="5" t="s">
        <v>2</v>
      </c>
      <c r="H148" s="5"/>
      <c r="I148" s="5"/>
      <c r="J148" s="3"/>
      <c r="K148" s="3"/>
      <c r="L148" s="3"/>
      <c r="M148" s="3"/>
      <c r="N148" s="3"/>
      <c r="O148" s="3"/>
      <c r="P148" s="3"/>
      <c r="Q148" s="3"/>
    </row>
    <row r="149" spans="1:17" x14ac:dyDescent="0.25">
      <c r="A149" s="5"/>
      <c r="B149" s="5" t="s">
        <v>1</v>
      </c>
      <c r="C149" s="6">
        <f>C148*(1-C$8)</f>
        <v>0.92758340113913751</v>
      </c>
      <c r="D149" s="6">
        <f>D148*(1-D$8)</f>
        <v>0.91199999999999992</v>
      </c>
      <c r="E149" s="6">
        <f>C149-D149</f>
        <v>1.5583401139137587E-2</v>
      </c>
      <c r="F149" s="5"/>
      <c r="G149" s="5" t="str">
        <f>"Assumes Jon is diluted by the same est. % as Ben (row "&amp;ROW($B$8)&amp;")"</f>
        <v>Assumes Jon is diluted by the same est. % as Ben (row 8)</v>
      </c>
      <c r="H149" s="5"/>
      <c r="I149" s="5"/>
      <c r="J149" s="3"/>
      <c r="K149" s="3"/>
      <c r="L149" s="3"/>
      <c r="M149" s="3"/>
      <c r="N149" s="3"/>
      <c r="O149" s="3"/>
      <c r="P149" s="3"/>
      <c r="Q149" s="3"/>
    </row>
    <row r="150" spans="1:17" ht="3.95" customHeight="1" x14ac:dyDescent="0.25">
      <c r="B150" s="121"/>
      <c r="C150" s="121"/>
      <c r="D150" s="121"/>
      <c r="E150" s="121"/>
      <c r="F150" s="121"/>
      <c r="G150" s="121"/>
    </row>
    <row r="151" spans="1:17" x14ac:dyDescent="0.25">
      <c r="B151" s="10" t="s">
        <v>193</v>
      </c>
      <c r="C151" s="9" t="s">
        <v>192</v>
      </c>
      <c r="D151" s="324"/>
      <c r="E151" s="324"/>
      <c r="F151" s="121"/>
      <c r="G151" s="271" t="s">
        <v>191</v>
      </c>
    </row>
    <row r="152" spans="1:17" x14ac:dyDescent="0.25">
      <c r="B152" s="123" t="s">
        <v>190</v>
      </c>
      <c r="C152" s="128"/>
      <c r="D152" s="325"/>
      <c r="E152" s="325"/>
      <c r="F152" s="121"/>
      <c r="G152" s="123"/>
    </row>
    <row r="153" spans="1:17" x14ac:dyDescent="0.25">
      <c r="B153" s="121" t="s">
        <v>189</v>
      </c>
      <c r="C153" s="127">
        <v>1</v>
      </c>
      <c r="D153" s="121"/>
      <c r="E153" s="121"/>
      <c r="F153" s="121"/>
      <c r="G153" s="121" t="s">
        <v>188</v>
      </c>
    </row>
    <row r="154" spans="1:17" x14ac:dyDescent="0.25">
      <c r="B154" s="121" t="s">
        <v>129</v>
      </c>
      <c r="C154" s="126">
        <v>650</v>
      </c>
      <c r="D154" s="121"/>
      <c r="E154" s="121"/>
      <c r="F154" s="121"/>
      <c r="G154" s="121" t="s">
        <v>187</v>
      </c>
    </row>
    <row r="155" spans="1:17" x14ac:dyDescent="0.25">
      <c r="B155" s="121" t="s">
        <v>186</v>
      </c>
      <c r="C155" s="126">
        <v>2998.5410200000001</v>
      </c>
      <c r="D155" s="121"/>
      <c r="E155" s="121"/>
      <c r="F155" s="121"/>
      <c r="G155" s="121" t="s">
        <v>185</v>
      </c>
    </row>
    <row r="156" spans="1:17" x14ac:dyDescent="0.25">
      <c r="B156" s="121" t="s">
        <v>184</v>
      </c>
      <c r="C156" s="125">
        <v>16.6314729943503</v>
      </c>
      <c r="D156" s="121"/>
      <c r="E156" s="121"/>
      <c r="F156" s="121"/>
      <c r="G156" s="121" t="s">
        <v>183</v>
      </c>
    </row>
    <row r="157" spans="1:17" ht="3.95" customHeight="1" x14ac:dyDescent="0.25">
      <c r="B157" s="121"/>
      <c r="C157" s="125"/>
      <c r="D157" s="121"/>
      <c r="E157" s="121"/>
      <c r="F157" s="121"/>
      <c r="G157" s="121"/>
    </row>
    <row r="158" spans="1:17" x14ac:dyDescent="0.25">
      <c r="B158" s="123" t="s">
        <v>182</v>
      </c>
      <c r="C158" s="124"/>
      <c r="D158" s="325"/>
      <c r="E158" s="325"/>
      <c r="F158" s="121"/>
      <c r="G158" s="123"/>
    </row>
    <row r="159" spans="1:17" x14ac:dyDescent="0.25">
      <c r="B159" s="121" t="s">
        <v>181</v>
      </c>
      <c r="C159" s="122">
        <v>151</v>
      </c>
      <c r="D159" s="121"/>
      <c r="E159" s="121"/>
      <c r="F159" s="121"/>
      <c r="G159" s="121" t="s">
        <v>180</v>
      </c>
    </row>
    <row r="160" spans="1:17" x14ac:dyDescent="0.25">
      <c r="B160" s="282" t="s">
        <v>179</v>
      </c>
      <c r="C160" s="122">
        <v>83</v>
      </c>
      <c r="D160" s="121"/>
      <c r="E160" s="121"/>
      <c r="F160" s="121"/>
      <c r="G160" s="121" t="s">
        <v>178</v>
      </c>
    </row>
    <row r="161" spans="2:7" x14ac:dyDescent="0.25">
      <c r="B161" s="282" t="s">
        <v>177</v>
      </c>
      <c r="C161" s="122">
        <v>-57</v>
      </c>
      <c r="D161" s="121"/>
      <c r="E161" s="121"/>
      <c r="F161" s="121"/>
      <c r="G161" s="121" t="s">
        <v>176</v>
      </c>
    </row>
    <row r="162" spans="2:7" x14ac:dyDescent="0.25">
      <c r="B162" s="326" t="s">
        <v>175</v>
      </c>
      <c r="C162" s="327">
        <v>164</v>
      </c>
      <c r="D162" s="121"/>
      <c r="E162" s="121"/>
      <c r="F162" s="121"/>
      <c r="G162" s="121" t="s">
        <v>174</v>
      </c>
    </row>
  </sheetData>
  <conditionalFormatting sqref="B152:C162">
    <cfRule type="expression" dxfId="18" priority="2">
      <formula>$G$3=1</formula>
    </cfRule>
  </conditionalFormatting>
  <conditionalFormatting sqref="B29:E39 B7:E27 B41:E47 B49:E65 B68:E78 B80:E90 B92:E103 B105:E112 B114:E120 B122:E128 B130:E136 B138:E144 B146:E149 B152:E162">
    <cfRule type="expression" dxfId="17" priority="4">
      <formula>$I$3=1</formula>
    </cfRule>
  </conditionalFormatting>
  <conditionalFormatting sqref="C37:D37">
    <cfRule type="expression" dxfId="16" priority="3">
      <formula>ROUND(C37,0)&lt;&gt;0</formula>
    </cfRule>
  </conditionalFormatting>
  <conditionalFormatting sqref="G152:G162">
    <cfRule type="expression" dxfId="15" priority="1">
      <formula>$G$3=1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4779-D9C4-40C1-B46B-9EB2DC30A214}">
  <dimension ref="A1:H247"/>
  <sheetViews>
    <sheetView showGridLines="0" view="pageBreakPreview" zoomScaleNormal="100" zoomScaleSheetLayoutView="100" workbookViewId="0"/>
  </sheetViews>
  <sheetFormatPr defaultRowHeight="15" x14ac:dyDescent="0.2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 x14ac:dyDescent="0.25">
      <c r="A1" s="5"/>
      <c r="B1" s="5"/>
      <c r="C1" s="5"/>
      <c r="D1" s="5"/>
      <c r="E1" s="5"/>
      <c r="F1" s="5"/>
    </row>
    <row r="2" spans="1:8" ht="16.5" x14ac:dyDescent="0.25">
      <c r="A2" s="5"/>
      <c r="B2" s="120" t="str">
        <f>Cover!$B$24</f>
        <v>Keystone Bookkeepers</v>
      </c>
      <c r="C2" s="5"/>
      <c r="D2" s="5"/>
      <c r="E2" s="5"/>
      <c r="F2" s="5"/>
      <c r="G2" s="3"/>
      <c r="H2" s="3"/>
    </row>
    <row r="3" spans="1:8" x14ac:dyDescent="0.25">
      <c r="A3" s="5"/>
      <c r="B3" s="323" t="s">
        <v>594</v>
      </c>
      <c r="C3" s="270"/>
      <c r="D3" s="270"/>
      <c r="E3" s="5"/>
      <c r="G3" s="5" t="s">
        <v>172</v>
      </c>
      <c r="H3" s="269">
        <v>1</v>
      </c>
    </row>
    <row r="4" spans="1:8" x14ac:dyDescent="0.25">
      <c r="B4" s="3"/>
      <c r="C4" s="3"/>
      <c r="D4" s="3"/>
      <c r="E4" s="3"/>
      <c r="F4" s="3"/>
      <c r="G4" s="3"/>
      <c r="H4" s="3"/>
    </row>
    <row r="5" spans="1:8" x14ac:dyDescent="0.25">
      <c r="A5" s="5"/>
      <c r="B5" s="29" t="s">
        <v>516</v>
      </c>
      <c r="C5" s="239" t="s">
        <v>192</v>
      </c>
      <c r="D5" s="5"/>
      <c r="E5" s="5"/>
      <c r="F5" s="29" t="s">
        <v>515</v>
      </c>
      <c r="G5" s="3"/>
    </row>
    <row r="6" spans="1:8" x14ac:dyDescent="0.25">
      <c r="A6" s="5"/>
      <c r="B6" s="107" t="s">
        <v>156</v>
      </c>
      <c r="C6" s="107"/>
      <c r="D6" s="5"/>
      <c r="E6" s="5"/>
      <c r="F6" s="5"/>
      <c r="G6" s="3"/>
    </row>
    <row r="7" spans="1:8" s="3" customFormat="1" ht="14.25" x14ac:dyDescent="0.2">
      <c r="A7" s="5"/>
      <c r="B7" s="5" t="s">
        <v>139</v>
      </c>
      <c r="C7" s="19">
        <f>'Offer Comparison'!$C$17</f>
        <v>0.3</v>
      </c>
      <c r="D7" s="5"/>
      <c r="E7" s="5"/>
      <c r="F7" s="5" t="str">
        <f>"Input on Offer Comparison ("&amp;ADDRESS(ROW('Offer Comparison'!C17),COLUMN('Offer Comparison'!C17),4)&amp;"). Share of Keystone Ben keeps; Topkey buys the rest for cash + Topkey equity"</f>
        <v>Input on Offer Comparison (C17). Share of Keystone Ben keeps; Topkey buys the rest for cash + Topkey equity</v>
      </c>
    </row>
    <row r="8" spans="1:8" s="3" customFormat="1" ht="14.25" x14ac:dyDescent="0.2">
      <c r="A8" s="5"/>
      <c r="B8" s="5" t="s">
        <v>168</v>
      </c>
      <c r="C8" s="19">
        <f>'Offer Comparison'!$C$8</f>
        <v>0.05</v>
      </c>
      <c r="D8" s="5"/>
      <c r="E8" s="5"/>
      <c r="F8" s="5" t="str">
        <f>"Linked to Offer Comparison ("&amp;ADDRESS(ROW('Offer Comparison'!C8),COLUMN('Offer Comparison'!C8),4)&amp;"). AMB estimate: future Topkey equity issuance (capital raise, option pool, acquisitions) reduces Ben's Topkey % by this share by Year "&amp;$C$9</f>
        <v>Linked to Offer Comparison (C8). AMB estimate: future Topkey equity issuance (capital raise, option pool, acquisitions) reduces Ben's Topkey % by this share by Year 5</v>
      </c>
    </row>
    <row r="9" spans="1:8" s="3" customFormat="1" ht="14.25" x14ac:dyDescent="0.2">
      <c r="A9" s="5"/>
      <c r="B9" s="5" t="s">
        <v>169</v>
      </c>
      <c r="C9" s="20">
        <f>'Offer Comparison'!$C$7</f>
        <v>5</v>
      </c>
      <c r="D9" s="5"/>
      <c r="E9" s="5"/>
      <c r="F9" s="5" t="str">
        <f>"Linked to Offer Comparison ("&amp;ADDRESS(ROW('Offer Comparison'!C7),COLUMN('Offer Comparison'!C7),4)&amp;"). Projection horizon for the Year "&amp;$C$9&amp;" columns"</f>
        <v>Linked to Offer Comparison (C7). Projection horizon for the Year 5 columns</v>
      </c>
    </row>
    <row r="10" spans="1:8" s="3" customFormat="1" ht="14.25" x14ac:dyDescent="0.2">
      <c r="A10" s="5"/>
      <c r="B10" s="5" t="s">
        <v>155</v>
      </c>
      <c r="C10" s="22">
        <f>'Offer Comparison'!$C$18</f>
        <v>261</v>
      </c>
      <c r="D10" s="5"/>
      <c r="E10" s="5"/>
      <c r="F10" s="259" t="str">
        <f>"Input on Offer Comparison ("&amp;ADDRESS(ROW('Offer Comparison'!C18),COLUMN('Offer Comparison'!C18),4)&amp;"). Topkey-provided monthly revenue ($000s); pending confirmation"</f>
        <v>Input on Offer Comparison (C18). Topkey-provided monthly revenue ($000s); pending confirmation</v>
      </c>
    </row>
    <row r="11" spans="1:8" s="3" customFormat="1" ht="14.25" x14ac:dyDescent="0.2">
      <c r="A11" s="5"/>
      <c r="B11" s="5" t="s">
        <v>514</v>
      </c>
      <c r="C11" s="15">
        <f>C10*12</f>
        <v>3132</v>
      </c>
      <c r="D11" s="5"/>
      <c r="E11" s="5"/>
      <c r="F11" s="259"/>
    </row>
    <row r="12" spans="1:8" s="3" customFormat="1" ht="14.25" x14ac:dyDescent="0.2">
      <c r="A12" s="5"/>
      <c r="B12" s="5" t="s">
        <v>513</v>
      </c>
      <c r="C12" s="213">
        <f>IFERROR(C179/C11,0)</f>
        <v>19.157088122605366</v>
      </c>
      <c r="D12" s="5"/>
      <c r="E12" s="5"/>
      <c r="F12" s="5" t="str">
        <f>"Implied: Topkey pre-deal valuation ("&amp;ADDRESS(ROW(C179),COLUMN(C179),4)&amp;") ÷ run-rate revenue ("&amp;ADDRESS(ROW(C11),COLUMN(C11),4)&amp;")"</f>
        <v>Implied: Topkey pre-deal valuation (C179) ÷ run-rate revenue (C11)</v>
      </c>
    </row>
    <row r="13" spans="1:8" s="3" customFormat="1" ht="14.25" x14ac:dyDescent="0.2">
      <c r="A13" s="5"/>
      <c r="B13" s="5" t="s">
        <v>512</v>
      </c>
      <c r="C13" s="212">
        <f>C12</f>
        <v>19.157088122605366</v>
      </c>
      <c r="D13" s="5"/>
      <c r="E13" s="5"/>
      <c r="F13" s="5" t="s">
        <v>511</v>
      </c>
    </row>
    <row r="14" spans="1:8" s="3" customFormat="1" ht="14.25" x14ac:dyDescent="0.2">
      <c r="A14" s="5"/>
      <c r="B14" s="5" t="s">
        <v>153</v>
      </c>
      <c r="C14" s="135">
        <f>'Offer Comparison'!$C$19</f>
        <v>325</v>
      </c>
      <c r="D14" s="5"/>
      <c r="E14" s="5"/>
      <c r="F14" s="259" t="str">
        <f>"Input on Offer Comparison ("&amp;ADDRESS(ROW('Offer Comparison'!C19),COLUMN('Offer Comparison'!C19),4)&amp;"). Topkey-provided client count; pending confirmation"</f>
        <v>Input on Offer Comparison (C19). Topkey-provided client count; pending confirmation</v>
      </c>
    </row>
    <row r="15" spans="1:8" s="3" customFormat="1" ht="14.25" x14ac:dyDescent="0.2">
      <c r="A15" s="5"/>
      <c r="B15" s="5" t="s">
        <v>510</v>
      </c>
      <c r="C15" s="268">
        <f>C11/C14</f>
        <v>9.6369230769230771</v>
      </c>
      <c r="D15" s="5"/>
      <c r="E15" s="5"/>
      <c r="F15" s="5"/>
    </row>
    <row r="16" spans="1:8" s="3" customFormat="1" ht="14.25" x14ac:dyDescent="0.2">
      <c r="A16" s="5"/>
      <c r="B16" s="5" t="s">
        <v>151</v>
      </c>
      <c r="C16" s="135">
        <f>'Offer Comparison'!$C$20</f>
        <v>130</v>
      </c>
      <c r="D16" s="5"/>
      <c r="E16" s="5"/>
      <c r="F16" s="259" t="str">
        <f>"Input on Offer Comparison ("&amp;ADDRESS(ROW('Offer Comparison'!C20),COLUMN('Offer Comparison'!C20),4)&amp;"). AMB placeholder; pending confirmation"</f>
        <v>Input on Offer Comparison (C20). AMB placeholder; pending confirmation</v>
      </c>
    </row>
    <row r="17" spans="1:7" s="3" customFormat="1" ht="14.25" x14ac:dyDescent="0.2">
      <c r="A17" s="5"/>
      <c r="B17" s="78" t="s">
        <v>503</v>
      </c>
      <c r="C17" s="267">
        <f>C16*$C$9</f>
        <v>650</v>
      </c>
      <c r="D17" s="5"/>
      <c r="E17" s="5"/>
      <c r="F17" s="5"/>
    </row>
    <row r="18" spans="1:7" s="3" customFormat="1" ht="14.25" x14ac:dyDescent="0.2">
      <c r="A18" s="5"/>
      <c r="B18" s="226" t="s">
        <v>502</v>
      </c>
      <c r="C18" s="256">
        <f>C17*C15</f>
        <v>6264</v>
      </c>
      <c r="D18" s="5"/>
      <c r="E18" s="5"/>
      <c r="F18" s="5"/>
    </row>
    <row r="19" spans="1:7" s="3" customFormat="1" ht="14.25" x14ac:dyDescent="0.2">
      <c r="A19" s="5"/>
      <c r="B19" s="321" t="str">
        <f>"Check - "&amp;$C$9&amp;" Year Topkey Valuation Growth"</f>
        <v>Check - 5 Year Topkey Valuation Growth</v>
      </c>
      <c r="C19" s="322">
        <f>IFERROR(D79/C79-1,0)</f>
        <v>2.0219039595619215</v>
      </c>
      <c r="D19" s="5"/>
      <c r="E19" s="5"/>
      <c r="F19" s="5" t="str">
        <f>"% growth in Topkey ex-Keystone value (row "&amp;ROW($B$79)&amp;"), today → Year "&amp;$C$9&amp;"; value net of cash paid, not revenue"</f>
        <v>% growth in Topkey ex-Keystone value (row 79), today → Year 5; value net of cash paid, not revenue</v>
      </c>
    </row>
    <row r="20" spans="1:7" ht="3.95" customHeight="1" x14ac:dyDescent="0.25">
      <c r="A20" s="5"/>
      <c r="B20" s="5"/>
      <c r="C20" s="114"/>
      <c r="D20" s="5"/>
      <c r="E20" s="5"/>
      <c r="F20" s="5"/>
      <c r="G20" s="3"/>
    </row>
    <row r="21" spans="1:7" x14ac:dyDescent="0.25">
      <c r="A21" s="5"/>
      <c r="B21" s="107" t="s">
        <v>149</v>
      </c>
      <c r="C21" s="107"/>
      <c r="D21" s="5"/>
      <c r="E21" s="5"/>
      <c r="F21" s="5"/>
      <c r="G21" s="3"/>
    </row>
    <row r="22" spans="1:7" ht="15" customHeight="1" x14ac:dyDescent="0.25">
      <c r="A22" s="5"/>
      <c r="B22" s="5" t="s">
        <v>509</v>
      </c>
      <c r="C22" s="260">
        <f>'Offer Comparison'!$C$13</f>
        <v>1</v>
      </c>
      <c r="D22" s="5"/>
      <c r="E22" s="5"/>
      <c r="F22" s="5" t="str">
        <f>"Linked to Offer Comparison ("&amp;ADDRESS(ROW('Offer Comparison'!C13),COLUMN('Offer Comparison'!C13),4)&amp;"). Keystone valued at "&amp;TEXT(C22,"0.0")&amp;"x revenue"&amp;" today (offer implies "&amp;"~"&amp;TEXT(C173/C172,"0.0")&amp;"x"&amp;")"</f>
        <v>Linked to Offer Comparison (C13). Keystone valued at 1.0x revenue today (offer implies ~1.0x)</v>
      </c>
      <c r="G22" s="3"/>
    </row>
    <row r="23" spans="1:7" ht="15" customHeight="1" x14ac:dyDescent="0.25">
      <c r="A23" s="5"/>
      <c r="B23" s="5" t="s">
        <v>508</v>
      </c>
      <c r="C23" s="260">
        <f>'Offer Comparison'!$C$14</f>
        <v>1.25</v>
      </c>
      <c r="D23" s="5"/>
      <c r="E23" s="5"/>
      <c r="F23" s="5" t="str">
        <f>"Linked to Offer Comparison ("&amp;ADDRESS(ROW('Offer Comparison'!C14),COLUMN('Offer Comparison'!C14),4)&amp;"). Keystone standalone revenue multiple at Year "&amp;$C$9</f>
        <v>Linked to Offer Comparison (C14). Keystone standalone revenue multiple at Year 5</v>
      </c>
      <c r="G23" s="3"/>
    </row>
    <row r="24" spans="1:7" x14ac:dyDescent="0.25">
      <c r="A24" s="5"/>
      <c r="B24" s="5" t="s">
        <v>148</v>
      </c>
      <c r="C24" s="109">
        <f>'Offer Comparison'!$C$22</f>
        <v>16.6314729943503</v>
      </c>
      <c r="D24" s="3"/>
      <c r="E24" s="5"/>
      <c r="F24" s="5" t="str">
        <f>"Input on Offer Comparison ("&amp;ADDRESS(ROW('Offer Comparison'!C22),COLUMN('Offer Comparison'!C22),4)&amp;"). Sep'26 annualized fee per non-tax client (Steady-State Staffing AB8)"</f>
        <v>Input on Offer Comparison (C22). Sep'26 annualized fee per non-tax client (Steady-State Staffing AB8)</v>
      </c>
      <c r="G24" s="3"/>
    </row>
    <row r="25" spans="1:7" x14ac:dyDescent="0.25">
      <c r="A25" s="5"/>
      <c r="B25" s="5" t="s">
        <v>147</v>
      </c>
      <c r="C25" s="134">
        <f>'Offer Comparison'!$C$23</f>
        <v>3</v>
      </c>
      <c r="D25" s="3"/>
      <c r="E25" s="5"/>
      <c r="F25" s="5" t="str">
        <f>"Input on Offer Comparison ("&amp;ADDRESS(ROW('Offer Comparison'!C23),COLUMN('Offer Comparison'!C23),4)&amp;"). AMB target pace; LTM actual is "&amp;TEXT(C192,"0")&amp;"/yr (~"&amp;TEXT(C192/12,"0.0")&amp;"/month)"&amp;", see build at rows "&amp;ROW($B$188)&amp;"-"&amp;ROW($B$192)</f>
        <v>Input on Offer Comparison (C23). AMB target pace; LTM actual is 26/yr (~2.2/month), see build at rows 188-192</v>
      </c>
      <c r="G25" s="3"/>
    </row>
    <row r="26" spans="1:7" x14ac:dyDescent="0.25">
      <c r="A26" s="5"/>
      <c r="B26" s="78" t="s">
        <v>507</v>
      </c>
      <c r="C26" s="262">
        <f>C25*12</f>
        <v>36</v>
      </c>
      <c r="D26" s="5"/>
      <c r="E26" s="5"/>
      <c r="F26" s="5" t="s">
        <v>506</v>
      </c>
      <c r="G26" s="3"/>
    </row>
    <row r="27" spans="1:7" x14ac:dyDescent="0.25">
      <c r="A27" s="5"/>
      <c r="B27" s="226" t="s">
        <v>503</v>
      </c>
      <c r="C27" s="257">
        <f>C26*$C$9</f>
        <v>180</v>
      </c>
      <c r="D27" s="5"/>
      <c r="E27" s="5"/>
      <c r="F27" s="5"/>
      <c r="G27" s="3"/>
    </row>
    <row r="28" spans="1:7" x14ac:dyDescent="0.25">
      <c r="A28" s="5"/>
      <c r="B28" s="224" t="s">
        <v>502</v>
      </c>
      <c r="C28" s="261">
        <f>C27*C24</f>
        <v>2993.665138983054</v>
      </c>
      <c r="D28" s="5"/>
      <c r="E28" s="5"/>
      <c r="F28" s="5"/>
      <c r="G28" s="3"/>
    </row>
    <row r="29" spans="1:7" ht="3.95" customHeight="1" x14ac:dyDescent="0.25">
      <c r="A29" s="5"/>
      <c r="B29" s="3"/>
      <c r="C29" s="3"/>
      <c r="D29" s="5"/>
      <c r="E29" s="5"/>
      <c r="F29" s="5"/>
      <c r="G29" s="3"/>
    </row>
    <row r="30" spans="1:7" ht="12.75" customHeight="1" x14ac:dyDescent="0.25">
      <c r="A30" s="5"/>
      <c r="B30" s="107" t="s">
        <v>146</v>
      </c>
      <c r="C30" s="107"/>
      <c r="D30" s="5"/>
      <c r="E30" s="5"/>
      <c r="F30" s="5"/>
      <c r="G30" s="3"/>
    </row>
    <row r="31" spans="1:7" ht="12.75" customHeight="1" x14ac:dyDescent="0.25">
      <c r="A31" s="5"/>
      <c r="B31" s="5" t="s">
        <v>26</v>
      </c>
      <c r="C31" s="260">
        <f>'Offer Comparison'!$C$15</f>
        <v>2</v>
      </c>
      <c r="D31" s="5"/>
      <c r="E31" s="5"/>
      <c r="F31" s="5" t="str">
        <f>"Linked to Offer Comparison ("&amp;ADDRESS(ROW('Offer Comparison'!C15),COLUMN('Offer Comparison'!C15),4)&amp;"). Revenue multiple with Topkey software integration"</f>
        <v>Linked to Offer Comparison (C15). Revenue multiple with Topkey software integration</v>
      </c>
      <c r="G31" s="3"/>
    </row>
    <row r="32" spans="1:7" ht="12.75" customHeight="1" x14ac:dyDescent="0.25">
      <c r="A32" s="5"/>
      <c r="B32" s="5" t="s">
        <v>145</v>
      </c>
      <c r="C32" s="201">
        <f>'Offer Comparison'!$C$25</f>
        <v>240</v>
      </c>
      <c r="D32" s="5"/>
      <c r="E32" s="5"/>
      <c r="F32" s="5" t="str">
        <f>"Input on Offer Comparison ("&amp;ADDRESS(ROW('Offer Comparison'!C25),COLUMN('Offer Comparison'!C25),4)&amp;"). Run-rate tech cost provided by the target; see platform-fee memo (rows "&amp;ROW($B$195)&amp;"-"&amp;ROW($B$204)&amp;")"</f>
        <v>Input on Offer Comparison (C25). Run-rate tech cost provided by the target; see platform-fee memo (rows 195-204)</v>
      </c>
      <c r="G32" s="3"/>
    </row>
    <row r="33" spans="1:7" ht="3.95" customHeight="1" x14ac:dyDescent="0.25">
      <c r="A33" s="5"/>
      <c r="B33" s="5"/>
      <c r="C33" s="205"/>
      <c r="D33" s="5"/>
      <c r="E33" s="5"/>
      <c r="F33" s="5"/>
      <c r="G33" s="3"/>
    </row>
    <row r="34" spans="1:7" s="41" customFormat="1" ht="12.75" customHeight="1" x14ac:dyDescent="0.2">
      <c r="A34" s="5"/>
      <c r="B34" s="41" t="str">
        <f>B24</f>
        <v>Avg. Revenue Per Client</v>
      </c>
      <c r="C34" s="108">
        <f>C24</f>
        <v>16.6314729943503</v>
      </c>
      <c r="D34" s="5"/>
      <c r="E34" s="5"/>
      <c r="F34" s="5"/>
    </row>
    <row r="35" spans="1:7" s="41" customFormat="1" ht="3.95" customHeight="1" x14ac:dyDescent="0.2">
      <c r="A35" s="5"/>
      <c r="D35" s="5"/>
      <c r="E35" s="5"/>
      <c r="F35" s="5"/>
    </row>
    <row r="36" spans="1:7" s="41" customFormat="1" ht="12.75" customHeight="1" x14ac:dyDescent="0.2">
      <c r="A36" s="5"/>
      <c r="B36" s="41" t="str">
        <f>+B26</f>
        <v>Annual Net Client Wins</v>
      </c>
      <c r="C36" s="100">
        <f>+C26</f>
        <v>36</v>
      </c>
      <c r="D36" s="5"/>
      <c r="E36" s="5"/>
      <c r="F36" s="5"/>
    </row>
    <row r="37" spans="1:7" s="41" customFormat="1" ht="12.75" customHeight="1" x14ac:dyDescent="0.2">
      <c r="A37" s="5"/>
      <c r="B37" s="47" t="s">
        <v>505</v>
      </c>
      <c r="C37" s="135">
        <f>'Offer Comparison'!$C$26</f>
        <v>12</v>
      </c>
      <c r="D37" s="5"/>
      <c r="E37" s="5"/>
      <c r="F37" s="259" t="str">
        <f>"Input on Offer Comparison ("&amp;ADDRESS(ROW('Offer Comparison'!C26),COLUMN('Offer Comparison'!C26),4)&amp;"). Topkey-provided; pending confirmation"</f>
        <v>Input on Offer Comparison (C26). Topkey-provided; pending confirmation</v>
      </c>
    </row>
    <row r="38" spans="1:7" s="41" customFormat="1" ht="12.75" customHeight="1" x14ac:dyDescent="0.2">
      <c r="A38" s="5"/>
      <c r="B38" s="56" t="s">
        <v>504</v>
      </c>
      <c r="C38" s="258">
        <f>SUM(C36:C37)</f>
        <v>48</v>
      </c>
      <c r="D38" s="5"/>
      <c r="E38" s="5"/>
      <c r="F38" s="5"/>
    </row>
    <row r="39" spans="1:7" x14ac:dyDescent="0.25">
      <c r="A39" s="5"/>
      <c r="B39" s="226" t="s">
        <v>503</v>
      </c>
      <c r="C39" s="257">
        <f>C38*$C$9</f>
        <v>240</v>
      </c>
      <c r="D39" s="5"/>
      <c r="E39" s="5"/>
      <c r="F39" s="5"/>
      <c r="G39" s="3"/>
    </row>
    <row r="40" spans="1:7" x14ac:dyDescent="0.25">
      <c r="A40" s="5"/>
      <c r="B40" s="226" t="s">
        <v>502</v>
      </c>
      <c r="C40" s="256">
        <f>C39*C34</f>
        <v>3991.553518644072</v>
      </c>
      <c r="D40" s="5"/>
      <c r="E40" s="5"/>
      <c r="F40" s="5"/>
      <c r="G40" s="3"/>
    </row>
    <row r="41" spans="1:7" x14ac:dyDescent="0.25">
      <c r="A41" s="5"/>
      <c r="B41" s="321" t="s">
        <v>501</v>
      </c>
      <c r="C41" s="320">
        <f>C40-C28</f>
        <v>997.88837966101801</v>
      </c>
      <c r="D41" s="5"/>
      <c r="E41" s="5"/>
      <c r="F41" s="5"/>
      <c r="G41" s="3"/>
    </row>
    <row r="42" spans="1:7" ht="3.95" customHeight="1" x14ac:dyDescent="0.25">
      <c r="A42" s="5"/>
      <c r="B42" s="193"/>
      <c r="C42" s="191"/>
      <c r="D42" s="193"/>
      <c r="E42" s="5"/>
      <c r="F42" s="193"/>
      <c r="G42" s="3"/>
    </row>
    <row r="43" spans="1:7" ht="15" customHeight="1" x14ac:dyDescent="0.25">
      <c r="A43" s="5"/>
      <c r="B43" s="107" t="s">
        <v>500</v>
      </c>
      <c r="C43" s="107"/>
      <c r="D43" s="5"/>
      <c r="F43" s="193"/>
      <c r="G43" s="3"/>
    </row>
    <row r="44" spans="1:7" ht="15" customHeight="1" x14ac:dyDescent="0.25">
      <c r="A44" s="5"/>
      <c r="B44" s="193" t="s">
        <v>238</v>
      </c>
      <c r="C44" s="200">
        <v>3</v>
      </c>
      <c r="D44" s="193"/>
      <c r="F44" s="193" t="str">
        <f>"Earnout measured on Year "&amp;$C$44&amp;" run-rate: average of "&amp;"months "&amp;TEXT($C$44*12-$C$55+1,"0")&amp;"–"&amp;TEXT($C$44*12,"0")&amp;" × 12 (window in "&amp;ADDRESS(ROW(C55),COLUMN(C55),4)&amp;")"</f>
        <v>Earnout measured on Year 3 run-rate: average of months 34–36 × 12 (window in C55)</v>
      </c>
      <c r="G44" s="3"/>
    </row>
    <row r="45" spans="1:7" ht="15" customHeight="1" x14ac:dyDescent="0.25">
      <c r="A45" s="5"/>
      <c r="B45" s="193" t="s">
        <v>221</v>
      </c>
      <c r="C45" s="251">
        <f>C172</f>
        <v>2998.5410200000001</v>
      </c>
      <c r="D45" s="193"/>
      <c r="F45" s="193" t="str">
        <f>"PF Jul'26 run-rate revenue at close ("&amp;ADDRESS(ROW(C172),COLUMN(C172),4)&amp;")"</f>
        <v>PF Jul'26 run-rate revenue at close (C172)</v>
      </c>
      <c r="G45" s="3"/>
    </row>
    <row r="46" spans="1:7" ht="15" customHeight="1" x14ac:dyDescent="0.25">
      <c r="A46" s="5"/>
      <c r="B46" s="193" t="s">
        <v>499</v>
      </c>
      <c r="C46" s="191">
        <f>C45+C40*(C44-(C55-1)/2/12)/C9</f>
        <v>5326.947239209042</v>
      </c>
      <c r="D46" s="193"/>
      <c r="F46" s="193" t="str">
        <f>"Run-rate at close + partnership added revenue ramped to the midpoint of the averaging window "&amp;"(month "&amp;ROUND($C$44*12-($C$55-1)/2,1)&amp;" ÷ "&amp;$C$9*12&amp;")"&amp;"; same basis as the earnout measurement"</f>
        <v>Run-rate at close + partnership added revenue ramped to the midpoint of the averaging window (month 35 ÷ 60); same basis as the earnout measurement</v>
      </c>
      <c r="G46" s="3"/>
    </row>
    <row r="47" spans="1:7" ht="15" customHeight="1" x14ac:dyDescent="0.25">
      <c r="A47" s="5"/>
      <c r="B47" s="247" t="s">
        <v>498</v>
      </c>
      <c r="C47" s="140">
        <v>1</v>
      </c>
      <c r="D47" s="193"/>
      <c r="F47" s="193" t="str">
        <f>"Base case assumes the model's Year "&amp;$C$44&amp;" revenue is achieved; flex to test payout"</f>
        <v>Base case assumes the model's Year 3 revenue is achieved; flex to test payout</v>
      </c>
      <c r="G47" s="3"/>
    </row>
    <row r="48" spans="1:7" ht="15" customHeight="1" x14ac:dyDescent="0.25">
      <c r="A48" s="5"/>
      <c r="B48" s="319" t="s">
        <v>497</v>
      </c>
      <c r="C48" s="318">
        <f>C46*C47</f>
        <v>5326.947239209042</v>
      </c>
      <c r="D48" s="193"/>
      <c r="F48" s="193"/>
      <c r="G48" s="3"/>
    </row>
    <row r="49" spans="1:7" ht="15" customHeight="1" x14ac:dyDescent="0.25">
      <c r="A49" s="5"/>
      <c r="B49" s="193" t="s">
        <v>496</v>
      </c>
      <c r="C49" s="140">
        <v>0.8</v>
      </c>
      <c r="D49" s="193"/>
      <c r="F49" s="193" t="s">
        <v>495</v>
      </c>
      <c r="G49" s="3"/>
    </row>
    <row r="50" spans="1:7" ht="15" customHeight="1" x14ac:dyDescent="0.25">
      <c r="A50" s="5"/>
      <c r="B50" s="193" t="s">
        <v>494</v>
      </c>
      <c r="C50" s="105">
        <v>0</v>
      </c>
      <c r="D50" s="193"/>
      <c r="F50" s="193" t="s">
        <v>593</v>
      </c>
      <c r="G50" s="3"/>
    </row>
    <row r="51" spans="1:7" ht="15" customHeight="1" x14ac:dyDescent="0.25">
      <c r="A51" s="5"/>
      <c r="B51" s="193" t="s">
        <v>493</v>
      </c>
      <c r="C51" s="111">
        <v>0.5</v>
      </c>
      <c r="D51" s="193"/>
      <c r="F51" s="193" t="str">
        <f>"Share of target earnout paid at the "&amp;TEXT(C49,"0%")&amp;" threshold"</f>
        <v>Share of target earnout paid at the 80% threshold</v>
      </c>
      <c r="G51" s="3"/>
    </row>
    <row r="52" spans="1:7" ht="15" customHeight="1" x14ac:dyDescent="0.25">
      <c r="A52" s="5"/>
      <c r="B52" s="193" t="s">
        <v>492</v>
      </c>
      <c r="C52" s="111">
        <v>1.5</v>
      </c>
      <c r="D52" s="193"/>
      <c r="F52" s="193" t="str">
        <f>"Payout capped at "&amp;TEXT(C52,"0%")&amp;" of target earnout, reached at "&amp;TEXT(C49+(C52-C51)*(1-C49)/(1-C51),"0%")&amp;" of target revenue (mirrors the "&amp;TEXT(C49,"0%")&amp;" threshold)"</f>
        <v>Payout capped at 150% of target earnout, reached at 120% of target revenue (mirrors the 80% threshold)</v>
      </c>
      <c r="G52" s="3"/>
    </row>
    <row r="53" spans="1:7" ht="15" customHeight="1" x14ac:dyDescent="0.25">
      <c r="A53" s="5"/>
      <c r="B53" s="193" t="s">
        <v>491</v>
      </c>
      <c r="C53" s="139">
        <f>IF(C47&lt;C49,0,MIN(C52,C51+(1-C51)*(C47-C49)/(1-C49)))</f>
        <v>1</v>
      </c>
      <c r="D53" s="193"/>
      <c r="F53" s="193" t="str">
        <f>"Straight line from threshold payout at "&amp;TEXT(C49,"0%")&amp;" to 100% at target, continuing above target until the cap"</f>
        <v>Straight line from threshold payout at 80% to 100% at target, continuing above target until the cap</v>
      </c>
      <c r="G53" s="3"/>
    </row>
    <row r="54" spans="1:7" ht="15" customHeight="1" x14ac:dyDescent="0.25">
      <c r="A54" s="5"/>
      <c r="B54" s="193" t="s">
        <v>490</v>
      </c>
      <c r="C54" s="198">
        <f>C50*C52</f>
        <v>0</v>
      </c>
      <c r="D54" s="193"/>
      <c r="F54" s="193" t="s">
        <v>489</v>
      </c>
      <c r="G54" s="3"/>
    </row>
    <row r="55" spans="1:7" ht="15" customHeight="1" x14ac:dyDescent="0.25">
      <c r="A55" s="5"/>
      <c r="B55" s="5" t="s">
        <v>488</v>
      </c>
      <c r="C55" s="136">
        <v>3</v>
      </c>
      <c r="D55" s="193"/>
      <c r="F55" s="193" t="str">
        <f>"Earnout measured on average monthly recurring revenue for the "&amp;"last "&amp;C55&amp;" months"&amp;" of Year "&amp;$C$44&amp;" "&amp;"(months "&amp;TEXT($C$44*12-$C$55+1,"0")&amp;"–"&amp;TEXT($C$44*12,"0")&amp;")"&amp;" × 12; averaging prevents one strong month from triggering the payout"</f>
        <v>Earnout measured on average monthly recurring revenue for the last 3 months of Year 3 (months 34–36) × 12; averaging prevents one strong month from triggering the payout</v>
      </c>
      <c r="G55" s="3"/>
    </row>
    <row r="56" spans="1:7" ht="15" customHeight="1" x14ac:dyDescent="0.25">
      <c r="A56" s="5"/>
      <c r="B56" s="245" t="s">
        <v>487</v>
      </c>
      <c r="C56" s="272">
        <f>C50*C53</f>
        <v>0</v>
      </c>
      <c r="D56" s="271"/>
      <c r="F56" s="193" t="str">
        <f>"Paid in cash by Topkey; flows into Scenario 2 (row "&amp;ROW($B$89)&amp;"), Ben's MOIC/IRR (rows "&amp;ROW($B$95)&amp;"-"&amp;ROW($B$96)&amp;") and Topkey's return (row "&amp;ROW($B$103)&amp;")"</f>
        <v>Paid in cash by Topkey; flows into Scenario 2 (row 89), Ben's MOIC/IRR (rows 95-96) and Topkey's return (row 103)</v>
      </c>
      <c r="G56" s="3"/>
    </row>
    <row r="57" spans="1:7" ht="15" customHeight="1" x14ac:dyDescent="0.25">
      <c r="A57" s="5"/>
      <c r="B57" s="193" t="s">
        <v>486</v>
      </c>
      <c r="C57" s="140">
        <v>0.7</v>
      </c>
      <c r="D57" s="193"/>
      <c r="F57" s="193" t="s">
        <v>484</v>
      </c>
      <c r="G57" s="3"/>
    </row>
    <row r="58" spans="1:7" ht="15" customHeight="1" x14ac:dyDescent="0.25">
      <c r="A58" s="5"/>
      <c r="B58" s="193" t="s">
        <v>485</v>
      </c>
      <c r="C58" s="296">
        <v>0.15</v>
      </c>
      <c r="D58" s="193"/>
      <c r="F58" s="193" t="s">
        <v>484</v>
      </c>
      <c r="G58" s="3"/>
    </row>
    <row r="59" spans="1:7" ht="15" customHeight="1" x14ac:dyDescent="0.25">
      <c r="A59" s="5"/>
      <c r="B59" s="316" t="s">
        <v>483</v>
      </c>
      <c r="C59" s="317">
        <f>C56*C57/(1+C58)^C44</f>
        <v>0</v>
      </c>
      <c r="D59" s="316"/>
      <c r="F59" s="193" t="s">
        <v>482</v>
      </c>
      <c r="G59" s="3"/>
    </row>
    <row r="60" spans="1:7" s="41" customFormat="1" ht="3.95" customHeight="1" x14ac:dyDescent="0.2">
      <c r="A60" s="5"/>
      <c r="D60" s="5"/>
      <c r="E60" s="5"/>
      <c r="F60" s="193"/>
    </row>
    <row r="61" spans="1:7" s="41" customFormat="1" ht="15" customHeight="1" x14ac:dyDescent="0.2">
      <c r="A61" s="5"/>
      <c r="B61" s="10" t="s">
        <v>141</v>
      </c>
      <c r="C61" s="8" t="str">
        <f>C$171</f>
        <v>Today</v>
      </c>
      <c r="D61" s="8" t="s">
        <v>445</v>
      </c>
      <c r="E61" s="193"/>
      <c r="F61" s="193"/>
    </row>
    <row r="62" spans="1:7" s="41" customFormat="1" ht="15" customHeight="1" x14ac:dyDescent="0.2">
      <c r="A62" s="5"/>
      <c r="B62" s="193" t="s">
        <v>129</v>
      </c>
      <c r="C62" s="251">
        <f>$C$177</f>
        <v>650</v>
      </c>
      <c r="D62" s="199">
        <f t="shared" ref="D62:D67" si="0">IFERROR(C62/C$65,0)</f>
        <v>0.21666666666666667</v>
      </c>
      <c r="E62" s="193"/>
      <c r="F62" s="193" t="str">
        <f>"Cash paid at close for Topkey's stake ("&amp;ADDRESS(ROW(C177),COLUMN(C177),4)&amp;")"</f>
        <v>Cash paid at close for Topkey's stake (C177)</v>
      </c>
    </row>
    <row r="63" spans="1:7" s="41" customFormat="1" ht="15" customHeight="1" x14ac:dyDescent="0.2">
      <c r="A63" s="5"/>
      <c r="B63" s="247" t="s">
        <v>137</v>
      </c>
      <c r="C63" s="246">
        <f>$C$178</f>
        <v>1450</v>
      </c>
      <c r="D63" s="199">
        <f t="shared" si="0"/>
        <v>0.48333333333333334</v>
      </c>
      <c r="E63" s="193"/>
      <c r="F63" s="193" t="str">
        <f>"Topkey stock issued at the "&amp;TEXT(C179/1000,"$#,##0")&amp;"M"&amp;" pre-deal valuation ("&amp;ADDRESS(ROW(C178),COLUMN(C178),4)&amp;")"</f>
        <v>Topkey stock issued at the $60M pre-deal valuation (C178)</v>
      </c>
    </row>
    <row r="64" spans="1:7" s="41" customFormat="1" ht="15" customHeight="1" x14ac:dyDescent="0.2">
      <c r="A64" s="5"/>
      <c r="B64" s="247" t="s">
        <v>592</v>
      </c>
      <c r="C64" s="191">
        <f>$C$173*$C$174</f>
        <v>900</v>
      </c>
      <c r="D64" s="199">
        <f t="shared" si="0"/>
        <v>0.3</v>
      </c>
      <c r="E64" s="193"/>
      <c r="F64" s="193" t="str">
        <f>"Keystone value today × Ben's rollover % ("&amp;ADDRESS(ROW(C173),COLUMN(C173),4)&amp;" × "&amp;ADDRESS(ROW(C174),COLUMN(C174),4)&amp;")"</f>
        <v>Keystone value today × Ben's rollover % (C173 × C174)</v>
      </c>
    </row>
    <row r="65" spans="1:7" s="41" customFormat="1" ht="15" customHeight="1" x14ac:dyDescent="0.2">
      <c r="A65" s="5"/>
      <c r="B65" s="250" t="s">
        <v>481</v>
      </c>
      <c r="C65" s="249">
        <f>SUM(C62:C64)</f>
        <v>3000</v>
      </c>
      <c r="D65" s="248">
        <f t="shared" si="0"/>
        <v>1</v>
      </c>
      <c r="E65" s="193"/>
      <c r="F65" s="193" t="str">
        <f>"Ties to Keystone Value Today ("&amp;ADDRESS(ROW(C173),COLUMN(C173),4)&amp;")"</f>
        <v>Ties to Keystone Value Today (C173)</v>
      </c>
    </row>
    <row r="66" spans="1:7" s="41" customFormat="1" ht="15" customHeight="1" x14ac:dyDescent="0.2">
      <c r="A66" s="5"/>
      <c r="B66" s="247" t="s">
        <v>480</v>
      </c>
      <c r="C66" s="246">
        <f>$C$56</f>
        <v>0</v>
      </c>
      <c r="D66" s="199">
        <f t="shared" si="0"/>
        <v>0</v>
      </c>
      <c r="E66" s="193"/>
      <c r="F66" s="193" t="str">
        <f>"Paid only if Year "&amp;$C$44&amp;" revenue target is met ("&amp;ADDRESS(ROW(C56),COLUMN(C56),4)&amp;"); % shown vs. offer value at close"</f>
        <v>Paid only if Year 3 revenue target is met (C56); % shown vs. offer value at close</v>
      </c>
    </row>
    <row r="67" spans="1:7" s="41" customFormat="1" ht="15" customHeight="1" x14ac:dyDescent="0.2">
      <c r="A67" s="5"/>
      <c r="B67" s="315" t="s">
        <v>479</v>
      </c>
      <c r="C67" s="314">
        <f>C65+C66</f>
        <v>3000</v>
      </c>
      <c r="D67" s="313">
        <f t="shared" si="0"/>
        <v>1</v>
      </c>
      <c r="E67" s="193"/>
      <c r="F67" s="193"/>
    </row>
    <row r="68" spans="1:7" s="41" customFormat="1" ht="3.95" customHeight="1" x14ac:dyDescent="0.2">
      <c r="A68" s="5"/>
      <c r="B68" s="193"/>
      <c r="C68" s="193"/>
      <c r="D68" s="193"/>
      <c r="E68" s="193"/>
      <c r="F68" s="193"/>
    </row>
    <row r="69" spans="1:7" x14ac:dyDescent="0.25">
      <c r="A69" s="5"/>
      <c r="B69" s="29" t="s">
        <v>478</v>
      </c>
      <c r="C69" s="239" t="str">
        <f>C$171</f>
        <v>Today</v>
      </c>
      <c r="D69" s="239" t="str">
        <f>"Year "&amp;$C$9</f>
        <v>Year 5</v>
      </c>
      <c r="E69" s="5"/>
      <c r="F69" s="193"/>
      <c r="G69" s="3"/>
    </row>
    <row r="70" spans="1:7" x14ac:dyDescent="0.25">
      <c r="A70" s="5"/>
      <c r="B70" s="5" t="s">
        <v>477</v>
      </c>
      <c r="C70" s="242">
        <f>ROUND(C172*C22,-1)</f>
        <v>3000</v>
      </c>
      <c r="D70" s="129">
        <f>(C172+C28)*$C$23</f>
        <v>7490.2576987288176</v>
      </c>
      <c r="E70" s="5"/>
      <c r="F70" s="193" t="str">
        <f>"Today at offer value; Year "&amp;$C$9&amp;" = (PF run-rate revenue + standalone added revenue) × standalone multiple"</f>
        <v>Today at offer value; Year 5 = (PF run-rate revenue + standalone added revenue) × standalone multiple</v>
      </c>
      <c r="G70" s="3"/>
    </row>
    <row r="71" spans="1:7" x14ac:dyDescent="0.25">
      <c r="A71" s="5"/>
      <c r="B71" s="5" t="s">
        <v>189</v>
      </c>
      <c r="C71" s="132">
        <f>'Offer Comparison'!$C$153</f>
        <v>1</v>
      </c>
      <c r="D71" s="241">
        <f>$C$71</f>
        <v>1</v>
      </c>
      <c r="E71" s="5"/>
      <c r="F71" s="193"/>
      <c r="G71" s="3"/>
    </row>
    <row r="72" spans="1:7" x14ac:dyDescent="0.25">
      <c r="A72" s="5"/>
      <c r="B72" s="32" t="s">
        <v>476</v>
      </c>
      <c r="C72" s="240">
        <f>C70*C71</f>
        <v>3000</v>
      </c>
      <c r="D72" s="203">
        <f>D70*D71</f>
        <v>7490.2576987288176</v>
      </c>
      <c r="E72" s="5"/>
      <c r="F72" s="193"/>
      <c r="G72" s="3"/>
    </row>
    <row r="73" spans="1:7" ht="3.95" customHeight="1" x14ac:dyDescent="0.25">
      <c r="A73" s="5"/>
      <c r="B73" s="5"/>
      <c r="C73" s="5"/>
      <c r="D73" s="5"/>
      <c r="E73" s="5"/>
      <c r="F73" s="193"/>
      <c r="G73" s="3"/>
    </row>
    <row r="74" spans="1:7" x14ac:dyDescent="0.25">
      <c r="A74" s="5"/>
      <c r="B74" s="29" t="str">
        <f>"Scenario 2 — Ben Rolls "&amp;TEXT($C$174,"0%")&amp;" of Keystone Equity"</f>
        <v>Scenario 2 — Ben Rolls 30% of Keystone Equity</v>
      </c>
      <c r="C74" s="211" t="str">
        <f>C$171</f>
        <v>Today</v>
      </c>
      <c r="D74" s="211" t="str">
        <f>D$69</f>
        <v>Year 5</v>
      </c>
      <c r="E74" s="5"/>
      <c r="F74" s="193"/>
      <c r="G74" s="3"/>
    </row>
    <row r="75" spans="1:7" x14ac:dyDescent="0.25">
      <c r="A75" s="5"/>
      <c r="B75" s="193" t="s">
        <v>591</v>
      </c>
      <c r="C75" s="251">
        <f>C173</f>
        <v>3000</v>
      </c>
      <c r="D75" s="194">
        <f>(C40+C172)*C31</f>
        <v>13980.189077288145</v>
      </c>
      <c r="E75" s="5"/>
      <c r="F75" s="193" t="str">
        <f>"Today at offer value; Year "&amp;$C$9&amp;" = partnership revenue × software-integration multiple ("&amp;ADDRESS(ROW(C31),COLUMN(C31),4)&amp;")"</f>
        <v>Today at offer value; Year 5 = partnership revenue × software-integration multiple (C31)</v>
      </c>
      <c r="G75" s="3"/>
    </row>
    <row r="76" spans="1:7" x14ac:dyDescent="0.25">
      <c r="A76" s="5"/>
      <c r="B76" s="247" t="s">
        <v>590</v>
      </c>
      <c r="C76" s="141">
        <f>$C$174</f>
        <v>0.3</v>
      </c>
      <c r="D76" s="141">
        <f>$C$174</f>
        <v>0.3</v>
      </c>
      <c r="E76" s="5"/>
      <c r="F76" s="193"/>
      <c r="G76" s="3"/>
    </row>
    <row r="77" spans="1:7" x14ac:dyDescent="0.25">
      <c r="A77" s="5"/>
      <c r="B77" s="245" t="s">
        <v>589</v>
      </c>
      <c r="C77" s="244">
        <f>C75*C76</f>
        <v>900</v>
      </c>
      <c r="D77" s="272">
        <f>D75*D76</f>
        <v>4194.0567231864434</v>
      </c>
      <c r="E77" s="5"/>
      <c r="F77" s="191" t="s">
        <v>588</v>
      </c>
      <c r="G77" s="3"/>
    </row>
    <row r="78" spans="1:7" ht="3.95" customHeight="1" x14ac:dyDescent="0.25">
      <c r="A78" s="5"/>
      <c r="B78" s="193"/>
      <c r="C78" s="194"/>
      <c r="D78" s="194"/>
      <c r="E78" s="5"/>
      <c r="F78" s="191"/>
      <c r="G78" s="3"/>
    </row>
    <row r="79" spans="1:7" x14ac:dyDescent="0.25">
      <c r="A79" s="5"/>
      <c r="B79" s="193" t="s">
        <v>474</v>
      </c>
      <c r="C79" s="246">
        <f>C182</f>
        <v>59350</v>
      </c>
      <c r="D79" s="191">
        <f>(C11+C18)*C13-$C$177-$C$56</f>
        <v>179350.00000000003</v>
      </c>
      <c r="E79" s="5"/>
      <c r="F79" s="193"/>
      <c r="G79" s="3"/>
    </row>
    <row r="80" spans="1:7" x14ac:dyDescent="0.25">
      <c r="A80" s="5"/>
      <c r="B80" s="247" t="s">
        <v>587</v>
      </c>
      <c r="C80" s="191">
        <f>C75*$C$175</f>
        <v>2100</v>
      </c>
      <c r="D80" s="191">
        <f>D75*$C$175</f>
        <v>9786.1323541017009</v>
      </c>
      <c r="E80" s="5"/>
      <c r="F80" s="193" t="s">
        <v>586</v>
      </c>
      <c r="G80" s="3"/>
    </row>
    <row r="81" spans="1:7" x14ac:dyDescent="0.25">
      <c r="A81" s="5"/>
      <c r="B81" s="274" t="s">
        <v>585</v>
      </c>
      <c r="C81" s="273">
        <f>C79+C80</f>
        <v>61450</v>
      </c>
      <c r="D81" s="273">
        <f>D79+D80</f>
        <v>189136.13235410172</v>
      </c>
      <c r="E81" s="5"/>
      <c r="F81" s="193"/>
      <c r="G81" s="3"/>
    </row>
    <row r="82" spans="1:7" x14ac:dyDescent="0.25">
      <c r="A82" s="5"/>
      <c r="B82" s="247" t="s">
        <v>584</v>
      </c>
      <c r="C82" s="283">
        <f>$C$181</f>
        <v>2.3596419853539462E-2</v>
      </c>
      <c r="D82" s="283">
        <f>$D$181</f>
        <v>2.2416598860862488E-2</v>
      </c>
      <c r="E82" s="5"/>
      <c r="F82" s="193"/>
      <c r="G82" s="3"/>
    </row>
    <row r="83" spans="1:7" x14ac:dyDescent="0.25">
      <c r="A83" s="5"/>
      <c r="B83" s="245" t="s">
        <v>424</v>
      </c>
      <c r="C83" s="244">
        <f>C81*C82</f>
        <v>1450</v>
      </c>
      <c r="D83" s="272">
        <f>D81*D82</f>
        <v>4239.7888090768938</v>
      </c>
      <c r="E83" s="5"/>
      <c r="F83" s="193" t="str">
        <f>"Ties to Topkey equity issued (tie-out row "&amp;ROW($B$184)&amp;")"</f>
        <v>Ties to Topkey equity issued (tie-out row 184)</v>
      </c>
      <c r="G83" s="3"/>
    </row>
    <row r="84" spans="1:7" ht="15" customHeight="1" x14ac:dyDescent="0.25">
      <c r="A84" s="5"/>
      <c r="B84" s="312" t="s">
        <v>583</v>
      </c>
      <c r="C84" s="194"/>
      <c r="D84" s="194"/>
      <c r="E84" s="5"/>
      <c r="F84" s="193"/>
      <c r="G84" s="3"/>
    </row>
    <row r="85" spans="1:7" ht="15" customHeight="1" x14ac:dyDescent="0.25">
      <c r="A85" s="5"/>
      <c r="B85" s="193" t="s">
        <v>582</v>
      </c>
      <c r="C85" s="251">
        <f>C77</f>
        <v>900</v>
      </c>
      <c r="D85" s="251">
        <f>D77</f>
        <v>4194.0567231864434</v>
      </c>
      <c r="E85" s="5"/>
      <c r="F85" s="193" t="s">
        <v>581</v>
      </c>
      <c r="G85" s="3"/>
    </row>
    <row r="86" spans="1:7" ht="15" customHeight="1" x14ac:dyDescent="0.25">
      <c r="A86" s="5"/>
      <c r="B86" s="247" t="s">
        <v>580</v>
      </c>
      <c r="C86" s="191">
        <f>C80*C82</f>
        <v>49.55248169243287</v>
      </c>
      <c r="D86" s="191">
        <f>D80*D82</f>
        <v>219.37180338120572</v>
      </c>
      <c r="E86" s="5"/>
      <c r="F86" s="193" t="s">
        <v>567</v>
      </c>
      <c r="G86" s="3"/>
    </row>
    <row r="87" spans="1:7" ht="15" customHeight="1" x14ac:dyDescent="0.25">
      <c r="A87" s="5"/>
      <c r="B87" s="247" t="s">
        <v>579</v>
      </c>
      <c r="C87" s="191">
        <f>C79*C82</f>
        <v>1400.447518307567</v>
      </c>
      <c r="D87" s="191">
        <f>D79*D82</f>
        <v>4020.4170056956877</v>
      </c>
      <c r="E87" s="5"/>
      <c r="F87" s="193" t="s">
        <v>578</v>
      </c>
      <c r="G87" s="3"/>
    </row>
    <row r="88" spans="1:7" x14ac:dyDescent="0.25">
      <c r="A88" s="5"/>
      <c r="B88" s="247" t="s">
        <v>55</v>
      </c>
      <c r="C88" s="246">
        <f>$C$177</f>
        <v>650</v>
      </c>
      <c r="D88" s="246">
        <f>$C$177</f>
        <v>650</v>
      </c>
      <c r="E88" s="5"/>
      <c r="F88" s="193"/>
      <c r="G88" s="3"/>
    </row>
    <row r="89" spans="1:7" ht="15" customHeight="1" x14ac:dyDescent="0.25">
      <c r="A89" s="5"/>
      <c r="B89" s="247" t="s">
        <v>54</v>
      </c>
      <c r="C89" s="191"/>
      <c r="D89" s="246">
        <f>$C$56</f>
        <v>0</v>
      </c>
      <c r="E89" s="5"/>
      <c r="F89" s="193"/>
      <c r="G89" s="3"/>
    </row>
    <row r="90" spans="1:7" x14ac:dyDescent="0.25">
      <c r="A90" s="5"/>
      <c r="B90" s="245" t="s">
        <v>422</v>
      </c>
      <c r="C90" s="244">
        <f>SUM(C85:C89)</f>
        <v>3000</v>
      </c>
      <c r="D90" s="272">
        <f>SUM(D85:D89)</f>
        <v>9083.8455322633363</v>
      </c>
      <c r="E90" s="5"/>
      <c r="F90" s="193" t="s">
        <v>577</v>
      </c>
      <c r="G90" s="3"/>
    </row>
    <row r="91" spans="1:7" ht="3.95" customHeight="1" x14ac:dyDescent="0.25">
      <c r="A91" s="5"/>
      <c r="B91" s="193"/>
      <c r="C91" s="193"/>
      <c r="D91" s="193"/>
      <c r="E91" s="5"/>
      <c r="F91" s="193"/>
      <c r="G91" s="3"/>
    </row>
    <row r="92" spans="1:7" x14ac:dyDescent="0.25">
      <c r="A92" s="5"/>
      <c r="B92" s="29" t="s">
        <v>470</v>
      </c>
      <c r="C92" s="211" t="str">
        <f>C$171</f>
        <v>Today</v>
      </c>
      <c r="D92" s="211" t="str">
        <f>D$69</f>
        <v>Year 5</v>
      </c>
      <c r="E92" s="5"/>
      <c r="F92" s="193"/>
      <c r="G92" s="3"/>
    </row>
    <row r="93" spans="1:7" x14ac:dyDescent="0.25">
      <c r="A93" s="5"/>
      <c r="B93" s="303" t="s">
        <v>469</v>
      </c>
      <c r="C93" s="311">
        <f>C90-C72</f>
        <v>0</v>
      </c>
      <c r="D93" s="302">
        <f>D90-D72</f>
        <v>1593.5878335345187</v>
      </c>
      <c r="E93" s="5"/>
      <c r="F93" s="193"/>
      <c r="G93" s="3"/>
    </row>
    <row r="94" spans="1:7" x14ac:dyDescent="0.25">
      <c r="A94" s="5"/>
      <c r="B94" s="310" t="s">
        <v>468</v>
      </c>
      <c r="C94" s="306">
        <v>0</v>
      </c>
      <c r="D94" s="309">
        <f>IFERROR(D90/D72-1,0)</f>
        <v>0.21275474057520993</v>
      </c>
      <c r="E94" s="5"/>
      <c r="F94" s="193"/>
      <c r="G94" s="3"/>
    </row>
    <row r="95" spans="1:7" ht="15" customHeight="1" x14ac:dyDescent="0.25">
      <c r="A95" s="5"/>
      <c r="B95" s="226" t="s">
        <v>576</v>
      </c>
      <c r="C95" s="306"/>
      <c r="D95" s="308">
        <f>IFERROR(D90/C173,0)</f>
        <v>3.0279485107544453</v>
      </c>
      <c r="E95" s="5"/>
      <c r="F95" s="5" t="str">
        <f>"Ben's Year "&amp;$C$9&amp;" value ("&amp;ADDRESS(ROW(D90),COLUMN(D90),4)&amp;": cash + earnout + retained stake + Topkey stock) ÷ Keystone value given up at close ("&amp;ADDRESS(ROW(C173),COLUMN(C173),4)&amp;")"</f>
        <v>Ben's Year 5 value (D90: cash + earnout + retained stake + Topkey stock) ÷ Keystone value given up at close (C173)</v>
      </c>
      <c r="G95" s="3"/>
    </row>
    <row r="96" spans="1:7" ht="15" customHeight="1" x14ac:dyDescent="0.25">
      <c r="A96" s="5"/>
      <c r="B96" s="226" t="s">
        <v>575</v>
      </c>
      <c r="C96" s="306"/>
      <c r="D96" s="307">
        <f>IFERROR(IRR(D215:D220),0)</f>
        <v>0.29119416880747617</v>
      </c>
      <c r="E96" s="5"/>
      <c r="F96" s="5" t="str">
        <f>"IRR on Ben's cash flows (rows "&amp;ROW($B$215)&amp;"-"&amp;ROW($B$220)&amp;"); Year "&amp;$C$9&amp;" = stake values, not a cash exit"</f>
        <v>IRR on Ben's cash flows (rows 215-220); Year 5 = stake values, not a cash exit</v>
      </c>
      <c r="G96" s="3"/>
    </row>
    <row r="97" spans="1:7" x14ac:dyDescent="0.25">
      <c r="A97" s="5"/>
      <c r="B97" s="301" t="s">
        <v>465</v>
      </c>
      <c r="C97" s="306">
        <v>0</v>
      </c>
      <c r="D97" s="305">
        <f>MAX(0,IFERROR(((C135+$C$56)/$C$182)^(1/$C$9)-1,0))</f>
        <v>0.12774199395700991</v>
      </c>
      <c r="E97" s="5"/>
      <c r="F97" s="193" t="str">
        <f>"Topkey value CAGR needed for Scenario 2 to equal Scenario 1 (from required value in "&amp;ADDRESS(ROW(C135),COLUMN(C135),4)&amp;", before earnout paid); floored at zero"</f>
        <v>Topkey value CAGR needed for Scenario 2 to equal Scenario 1 (from required value in C135, before earnout paid); floored at zero</v>
      </c>
      <c r="G97" s="3"/>
    </row>
    <row r="98" spans="1:7" x14ac:dyDescent="0.25">
      <c r="A98" s="5"/>
      <c r="B98" s="299" t="s">
        <v>464</v>
      </c>
      <c r="C98" s="304">
        <v>0</v>
      </c>
      <c r="D98" s="298">
        <f>IFERROR(((D79+$C$56)/$C$182)^(1/$C$9)-1,0)</f>
        <v>0.24754474605885002</v>
      </c>
      <c r="E98" s="5"/>
      <c r="F98" s="193"/>
      <c r="G98" s="3"/>
    </row>
    <row r="99" spans="1:7" ht="3.95" customHeight="1" x14ac:dyDescent="0.25">
      <c r="A99" s="5"/>
      <c r="B99" s="5"/>
      <c r="C99" s="5"/>
      <c r="D99" s="5"/>
      <c r="E99" s="5"/>
      <c r="F99" s="193"/>
      <c r="G99" s="3"/>
    </row>
    <row r="100" spans="1:7" ht="15" customHeight="1" x14ac:dyDescent="0.25">
      <c r="A100" s="5"/>
      <c r="B100" s="29" t="s">
        <v>574</v>
      </c>
      <c r="C100" s="211" t="s">
        <v>192</v>
      </c>
      <c r="D100" s="211"/>
      <c r="E100" s="5"/>
      <c r="F100" s="193"/>
      <c r="G100" s="3"/>
    </row>
    <row r="101" spans="1:7" ht="15" customHeight="1" x14ac:dyDescent="0.25">
      <c r="A101" s="5"/>
      <c r="B101" s="193" t="s">
        <v>462</v>
      </c>
      <c r="C101" s="251">
        <f>C177</f>
        <v>650</v>
      </c>
      <c r="D101" s="193"/>
      <c r="E101" s="5"/>
      <c r="F101" s="193" t="str">
        <f>"Cash portion of stake price ("&amp;ADDRESS(ROW(C177),COLUMN(C177),4)&amp;")"</f>
        <v>Cash portion of stake price (C177)</v>
      </c>
      <c r="G101" s="3"/>
    </row>
    <row r="102" spans="1:7" ht="15" customHeight="1" x14ac:dyDescent="0.25">
      <c r="A102" s="5"/>
      <c r="B102" s="247" t="s">
        <v>137</v>
      </c>
      <c r="C102" s="246">
        <f>C178</f>
        <v>1450</v>
      </c>
      <c r="D102" s="193"/>
      <c r="E102" s="5"/>
      <c r="F102" s="193" t="str">
        <f>"Topkey stock issued, at issue value ("&amp;ADDRESS(ROW(C178),COLUMN(C178),4)&amp;")"</f>
        <v>Topkey stock issued, at issue value (C178)</v>
      </c>
      <c r="G102" s="3"/>
    </row>
    <row r="103" spans="1:7" ht="15" customHeight="1" x14ac:dyDescent="0.25">
      <c r="A103" s="5"/>
      <c r="B103" s="247" t="s">
        <v>54</v>
      </c>
      <c r="C103" s="246">
        <f>C56</f>
        <v>0</v>
      </c>
      <c r="D103" s="193"/>
      <c r="E103" s="5"/>
      <c r="F103" s="193" t="str">
        <f>"Cash earnout at base-case achievement ("&amp;ADDRESS(ROW(C56),COLUMN(C56),4)&amp;")"</f>
        <v>Cash earnout at base-case achievement (C56)</v>
      </c>
      <c r="G103" s="3"/>
    </row>
    <row r="104" spans="1:7" ht="15" customHeight="1" x14ac:dyDescent="0.25">
      <c r="A104" s="5"/>
      <c r="B104" s="274" t="s">
        <v>135</v>
      </c>
      <c r="C104" s="273">
        <f>SUM(C101:C103)</f>
        <v>2100</v>
      </c>
      <c r="D104" s="271"/>
      <c r="E104" s="5"/>
      <c r="F104" s="193" t="s">
        <v>573</v>
      </c>
      <c r="G104" s="3"/>
    </row>
    <row r="105" spans="1:7" ht="15" customHeight="1" x14ac:dyDescent="0.25">
      <c r="A105" s="5"/>
      <c r="B105" s="247" t="s">
        <v>460</v>
      </c>
      <c r="C105" s="141">
        <f>C175</f>
        <v>0.7</v>
      </c>
      <c r="D105" s="193"/>
      <c r="E105" s="5"/>
      <c r="F105" s="193" t="str">
        <f>"Topkey's share of Keystone ("&amp;ADDRESS(ROW(C175),COLUMN(C175),4)&amp;")"</f>
        <v>Topkey's share of Keystone (C175)</v>
      </c>
      <c r="G105" s="3"/>
    </row>
    <row r="106" spans="1:7" ht="15" customHeight="1" x14ac:dyDescent="0.25">
      <c r="A106" s="5"/>
      <c r="B106" s="193" t="s">
        <v>459</v>
      </c>
      <c r="C106" s="251">
        <f>D75</f>
        <v>13980.189077288145</v>
      </c>
      <c r="D106" s="193"/>
      <c r="E106" s="5"/>
      <c r="F106" s="193" t="str">
        <f>"Year "&amp;$C$9&amp;" partnership value of 100% of Keystone ("&amp;ADDRESS(ROW(D75),COLUMN(D75),4)&amp;")"</f>
        <v>Year 5 partnership value of 100% of Keystone (D75)</v>
      </c>
      <c r="G106" s="3"/>
    </row>
    <row r="107" spans="1:7" ht="15" customHeight="1" x14ac:dyDescent="0.25">
      <c r="A107" s="5"/>
      <c r="B107" s="303" t="s">
        <v>458</v>
      </c>
      <c r="C107" s="302">
        <f>C105*C106</f>
        <v>9786.1323541017009</v>
      </c>
      <c r="D107" s="271"/>
      <c r="E107" s="5"/>
      <c r="F107" s="193" t="str">
        <f>"Topkey's stake % × Keystone Year "&amp;$C$9&amp;" value; ties to Scenario 2 ("&amp;ADDRESS(ROW(D80),COLUMN(D80),4)&amp;")"</f>
        <v>Topkey's stake % × Keystone Year 5 value; ties to Scenario 2 (D80)</v>
      </c>
      <c r="G107" s="3"/>
    </row>
    <row r="108" spans="1:7" ht="15" customHeight="1" x14ac:dyDescent="0.25">
      <c r="A108" s="5"/>
      <c r="B108" s="301" t="s">
        <v>457</v>
      </c>
      <c r="C108" s="300">
        <f>IFERROR(C107/C104,0)</f>
        <v>4.6600630257627147</v>
      </c>
      <c r="D108" s="271"/>
      <c r="E108" s="5"/>
      <c r="F108" s="193" t="str">
        <f>"Year "&amp;$C$9&amp;" stake value ÷ total consideration"</f>
        <v>Year 5 stake value ÷ total consideration</v>
      </c>
      <c r="G108" s="3"/>
    </row>
    <row r="109" spans="1:7" ht="15" customHeight="1" x14ac:dyDescent="0.25">
      <c r="A109" s="5"/>
      <c r="B109" s="299" t="s">
        <v>456</v>
      </c>
      <c r="C109" s="298">
        <f>IFERROR(IRR(D207:D212),0)</f>
        <v>0.3604367590850639</v>
      </c>
      <c r="D109" s="297"/>
      <c r="E109" s="5"/>
      <c r="F109" s="193" t="str">
        <f>"IRR on Topkey's cash flows (rows "&amp;ROW($B$207)&amp;"-"&amp;ROW($B$212)&amp;"); excludes software fee income and Keystone distributions, so understated"</f>
        <v>IRR on Topkey's cash flows (rows 207-212); excludes software fee income and Keystone distributions, so understated</v>
      </c>
      <c r="G109" s="3"/>
    </row>
    <row r="110" spans="1:7" ht="3.95" customHeight="1" x14ac:dyDescent="0.25">
      <c r="A110" s="5"/>
      <c r="B110" s="5"/>
      <c r="C110" s="5"/>
      <c r="D110" s="5"/>
      <c r="E110" s="5"/>
      <c r="F110" s="193"/>
      <c r="G110" s="3"/>
    </row>
    <row r="111" spans="1:7" x14ac:dyDescent="0.25">
      <c r="A111" s="5"/>
      <c r="B111" s="116" t="s">
        <v>455</v>
      </c>
      <c r="C111" s="72" t="str">
        <f>D$69</f>
        <v>Year 5</v>
      </c>
      <c r="D111" s="3"/>
      <c r="E111" s="5"/>
      <c r="F111" s="193"/>
      <c r="G111" s="3"/>
    </row>
    <row r="112" spans="1:7" x14ac:dyDescent="0.25">
      <c r="A112" s="5"/>
      <c r="B112" s="41" t="s">
        <v>454</v>
      </c>
      <c r="C112" s="129">
        <f>+C28+C172</f>
        <v>5992.2061589830537</v>
      </c>
      <c r="D112" s="5"/>
      <c r="E112" s="5"/>
      <c r="F112" s="193"/>
      <c r="G112" s="3"/>
    </row>
    <row r="113" spans="1:7" s="41" customFormat="1" ht="12" x14ac:dyDescent="0.2">
      <c r="A113" s="5"/>
      <c r="B113" s="47" t="s">
        <v>450</v>
      </c>
      <c r="C113" s="221">
        <v>0.15</v>
      </c>
      <c r="D113" s="222"/>
      <c r="E113" s="5"/>
      <c r="F113" s="193" t="s">
        <v>453</v>
      </c>
    </row>
    <row r="114" spans="1:7" s="41" customFormat="1" ht="12" x14ac:dyDescent="0.2">
      <c r="A114" s="5"/>
      <c r="B114" s="220" t="s">
        <v>448</v>
      </c>
      <c r="C114" s="219">
        <f>C113*C112</f>
        <v>898.83092384745805</v>
      </c>
      <c r="D114" s="5"/>
      <c r="E114" s="5"/>
      <c r="F114" s="193"/>
    </row>
    <row r="115" spans="1:7" x14ac:dyDescent="0.25">
      <c r="A115" s="5"/>
      <c r="B115" s="41" t="s">
        <v>447</v>
      </c>
      <c r="C115" s="100">
        <f>+D72</f>
        <v>7490.2576987288176</v>
      </c>
      <c r="D115" s="5"/>
      <c r="E115" s="5"/>
      <c r="F115" s="193"/>
      <c r="G115" s="3"/>
    </row>
    <row r="116" spans="1:7" x14ac:dyDescent="0.25">
      <c r="A116" s="5"/>
      <c r="B116" s="44" t="s">
        <v>446</v>
      </c>
      <c r="C116" s="214">
        <f>C115/C114</f>
        <v>8.3333333333333339</v>
      </c>
      <c r="D116" s="5"/>
      <c r="E116" s="5"/>
      <c r="F116" s="193"/>
      <c r="G116" s="3"/>
    </row>
    <row r="117" spans="1:7" ht="3.95" customHeight="1" x14ac:dyDescent="0.25">
      <c r="A117" s="5"/>
      <c r="B117" s="61"/>
      <c r="C117" s="218"/>
      <c r="D117" s="5"/>
      <c r="E117" s="5"/>
      <c r="F117" s="193"/>
      <c r="G117" s="3"/>
    </row>
    <row r="118" spans="1:7" x14ac:dyDescent="0.25">
      <c r="A118" s="5"/>
      <c r="B118" s="116" t="s">
        <v>452</v>
      </c>
      <c r="C118" s="72" t="str">
        <f>D$69</f>
        <v>Year 5</v>
      </c>
      <c r="D118" s="3"/>
      <c r="E118" s="5"/>
      <c r="F118" s="193"/>
      <c r="G118" s="3"/>
    </row>
    <row r="119" spans="1:7" x14ac:dyDescent="0.25">
      <c r="A119" s="5"/>
      <c r="B119" s="41" t="s">
        <v>451</v>
      </c>
      <c r="C119" s="129">
        <f>+C40+C172</f>
        <v>6990.0945386440726</v>
      </c>
      <c r="D119" s="5"/>
      <c r="E119" s="5"/>
      <c r="F119" s="193"/>
      <c r="G119" s="3"/>
    </row>
    <row r="120" spans="1:7" s="41" customFormat="1" ht="15" customHeight="1" x14ac:dyDescent="0.2">
      <c r="A120" s="5"/>
      <c r="B120" s="247" t="s">
        <v>450</v>
      </c>
      <c r="C120" s="296">
        <v>0.2</v>
      </c>
      <c r="D120" s="193"/>
      <c r="E120" s="5"/>
      <c r="F120" s="193" t="s">
        <v>572</v>
      </c>
    </row>
    <row r="121" spans="1:7" s="41" customFormat="1" ht="15" customHeight="1" x14ac:dyDescent="0.2">
      <c r="A121" s="5"/>
      <c r="B121" s="295" t="s">
        <v>448</v>
      </c>
      <c r="C121" s="273">
        <f>C120*C119</f>
        <v>1398.0189077288146</v>
      </c>
      <c r="D121" s="271"/>
      <c r="E121" s="5"/>
      <c r="F121" s="193"/>
    </row>
    <row r="122" spans="1:7" ht="15" customHeight="1" x14ac:dyDescent="0.25">
      <c r="A122" s="5"/>
      <c r="B122" s="193" t="s">
        <v>447</v>
      </c>
      <c r="C122" s="246">
        <f>D75</f>
        <v>13980.189077288145</v>
      </c>
      <c r="D122" s="193"/>
      <c r="E122" s="5"/>
      <c r="F122" s="193"/>
      <c r="G122" s="3"/>
    </row>
    <row r="123" spans="1:7" ht="15" customHeight="1" x14ac:dyDescent="0.25">
      <c r="A123" s="5"/>
      <c r="B123" s="245" t="s">
        <v>446</v>
      </c>
      <c r="C123" s="294">
        <f>IFERROR(C122/C121,0)</f>
        <v>10</v>
      </c>
      <c r="D123" s="271"/>
      <c r="E123" s="5"/>
      <c r="F123" s="193"/>
      <c r="G123" s="3"/>
    </row>
    <row r="124" spans="1:7" ht="3.95" customHeight="1" x14ac:dyDescent="0.25">
      <c r="A124" s="5"/>
      <c r="B124" s="61"/>
      <c r="C124" s="218"/>
      <c r="D124" s="5"/>
      <c r="E124" s="5"/>
      <c r="F124" s="193"/>
      <c r="G124" s="3"/>
    </row>
    <row r="125" spans="1:7" x14ac:dyDescent="0.25">
      <c r="A125" s="5"/>
      <c r="B125" s="10" t="s">
        <v>132</v>
      </c>
      <c r="C125" s="9" t="str">
        <f>"Year "&amp;$C$9</f>
        <v>Year 5</v>
      </c>
      <c r="D125" s="9" t="s">
        <v>445</v>
      </c>
      <c r="E125" s="121"/>
      <c r="F125" s="193" t="s">
        <v>571</v>
      </c>
      <c r="G125" s="121"/>
    </row>
    <row r="126" spans="1:7" x14ac:dyDescent="0.25">
      <c r="A126" s="5"/>
      <c r="B126" s="121" t="s">
        <v>570</v>
      </c>
      <c r="C126" s="251">
        <f>D77</f>
        <v>4194.0567231864434</v>
      </c>
      <c r="D126" s="166">
        <f>IFERROR(C126/C$130,0)</f>
        <v>0.4617049803731581</v>
      </c>
      <c r="E126" s="121"/>
      <c r="F126" s="193" t="str">
        <f>"Ben's retained Keystone stake at the partnership multiple ("&amp;ADDRESS(ROW(D77),COLUMN(D77),4)&amp;")"</f>
        <v>Ben's retained Keystone stake at the partnership multiple (D77)</v>
      </c>
      <c r="G126" s="121"/>
    </row>
    <row r="127" spans="1:7" x14ac:dyDescent="0.25">
      <c r="A127" s="5"/>
      <c r="B127" s="282" t="s">
        <v>569</v>
      </c>
      <c r="C127" s="168">
        <f>D79*$D$181</f>
        <v>4020.4170056956877</v>
      </c>
      <c r="D127" s="166">
        <f>IFERROR(C127/C$130,0)</f>
        <v>0.44258975908564996</v>
      </c>
      <c r="E127" s="121"/>
      <c r="F127" s="193" t="str">
        <f>"Ben's Topkey % × Topkey's own Year "&amp;$C$9&amp;" value"</f>
        <v>Ben's Topkey % × Topkey's own Year 5 value</v>
      </c>
      <c r="G127" s="121"/>
    </row>
    <row r="128" spans="1:7" x14ac:dyDescent="0.25">
      <c r="A128" s="5"/>
      <c r="B128" s="282" t="s">
        <v>568</v>
      </c>
      <c r="C128" s="168">
        <f>D80*$D$181</f>
        <v>219.37180338120572</v>
      </c>
      <c r="D128" s="166">
        <f>IFERROR(C128/C$130,0)</f>
        <v>2.4149662453204102E-2</v>
      </c>
      <c r="E128" s="121"/>
      <c r="F128" s="193" t="s">
        <v>567</v>
      </c>
      <c r="G128" s="121"/>
    </row>
    <row r="129" spans="1:8" x14ac:dyDescent="0.25">
      <c r="A129" s="5"/>
      <c r="B129" s="282" t="s">
        <v>423</v>
      </c>
      <c r="C129" s="246">
        <f>D88+D89</f>
        <v>650</v>
      </c>
      <c r="D129" s="166">
        <f>IFERROR(C129/C$130,0)</f>
        <v>7.1555598087987921E-2</v>
      </c>
      <c r="E129" s="121"/>
      <c r="F129" s="193" t="str">
        <f>"Cash at close ("&amp;ADDRESS(ROW(D88),COLUMN(D88),4)&amp;") + Year "&amp;$C$44&amp;" earnout ("&amp;ADDRESS(ROW(D89),COLUMN(D89),4)&amp;")"</f>
        <v>Cash at close (D88) + Year 3 earnout (D89)</v>
      </c>
      <c r="G129" s="121"/>
    </row>
    <row r="130" spans="1:8" ht="15" customHeight="1" x14ac:dyDescent="0.25">
      <c r="A130" s="5"/>
      <c r="B130" s="279" t="s">
        <v>422</v>
      </c>
      <c r="C130" s="293">
        <f>SUM(C126:C129)</f>
        <v>9083.8455322633363</v>
      </c>
      <c r="D130" s="292">
        <f>SUM(D126:D129)</f>
        <v>1</v>
      </c>
      <c r="E130" s="121"/>
      <c r="F130" s="193" t="str">
        <f>"Ties to "&amp;ADDRESS(ROW(D90),COLUMN(D90),4)</f>
        <v>Ties to D90</v>
      </c>
      <c r="G130" s="121"/>
    </row>
    <row r="131" spans="1:8" x14ac:dyDescent="0.25">
      <c r="A131" s="5"/>
      <c r="B131" s="121" t="s">
        <v>442</v>
      </c>
      <c r="C131" s="152">
        <f>(C40+C172)*($C$174+$C$175*$D$181)</f>
        <v>2206.7142632838245</v>
      </c>
      <c r="D131" s="121"/>
      <c r="E131" s="121"/>
      <c r="F131" s="193" t="str">
        <f>"Year "&amp;$C$9&amp;" partnership revenue × (retained % + Topkey stake % × Ben's Topkey %)"</f>
        <v>Year 5 partnership revenue × (retained % + Topkey stake % × Ben's Topkey %)</v>
      </c>
      <c r="G131" s="121"/>
    </row>
    <row r="132" spans="1:8" ht="3.95" customHeight="1" x14ac:dyDescent="0.25">
      <c r="A132" s="5"/>
      <c r="B132" s="121"/>
      <c r="C132" s="121"/>
      <c r="D132" s="121"/>
      <c r="E132" s="121"/>
      <c r="F132" s="193"/>
      <c r="G132" s="121"/>
    </row>
    <row r="133" spans="1:8" x14ac:dyDescent="0.25">
      <c r="A133" s="5"/>
      <c r="B133" s="10" t="s">
        <v>431</v>
      </c>
      <c r="C133" s="9" t="s">
        <v>430</v>
      </c>
      <c r="D133" s="9" t="s">
        <v>429</v>
      </c>
      <c r="E133" s="121"/>
      <c r="F133" s="193"/>
      <c r="G133" s="121"/>
    </row>
    <row r="134" spans="1:8" x14ac:dyDescent="0.25">
      <c r="A134" s="5"/>
      <c r="B134" s="121" t="s">
        <v>49</v>
      </c>
      <c r="C134" s="291">
        <f>IFERROR((D72-D88-D89-D79*$D$181)/(($C$174+$C$175*$D$181)*(C40+C172)),0)</f>
        <v>1.277845863395521</v>
      </c>
      <c r="D134" s="290">
        <f>C31</f>
        <v>2</v>
      </c>
      <c r="E134" s="121"/>
      <c r="F134" s="193" t="s">
        <v>566</v>
      </c>
      <c r="G134" s="121"/>
    </row>
    <row r="135" spans="1:8" x14ac:dyDescent="0.25">
      <c r="A135" s="5"/>
      <c r="B135" s="121" t="s">
        <v>47</v>
      </c>
      <c r="C135" s="152">
        <f>MAX(0,(D72-D88-D89-D77)/$D$181-D80)</f>
        <v>108260.36488515703</v>
      </c>
      <c r="D135" s="251">
        <f>D79</f>
        <v>179350.00000000003</v>
      </c>
      <c r="E135" s="121"/>
      <c r="F135" s="193" t="str">
        <f>"Topkey Year "&amp;$C$9&amp;" value needed to break even; zero means not needed"</f>
        <v>Topkey Year 5 value needed to break even; zero means not needed</v>
      </c>
      <c r="G135" s="121"/>
    </row>
    <row r="136" spans="1:8" x14ac:dyDescent="0.25">
      <c r="A136" s="5"/>
      <c r="B136" s="121" t="s">
        <v>46</v>
      </c>
      <c r="C136" s="289">
        <f>IFERROR((C135+$C$177+$C$56)/(C11+C18),0)</f>
        <v>11.591141430944766</v>
      </c>
      <c r="D136" s="288">
        <f>C13</f>
        <v>19.157088122605366</v>
      </c>
      <c r="E136" s="121"/>
      <c r="F136" s="193" t="s">
        <v>565</v>
      </c>
      <c r="G136" s="121"/>
    </row>
    <row r="137" spans="1:8" x14ac:dyDescent="0.25">
      <c r="A137" s="5"/>
      <c r="B137" s="121" t="s">
        <v>45</v>
      </c>
      <c r="C137" s="198">
        <f>IFERROR(((C135+$C$177+$C$56)/C13-C11)/C15/C9,0)</f>
        <v>52.986228625586776</v>
      </c>
      <c r="D137" s="100">
        <f>C16</f>
        <v>130</v>
      </c>
      <c r="E137" s="121"/>
      <c r="F137" s="193" t="s">
        <v>427</v>
      </c>
      <c r="G137" s="121"/>
    </row>
    <row r="138" spans="1:8" x14ac:dyDescent="0.25">
      <c r="A138" s="5"/>
      <c r="B138" s="121" t="s">
        <v>43</v>
      </c>
      <c r="C138" s="202">
        <f>D97</f>
        <v>0.12774199395700991</v>
      </c>
      <c r="D138" s="202">
        <f>D98</f>
        <v>0.24754474605885002</v>
      </c>
      <c r="E138" s="121"/>
      <c r="F138" s="193" t="str">
        <f>"Break-even vs. estimated (rows "&amp;ROW($B$97)&amp;"-"&amp;ROW($B$98)&amp;"); growth in Topkey's value vs. today's valuation, not revenue growth"</f>
        <v>Break-even vs. estimated (rows 97-98); growth in Topkey's value vs. today's valuation, not revenue growth</v>
      </c>
      <c r="G138" s="121"/>
    </row>
    <row r="139" spans="1:8" x14ac:dyDescent="0.25">
      <c r="A139" s="5"/>
      <c r="B139" s="121" t="s">
        <v>44</v>
      </c>
      <c r="C139" s="166">
        <f>MIN(1,IFERROR(1-(D72-D88-D89-D77)/(D81*$C$181),0))</f>
        <v>0.40707166324338884</v>
      </c>
      <c r="D139" s="166">
        <f>$C$8</f>
        <v>0.05</v>
      </c>
      <c r="E139" s="121"/>
      <c r="F139" s="193" t="str">
        <f>"Break-even = total dilution at which Scenario 2 equals Scenario 1; base = estimated dilution ("&amp;ADDRESS(ROW(C8),COLUMN(C8),4)&amp;")"</f>
        <v>Break-even = total dilution at which Scenario 2 equals Scenario 1; base = estimated dilution (C8)</v>
      </c>
      <c r="G139" s="121"/>
    </row>
    <row r="140" spans="1:8" ht="15" customHeight="1" x14ac:dyDescent="0.25">
      <c r="A140" s="5"/>
      <c r="B140" s="121" t="s">
        <v>564</v>
      </c>
      <c r="C140" s="152">
        <f>D77+D88+D89-D72</f>
        <v>-2646.2009755423742</v>
      </c>
      <c r="D140" s="121"/>
      <c r="E140" s="121"/>
      <c r="F140" s="193" t="s">
        <v>563</v>
      </c>
      <c r="G140" s="121"/>
    </row>
    <row r="141" spans="1:8" x14ac:dyDescent="0.25">
      <c r="A141" s="5"/>
      <c r="B141" s="121" t="s">
        <v>562</v>
      </c>
      <c r="C141" s="287">
        <f>IFERROR(1-C135/D135,0)</f>
        <v>0.39637376701891824</v>
      </c>
      <c r="D141" s="283"/>
      <c r="E141" s="121"/>
      <c r="F141" s="193" t="str">
        <f>"Drop in Topkey's Year "&amp;$C$9&amp;" value (vs. base, "&amp;ADDRESS(ROW(D135),COLUMN(D135),4)&amp;") before Scenario 2 falls to Scenario 1; 100% = Topkey stock not needed"</f>
        <v>Drop in Topkey's Year 5 value (vs. base, D135) before Scenario 2 falls to Scenario 1; 100% = Topkey stock not needed</v>
      </c>
      <c r="G141" s="121"/>
    </row>
    <row r="142" spans="1:8" ht="3.95" customHeight="1" x14ac:dyDescent="0.25">
      <c r="A142" s="5"/>
      <c r="B142" s="121"/>
      <c r="C142" s="121"/>
      <c r="D142" s="121"/>
      <c r="E142" s="121"/>
      <c r="F142" s="193"/>
      <c r="G142" s="121"/>
    </row>
    <row r="143" spans="1:8" ht="14.25" customHeight="1" x14ac:dyDescent="0.25">
      <c r="A143" s="41"/>
      <c r="B143" s="29" t="str">
        <f>"Topkey Dilution Impact — Ben (Year "&amp;$C$9&amp;")"</f>
        <v>Topkey Dilution Impact — Ben (Year 5)</v>
      </c>
      <c r="C143" s="211" t="s">
        <v>426</v>
      </c>
      <c r="D143" s="211" t="s">
        <v>425</v>
      </c>
      <c r="E143" s="41"/>
      <c r="F143" s="41"/>
      <c r="G143" s="41"/>
      <c r="H143" s="41"/>
    </row>
    <row r="144" spans="1:8" ht="14.25" customHeight="1" x14ac:dyDescent="0.25">
      <c r="A144" s="41"/>
      <c r="B144" s="41" t="s">
        <v>391</v>
      </c>
      <c r="C144" s="202">
        <f>$C$181</f>
        <v>2.3596419853539462E-2</v>
      </c>
      <c r="D144" s="202">
        <f>$D$181</f>
        <v>2.2416598860862488E-2</v>
      </c>
      <c r="E144" s="41"/>
      <c r="F144" s="41"/>
      <c r="G144" s="41"/>
      <c r="H144" s="41"/>
    </row>
    <row r="145" spans="1:8" ht="14.25" customHeight="1" x14ac:dyDescent="0.25">
      <c r="A145" s="41"/>
      <c r="B145" s="41" t="s">
        <v>424</v>
      </c>
      <c r="C145" s="206">
        <f>$D$81*C144</f>
        <v>4462.9355885019932</v>
      </c>
      <c r="D145" s="206">
        <f>$D$81*D144</f>
        <v>4239.7888090768938</v>
      </c>
      <c r="E145" s="41"/>
      <c r="F145" s="41" t="str">
        <f>"Year "&amp;$C$9&amp;" combined Topkey EV ("&amp;ADDRESS(ROW(D81),COLUMN(D81),4)&amp;") × ownership %"</f>
        <v>Year 5 combined Topkey EV (D81) × ownership %</v>
      </c>
      <c r="G145" s="41"/>
      <c r="H145" s="41"/>
    </row>
    <row r="146" spans="1:8" ht="14.25" customHeight="1" x14ac:dyDescent="0.25">
      <c r="A146" s="41"/>
      <c r="B146" s="47" t="s">
        <v>561</v>
      </c>
      <c r="C146" s="169">
        <f>$D$77+$D$88+$D$89</f>
        <v>4844.0567231864434</v>
      </c>
      <c r="D146" s="169">
        <f>$D$77+$D$88+$D$89</f>
        <v>4844.0567231864434</v>
      </c>
      <c r="E146" s="41"/>
      <c r="F146" s="41" t="str">
        <f>"Unaffected by dilution ("&amp;ADDRESS(ROW(D77),COLUMN(D77),4)&amp;" + "&amp;ADDRESS(ROW(D88),COLUMN(D88),4)&amp;" + "&amp;ADDRESS(ROW(D89),COLUMN(D89),4)&amp;")"</f>
        <v>Unaffected by dilution (D77 + D88 + D89)</v>
      </c>
      <c r="G146" s="41"/>
      <c r="H146" s="41"/>
    </row>
    <row r="147" spans="1:8" ht="14.25" customHeight="1" x14ac:dyDescent="0.25">
      <c r="A147" s="41"/>
      <c r="B147" s="210" t="s">
        <v>422</v>
      </c>
      <c r="C147" s="209">
        <f>C145+C146</f>
        <v>9306.9923116884365</v>
      </c>
      <c r="D147" s="208">
        <f>D145+D146</f>
        <v>9083.8455322633381</v>
      </c>
      <c r="E147" s="41"/>
      <c r="F147" s="41"/>
      <c r="G147" s="41"/>
      <c r="H147" s="41"/>
    </row>
    <row r="148" spans="1:8" ht="14.25" customHeight="1" x14ac:dyDescent="0.25">
      <c r="A148" s="41"/>
      <c r="B148" s="47" t="s">
        <v>421</v>
      </c>
      <c r="C148" s="100">
        <f>$D$72</f>
        <v>7490.2576987288176</v>
      </c>
      <c r="D148" s="100">
        <f>$D$72</f>
        <v>7490.2576987288176</v>
      </c>
      <c r="E148" s="41"/>
      <c r="F148" s="41"/>
      <c r="G148" s="41"/>
      <c r="H148" s="41"/>
    </row>
    <row r="149" spans="1:8" ht="14.25" customHeight="1" x14ac:dyDescent="0.25">
      <c r="A149" s="41"/>
      <c r="B149" s="84" t="s">
        <v>420</v>
      </c>
      <c r="C149" s="207">
        <f>C147-C148</f>
        <v>1816.734612959619</v>
      </c>
      <c r="D149" s="207">
        <f>D147-D148</f>
        <v>1593.5878335345205</v>
      </c>
      <c r="E149" s="41"/>
      <c r="F149" s="41"/>
      <c r="G149" s="41"/>
      <c r="H149" s="41"/>
    </row>
    <row r="150" spans="1:8" ht="14.25" customHeight="1" x14ac:dyDescent="0.25">
      <c r="A150" s="41"/>
      <c r="B150" s="41" t="s">
        <v>419</v>
      </c>
      <c r="C150" s="41"/>
      <c r="D150" s="206">
        <f>D147-C147</f>
        <v>-223.14677942509843</v>
      </c>
      <c r="E150" s="41"/>
      <c r="F150" s="41" t="str">
        <f>"Year "&amp;$C$9&amp;" value Ben gives up at the estimated dilution ("&amp;ADDRESS(ROW(C8),COLUMN(C8),4)&amp;")"</f>
        <v>Year 5 value Ben gives up at the estimated dilution (C8)</v>
      </c>
      <c r="G150" s="41"/>
      <c r="H150" s="41"/>
    </row>
    <row r="151" spans="1:8" ht="14.25" customHeight="1" x14ac:dyDescent="0.25">
      <c r="A151" s="41"/>
      <c r="B151" s="41" t="s">
        <v>418</v>
      </c>
      <c r="C151" s="41"/>
      <c r="D151" s="159">
        <f>$C$139-$D$139</f>
        <v>0.35707166324338885</v>
      </c>
      <c r="E151" s="41"/>
      <c r="F151" s="41" t="str">
        <f>"Break-even total dilution ("&amp;ADDRESS(ROW(C139),COLUMN(C139),4)&amp;") less estimated dilution ("&amp;ADDRESS(ROW(C8),COLUMN(C8),4)&amp;")"</f>
        <v>Break-even total dilution (C139) less estimated dilution (C8)</v>
      </c>
      <c r="G151" s="41"/>
      <c r="H151" s="41"/>
    </row>
    <row r="152" spans="1:8" ht="14.25" customHeight="1" x14ac:dyDescent="0.25">
      <c r="B152" s="41" t="s">
        <v>417</v>
      </c>
      <c r="D152" s="186">
        <f>D147-$D$90</f>
        <v>0</v>
      </c>
      <c r="F152" s="41" t="s">
        <v>51</v>
      </c>
    </row>
    <row r="153" spans="1:8" ht="3.95" customHeight="1" x14ac:dyDescent="0.25">
      <c r="A153" s="41"/>
      <c r="B153" s="41"/>
      <c r="C153" s="41"/>
      <c r="D153" s="41"/>
      <c r="E153" s="41"/>
      <c r="F153" s="41"/>
      <c r="G153" s="41"/>
      <c r="H153" s="41"/>
    </row>
    <row r="154" spans="1:8" x14ac:dyDescent="0.25">
      <c r="A154" s="5"/>
      <c r="B154" s="10" t="s">
        <v>560</v>
      </c>
      <c r="C154" s="9" t="s">
        <v>415</v>
      </c>
      <c r="D154" s="9" t="str">
        <f>"Year "&amp;$C$9</f>
        <v>Year 5</v>
      </c>
      <c r="E154" s="121"/>
      <c r="F154" s="193"/>
      <c r="G154" s="121"/>
    </row>
    <row r="155" spans="1:8" ht="15" customHeight="1" x14ac:dyDescent="0.25">
      <c r="A155" s="5"/>
      <c r="B155" s="193" t="s">
        <v>478</v>
      </c>
      <c r="C155" s="286"/>
      <c r="D155" s="251">
        <f>D72</f>
        <v>7490.2576987288176</v>
      </c>
      <c r="E155" s="121"/>
      <c r="F155" s="193" t="str">
        <f>"Benchmark: Ben keeps 100% ("&amp;ADDRESS(ROW(D72),COLUMN(D72),4)&amp;")"</f>
        <v>Benchmark: Ben keeps 100% (D72)</v>
      </c>
      <c r="G155" s="121"/>
    </row>
    <row r="156" spans="1:8" ht="15" customHeight="1" x14ac:dyDescent="0.25">
      <c r="A156" s="5"/>
      <c r="B156" s="193" t="s">
        <v>559</v>
      </c>
      <c r="C156" s="286"/>
      <c r="D156" s="246">
        <f>D90</f>
        <v>9083.8455322633363</v>
      </c>
      <c r="E156" s="121"/>
      <c r="F156" s="193" t="str">
        <f>"Rollover at base-case inputs ("&amp;ADDRESS(ROW(D90),COLUMN(D90),4)&amp;")"</f>
        <v>Rollover at base-case inputs (D90)</v>
      </c>
      <c r="G156" s="121"/>
    </row>
    <row r="157" spans="1:8" ht="15" customHeight="1" x14ac:dyDescent="0.25">
      <c r="A157" s="5"/>
      <c r="B157" s="193" t="s">
        <v>558</v>
      </c>
      <c r="C157" s="285">
        <v>1.5</v>
      </c>
      <c r="D157" s="191">
        <f>($C$174+$C$175*$D$181)*(C40+C172)*C157+D79*$D$181+D88+D89</f>
        <v>7980.4884006214252</v>
      </c>
      <c r="E157" s="121"/>
      <c r="F157" s="193" t="s">
        <v>557</v>
      </c>
      <c r="G157" s="121"/>
    </row>
    <row r="158" spans="1:8" ht="15" customHeight="1" x14ac:dyDescent="0.25">
      <c r="A158" s="5"/>
      <c r="B158" s="193" t="s">
        <v>414</v>
      </c>
      <c r="C158" s="285">
        <v>12</v>
      </c>
      <c r="D158" s="191">
        <f>D77+((C11+C18)*C158-$C$177-$C$56+D80)*$D$181+D88+D89</f>
        <v>7576.3740920680557</v>
      </c>
      <c r="E158" s="121"/>
      <c r="F158" s="193" t="s">
        <v>556</v>
      </c>
      <c r="G158" s="121"/>
    </row>
    <row r="159" spans="1:8" ht="15" customHeight="1" x14ac:dyDescent="0.25">
      <c r="A159" s="5"/>
      <c r="B159" s="193" t="s">
        <v>412</v>
      </c>
      <c r="C159" s="200">
        <v>90</v>
      </c>
      <c r="D159" s="191">
        <f>D77+((C11+C159*C9*C15)*C13-$C$177-$C$56+D80)*$D$181+D88+D89</f>
        <v>8256.1557281699534</v>
      </c>
      <c r="E159" s="121"/>
      <c r="F159" s="193" t="s">
        <v>555</v>
      </c>
      <c r="G159" s="121"/>
    </row>
    <row r="160" spans="1:8" ht="15" customHeight="1" x14ac:dyDescent="0.25">
      <c r="A160" s="5"/>
      <c r="B160" s="193" t="s">
        <v>410</v>
      </c>
      <c r="C160" s="140">
        <v>0.15</v>
      </c>
      <c r="D160" s="191">
        <f>D77+D81*$C$181*(1-C160)+D88+D89</f>
        <v>8637.5519734131376</v>
      </c>
      <c r="E160" s="121"/>
      <c r="F160" s="193" t="s">
        <v>554</v>
      </c>
      <c r="G160" s="121"/>
    </row>
    <row r="161" spans="1:7" ht="15" customHeight="1" x14ac:dyDescent="0.25">
      <c r="A161" s="5"/>
      <c r="B161" s="274" t="s">
        <v>553</v>
      </c>
      <c r="C161" s="274"/>
      <c r="D161" s="273">
        <f>$C$174*(C40+C172)*C157+((C11+C159*C9*C15)*C158-$C$177-$C$56+$C$175*(C40+C172)*C157)*$C$181*(1-C160)+D88+D89</f>
        <v>5727.2879066418145</v>
      </c>
      <c r="E161" s="121"/>
      <c r="F161" s="193" t="s">
        <v>552</v>
      </c>
      <c r="G161" s="121"/>
    </row>
    <row r="162" spans="1:7" ht="15" customHeight="1" x14ac:dyDescent="0.25">
      <c r="A162" s="5"/>
      <c r="B162" s="245" t="s">
        <v>551</v>
      </c>
      <c r="C162" s="284"/>
      <c r="D162" s="272">
        <f>D161-D155</f>
        <v>-1762.969792087003</v>
      </c>
      <c r="E162" s="121"/>
      <c r="F162" s="193" t="s">
        <v>550</v>
      </c>
      <c r="G162" s="121"/>
    </row>
    <row r="163" spans="1:7" ht="3.95" customHeight="1" x14ac:dyDescent="0.25">
      <c r="A163" s="5"/>
      <c r="B163" s="121"/>
      <c r="C163" s="121"/>
      <c r="D163" s="121"/>
      <c r="E163" s="121"/>
      <c r="F163" s="193"/>
      <c r="G163" s="121"/>
    </row>
    <row r="164" spans="1:7" x14ac:dyDescent="0.25">
      <c r="A164" s="5"/>
      <c r="B164" s="10" t="s">
        <v>405</v>
      </c>
      <c r="C164" s="9" t="str">
        <f>C$171</f>
        <v>Today</v>
      </c>
      <c r="D164" s="9" t="str">
        <f>D$69</f>
        <v>Year 5</v>
      </c>
      <c r="E164" s="121"/>
      <c r="F164" s="193"/>
      <c r="G164" s="121"/>
    </row>
    <row r="165" spans="1:7" x14ac:dyDescent="0.25">
      <c r="A165" s="5"/>
      <c r="B165" s="121" t="s">
        <v>129</v>
      </c>
      <c r="C165" s="251">
        <f>C177</f>
        <v>650</v>
      </c>
      <c r="D165" s="168">
        <f>C177+C56</f>
        <v>650</v>
      </c>
      <c r="E165" s="121"/>
      <c r="F165" s="193" t="str">
        <f>"Today: cash at close. Year "&amp;$C$9&amp;": cash at close + Year "&amp;$C$44&amp;" earnout"</f>
        <v>Today: cash at close. Year 5: cash at close + Year 3 earnout</v>
      </c>
      <c r="G165" s="121"/>
    </row>
    <row r="166" spans="1:7" x14ac:dyDescent="0.25">
      <c r="A166" s="5"/>
      <c r="B166" s="121" t="s">
        <v>549</v>
      </c>
      <c r="C166" s="166">
        <f>IFERROR(C177/C176,0)</f>
        <v>0.30952380952380953</v>
      </c>
      <c r="D166" s="121"/>
      <c r="E166" s="121"/>
      <c r="F166" s="193"/>
      <c r="G166" s="121"/>
    </row>
    <row r="167" spans="1:7" ht="15" customHeight="1" x14ac:dyDescent="0.25">
      <c r="A167" s="5"/>
      <c r="B167" s="121" t="s">
        <v>548</v>
      </c>
      <c r="C167" s="141">
        <f>C174</f>
        <v>0.3</v>
      </c>
      <c r="D167" s="121"/>
      <c r="E167" s="121"/>
      <c r="F167" s="193" t="s">
        <v>547</v>
      </c>
      <c r="G167" s="121"/>
    </row>
    <row r="168" spans="1:7" x14ac:dyDescent="0.25">
      <c r="A168" s="5"/>
      <c r="B168" s="121" t="s">
        <v>391</v>
      </c>
      <c r="C168" s="283">
        <f>C181</f>
        <v>2.3596419853539462E-2</v>
      </c>
      <c r="D168" s="283">
        <f>D181</f>
        <v>2.2416598860862488E-2</v>
      </c>
      <c r="E168" s="121"/>
      <c r="F168" s="193"/>
      <c r="G168" s="121"/>
    </row>
    <row r="169" spans="1:7" x14ac:dyDescent="0.25">
      <c r="A169" s="5"/>
      <c r="B169" s="121" t="s">
        <v>401</v>
      </c>
      <c r="C169" s="166">
        <f>IFERROR((C77+C83)/C90,0)</f>
        <v>0.78333333333333333</v>
      </c>
      <c r="D169" s="166">
        <f>IFERROR((D77+D83)/D90,0)</f>
        <v>0.92844440191201227</v>
      </c>
      <c r="E169" s="121"/>
      <c r="F169" s="193" t="s">
        <v>546</v>
      </c>
      <c r="G169" s="121"/>
    </row>
    <row r="170" spans="1:7" ht="3.95" customHeight="1" x14ac:dyDescent="0.25">
      <c r="A170" s="5"/>
      <c r="B170" s="121"/>
      <c r="C170" s="121"/>
      <c r="D170" s="121"/>
      <c r="E170" s="121"/>
      <c r="F170" s="193"/>
      <c r="G170" s="121"/>
    </row>
    <row r="171" spans="1:7" x14ac:dyDescent="0.25">
      <c r="B171" s="10" t="s">
        <v>545</v>
      </c>
      <c r="C171" s="9" t="s">
        <v>398</v>
      </c>
      <c r="D171" s="9" t="str">
        <f>"Year "&amp;$C$9</f>
        <v>Year 5</v>
      </c>
      <c r="E171" s="121"/>
      <c r="F171" s="193"/>
      <c r="G171" s="121"/>
    </row>
    <row r="172" spans="1:7" x14ac:dyDescent="0.25">
      <c r="B172" s="121" t="s">
        <v>186</v>
      </c>
      <c r="C172" s="144">
        <f>'Offer Comparison'!$C$155</f>
        <v>2998.5410200000001</v>
      </c>
      <c r="D172" s="121"/>
      <c r="E172" s="121"/>
      <c r="F172" s="193" t="s">
        <v>397</v>
      </c>
      <c r="G172" s="121"/>
    </row>
    <row r="173" spans="1:7" x14ac:dyDescent="0.25">
      <c r="B173" s="121" t="s">
        <v>140</v>
      </c>
      <c r="C173" s="251">
        <f>C70</f>
        <v>3000</v>
      </c>
      <c r="D173" s="121"/>
      <c r="E173" s="121"/>
      <c r="F173" s="193" t="str">
        <f>"Linked to Scenario 1 Keystone EV today ("&amp;ADDRESS(ROW(C70),COLUMN(C70),4)&amp;"): PF run-rate revenue × initial multiple, rounded to $10K"</f>
        <v>Linked to Scenario 1 Keystone EV today (C70): PF run-rate revenue × initial multiple, rounded to $10K</v>
      </c>
      <c r="G173" s="121"/>
    </row>
    <row r="174" spans="1:7" x14ac:dyDescent="0.25">
      <c r="B174" s="121" t="s">
        <v>139</v>
      </c>
      <c r="C174" s="141">
        <f>C7</f>
        <v>0.3</v>
      </c>
      <c r="D174" s="121"/>
      <c r="E174" s="121"/>
      <c r="F174" s="193" t="str">
        <f>"Linked from rollover input ("&amp;ADDRESS(ROW(C7),COLUMN(C7),4)&amp;", set on Offer Comparison "&amp;ADDRESS(ROW('Offer Comparison'!C17),COLUMN('Offer Comparison'!C17),4)&amp;")"</f>
        <v>Linked from rollover input (C7, set on Offer Comparison C17)</v>
      </c>
      <c r="G174" s="121"/>
    </row>
    <row r="175" spans="1:7" x14ac:dyDescent="0.25">
      <c r="B175" s="121" t="s">
        <v>544</v>
      </c>
      <c r="C175" s="166">
        <f>1-C174</f>
        <v>0.7</v>
      </c>
      <c r="D175" s="121"/>
      <c r="E175" s="121"/>
      <c r="F175" s="193"/>
      <c r="G175" s="121"/>
    </row>
    <row r="176" spans="1:7" x14ac:dyDescent="0.25">
      <c r="B176" s="121" t="s">
        <v>543</v>
      </c>
      <c r="C176" s="152">
        <f>C173*C175</f>
        <v>2100</v>
      </c>
      <c r="D176" s="121"/>
      <c r="E176" s="121"/>
      <c r="F176" s="193" t="str">
        <f>"Topkey stake priced at the same "&amp;TEXT(C173/1000,"$#,##0.0")&amp;"M"&amp;" valuation for 100%"</f>
        <v>Topkey stake priced at the same $3.0M valuation for 100%</v>
      </c>
      <c r="G176" s="121"/>
    </row>
    <row r="177" spans="2:8" x14ac:dyDescent="0.25">
      <c r="B177" s="328" t="s">
        <v>129</v>
      </c>
      <c r="C177" s="143">
        <f>'Offer Comparison'!$C$154</f>
        <v>650</v>
      </c>
      <c r="D177" s="121"/>
      <c r="E177" s="121"/>
      <c r="F177" s="193" t="s">
        <v>542</v>
      </c>
      <c r="G177" s="121"/>
    </row>
    <row r="178" spans="2:8" x14ac:dyDescent="0.25">
      <c r="B178" s="121" t="s">
        <v>541</v>
      </c>
      <c r="C178" s="168">
        <f>C176-C177</f>
        <v>1450</v>
      </c>
      <c r="D178" s="121"/>
      <c r="E178" s="121"/>
      <c r="F178" s="193" t="s">
        <v>540</v>
      </c>
      <c r="G178" s="121"/>
    </row>
    <row r="179" spans="2:8" x14ac:dyDescent="0.25">
      <c r="B179" s="121" t="s">
        <v>261</v>
      </c>
      <c r="C179" s="135">
        <f>'Offer Comparison'!$C$9</f>
        <v>60000</v>
      </c>
      <c r="D179" s="121"/>
      <c r="E179" s="121"/>
      <c r="F179" s="193" t="str">
        <f>"Linked to Offer Comparison ("&amp;ADDRESS(ROW('Offer Comparison'!C9),COLUMN('Offer Comparison'!C9),4)&amp;"); single Topkey valuation input"</f>
        <v>Linked to Offer Comparison (C9); single Topkey valuation input</v>
      </c>
      <c r="G179" s="121"/>
    </row>
    <row r="180" spans="2:8" x14ac:dyDescent="0.25">
      <c r="B180" s="121" t="s">
        <v>393</v>
      </c>
      <c r="C180" s="168">
        <f>C179+C176-C177</f>
        <v>61450</v>
      </c>
      <c r="D180" s="121"/>
      <c r="E180" s="121"/>
      <c r="F180" s="193" t="s">
        <v>539</v>
      </c>
      <c r="G180" s="121"/>
    </row>
    <row r="181" spans="2:8" x14ac:dyDescent="0.25">
      <c r="B181" s="121" t="s">
        <v>391</v>
      </c>
      <c r="C181" s="157">
        <f>IFERROR(C178/C180,0)</f>
        <v>2.3596419853539462E-2</v>
      </c>
      <c r="D181" s="157">
        <f>C181*(1-$C$8)</f>
        <v>2.2416598860862488E-2</v>
      </c>
      <c r="E181" s="121"/>
      <c r="F181" s="5" t="str">
        <f>"Year "&amp;$C$9&amp;" = Today % × (1 − est. dilution, "&amp;ADDRESS(ROW(C8),COLUMN(C8),4)&amp;")"</f>
        <v>Year 5 = Today % × (1 − est. dilution, C8)</v>
      </c>
      <c r="G181" s="121"/>
      <c r="H181" s="5"/>
    </row>
    <row r="182" spans="2:8" x14ac:dyDescent="0.25">
      <c r="B182" s="121" t="s">
        <v>390</v>
      </c>
      <c r="C182" s="168">
        <f>C179-C177</f>
        <v>59350</v>
      </c>
      <c r="D182" s="121"/>
      <c r="E182" s="121"/>
      <c r="F182" s="193" t="s">
        <v>389</v>
      </c>
      <c r="G182" s="121"/>
      <c r="H182" s="5"/>
    </row>
    <row r="183" spans="2:8" x14ac:dyDescent="0.25">
      <c r="B183" s="121" t="s">
        <v>538</v>
      </c>
      <c r="C183" s="168">
        <f>C81-C180</f>
        <v>0</v>
      </c>
      <c r="D183" s="121"/>
      <c r="E183" s="121"/>
      <c r="F183" s="193" t="s">
        <v>51</v>
      </c>
      <c r="G183" s="121"/>
    </row>
    <row r="184" spans="2:8" x14ac:dyDescent="0.25">
      <c r="B184" s="121" t="s">
        <v>537</v>
      </c>
      <c r="C184" s="168">
        <f>C83-C178</f>
        <v>0</v>
      </c>
      <c r="D184" s="121"/>
      <c r="E184" s="121"/>
      <c r="F184" s="193" t="s">
        <v>51</v>
      </c>
      <c r="G184" s="121"/>
    </row>
    <row r="185" spans="2:8" x14ac:dyDescent="0.25">
      <c r="B185" s="121" t="s">
        <v>536</v>
      </c>
      <c r="C185" s="168">
        <f>C90-C173</f>
        <v>0</v>
      </c>
      <c r="D185" s="121"/>
      <c r="E185" s="121"/>
      <c r="F185" s="193" t="s">
        <v>51</v>
      </c>
      <c r="G185" s="121"/>
    </row>
    <row r="186" spans="2:8" x14ac:dyDescent="0.25">
      <c r="B186" s="121"/>
      <c r="C186" s="121"/>
      <c r="D186" s="121"/>
      <c r="E186" s="121"/>
      <c r="F186" s="193"/>
      <c r="G186" s="121"/>
    </row>
    <row r="187" spans="2:8" x14ac:dyDescent="0.25">
      <c r="B187" s="10" t="s">
        <v>386</v>
      </c>
      <c r="C187" s="9" t="s">
        <v>192</v>
      </c>
      <c r="D187" s="9"/>
      <c r="E187" s="121"/>
      <c r="F187" s="193"/>
      <c r="G187" s="121"/>
    </row>
    <row r="188" spans="2:8" x14ac:dyDescent="0.25">
      <c r="B188" s="121" t="s">
        <v>181</v>
      </c>
      <c r="C188" s="143">
        <f>'Offer Comparison'!$C$159</f>
        <v>151</v>
      </c>
      <c r="D188" s="121"/>
      <c r="E188" s="121"/>
      <c r="F188" s="193" t="s">
        <v>385</v>
      </c>
      <c r="G188" s="121"/>
    </row>
    <row r="189" spans="2:8" x14ac:dyDescent="0.25">
      <c r="B189" s="282" t="s">
        <v>179</v>
      </c>
      <c r="C189" s="143">
        <f>'Offer Comparison'!$C$160</f>
        <v>83</v>
      </c>
      <c r="D189" s="121"/>
      <c r="E189" s="121"/>
      <c r="F189" s="193"/>
      <c r="G189" s="121"/>
    </row>
    <row r="190" spans="2:8" x14ac:dyDescent="0.25">
      <c r="B190" s="282" t="s">
        <v>177</v>
      </c>
      <c r="C190" s="143">
        <f>'Offer Comparison'!$C$161</f>
        <v>-57</v>
      </c>
      <c r="D190" s="121"/>
      <c r="E190" s="121"/>
      <c r="F190" s="193"/>
      <c r="G190" s="121"/>
    </row>
    <row r="191" spans="2:8" x14ac:dyDescent="0.25">
      <c r="B191" s="281" t="s">
        <v>384</v>
      </c>
      <c r="C191" s="280">
        <f>SUM(C188:C190)</f>
        <v>177</v>
      </c>
      <c r="D191" s="148"/>
      <c r="E191" s="121"/>
      <c r="F191" s="193" t="s">
        <v>383</v>
      </c>
      <c r="G191" s="121"/>
    </row>
    <row r="192" spans="2:8" x14ac:dyDescent="0.25">
      <c r="B192" s="279" t="s">
        <v>382</v>
      </c>
      <c r="C192" s="278">
        <f>C191-C188</f>
        <v>26</v>
      </c>
      <c r="D192" s="148"/>
      <c r="E192" s="121"/>
      <c r="F192" s="193" t="s">
        <v>381</v>
      </c>
      <c r="G192" s="121"/>
    </row>
    <row r="193" spans="2:7" x14ac:dyDescent="0.25">
      <c r="B193" s="121"/>
      <c r="C193" s="121"/>
      <c r="D193" s="121"/>
      <c r="E193" s="121"/>
      <c r="F193" s="121"/>
      <c r="G193" s="121"/>
    </row>
    <row r="194" spans="2:7" x14ac:dyDescent="0.25">
      <c r="B194" s="107" t="s">
        <v>535</v>
      </c>
      <c r="C194" s="107"/>
      <c r="D194" s="5"/>
      <c r="E194" s="5"/>
      <c r="F194" s="193"/>
      <c r="G194" s="121"/>
    </row>
    <row r="195" spans="2:7" x14ac:dyDescent="0.25">
      <c r="B195" s="193" t="s">
        <v>534</v>
      </c>
      <c r="C195" s="277">
        <f>C32/'Offer Comparison'!$C$162</f>
        <v>1.4634146341463414</v>
      </c>
      <c r="D195" s="193"/>
      <c r="E195" s="5"/>
      <c r="F195" s="193" t="s">
        <v>533</v>
      </c>
      <c r="G195" s="121"/>
    </row>
    <row r="196" spans="2:7" x14ac:dyDescent="0.25">
      <c r="B196" s="247" t="s">
        <v>532</v>
      </c>
      <c r="C196" s="140">
        <v>0.5</v>
      </c>
      <c r="D196" s="193"/>
      <c r="E196" s="5"/>
      <c r="F196" s="193" t="str">
        <f>"Base case "&amp;TEXT(C196,"0%")&amp;". Test 100% (same fee as VR) or 0% (hosting cost only). Pending negotiation"</f>
        <v>Base case 50%. Test 100% (same fee as VR) or 0% (hosting cost only). Pending negotiation</v>
      </c>
      <c r="G196" s="121"/>
    </row>
    <row r="197" spans="2:7" x14ac:dyDescent="0.25">
      <c r="B197" s="193" t="s">
        <v>531</v>
      </c>
      <c r="C197" s="276">
        <v>0</v>
      </c>
      <c r="D197" s="193"/>
      <c r="E197" s="5"/>
      <c r="F197" s="193" t="s">
        <v>530</v>
      </c>
      <c r="G197" s="121"/>
    </row>
    <row r="198" spans="2:7" x14ac:dyDescent="0.25">
      <c r="B198" s="193" t="s">
        <v>529</v>
      </c>
      <c r="C198" s="275">
        <f>MAX(C195*C196,C197)</f>
        <v>0.73170731707317072</v>
      </c>
      <c r="D198" s="193"/>
      <c r="E198" s="5"/>
      <c r="F198" s="193" t="s">
        <v>528</v>
      </c>
      <c r="G198" s="121"/>
    </row>
    <row r="199" spans="2:7" x14ac:dyDescent="0.25">
      <c r="B199" s="193" t="s">
        <v>527</v>
      </c>
      <c r="C199" s="275">
        <f>C195-C198</f>
        <v>0.73170731707317072</v>
      </c>
      <c r="D199" s="193"/>
      <c r="E199" s="5"/>
      <c r="F199" s="193" t="s">
        <v>526</v>
      </c>
      <c r="G199" s="121"/>
    </row>
    <row r="200" spans="2:7" x14ac:dyDescent="0.25">
      <c r="B200" s="193" t="s">
        <v>525</v>
      </c>
      <c r="C200" s="191">
        <f>C191+C39</f>
        <v>417</v>
      </c>
      <c r="D200" s="193"/>
      <c r="E200" s="5"/>
      <c r="F200" s="193" t="str">
        <f>"Sep'26 core client count ("&amp;ADDRESS(ROW(C191),COLUMN(C191),4)&amp;") + partnership total net client wins ("&amp;ADDRESS(ROW(C39),COLUMN(C39),4)&amp;")"</f>
        <v>Sep'26 core client count (C191) + partnership total net client wins (C39)</v>
      </c>
      <c r="G200" s="121"/>
    </row>
    <row r="201" spans="2:7" x14ac:dyDescent="0.25">
      <c r="B201" s="193" t="s">
        <v>524</v>
      </c>
      <c r="C201" s="191">
        <f>C198*C200</f>
        <v>305.1219512195122</v>
      </c>
      <c r="D201" s="193"/>
      <c r="E201" s="5"/>
      <c r="F201" s="193" t="s">
        <v>523</v>
      </c>
      <c r="G201" s="121"/>
    </row>
    <row r="202" spans="2:7" x14ac:dyDescent="0.25">
      <c r="B202" s="274" t="s">
        <v>522</v>
      </c>
      <c r="C202" s="273">
        <f>C199*C200</f>
        <v>305.1219512195122</v>
      </c>
      <c r="D202" s="271"/>
      <c r="E202" s="5"/>
      <c r="F202" s="193" t="str">
        <f>"Year "&amp;$C$9&amp;" cost savings vs. VR; memo only — not included in Ben's return calculations"</f>
        <v>Year 5 cost savings vs. VR; memo only — not included in Ben's return calculations</v>
      </c>
      <c r="G202" s="121"/>
    </row>
    <row r="203" spans="2:7" x14ac:dyDescent="0.25">
      <c r="B203" s="193" t="s">
        <v>521</v>
      </c>
      <c r="C203" s="199">
        <f>IFERROR(C202/C119,0)</f>
        <v>4.3650618676567894E-2</v>
      </c>
      <c r="D203" s="193"/>
      <c r="E203" s="5"/>
      <c r="F203" s="193" t="str">
        <f>"Savings ÷ Year "&amp;$C$9&amp;" partnership revenue ("&amp;ADDRESS(ROW(C119),COLUMN(C119),4)&amp;")"</f>
        <v>Savings ÷ Year 5 partnership revenue (C119)</v>
      </c>
      <c r="G203" s="121"/>
    </row>
    <row r="204" spans="2:7" x14ac:dyDescent="0.25">
      <c r="B204" s="245" t="s">
        <v>520</v>
      </c>
      <c r="C204" s="272">
        <f>C202*($C$174+$C$175*$D$181)</f>
        <v>96.324442834745682</v>
      </c>
      <c r="D204" s="271"/>
      <c r="E204" s="5"/>
      <c r="F204" s="193" t="s">
        <v>519</v>
      </c>
      <c r="G204" s="121"/>
    </row>
    <row r="205" spans="2:7" ht="15" customHeight="1" x14ac:dyDescent="0.25">
      <c r="B205" s="121"/>
      <c r="C205" s="121"/>
      <c r="D205" s="121"/>
      <c r="E205" s="121"/>
      <c r="F205" s="121"/>
      <c r="G205" s="121"/>
    </row>
    <row r="206" spans="2:7" ht="15" customHeight="1" x14ac:dyDescent="0.25">
      <c r="B206" s="10" t="s">
        <v>518</v>
      </c>
      <c r="C206" s="9" t="s">
        <v>378</v>
      </c>
      <c r="D206" s="9" t="s">
        <v>377</v>
      </c>
      <c r="E206" s="5"/>
      <c r="F206" s="193"/>
      <c r="G206" s="121"/>
    </row>
    <row r="207" spans="2:7" ht="15" customHeight="1" x14ac:dyDescent="0.25">
      <c r="B207" s="193" t="str">
        <f t="shared" ref="B207:B212" si="1">"Year "&amp;C207</f>
        <v>Year 0</v>
      </c>
      <c r="C207" s="195">
        <v>0</v>
      </c>
      <c r="D207" s="194">
        <f t="shared" ref="D207:D212" si="2">-IF(C207=0,$C$101+$C$102,0)-IF(C207=$C$44,$C$103,0)+IF(C207=$C$9,$C$107,0)</f>
        <v>-2100</v>
      </c>
      <c r="E207" s="5"/>
      <c r="F207" s="193" t="str">
        <f>"Topkey cash flows: Year 0 = cash + stock issued; earnout in the measurement year ("&amp;ADDRESS(ROW(C44),COLUMN(C44),4)&amp;"); Year "&amp;$C$9&amp;" = stake value ("&amp;ADDRESS(ROW(C107),COLUMN(C107),4)&amp;"), not a cash exit"</f>
        <v>Topkey cash flows: Year 0 = cash + stock issued; earnout in the measurement year (C44); Year 5 = stake value (C107), not a cash exit</v>
      </c>
      <c r="G207" s="121"/>
    </row>
    <row r="208" spans="2:7" ht="15" customHeight="1" x14ac:dyDescent="0.25">
      <c r="B208" s="193" t="str">
        <f t="shared" si="1"/>
        <v>Year 1</v>
      </c>
      <c r="C208" s="192">
        <f>C207+1</f>
        <v>1</v>
      </c>
      <c r="D208" s="191">
        <f t="shared" si="2"/>
        <v>0</v>
      </c>
      <c r="E208" s="5"/>
      <c r="F208" s="193"/>
      <c r="G208" s="121"/>
    </row>
    <row r="209" spans="2:7" ht="15" customHeight="1" x14ac:dyDescent="0.25">
      <c r="B209" s="193" t="str">
        <f t="shared" si="1"/>
        <v>Year 2</v>
      </c>
      <c r="C209" s="192">
        <f>C208+1</f>
        <v>2</v>
      </c>
      <c r="D209" s="191">
        <f t="shared" si="2"/>
        <v>0</v>
      </c>
      <c r="E209" s="5"/>
      <c r="F209" s="193"/>
      <c r="G209" s="121"/>
    </row>
    <row r="210" spans="2:7" ht="15" customHeight="1" x14ac:dyDescent="0.25">
      <c r="B210" s="193" t="str">
        <f t="shared" si="1"/>
        <v>Year 3</v>
      </c>
      <c r="C210" s="192">
        <f>C209+1</f>
        <v>3</v>
      </c>
      <c r="D210" s="191">
        <f t="shared" si="2"/>
        <v>0</v>
      </c>
      <c r="E210" s="5"/>
      <c r="F210" s="193"/>
      <c r="G210" s="121"/>
    </row>
    <row r="211" spans="2:7" ht="15" customHeight="1" x14ac:dyDescent="0.25">
      <c r="B211" s="193" t="str">
        <f t="shared" si="1"/>
        <v>Year 4</v>
      </c>
      <c r="C211" s="192">
        <f>C210+1</f>
        <v>4</v>
      </c>
      <c r="D211" s="191">
        <f t="shared" si="2"/>
        <v>0</v>
      </c>
      <c r="E211" s="5"/>
      <c r="F211" s="193"/>
      <c r="G211" s="121"/>
    </row>
    <row r="212" spans="2:7" ht="15" customHeight="1" x14ac:dyDescent="0.25">
      <c r="B212" s="193" t="str">
        <f t="shared" si="1"/>
        <v>Year 5</v>
      </c>
      <c r="C212" s="192">
        <f>C211+1</f>
        <v>5</v>
      </c>
      <c r="D212" s="191">
        <f t="shared" si="2"/>
        <v>9786.1323541017009</v>
      </c>
      <c r="E212" s="5"/>
      <c r="F212" s="193"/>
      <c r="G212" s="121"/>
    </row>
    <row r="213" spans="2:7" x14ac:dyDescent="0.25">
      <c r="B213" s="121"/>
      <c r="C213" s="121"/>
      <c r="D213" s="121"/>
      <c r="E213" s="121"/>
      <c r="F213" s="121"/>
      <c r="G213" s="121"/>
    </row>
    <row r="214" spans="2:7" ht="15" customHeight="1" x14ac:dyDescent="0.25">
      <c r="B214" s="10" t="s">
        <v>379</v>
      </c>
      <c r="C214" s="9" t="s">
        <v>378</v>
      </c>
      <c r="D214" s="9" t="s">
        <v>377</v>
      </c>
      <c r="E214" s="121"/>
      <c r="F214" s="121"/>
      <c r="G214" s="121"/>
    </row>
    <row r="215" spans="2:7" ht="15" customHeight="1" x14ac:dyDescent="0.25">
      <c r="B215" s="193" t="str">
        <f t="shared" ref="B215:B220" si="3">"Year "&amp;C215</f>
        <v>Year 0</v>
      </c>
      <c r="C215" s="195">
        <v>0</v>
      </c>
      <c r="D215" s="194">
        <f t="shared" ref="D215:D220" si="4">IF(C215=0,$C$177-$C$173,0)+IF(C215=$C$44,$C$56,0)+IF(C215=$C$9,$D$77+$D$83,0)</f>
        <v>-2350</v>
      </c>
      <c r="E215" s="121"/>
      <c r="F215" s="41" t="str">
        <f>"Ben's cash flows: Year 0 = cash at close ("&amp;ADDRESS(ROW(C177),COLUMN(C177),4)&amp;") less Keystone value given up ("&amp;ADDRESS(ROW(C173),COLUMN(C173),4)&amp;"); earnout in the measurement year ("&amp;ADDRESS(ROW(C44),COLUMN(C44),4)&amp;"); Year "&amp;$C$9&amp;" = retained Keystone stake ("&amp;ADDRESS(ROW(D77),COLUMN(D77),4)&amp;") + Topkey stock ("&amp;ADDRESS(ROW(D83),COLUMN(D83),4)&amp;")"</f>
        <v>Ben's cash flows: Year 0 = cash at close (C177) less Keystone value given up (C173); earnout in the measurement year (C44); Year 5 = retained Keystone stake (D77) + Topkey stock (D83)</v>
      </c>
      <c r="G215" s="121"/>
    </row>
    <row r="216" spans="2:7" ht="15" customHeight="1" x14ac:dyDescent="0.25">
      <c r="B216" s="193" t="str">
        <f t="shared" si="3"/>
        <v>Year 1</v>
      </c>
      <c r="C216" s="192">
        <f>C215+1</f>
        <v>1</v>
      </c>
      <c r="D216" s="191">
        <f t="shared" si="4"/>
        <v>0</v>
      </c>
      <c r="E216" s="121"/>
      <c r="F216" s="121"/>
      <c r="G216" s="121"/>
    </row>
    <row r="217" spans="2:7" ht="15" customHeight="1" x14ac:dyDescent="0.25">
      <c r="B217" s="193" t="str">
        <f t="shared" si="3"/>
        <v>Year 2</v>
      </c>
      <c r="C217" s="192">
        <f>C216+1</f>
        <v>2</v>
      </c>
      <c r="D217" s="191">
        <f t="shared" si="4"/>
        <v>0</v>
      </c>
      <c r="E217" s="121"/>
      <c r="F217" s="121"/>
      <c r="G217" s="121"/>
    </row>
    <row r="218" spans="2:7" ht="15" customHeight="1" x14ac:dyDescent="0.25">
      <c r="B218" s="193" t="str">
        <f t="shared" si="3"/>
        <v>Year 3</v>
      </c>
      <c r="C218" s="192">
        <f>C217+1</f>
        <v>3</v>
      </c>
      <c r="D218" s="191">
        <f t="shared" si="4"/>
        <v>0</v>
      </c>
      <c r="E218" s="121"/>
      <c r="F218" s="121"/>
      <c r="G218" s="121"/>
    </row>
    <row r="219" spans="2:7" ht="15" customHeight="1" x14ac:dyDescent="0.25">
      <c r="B219" s="193" t="str">
        <f t="shared" si="3"/>
        <v>Year 4</v>
      </c>
      <c r="C219" s="192">
        <f>C218+1</f>
        <v>4</v>
      </c>
      <c r="D219" s="191">
        <f t="shared" si="4"/>
        <v>0</v>
      </c>
      <c r="E219" s="121"/>
      <c r="F219" s="121"/>
      <c r="G219" s="121"/>
    </row>
    <row r="220" spans="2:7" ht="15" customHeight="1" x14ac:dyDescent="0.25">
      <c r="B220" s="193" t="str">
        <f t="shared" si="3"/>
        <v>Year 5</v>
      </c>
      <c r="C220" s="192">
        <f>C219+1</f>
        <v>5</v>
      </c>
      <c r="D220" s="191">
        <f t="shared" si="4"/>
        <v>8433.8455322633381</v>
      </c>
      <c r="E220" s="121"/>
      <c r="F220" s="121"/>
      <c r="G220" s="121"/>
    </row>
    <row r="221" spans="2:7" x14ac:dyDescent="0.25">
      <c r="B221" s="121"/>
      <c r="C221" s="121"/>
      <c r="D221" s="121"/>
      <c r="E221" s="121"/>
      <c r="F221" s="121"/>
      <c r="G221" s="121"/>
    </row>
    <row r="222" spans="2:7" x14ac:dyDescent="0.25">
      <c r="B222" s="121"/>
      <c r="C222" s="121"/>
      <c r="D222" s="121"/>
      <c r="E222" s="121"/>
      <c r="F222" s="121"/>
      <c r="G222" s="121"/>
    </row>
    <row r="223" spans="2:7" x14ac:dyDescent="0.25">
      <c r="B223" s="121"/>
      <c r="C223" s="121"/>
      <c r="D223" s="121"/>
      <c r="E223" s="121"/>
      <c r="F223" s="121"/>
      <c r="G223" s="121"/>
    </row>
    <row r="224" spans="2:7" x14ac:dyDescent="0.25">
      <c r="B224" s="121"/>
      <c r="C224" s="121"/>
      <c r="D224" s="121"/>
      <c r="E224" s="121"/>
      <c r="F224" s="121"/>
      <c r="G224" s="121"/>
    </row>
    <row r="225" spans="2:7" x14ac:dyDescent="0.25">
      <c r="B225" s="121"/>
      <c r="C225" s="121"/>
      <c r="D225" s="121"/>
      <c r="E225" s="121"/>
      <c r="F225" s="121"/>
      <c r="G225" s="121"/>
    </row>
    <row r="226" spans="2:7" x14ac:dyDescent="0.25">
      <c r="B226" s="121"/>
      <c r="C226" s="121"/>
      <c r="D226" s="121"/>
      <c r="E226" s="121"/>
      <c r="F226" s="121"/>
      <c r="G226" s="121"/>
    </row>
    <row r="227" spans="2:7" x14ac:dyDescent="0.25">
      <c r="B227" s="121"/>
      <c r="C227" s="121"/>
      <c r="D227" s="121"/>
      <c r="E227" s="121"/>
      <c r="F227" s="121"/>
      <c r="G227" s="121"/>
    </row>
    <row r="228" spans="2:7" x14ac:dyDescent="0.25">
      <c r="B228" s="121"/>
      <c r="C228" s="121"/>
      <c r="D228" s="121"/>
      <c r="E228" s="121"/>
      <c r="F228" s="121"/>
      <c r="G228" s="121"/>
    </row>
    <row r="229" spans="2:7" x14ac:dyDescent="0.25">
      <c r="B229" s="121"/>
      <c r="C229" s="121"/>
      <c r="D229" s="121"/>
      <c r="E229" s="121"/>
      <c r="F229" s="121"/>
      <c r="G229" s="121"/>
    </row>
    <row r="230" spans="2:7" x14ac:dyDescent="0.25">
      <c r="B230" s="121"/>
      <c r="C230" s="121"/>
      <c r="D230" s="121"/>
      <c r="E230" s="121"/>
      <c r="F230" s="121"/>
      <c r="G230" s="121"/>
    </row>
    <row r="231" spans="2:7" x14ac:dyDescent="0.25">
      <c r="B231" s="121"/>
      <c r="C231" s="121"/>
      <c r="D231" s="121"/>
      <c r="E231" s="121"/>
      <c r="F231" s="121"/>
      <c r="G231" s="121"/>
    </row>
    <row r="232" spans="2:7" x14ac:dyDescent="0.25">
      <c r="B232" s="121"/>
      <c r="C232" s="121"/>
      <c r="D232" s="121"/>
      <c r="E232" s="121"/>
      <c r="F232" s="121"/>
      <c r="G232" s="121"/>
    </row>
    <row r="233" spans="2:7" x14ac:dyDescent="0.25">
      <c r="B233" s="121"/>
      <c r="C233" s="121"/>
      <c r="D233" s="121"/>
      <c r="E233" s="121"/>
      <c r="F233" s="121"/>
      <c r="G233" s="121"/>
    </row>
    <row r="234" spans="2:7" x14ac:dyDescent="0.25">
      <c r="B234" s="121"/>
      <c r="C234" s="121"/>
      <c r="D234" s="121"/>
      <c r="E234" s="121"/>
      <c r="F234" s="121"/>
      <c r="G234" s="121"/>
    </row>
    <row r="235" spans="2:7" x14ac:dyDescent="0.25">
      <c r="B235" s="121"/>
      <c r="C235" s="121"/>
      <c r="D235" s="121"/>
      <c r="E235" s="121"/>
      <c r="F235" s="121"/>
      <c r="G235" s="121"/>
    </row>
    <row r="236" spans="2:7" x14ac:dyDescent="0.25">
      <c r="B236" s="121"/>
      <c r="C236" s="121"/>
      <c r="D236" s="121"/>
      <c r="E236" s="121"/>
      <c r="F236" s="121"/>
      <c r="G236" s="121"/>
    </row>
    <row r="237" spans="2:7" x14ac:dyDescent="0.25">
      <c r="B237" s="121"/>
      <c r="C237" s="121"/>
      <c r="D237" s="121"/>
      <c r="E237" s="121"/>
      <c r="F237" s="121"/>
      <c r="G237" s="121"/>
    </row>
    <row r="238" spans="2:7" x14ac:dyDescent="0.25">
      <c r="B238" s="121"/>
      <c r="C238" s="121"/>
      <c r="D238" s="121"/>
      <c r="E238" s="121"/>
      <c r="F238" s="121"/>
      <c r="G238" s="121"/>
    </row>
    <row r="239" spans="2:7" x14ac:dyDescent="0.25">
      <c r="B239" s="121"/>
      <c r="C239" s="121"/>
      <c r="D239" s="121"/>
      <c r="E239" s="121"/>
      <c r="F239" s="121"/>
      <c r="G239" s="121"/>
    </row>
    <row r="240" spans="2:7" x14ac:dyDescent="0.25">
      <c r="B240" s="121"/>
      <c r="C240" s="121"/>
      <c r="D240" s="121"/>
      <c r="E240" s="121"/>
      <c r="F240" s="121"/>
      <c r="G240" s="121"/>
    </row>
    <row r="241" spans="2:7" x14ac:dyDescent="0.25">
      <c r="B241" s="121"/>
      <c r="C241" s="121"/>
      <c r="D241" s="121"/>
      <c r="E241" s="121"/>
      <c r="F241" s="121"/>
      <c r="G241" s="121"/>
    </row>
    <row r="242" spans="2:7" x14ac:dyDescent="0.25">
      <c r="B242" s="121"/>
      <c r="C242" s="121"/>
      <c r="D242" s="121"/>
      <c r="E242" s="121"/>
      <c r="F242" s="121"/>
      <c r="G242" s="121"/>
    </row>
    <row r="243" spans="2:7" x14ac:dyDescent="0.25">
      <c r="B243" s="121"/>
      <c r="C243" s="121"/>
      <c r="D243" s="121"/>
      <c r="E243" s="121"/>
      <c r="F243" s="121"/>
      <c r="G243" s="121"/>
    </row>
    <row r="244" spans="2:7" x14ac:dyDescent="0.25">
      <c r="B244" s="121"/>
      <c r="C244" s="121"/>
      <c r="D244" s="121"/>
      <c r="E244" s="121"/>
      <c r="F244" s="121"/>
      <c r="G244" s="121"/>
    </row>
    <row r="245" spans="2:7" x14ac:dyDescent="0.25">
      <c r="B245" s="121"/>
      <c r="C245" s="121"/>
      <c r="D245" s="121"/>
      <c r="E245" s="121"/>
      <c r="F245" s="121"/>
      <c r="G245" s="121"/>
    </row>
    <row r="246" spans="2:7" x14ac:dyDescent="0.25">
      <c r="B246" s="121"/>
      <c r="C246" s="121"/>
      <c r="D246" s="121"/>
      <c r="E246" s="121"/>
      <c r="F246" s="121"/>
      <c r="G246" s="121"/>
    </row>
    <row r="247" spans="2:7" x14ac:dyDescent="0.25">
      <c r="B247" s="121"/>
      <c r="C247" s="121"/>
      <c r="D247" s="121"/>
      <c r="E247" s="121"/>
      <c r="F247" s="121"/>
      <c r="G247" s="121"/>
    </row>
  </sheetData>
  <conditionalFormatting sqref="B6:D60 B62:D68 B70:D73 B75:D91 B93:D99 B101:D110 B112:D117 B119:D124 B126:D132 B134:D142 B144:D153 B155:D163 B165:D170">
    <cfRule type="expression" dxfId="14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68" max="16383" man="1"/>
    <brk id="153" min="1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F9A0-2EDA-4931-A3E1-4188688212AD}">
  <sheetPr>
    <pageSetUpPr fitToPage="1"/>
  </sheetPr>
  <dimension ref="A1:DE468"/>
  <sheetViews>
    <sheetView showGridLines="0" view="pageBreakPreview" zoomScaleNormal="100" zoomScaleSheetLayoutView="100" workbookViewId="0"/>
  </sheetViews>
  <sheetFormatPr defaultRowHeight="15" outlineLevelRow="1" x14ac:dyDescent="0.25"/>
  <cols>
    <col min="1" max="1" width="1.7109375" customWidth="1"/>
    <col min="2" max="2" width="9" customWidth="1"/>
    <col min="3" max="12" width="8.7109375" customWidth="1"/>
    <col min="13" max="13" width="3.140625" customWidth="1"/>
    <col min="14" max="14" width="16.85546875" customWidth="1"/>
    <col min="15" max="15" width="18.140625" customWidth="1"/>
    <col min="16" max="16" width="24.5703125" customWidth="1"/>
    <col min="17" max="17" width="29.42578125" customWidth="1"/>
    <col min="18" max="18" width="23.7109375" customWidth="1"/>
    <col min="26" max="34" width="8.7109375" customWidth="1"/>
    <col min="35" max="35" width="1.7109375" customWidth="1"/>
    <col min="36" max="44" width="8.7109375" customWidth="1"/>
  </cols>
  <sheetData>
    <row r="1" spans="1:54" x14ac:dyDescent="0.2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1:54" ht="16.5" x14ac:dyDescent="0.25">
      <c r="A2" s="121"/>
      <c r="B2" s="190" t="str">
        <f>Cover!$B$24</f>
        <v>Keystone Bookkeepers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1:54" x14ac:dyDescent="0.25">
      <c r="A3" s="121"/>
      <c r="B3" s="189" t="s">
        <v>376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41"/>
      <c r="N3" s="121" t="s">
        <v>172</v>
      </c>
      <c r="O3" s="188">
        <v>1</v>
      </c>
      <c r="P3" s="121"/>
      <c r="Q3" s="121"/>
    </row>
    <row r="4" spans="1:54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54" x14ac:dyDescent="0.25">
      <c r="A5" s="121"/>
      <c r="B5" s="178" t="s">
        <v>375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21"/>
      <c r="N5" s="121"/>
      <c r="O5" s="121"/>
      <c r="P5" s="121"/>
      <c r="Q5" s="121"/>
    </row>
    <row r="6" spans="1:54" x14ac:dyDescent="0.25">
      <c r="A6" s="121"/>
      <c r="B6" s="164" t="s">
        <v>374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54" ht="2.1" customHeight="1" x14ac:dyDescent="0.25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54" ht="12.75" customHeight="1" x14ac:dyDescent="0.25">
      <c r="A8" s="121"/>
      <c r="B8" s="10"/>
      <c r="C8" s="10"/>
      <c r="D8" s="163" t="s">
        <v>287</v>
      </c>
      <c r="E8" s="163"/>
      <c r="F8" s="163"/>
      <c r="G8" s="163"/>
      <c r="H8" s="163"/>
      <c r="I8" s="163"/>
      <c r="J8" s="163"/>
      <c r="K8" s="163"/>
      <c r="L8" s="163"/>
      <c r="M8" s="121"/>
      <c r="N8" s="121"/>
      <c r="O8" s="121"/>
      <c r="P8" s="121"/>
      <c r="Q8" s="121"/>
      <c r="S8" s="171" t="s">
        <v>373</v>
      </c>
      <c r="T8" s="58"/>
      <c r="U8" s="58"/>
      <c r="V8" s="58"/>
      <c r="W8" s="58"/>
      <c r="X8" s="58"/>
      <c r="Z8" s="171" t="s">
        <v>372</v>
      </c>
      <c r="AA8" s="58"/>
      <c r="AB8" s="58"/>
      <c r="AC8" s="58"/>
      <c r="AD8" s="58"/>
      <c r="AE8" s="58"/>
      <c r="AF8" s="58"/>
      <c r="AG8" s="58"/>
      <c r="AH8" s="58"/>
    </row>
    <row r="9" spans="1:54" ht="12.75" customHeight="1" x14ac:dyDescent="0.25">
      <c r="A9" s="121"/>
      <c r="B9" s="10"/>
      <c r="C9" s="10"/>
      <c r="D9" s="181">
        <f>E9-$G$441</f>
        <v>1.0219039595619215</v>
      </c>
      <c r="E9" s="181">
        <f>F9-$G$441</f>
        <v>1.2719039595619215</v>
      </c>
      <c r="F9" s="181">
        <f>G9-$G$441</f>
        <v>1.5219039595619215</v>
      </c>
      <c r="G9" s="181">
        <f>H9-$G$441</f>
        <v>1.7719039595619215</v>
      </c>
      <c r="H9" s="181">
        <f>$G$440</f>
        <v>2.0219039595619215</v>
      </c>
      <c r="I9" s="181">
        <f>H9+$G$441</f>
        <v>2.2719039595619215</v>
      </c>
      <c r="J9" s="181">
        <f>I9+$G$441</f>
        <v>2.5219039595619215</v>
      </c>
      <c r="K9" s="181">
        <f>J9+$G$441</f>
        <v>2.7719039595619215</v>
      </c>
      <c r="L9" s="181">
        <f>K9+$G$441</f>
        <v>3.0219039595619215</v>
      </c>
      <c r="M9" s="121"/>
      <c r="N9" s="161" t="s">
        <v>356</v>
      </c>
      <c r="O9" s="161" t="s">
        <v>355</v>
      </c>
      <c r="P9" s="161" t="s">
        <v>354</v>
      </c>
      <c r="Q9" s="161" t="s">
        <v>353</v>
      </c>
      <c r="R9" s="161" t="s">
        <v>352</v>
      </c>
      <c r="S9" s="137">
        <v>0</v>
      </c>
      <c r="T9" s="187">
        <f>S9+1</f>
        <v>1</v>
      </c>
      <c r="U9" s="187">
        <f>T9+1</f>
        <v>2</v>
      </c>
      <c r="V9" s="187">
        <f>U9+1</f>
        <v>3</v>
      </c>
      <c r="W9" s="187">
        <f>V9+1</f>
        <v>4</v>
      </c>
      <c r="X9" s="187">
        <f>W9+1</f>
        <v>5</v>
      </c>
      <c r="Z9" s="182">
        <f t="shared" ref="Z9:AH9" si="0">D$9</f>
        <v>1.0219039595619215</v>
      </c>
      <c r="AA9" s="182">
        <f t="shared" si="0"/>
        <v>1.2719039595619215</v>
      </c>
      <c r="AB9" s="182">
        <f t="shared" si="0"/>
        <v>1.5219039595619215</v>
      </c>
      <c r="AC9" s="182">
        <f t="shared" si="0"/>
        <v>1.7719039595619215</v>
      </c>
      <c r="AD9" s="182">
        <f t="shared" si="0"/>
        <v>2.0219039595619215</v>
      </c>
      <c r="AE9" s="182">
        <f t="shared" si="0"/>
        <v>2.2719039595619215</v>
      </c>
      <c r="AF9" s="182">
        <f t="shared" si="0"/>
        <v>2.5219039595619215</v>
      </c>
      <c r="AG9" s="182">
        <f t="shared" si="0"/>
        <v>2.7719039595619215</v>
      </c>
      <c r="AH9" s="182">
        <f t="shared" si="0"/>
        <v>3.0219039595619215</v>
      </c>
      <c r="AT9" s="161" t="s">
        <v>288</v>
      </c>
      <c r="AU9" s="160"/>
      <c r="AV9" s="160"/>
      <c r="AW9" s="160"/>
      <c r="AX9" s="160"/>
      <c r="AY9" s="160"/>
      <c r="AZ9" s="160"/>
      <c r="BA9" s="160"/>
      <c r="BB9" s="160"/>
    </row>
    <row r="10" spans="1:54" x14ac:dyDescent="0.25">
      <c r="A10" s="121"/>
      <c r="B10" s="333" t="s">
        <v>336</v>
      </c>
      <c r="C10" s="158">
        <f>C11-$G$439</f>
        <v>0.15000000000000002</v>
      </c>
      <c r="D10" s="152">
        <f t="shared" ref="D10:L16" si="1">ROUND(Z10,$G$452)</f>
        <v>3600</v>
      </c>
      <c r="E10" s="152">
        <f t="shared" si="1"/>
        <v>4000</v>
      </c>
      <c r="F10" s="152">
        <f t="shared" si="1"/>
        <v>4500</v>
      </c>
      <c r="G10" s="152">
        <f t="shared" si="1"/>
        <v>4900</v>
      </c>
      <c r="H10" s="152">
        <f t="shared" si="1"/>
        <v>5300</v>
      </c>
      <c r="I10" s="152">
        <f t="shared" si="1"/>
        <v>5800</v>
      </c>
      <c r="J10" s="152">
        <f t="shared" si="1"/>
        <v>6200</v>
      </c>
      <c r="K10" s="152">
        <f t="shared" si="1"/>
        <v>6600</v>
      </c>
      <c r="L10" s="152">
        <f t="shared" si="1"/>
        <v>7100</v>
      </c>
      <c r="M10" s="121"/>
      <c r="N10" s="185">
        <f t="shared" ref="N10:N16" si="2">$C10</f>
        <v>0.15000000000000002</v>
      </c>
      <c r="O10" s="173">
        <f t="shared" ref="O10:O16" si="3">$G$433</f>
        <v>650</v>
      </c>
      <c r="P10" s="173">
        <f t="shared" ref="P10:P16" si="4">$G$430*(1-N10)-O10</f>
        <v>1900</v>
      </c>
      <c r="Q10" s="173">
        <f t="shared" ref="Q10:Q16" si="5">$G$432-O10</f>
        <v>59350</v>
      </c>
      <c r="R10" s="184">
        <f t="shared" ref="R10:R16" si="6">IFERROR(P10/(Q10+$G$430*(1-N10)),0)*(1-$G$434)</f>
        <v>2.9159935379644585E-2</v>
      </c>
      <c r="Z10" s="57">
        <f t="shared" ref="Z10:AH16" si="7">$O10+$G$435+$N10*$G$431+$R10*($Q10*(1+D$9)+$G$431*(1-$N10))-$G$430</f>
        <v>3592.7328057261693</v>
      </c>
      <c r="AA10" s="57">
        <f t="shared" si="7"/>
        <v>4025.3933469216445</v>
      </c>
      <c r="AB10" s="57">
        <f t="shared" si="7"/>
        <v>4458.0538881171215</v>
      </c>
      <c r="AC10" s="57">
        <f t="shared" si="7"/>
        <v>4890.7144293125975</v>
      </c>
      <c r="AD10" s="57">
        <f t="shared" si="7"/>
        <v>5323.3749705080736</v>
      </c>
      <c r="AE10" s="57">
        <f t="shared" si="7"/>
        <v>5756.0355117035506</v>
      </c>
      <c r="AF10" s="57">
        <f t="shared" si="7"/>
        <v>6188.6960528990276</v>
      </c>
      <c r="AG10" s="57">
        <f t="shared" si="7"/>
        <v>6621.3565940945045</v>
      </c>
      <c r="AH10" s="57">
        <f t="shared" si="7"/>
        <v>7054.0171352899815</v>
      </c>
      <c r="AT10" s="154">
        <f t="shared" ref="AT10:BB16" si="8">IF(Z50&lt;$G$449,0,MIN($G$446,1+IFERROR(INT((Z50-$G$449)/$G$451),0)))</f>
        <v>0</v>
      </c>
      <c r="AU10" s="154">
        <f t="shared" si="8"/>
        <v>0</v>
      </c>
      <c r="AV10" s="154">
        <f t="shared" si="8"/>
        <v>0</v>
      </c>
      <c r="AW10" s="154">
        <f t="shared" si="8"/>
        <v>0</v>
      </c>
      <c r="AX10" s="154">
        <f t="shared" si="8"/>
        <v>0</v>
      </c>
      <c r="AY10" s="154">
        <f t="shared" si="8"/>
        <v>2</v>
      </c>
      <c r="AZ10" s="154">
        <f t="shared" si="8"/>
        <v>4</v>
      </c>
      <c r="BA10" s="154">
        <f t="shared" si="8"/>
        <v>5</v>
      </c>
      <c r="BB10" s="154">
        <f t="shared" si="8"/>
        <v>7</v>
      </c>
    </row>
    <row r="11" spans="1:54" x14ac:dyDescent="0.25">
      <c r="A11" s="121"/>
      <c r="B11" s="334"/>
      <c r="C11" s="158">
        <f>C12-$G$439</f>
        <v>0.2</v>
      </c>
      <c r="D11" s="168">
        <f t="shared" si="1"/>
        <v>4000</v>
      </c>
      <c r="E11" s="168">
        <f t="shared" si="1"/>
        <v>4400</v>
      </c>
      <c r="F11" s="168">
        <f t="shared" si="1"/>
        <v>4800</v>
      </c>
      <c r="G11" s="168">
        <f t="shared" si="1"/>
        <v>5200</v>
      </c>
      <c r="H11" s="168">
        <f t="shared" si="1"/>
        <v>5600</v>
      </c>
      <c r="I11" s="168">
        <f t="shared" si="1"/>
        <v>6000</v>
      </c>
      <c r="J11" s="168">
        <f t="shared" si="1"/>
        <v>6400</v>
      </c>
      <c r="K11" s="168">
        <f t="shared" si="1"/>
        <v>6800</v>
      </c>
      <c r="L11" s="168">
        <f t="shared" si="1"/>
        <v>7200</v>
      </c>
      <c r="M11" s="121"/>
      <c r="N11" s="185">
        <f t="shared" si="2"/>
        <v>0.2</v>
      </c>
      <c r="O11" s="173">
        <f t="shared" si="3"/>
        <v>650</v>
      </c>
      <c r="P11" s="173">
        <f t="shared" si="4"/>
        <v>1750</v>
      </c>
      <c r="Q11" s="173">
        <f t="shared" si="5"/>
        <v>59350</v>
      </c>
      <c r="R11" s="184">
        <f t="shared" si="6"/>
        <v>2.6923076923076921E-2</v>
      </c>
      <c r="Z11" s="57">
        <f t="shared" si="7"/>
        <v>3977.918810968451</v>
      </c>
      <c r="AA11" s="57">
        <f t="shared" si="7"/>
        <v>4377.3899648146053</v>
      </c>
      <c r="AB11" s="57">
        <f t="shared" si="7"/>
        <v>4776.8611186607595</v>
      </c>
      <c r="AC11" s="57">
        <f t="shared" si="7"/>
        <v>5176.3322725069129</v>
      </c>
      <c r="AD11" s="57">
        <f t="shared" si="7"/>
        <v>5575.8034263530681</v>
      </c>
      <c r="AE11" s="57">
        <f t="shared" si="7"/>
        <v>5975.2745801992205</v>
      </c>
      <c r="AF11" s="57">
        <f t="shared" si="7"/>
        <v>6374.7457340453748</v>
      </c>
      <c r="AG11" s="57">
        <f t="shared" si="7"/>
        <v>6774.216887891529</v>
      </c>
      <c r="AH11" s="57">
        <f t="shared" si="7"/>
        <v>7173.6880417376815</v>
      </c>
      <c r="AT11" s="154">
        <f t="shared" si="8"/>
        <v>0</v>
      </c>
      <c r="AU11" s="154">
        <f t="shared" si="8"/>
        <v>0</v>
      </c>
      <c r="AV11" s="154">
        <f t="shared" si="8"/>
        <v>0</v>
      </c>
      <c r="AW11" s="154">
        <f t="shared" si="8"/>
        <v>0</v>
      </c>
      <c r="AX11" s="154">
        <f t="shared" si="8"/>
        <v>1</v>
      </c>
      <c r="AY11" s="154">
        <f t="shared" si="8"/>
        <v>3</v>
      </c>
      <c r="AZ11" s="154">
        <f t="shared" si="8"/>
        <v>4</v>
      </c>
      <c r="BA11" s="154">
        <f t="shared" si="8"/>
        <v>6</v>
      </c>
      <c r="BB11" s="154">
        <f t="shared" si="8"/>
        <v>8</v>
      </c>
    </row>
    <row r="12" spans="1:54" x14ac:dyDescent="0.25">
      <c r="A12" s="121"/>
      <c r="B12" s="334"/>
      <c r="C12" s="158">
        <f>C13-$G$439</f>
        <v>0.25</v>
      </c>
      <c r="D12" s="168">
        <f t="shared" si="1"/>
        <v>4400</v>
      </c>
      <c r="E12" s="168">
        <f t="shared" si="1"/>
        <v>4700</v>
      </c>
      <c r="F12" s="168">
        <f t="shared" si="1"/>
        <v>5100</v>
      </c>
      <c r="G12" s="168">
        <f t="shared" si="1"/>
        <v>5500</v>
      </c>
      <c r="H12" s="168">
        <f t="shared" si="1"/>
        <v>5800</v>
      </c>
      <c r="I12" s="168">
        <f t="shared" si="1"/>
        <v>6200</v>
      </c>
      <c r="J12" s="168">
        <f t="shared" si="1"/>
        <v>6600</v>
      </c>
      <c r="K12" s="168">
        <f t="shared" si="1"/>
        <v>6900</v>
      </c>
      <c r="L12" s="168">
        <f t="shared" si="1"/>
        <v>7300</v>
      </c>
      <c r="M12" s="121"/>
      <c r="N12" s="185">
        <f t="shared" si="2"/>
        <v>0.25</v>
      </c>
      <c r="O12" s="173">
        <f t="shared" si="3"/>
        <v>650</v>
      </c>
      <c r="P12" s="173">
        <f t="shared" si="4"/>
        <v>1600</v>
      </c>
      <c r="Q12" s="173">
        <f t="shared" si="5"/>
        <v>59350</v>
      </c>
      <c r="R12" s="184">
        <f t="shared" si="6"/>
        <v>2.4675324675324677E-2</v>
      </c>
      <c r="Z12" s="57">
        <f t="shared" si="7"/>
        <v>4364.8105087393833</v>
      </c>
      <c r="AA12" s="57">
        <f t="shared" si="7"/>
        <v>4730.9306386095122</v>
      </c>
      <c r="AB12" s="57">
        <f t="shared" si="7"/>
        <v>5097.050768479643</v>
      </c>
      <c r="AC12" s="57">
        <f t="shared" si="7"/>
        <v>5463.170898349772</v>
      </c>
      <c r="AD12" s="57">
        <f t="shared" si="7"/>
        <v>5829.2910282199027</v>
      </c>
      <c r="AE12" s="57">
        <f t="shared" si="7"/>
        <v>6195.4111580900317</v>
      </c>
      <c r="AF12" s="57">
        <f t="shared" si="7"/>
        <v>6561.5312879601624</v>
      </c>
      <c r="AG12" s="57">
        <f t="shared" si="7"/>
        <v>6927.6514178302932</v>
      </c>
      <c r="AH12" s="57">
        <f t="shared" si="7"/>
        <v>7293.7715477004222</v>
      </c>
      <c r="AT12" s="154">
        <f t="shared" si="8"/>
        <v>0</v>
      </c>
      <c r="AU12" s="154">
        <f t="shared" si="8"/>
        <v>0</v>
      </c>
      <c r="AV12" s="154">
        <f t="shared" si="8"/>
        <v>0</v>
      </c>
      <c r="AW12" s="154">
        <f t="shared" si="8"/>
        <v>0</v>
      </c>
      <c r="AX12" s="154">
        <f t="shared" si="8"/>
        <v>2</v>
      </c>
      <c r="AY12" s="154">
        <f t="shared" si="8"/>
        <v>4</v>
      </c>
      <c r="AZ12" s="154">
        <f t="shared" si="8"/>
        <v>5</v>
      </c>
      <c r="BA12" s="154">
        <f t="shared" si="8"/>
        <v>7</v>
      </c>
      <c r="BB12" s="154">
        <f t="shared" si="8"/>
        <v>8</v>
      </c>
    </row>
    <row r="13" spans="1:54" x14ac:dyDescent="0.25">
      <c r="A13" s="121"/>
      <c r="B13" s="334"/>
      <c r="C13" s="158">
        <f>$G$438</f>
        <v>0.3</v>
      </c>
      <c r="D13" s="168">
        <f t="shared" si="1"/>
        <v>4800</v>
      </c>
      <c r="E13" s="168">
        <f t="shared" si="1"/>
        <v>5100</v>
      </c>
      <c r="F13" s="168">
        <f t="shared" si="1"/>
        <v>5400</v>
      </c>
      <c r="G13" s="168">
        <f t="shared" si="1"/>
        <v>5800</v>
      </c>
      <c r="H13" s="169">
        <f t="shared" si="1"/>
        <v>6100</v>
      </c>
      <c r="I13" s="168">
        <f t="shared" si="1"/>
        <v>6400</v>
      </c>
      <c r="J13" s="168">
        <f t="shared" si="1"/>
        <v>6700</v>
      </c>
      <c r="K13" s="168">
        <f t="shared" si="1"/>
        <v>7100</v>
      </c>
      <c r="L13" s="168">
        <f t="shared" si="1"/>
        <v>7400</v>
      </c>
      <c r="M13" s="121"/>
      <c r="N13" s="185">
        <f t="shared" si="2"/>
        <v>0.3</v>
      </c>
      <c r="O13" s="173">
        <f t="shared" si="3"/>
        <v>650</v>
      </c>
      <c r="P13" s="173">
        <f t="shared" si="4"/>
        <v>1450</v>
      </c>
      <c r="Q13" s="173">
        <f t="shared" si="5"/>
        <v>59350</v>
      </c>
      <c r="R13" s="184">
        <f t="shared" si="6"/>
        <v>2.2416598860862488E-2</v>
      </c>
      <c r="Z13" s="57">
        <f t="shared" si="7"/>
        <v>4753.4203898711494</v>
      </c>
      <c r="AA13" s="57">
        <f t="shared" si="7"/>
        <v>5086.0266754691947</v>
      </c>
      <c r="AB13" s="57">
        <f t="shared" si="7"/>
        <v>5418.6329610672419</v>
      </c>
      <c r="AC13" s="57">
        <f t="shared" si="7"/>
        <v>5751.2392466652891</v>
      </c>
      <c r="AD13" s="57">
        <f t="shared" si="7"/>
        <v>6083.8455322633381</v>
      </c>
      <c r="AE13" s="57">
        <f t="shared" si="7"/>
        <v>6416.4518178613835</v>
      </c>
      <c r="AF13" s="57">
        <f t="shared" si="7"/>
        <v>6749.0581034594325</v>
      </c>
      <c r="AG13" s="57">
        <f t="shared" si="7"/>
        <v>7081.6643890574778</v>
      </c>
      <c r="AH13" s="57">
        <f t="shared" si="7"/>
        <v>7414.2706746555268</v>
      </c>
      <c r="AT13" s="154">
        <f t="shared" si="8"/>
        <v>0</v>
      </c>
      <c r="AU13" s="154">
        <f t="shared" si="8"/>
        <v>0</v>
      </c>
      <c r="AV13" s="154">
        <f t="shared" si="8"/>
        <v>0</v>
      </c>
      <c r="AW13" s="154">
        <f t="shared" si="8"/>
        <v>2</v>
      </c>
      <c r="AX13" s="154">
        <f t="shared" si="8"/>
        <v>3</v>
      </c>
      <c r="AY13" s="154">
        <f t="shared" si="8"/>
        <v>5</v>
      </c>
      <c r="AZ13" s="154">
        <f t="shared" si="8"/>
        <v>6</v>
      </c>
      <c r="BA13" s="154">
        <f t="shared" si="8"/>
        <v>7</v>
      </c>
      <c r="BB13" s="154">
        <f t="shared" si="8"/>
        <v>9</v>
      </c>
    </row>
    <row r="14" spans="1:54" x14ac:dyDescent="0.25">
      <c r="A14" s="121"/>
      <c r="B14" s="334"/>
      <c r="C14" s="158">
        <f>C13+$G$439</f>
        <v>0.35</v>
      </c>
      <c r="D14" s="168">
        <f t="shared" si="1"/>
        <v>5100</v>
      </c>
      <c r="E14" s="168">
        <f t="shared" si="1"/>
        <v>5400</v>
      </c>
      <c r="F14" s="168">
        <f t="shared" si="1"/>
        <v>5700</v>
      </c>
      <c r="G14" s="168">
        <f t="shared" si="1"/>
        <v>6000</v>
      </c>
      <c r="H14" s="168">
        <f t="shared" si="1"/>
        <v>6300</v>
      </c>
      <c r="I14" s="168">
        <f t="shared" si="1"/>
        <v>6600</v>
      </c>
      <c r="J14" s="168">
        <f t="shared" si="1"/>
        <v>6900</v>
      </c>
      <c r="K14" s="168">
        <f t="shared" si="1"/>
        <v>7200</v>
      </c>
      <c r="L14" s="168">
        <f t="shared" si="1"/>
        <v>7500</v>
      </c>
      <c r="M14" s="121"/>
      <c r="N14" s="185">
        <f t="shared" si="2"/>
        <v>0.35</v>
      </c>
      <c r="O14" s="173">
        <f t="shared" si="3"/>
        <v>650</v>
      </c>
      <c r="P14" s="173">
        <f t="shared" si="4"/>
        <v>1300</v>
      </c>
      <c r="Q14" s="173">
        <f t="shared" si="5"/>
        <v>59350</v>
      </c>
      <c r="R14" s="184">
        <f t="shared" si="6"/>
        <v>2.0146818923327897E-2</v>
      </c>
      <c r="Z14" s="57">
        <f t="shared" si="7"/>
        <v>5143.7610674553061</v>
      </c>
      <c r="AA14" s="57">
        <f t="shared" si="7"/>
        <v>5442.6894932301839</v>
      </c>
      <c r="AB14" s="57">
        <f t="shared" si="7"/>
        <v>5741.6179190050607</v>
      </c>
      <c r="AC14" s="57">
        <f t="shared" si="7"/>
        <v>6040.5463447799393</v>
      </c>
      <c r="AD14" s="57">
        <f t="shared" si="7"/>
        <v>6339.4747705548161</v>
      </c>
      <c r="AE14" s="57">
        <f t="shared" si="7"/>
        <v>6638.4031963296948</v>
      </c>
      <c r="AF14" s="57">
        <f t="shared" si="7"/>
        <v>6937.3316221045716</v>
      </c>
      <c r="AG14" s="57">
        <f t="shared" si="7"/>
        <v>7236.2600478794484</v>
      </c>
      <c r="AH14" s="57">
        <f t="shared" si="7"/>
        <v>7535.188473654327</v>
      </c>
      <c r="AT14" s="154">
        <f t="shared" si="8"/>
        <v>0</v>
      </c>
      <c r="AU14" s="154">
        <f t="shared" si="8"/>
        <v>0</v>
      </c>
      <c r="AV14" s="154">
        <f t="shared" si="8"/>
        <v>2</v>
      </c>
      <c r="AW14" s="154">
        <f t="shared" si="8"/>
        <v>3</v>
      </c>
      <c r="AX14" s="154">
        <f t="shared" si="8"/>
        <v>4</v>
      </c>
      <c r="AY14" s="154">
        <f t="shared" si="8"/>
        <v>6</v>
      </c>
      <c r="AZ14" s="154">
        <f t="shared" si="8"/>
        <v>7</v>
      </c>
      <c r="BA14" s="154">
        <f t="shared" si="8"/>
        <v>8</v>
      </c>
      <c r="BB14" s="154">
        <f t="shared" si="8"/>
        <v>9</v>
      </c>
    </row>
    <row r="15" spans="1:54" x14ac:dyDescent="0.25">
      <c r="A15" s="121"/>
      <c r="B15" s="334"/>
      <c r="C15" s="158">
        <f>C14+$G$439</f>
        <v>0.39999999999999997</v>
      </c>
      <c r="D15" s="168">
        <f t="shared" si="1"/>
        <v>5500</v>
      </c>
      <c r="E15" s="168">
        <f t="shared" si="1"/>
        <v>5800</v>
      </c>
      <c r="F15" s="168">
        <f t="shared" si="1"/>
        <v>6100</v>
      </c>
      <c r="G15" s="168">
        <f t="shared" si="1"/>
        <v>6300</v>
      </c>
      <c r="H15" s="168">
        <f t="shared" si="1"/>
        <v>6600</v>
      </c>
      <c r="I15" s="168">
        <f t="shared" si="1"/>
        <v>6900</v>
      </c>
      <c r="J15" s="168">
        <f t="shared" si="1"/>
        <v>7100</v>
      </c>
      <c r="K15" s="168">
        <f t="shared" si="1"/>
        <v>7400</v>
      </c>
      <c r="L15" s="168">
        <f t="shared" si="1"/>
        <v>7700</v>
      </c>
      <c r="M15" s="121"/>
      <c r="N15" s="185">
        <f t="shared" si="2"/>
        <v>0.39999999999999997</v>
      </c>
      <c r="O15" s="173">
        <f t="shared" si="3"/>
        <v>650</v>
      </c>
      <c r="P15" s="173">
        <f t="shared" si="4"/>
        <v>1150.0000000000002</v>
      </c>
      <c r="Q15" s="173">
        <f t="shared" si="5"/>
        <v>59350</v>
      </c>
      <c r="R15" s="184">
        <f t="shared" si="6"/>
        <v>1.7865903515944404E-2</v>
      </c>
      <c r="Z15" s="57">
        <f t="shared" si="7"/>
        <v>5535.8452783422799</v>
      </c>
      <c r="AA15" s="57">
        <f t="shared" si="7"/>
        <v>5800.9306217601061</v>
      </c>
      <c r="AB15" s="57">
        <f t="shared" si="7"/>
        <v>6066.0159651779304</v>
      </c>
      <c r="AC15" s="57">
        <f t="shared" si="7"/>
        <v>6331.1013085957566</v>
      </c>
      <c r="AD15" s="57">
        <f t="shared" si="7"/>
        <v>6596.1866520135809</v>
      </c>
      <c r="AE15" s="57">
        <f t="shared" si="7"/>
        <v>6861.2719954314052</v>
      </c>
      <c r="AF15" s="57">
        <f t="shared" si="7"/>
        <v>7126.3573388492314</v>
      </c>
      <c r="AG15" s="57">
        <f t="shared" si="7"/>
        <v>7391.4426822670557</v>
      </c>
      <c r="AH15" s="57">
        <f t="shared" si="7"/>
        <v>7656.5280256848819</v>
      </c>
      <c r="AT15" s="154">
        <f t="shared" si="8"/>
        <v>1</v>
      </c>
      <c r="AU15" s="154">
        <f t="shared" si="8"/>
        <v>2</v>
      </c>
      <c r="AV15" s="154">
        <f t="shared" si="8"/>
        <v>3</v>
      </c>
      <c r="AW15" s="154">
        <f t="shared" si="8"/>
        <v>4</v>
      </c>
      <c r="AX15" s="154">
        <f t="shared" si="8"/>
        <v>5</v>
      </c>
      <c r="AY15" s="154">
        <f t="shared" si="8"/>
        <v>6</v>
      </c>
      <c r="AZ15" s="154">
        <f t="shared" si="8"/>
        <v>8</v>
      </c>
      <c r="BA15" s="154">
        <f t="shared" si="8"/>
        <v>9</v>
      </c>
      <c r="BB15" s="154">
        <f t="shared" si="8"/>
        <v>10</v>
      </c>
    </row>
    <row r="16" spans="1:54" x14ac:dyDescent="0.25">
      <c r="A16" s="121"/>
      <c r="B16" s="335"/>
      <c r="C16" s="156">
        <f>C15+$G$439</f>
        <v>0.44999999999999996</v>
      </c>
      <c r="D16" s="149">
        <f t="shared" si="1"/>
        <v>5900</v>
      </c>
      <c r="E16" s="149">
        <f t="shared" si="1"/>
        <v>6200</v>
      </c>
      <c r="F16" s="149">
        <f t="shared" si="1"/>
        <v>6400</v>
      </c>
      <c r="G16" s="149">
        <f t="shared" si="1"/>
        <v>6600</v>
      </c>
      <c r="H16" s="149">
        <f t="shared" si="1"/>
        <v>6900</v>
      </c>
      <c r="I16" s="149">
        <f t="shared" si="1"/>
        <v>7100</v>
      </c>
      <c r="J16" s="149">
        <f t="shared" si="1"/>
        <v>7300</v>
      </c>
      <c r="K16" s="149">
        <f t="shared" si="1"/>
        <v>7500</v>
      </c>
      <c r="L16" s="149">
        <f t="shared" si="1"/>
        <v>7800</v>
      </c>
      <c r="M16" s="121"/>
      <c r="N16" s="185">
        <f t="shared" si="2"/>
        <v>0.44999999999999996</v>
      </c>
      <c r="O16" s="173">
        <f t="shared" si="3"/>
        <v>650</v>
      </c>
      <c r="P16" s="173">
        <f t="shared" si="4"/>
        <v>1000.0000000000002</v>
      </c>
      <c r="Q16" s="173">
        <f t="shared" si="5"/>
        <v>59350</v>
      </c>
      <c r="R16" s="184">
        <f t="shared" si="6"/>
        <v>1.5573770491803283E-2</v>
      </c>
      <c r="Z16" s="57">
        <f t="shared" si="7"/>
        <v>5929.6858846629948</v>
      </c>
      <c r="AA16" s="57">
        <f t="shared" si="7"/>
        <v>6160.7617043351256</v>
      </c>
      <c r="AB16" s="57">
        <f t="shared" si="7"/>
        <v>6391.8375240072564</v>
      </c>
      <c r="AC16" s="57">
        <f t="shared" si="7"/>
        <v>6622.9133436793891</v>
      </c>
      <c r="AD16" s="57">
        <f t="shared" si="7"/>
        <v>6853.9891633515199</v>
      </c>
      <c r="AE16" s="57">
        <f t="shared" si="7"/>
        <v>7085.0649830236507</v>
      </c>
      <c r="AF16" s="57">
        <f t="shared" si="7"/>
        <v>7316.1408026957815</v>
      </c>
      <c r="AG16" s="57">
        <f t="shared" si="7"/>
        <v>7547.2166223679124</v>
      </c>
      <c r="AH16" s="57">
        <f t="shared" si="7"/>
        <v>7778.292442040045</v>
      </c>
      <c r="AT16" s="154">
        <f t="shared" si="8"/>
        <v>2</v>
      </c>
      <c r="AU16" s="154">
        <f t="shared" si="8"/>
        <v>3</v>
      </c>
      <c r="AV16" s="154">
        <f t="shared" si="8"/>
        <v>4</v>
      </c>
      <c r="AW16" s="154">
        <f t="shared" si="8"/>
        <v>5</v>
      </c>
      <c r="AX16" s="154">
        <f t="shared" si="8"/>
        <v>6</v>
      </c>
      <c r="AY16" s="154">
        <f t="shared" si="8"/>
        <v>7</v>
      </c>
      <c r="AZ16" s="154">
        <f t="shared" si="8"/>
        <v>8</v>
      </c>
      <c r="BA16" s="154">
        <f t="shared" si="8"/>
        <v>9</v>
      </c>
      <c r="BB16" s="154">
        <f t="shared" si="8"/>
        <v>10</v>
      </c>
    </row>
    <row r="17" spans="1:54" hidden="1" outlineLevel="1" x14ac:dyDescent="0.25">
      <c r="A17" s="121"/>
      <c r="B17" s="153" t="s">
        <v>371</v>
      </c>
      <c r="C17" s="4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85"/>
      <c r="O17" s="173"/>
      <c r="P17" s="173"/>
      <c r="Q17" s="173"/>
      <c r="R17" s="184"/>
    </row>
    <row r="18" spans="1:54" ht="3.95" customHeight="1" collapsed="1" x14ac:dyDescent="0.25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85">
        <f>$G$436</f>
        <v>0.3</v>
      </c>
      <c r="O18" s="173">
        <f>$G$433</f>
        <v>650</v>
      </c>
      <c r="P18" s="173">
        <f>$G$430*(1-N18)-O18</f>
        <v>1450</v>
      </c>
      <c r="Q18" s="173">
        <f>$G$432-O18</f>
        <v>59350</v>
      </c>
      <c r="R18" s="184">
        <f>IFERROR(P18/(Q18+$G$430*(1-N18)),0)*(1-$G$434)</f>
        <v>2.2416598860862488E-2</v>
      </c>
    </row>
    <row r="19" spans="1:54" ht="15" customHeight="1" x14ac:dyDescent="0.25">
      <c r="A19" s="121"/>
      <c r="B19" s="164" t="s">
        <v>370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</row>
    <row r="20" spans="1:54" ht="2.1" customHeight="1" x14ac:dyDescent="0.25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</row>
    <row r="21" spans="1:54" ht="12.75" customHeight="1" x14ac:dyDescent="0.25">
      <c r="A21" s="121"/>
      <c r="B21" s="10"/>
      <c r="C21" s="10"/>
      <c r="D21" s="163" t="s">
        <v>287</v>
      </c>
      <c r="E21" s="163"/>
      <c r="F21" s="163"/>
      <c r="G21" s="163"/>
      <c r="H21" s="163"/>
      <c r="I21" s="163"/>
      <c r="J21" s="163"/>
      <c r="K21" s="163"/>
      <c r="L21" s="163"/>
      <c r="M21" s="121"/>
      <c r="N21" s="121"/>
      <c r="O21" s="121"/>
      <c r="P21" s="121"/>
      <c r="Q21" s="121"/>
    </row>
    <row r="22" spans="1:54" ht="12.75" customHeight="1" x14ac:dyDescent="0.25">
      <c r="A22" s="121"/>
      <c r="B22" s="10"/>
      <c r="C22" s="10"/>
      <c r="D22" s="181">
        <f>E22-$G$441</f>
        <v>1.0219039595619215</v>
      </c>
      <c r="E22" s="181">
        <f>F22-$G$441</f>
        <v>1.2719039595619215</v>
      </c>
      <c r="F22" s="181">
        <f>G22-$G$441</f>
        <v>1.5219039595619215</v>
      </c>
      <c r="G22" s="181">
        <f>H22-$G$441</f>
        <v>1.7719039595619215</v>
      </c>
      <c r="H22" s="181">
        <f>$G$440</f>
        <v>2.0219039595619215</v>
      </c>
      <c r="I22" s="181">
        <f>H22+$G$441</f>
        <v>2.2719039595619215</v>
      </c>
      <c r="J22" s="181">
        <f>I22+$G$441</f>
        <v>2.5219039595619215</v>
      </c>
      <c r="K22" s="181">
        <f>J22+$G$441</f>
        <v>2.7719039595619215</v>
      </c>
      <c r="L22" s="181">
        <f>K22+$G$441</f>
        <v>3.0219039595619215</v>
      </c>
      <c r="M22" s="121"/>
      <c r="N22" s="121"/>
      <c r="O22" s="121"/>
      <c r="P22" s="121"/>
      <c r="Q22" s="121"/>
      <c r="AT22" s="161" t="s">
        <v>288</v>
      </c>
      <c r="AU22" s="160"/>
      <c r="AV22" s="160"/>
      <c r="AW22" s="160"/>
      <c r="AX22" s="160"/>
      <c r="AY22" s="160"/>
      <c r="AZ22" s="160"/>
      <c r="BA22" s="160"/>
      <c r="BB22" s="160"/>
    </row>
    <row r="23" spans="1:54" ht="15" customHeight="1" x14ac:dyDescent="0.25">
      <c r="A23" s="121"/>
      <c r="B23" s="333" t="s">
        <v>336</v>
      </c>
      <c r="C23" s="158">
        <f>C24-$G$439</f>
        <v>0.15000000000000002</v>
      </c>
      <c r="D23" s="166">
        <f t="shared" ref="D23:L29" si="9">IFERROR(Z10/$G$430,0)</f>
        <v>1.1975776019087232</v>
      </c>
      <c r="E23" s="166">
        <f t="shared" si="9"/>
        <v>1.3417977823072149</v>
      </c>
      <c r="F23" s="166">
        <f t="shared" si="9"/>
        <v>1.4860179627057071</v>
      </c>
      <c r="G23" s="166">
        <f t="shared" si="9"/>
        <v>1.6302381431041992</v>
      </c>
      <c r="H23" s="166">
        <f t="shared" si="9"/>
        <v>1.7744583235026912</v>
      </c>
      <c r="I23" s="166">
        <f t="shared" si="9"/>
        <v>1.9186785039011836</v>
      </c>
      <c r="J23" s="166">
        <f t="shared" si="9"/>
        <v>2.0628986842996757</v>
      </c>
      <c r="K23" s="166">
        <f t="shared" si="9"/>
        <v>2.2071188646981681</v>
      </c>
      <c r="L23" s="166">
        <f t="shared" si="9"/>
        <v>2.3513390450966605</v>
      </c>
      <c r="M23" s="121"/>
      <c r="N23" s="121"/>
      <c r="O23" s="121"/>
      <c r="P23" s="121"/>
      <c r="Q23" s="121"/>
      <c r="AT23" s="154">
        <f t="shared" ref="AT23:BB29" si="10">IF(Z50&lt;$G$449,0,MIN($G$446,1+IFERROR(INT((Z50-$G$449)/$G$451),0)))</f>
        <v>0</v>
      </c>
      <c r="AU23" s="154">
        <f t="shared" si="10"/>
        <v>0</v>
      </c>
      <c r="AV23" s="154">
        <f t="shared" si="10"/>
        <v>0</v>
      </c>
      <c r="AW23" s="154">
        <f t="shared" si="10"/>
        <v>0</v>
      </c>
      <c r="AX23" s="154">
        <f t="shared" si="10"/>
        <v>0</v>
      </c>
      <c r="AY23" s="154">
        <f t="shared" si="10"/>
        <v>2</v>
      </c>
      <c r="AZ23" s="154">
        <f t="shared" si="10"/>
        <v>4</v>
      </c>
      <c r="BA23" s="154">
        <f t="shared" si="10"/>
        <v>5</v>
      </c>
      <c r="BB23" s="154">
        <f t="shared" si="10"/>
        <v>7</v>
      </c>
    </row>
    <row r="24" spans="1:54" ht="15" customHeight="1" x14ac:dyDescent="0.25">
      <c r="A24" s="121"/>
      <c r="B24" s="334"/>
      <c r="C24" s="158">
        <f>C25-$G$439</f>
        <v>0.2</v>
      </c>
      <c r="D24" s="166">
        <f t="shared" si="9"/>
        <v>1.3259729369894837</v>
      </c>
      <c r="E24" s="166">
        <f t="shared" si="9"/>
        <v>1.4591299882715352</v>
      </c>
      <c r="F24" s="166">
        <f t="shared" si="9"/>
        <v>1.5922870395535864</v>
      </c>
      <c r="G24" s="166">
        <f t="shared" si="9"/>
        <v>1.7254440908356377</v>
      </c>
      <c r="H24" s="166">
        <f t="shared" si="9"/>
        <v>1.8586011421176893</v>
      </c>
      <c r="I24" s="166">
        <f t="shared" si="9"/>
        <v>1.9917581933997401</v>
      </c>
      <c r="J24" s="166">
        <f t="shared" si="9"/>
        <v>2.1249152446817914</v>
      </c>
      <c r="K24" s="166">
        <f t="shared" si="9"/>
        <v>2.2580722959638431</v>
      </c>
      <c r="L24" s="166">
        <f t="shared" si="9"/>
        <v>2.3912293472458939</v>
      </c>
      <c r="M24" s="121"/>
      <c r="N24" s="121"/>
      <c r="O24" s="121"/>
      <c r="P24" s="121"/>
      <c r="Q24" s="121"/>
      <c r="AT24" s="154">
        <f t="shared" si="10"/>
        <v>0</v>
      </c>
      <c r="AU24" s="154">
        <f t="shared" si="10"/>
        <v>0</v>
      </c>
      <c r="AV24" s="154">
        <f t="shared" si="10"/>
        <v>0</v>
      </c>
      <c r="AW24" s="154">
        <f t="shared" si="10"/>
        <v>0</v>
      </c>
      <c r="AX24" s="154">
        <f t="shared" si="10"/>
        <v>1</v>
      </c>
      <c r="AY24" s="154">
        <f t="shared" si="10"/>
        <v>3</v>
      </c>
      <c r="AZ24" s="154">
        <f t="shared" si="10"/>
        <v>4</v>
      </c>
      <c r="BA24" s="154">
        <f t="shared" si="10"/>
        <v>6</v>
      </c>
      <c r="BB24" s="154">
        <f t="shared" si="10"/>
        <v>8</v>
      </c>
    </row>
    <row r="25" spans="1:54" ht="15" customHeight="1" x14ac:dyDescent="0.25">
      <c r="B25" s="334"/>
      <c r="C25" s="158">
        <f>C26-$G$439</f>
        <v>0.25</v>
      </c>
      <c r="D25" s="166">
        <f t="shared" si="9"/>
        <v>1.4549368362464612</v>
      </c>
      <c r="E25" s="166">
        <f t="shared" si="9"/>
        <v>1.576976879536504</v>
      </c>
      <c r="F25" s="166">
        <f t="shared" si="9"/>
        <v>1.6990169228265477</v>
      </c>
      <c r="G25" s="166">
        <f t="shared" si="9"/>
        <v>1.8210569661165907</v>
      </c>
      <c r="H25" s="166">
        <f t="shared" si="9"/>
        <v>1.9430970094066342</v>
      </c>
      <c r="I25" s="166">
        <f t="shared" si="9"/>
        <v>2.0651370526966772</v>
      </c>
      <c r="J25" s="166">
        <f t="shared" si="9"/>
        <v>2.1871770959867209</v>
      </c>
      <c r="K25" s="166">
        <f t="shared" si="9"/>
        <v>2.3092171392767642</v>
      </c>
      <c r="L25" s="166">
        <f t="shared" si="9"/>
        <v>2.4312571825668075</v>
      </c>
      <c r="AT25" s="154">
        <f t="shared" si="10"/>
        <v>0</v>
      </c>
      <c r="AU25" s="154">
        <f t="shared" si="10"/>
        <v>0</v>
      </c>
      <c r="AV25" s="154">
        <f t="shared" si="10"/>
        <v>0</v>
      </c>
      <c r="AW25" s="154">
        <f t="shared" si="10"/>
        <v>0</v>
      </c>
      <c r="AX25" s="154">
        <f t="shared" si="10"/>
        <v>2</v>
      </c>
      <c r="AY25" s="154">
        <f t="shared" si="10"/>
        <v>4</v>
      </c>
      <c r="AZ25" s="154">
        <f t="shared" si="10"/>
        <v>5</v>
      </c>
      <c r="BA25" s="154">
        <f t="shared" si="10"/>
        <v>7</v>
      </c>
      <c r="BB25" s="154">
        <f t="shared" si="10"/>
        <v>8</v>
      </c>
    </row>
    <row r="26" spans="1:54" ht="15" customHeight="1" x14ac:dyDescent="0.25">
      <c r="B26" s="334"/>
      <c r="C26" s="158">
        <f>$G$438</f>
        <v>0.3</v>
      </c>
      <c r="D26" s="166">
        <f t="shared" si="9"/>
        <v>1.5844734632903832</v>
      </c>
      <c r="E26" s="166">
        <f t="shared" si="9"/>
        <v>1.6953422251563983</v>
      </c>
      <c r="F26" s="166">
        <f t="shared" si="9"/>
        <v>1.8062109870224139</v>
      </c>
      <c r="G26" s="166">
        <f t="shared" si="9"/>
        <v>1.9170797488884297</v>
      </c>
      <c r="H26" s="167">
        <f t="shared" si="9"/>
        <v>2.0279485107544462</v>
      </c>
      <c r="I26" s="166">
        <f t="shared" si="9"/>
        <v>2.1388172726204613</v>
      </c>
      <c r="J26" s="166">
        <f t="shared" si="9"/>
        <v>2.2496860344864773</v>
      </c>
      <c r="K26" s="166">
        <f t="shared" si="9"/>
        <v>2.3605547963524924</v>
      </c>
      <c r="L26" s="166">
        <f t="shared" si="9"/>
        <v>2.4714235582185089</v>
      </c>
      <c r="AT26" s="154">
        <f t="shared" si="10"/>
        <v>0</v>
      </c>
      <c r="AU26" s="154">
        <f t="shared" si="10"/>
        <v>0</v>
      </c>
      <c r="AV26" s="154">
        <f t="shared" si="10"/>
        <v>0</v>
      </c>
      <c r="AW26" s="154">
        <f t="shared" si="10"/>
        <v>2</v>
      </c>
      <c r="AX26" s="154">
        <f t="shared" si="10"/>
        <v>3</v>
      </c>
      <c r="AY26" s="154">
        <f t="shared" si="10"/>
        <v>5</v>
      </c>
      <c r="AZ26" s="154">
        <f t="shared" si="10"/>
        <v>6</v>
      </c>
      <c r="BA26" s="154">
        <f t="shared" si="10"/>
        <v>7</v>
      </c>
      <c r="BB26" s="154">
        <f t="shared" si="10"/>
        <v>9</v>
      </c>
    </row>
    <row r="27" spans="1:54" ht="15" customHeight="1" x14ac:dyDescent="0.25">
      <c r="B27" s="334"/>
      <c r="C27" s="158">
        <f>C26+$G$439</f>
        <v>0.35</v>
      </c>
      <c r="D27" s="166">
        <f t="shared" si="9"/>
        <v>1.7145870224851021</v>
      </c>
      <c r="E27" s="166">
        <f t="shared" si="9"/>
        <v>1.814229831076728</v>
      </c>
      <c r="F27" s="166">
        <f t="shared" si="9"/>
        <v>1.9138726396683536</v>
      </c>
      <c r="G27" s="166">
        <f t="shared" si="9"/>
        <v>2.0135154482599797</v>
      </c>
      <c r="H27" s="166">
        <f t="shared" si="9"/>
        <v>2.1131582568516052</v>
      </c>
      <c r="I27" s="166">
        <f t="shared" si="9"/>
        <v>2.2128010654432315</v>
      </c>
      <c r="J27" s="166">
        <f t="shared" si="9"/>
        <v>2.3124438740348574</v>
      </c>
      <c r="K27" s="166">
        <f t="shared" si="9"/>
        <v>2.4120866826264828</v>
      </c>
      <c r="L27" s="166">
        <f t="shared" si="9"/>
        <v>2.5117294912181092</v>
      </c>
      <c r="AT27" s="154">
        <f t="shared" si="10"/>
        <v>0</v>
      </c>
      <c r="AU27" s="154">
        <f t="shared" si="10"/>
        <v>0</v>
      </c>
      <c r="AV27" s="154">
        <f t="shared" si="10"/>
        <v>2</v>
      </c>
      <c r="AW27" s="154">
        <f t="shared" si="10"/>
        <v>3</v>
      </c>
      <c r="AX27" s="154">
        <f t="shared" si="10"/>
        <v>4</v>
      </c>
      <c r="AY27" s="154">
        <f t="shared" si="10"/>
        <v>6</v>
      </c>
      <c r="AZ27" s="154">
        <f t="shared" si="10"/>
        <v>7</v>
      </c>
      <c r="BA27" s="154">
        <f t="shared" si="10"/>
        <v>8</v>
      </c>
      <c r="BB27" s="154">
        <f t="shared" si="10"/>
        <v>9</v>
      </c>
    </row>
    <row r="28" spans="1:54" ht="15" customHeight="1" x14ac:dyDescent="0.25">
      <c r="B28" s="334"/>
      <c r="C28" s="158">
        <f>C27+$G$439</f>
        <v>0.39999999999999997</v>
      </c>
      <c r="D28" s="166">
        <f t="shared" si="9"/>
        <v>1.8452817594474267</v>
      </c>
      <c r="E28" s="166">
        <f t="shared" si="9"/>
        <v>1.9336435405867021</v>
      </c>
      <c r="F28" s="166">
        <f t="shared" si="9"/>
        <v>2.022005321725977</v>
      </c>
      <c r="G28" s="166">
        <f t="shared" si="9"/>
        <v>2.110367102865252</v>
      </c>
      <c r="H28" s="166">
        <f t="shared" si="9"/>
        <v>2.1987288840045269</v>
      </c>
      <c r="I28" s="166">
        <f t="shared" si="9"/>
        <v>2.2870906651438019</v>
      </c>
      <c r="J28" s="166">
        <f t="shared" si="9"/>
        <v>2.3754524462830773</v>
      </c>
      <c r="K28" s="166">
        <f t="shared" si="9"/>
        <v>2.4638142274223518</v>
      </c>
      <c r="L28" s="166">
        <f t="shared" si="9"/>
        <v>2.5521760085616272</v>
      </c>
      <c r="AT28" s="154">
        <f t="shared" si="10"/>
        <v>1</v>
      </c>
      <c r="AU28" s="154">
        <f t="shared" si="10"/>
        <v>2</v>
      </c>
      <c r="AV28" s="154">
        <f t="shared" si="10"/>
        <v>3</v>
      </c>
      <c r="AW28" s="154">
        <f t="shared" si="10"/>
        <v>4</v>
      </c>
      <c r="AX28" s="154">
        <f t="shared" si="10"/>
        <v>5</v>
      </c>
      <c r="AY28" s="154">
        <f t="shared" si="10"/>
        <v>6</v>
      </c>
      <c r="AZ28" s="154">
        <f t="shared" si="10"/>
        <v>8</v>
      </c>
      <c r="BA28" s="154">
        <f t="shared" si="10"/>
        <v>9</v>
      </c>
      <c r="BB28" s="154">
        <f t="shared" si="10"/>
        <v>10</v>
      </c>
    </row>
    <row r="29" spans="1:54" ht="15" customHeight="1" x14ac:dyDescent="0.25">
      <c r="B29" s="335"/>
      <c r="C29" s="156">
        <f>C28+$G$439</f>
        <v>0.44999999999999996</v>
      </c>
      <c r="D29" s="165">
        <f t="shared" si="9"/>
        <v>1.9765619615543315</v>
      </c>
      <c r="E29" s="165">
        <f t="shared" si="9"/>
        <v>2.0535872347783752</v>
      </c>
      <c r="F29" s="165">
        <f t="shared" si="9"/>
        <v>2.130612508002419</v>
      </c>
      <c r="G29" s="165">
        <f t="shared" si="9"/>
        <v>2.2076377812264631</v>
      </c>
      <c r="H29" s="165">
        <f t="shared" si="9"/>
        <v>2.2846630544505064</v>
      </c>
      <c r="I29" s="165">
        <f t="shared" si="9"/>
        <v>2.3616883276745502</v>
      </c>
      <c r="J29" s="165">
        <f t="shared" si="9"/>
        <v>2.4387136008985939</v>
      </c>
      <c r="K29" s="165">
        <f t="shared" si="9"/>
        <v>2.5157388741226376</v>
      </c>
      <c r="L29" s="165">
        <f t="shared" si="9"/>
        <v>2.5927641473466818</v>
      </c>
      <c r="AT29" s="154">
        <f t="shared" si="10"/>
        <v>2</v>
      </c>
      <c r="AU29" s="154">
        <f t="shared" si="10"/>
        <v>3</v>
      </c>
      <c r="AV29" s="154">
        <f t="shared" si="10"/>
        <v>4</v>
      </c>
      <c r="AW29" s="154">
        <f t="shared" si="10"/>
        <v>5</v>
      </c>
      <c r="AX29" s="154">
        <f t="shared" si="10"/>
        <v>6</v>
      </c>
      <c r="AY29" s="154">
        <f t="shared" si="10"/>
        <v>7</v>
      </c>
      <c r="AZ29" s="154">
        <f t="shared" si="10"/>
        <v>8</v>
      </c>
      <c r="BA29" s="154">
        <f t="shared" si="10"/>
        <v>9</v>
      </c>
      <c r="BB29" s="154">
        <f t="shared" si="10"/>
        <v>10</v>
      </c>
    </row>
    <row r="30" spans="1:54" ht="15" hidden="1" customHeight="1" outlineLevel="1" x14ac:dyDescent="0.25">
      <c r="B30" s="153" t="s">
        <v>347</v>
      </c>
      <c r="D30" s="121"/>
      <c r="E30" s="121"/>
      <c r="F30" s="121"/>
      <c r="G30" s="121"/>
      <c r="H30" s="121"/>
      <c r="I30" s="121"/>
      <c r="J30" s="121"/>
      <c r="K30" s="121"/>
      <c r="L30" s="121"/>
    </row>
    <row r="31" spans="1:54" ht="3.95" customHeight="1" collapsed="1" x14ac:dyDescent="0.25"/>
    <row r="32" spans="1:54" ht="15" customHeight="1" x14ac:dyDescent="0.25">
      <c r="A32" s="121"/>
      <c r="B32" s="164" t="s">
        <v>369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</row>
    <row r="33" spans="1:109" ht="2.1" customHeight="1" x14ac:dyDescent="0.25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</row>
    <row r="34" spans="1:109" ht="12.75" customHeight="1" x14ac:dyDescent="0.25">
      <c r="A34" s="121"/>
      <c r="B34" s="10"/>
      <c r="C34" s="10"/>
      <c r="D34" s="163" t="s">
        <v>287</v>
      </c>
      <c r="E34" s="163"/>
      <c r="F34" s="163"/>
      <c r="G34" s="163"/>
      <c r="H34" s="163"/>
      <c r="I34" s="163"/>
      <c r="J34" s="163"/>
      <c r="K34" s="163"/>
      <c r="L34" s="163"/>
      <c r="M34" s="121"/>
      <c r="BD34" s="161" t="s">
        <v>304</v>
      </c>
      <c r="BE34" s="161"/>
      <c r="BF34" s="161"/>
      <c r="BG34" s="161"/>
      <c r="BH34" s="161"/>
      <c r="BI34" s="161"/>
      <c r="BJ34" s="161" t="s">
        <v>303</v>
      </c>
      <c r="BK34" s="161"/>
      <c r="BL34" s="161"/>
      <c r="BM34" s="161"/>
      <c r="BN34" s="161"/>
      <c r="BO34" s="161"/>
      <c r="BP34" s="161" t="s">
        <v>302</v>
      </c>
      <c r="BQ34" s="161"/>
      <c r="BR34" s="161"/>
      <c r="BS34" s="161"/>
      <c r="BT34" s="161"/>
      <c r="BU34" s="161"/>
      <c r="BV34" s="161" t="s">
        <v>301</v>
      </c>
      <c r="BW34" s="161"/>
      <c r="BX34" s="161"/>
      <c r="BY34" s="161"/>
      <c r="BZ34" s="161"/>
      <c r="CA34" s="161"/>
      <c r="CB34" s="161" t="s">
        <v>300</v>
      </c>
      <c r="CC34" s="161"/>
      <c r="CD34" s="161"/>
      <c r="CE34" s="161"/>
      <c r="CF34" s="161"/>
      <c r="CG34" s="161"/>
      <c r="CH34" s="161" t="s">
        <v>299</v>
      </c>
      <c r="CI34" s="161"/>
      <c r="CJ34" s="161"/>
      <c r="CK34" s="161"/>
      <c r="CL34" s="161"/>
      <c r="CM34" s="161"/>
      <c r="CN34" s="161" t="s">
        <v>298</v>
      </c>
      <c r="CO34" s="161"/>
      <c r="CP34" s="161"/>
      <c r="CQ34" s="161"/>
      <c r="CR34" s="161"/>
      <c r="CS34" s="161"/>
      <c r="CT34" s="161" t="s">
        <v>297</v>
      </c>
      <c r="CU34" s="161"/>
      <c r="CV34" s="161"/>
      <c r="CW34" s="161"/>
      <c r="CX34" s="161"/>
      <c r="CY34" s="161"/>
      <c r="CZ34" s="161" t="s">
        <v>296</v>
      </c>
      <c r="DA34" s="161"/>
      <c r="DB34" s="161"/>
      <c r="DC34" s="161"/>
      <c r="DD34" s="161"/>
      <c r="DE34" s="161"/>
    </row>
    <row r="35" spans="1:109" ht="12.75" customHeight="1" x14ac:dyDescent="0.25">
      <c r="A35" s="121"/>
      <c r="B35" s="10"/>
      <c r="C35" s="10"/>
      <c r="D35" s="181">
        <f>E35-$G$441</f>
        <v>1.0219039595619215</v>
      </c>
      <c r="E35" s="181">
        <f>F35-$G$441</f>
        <v>1.2719039595619215</v>
      </c>
      <c r="F35" s="181">
        <f>G35-$G$441</f>
        <v>1.5219039595619215</v>
      </c>
      <c r="G35" s="181">
        <f>H35-$G$441</f>
        <v>1.7719039595619215</v>
      </c>
      <c r="H35" s="181">
        <f>$G$440</f>
        <v>2.0219039595619215</v>
      </c>
      <c r="I35" s="181">
        <f>H35+$G$441</f>
        <v>2.2719039595619215</v>
      </c>
      <c r="J35" s="181">
        <f>I35+$G$441</f>
        <v>2.5219039595619215</v>
      </c>
      <c r="K35" s="181">
        <f>J35+$G$441</f>
        <v>2.7719039595619215</v>
      </c>
      <c r="L35" s="181">
        <f>K35+$G$441</f>
        <v>3.0219039595619215</v>
      </c>
      <c r="M35" s="121"/>
      <c r="AT35" s="161" t="s">
        <v>288</v>
      </c>
      <c r="AU35" s="160"/>
      <c r="AV35" s="160"/>
      <c r="AW35" s="160"/>
      <c r="AX35" s="160"/>
      <c r="AY35" s="160"/>
      <c r="AZ35" s="160"/>
      <c r="BA35" s="160"/>
      <c r="BB35" s="160"/>
      <c r="BD35" s="174">
        <f>$S$9</f>
        <v>0</v>
      </c>
      <c r="BE35" s="174">
        <f>$T$9</f>
        <v>1</v>
      </c>
      <c r="BF35" s="174">
        <f>$U$9</f>
        <v>2</v>
      </c>
      <c r="BG35" s="174">
        <f>$V$9</f>
        <v>3</v>
      </c>
      <c r="BH35" s="174">
        <f>$W$9</f>
        <v>4</v>
      </c>
      <c r="BI35" s="174">
        <f>$X$9</f>
        <v>5</v>
      </c>
      <c r="BJ35" s="174">
        <f>$S$9</f>
        <v>0</v>
      </c>
      <c r="BK35" s="174">
        <f>$T$9</f>
        <v>1</v>
      </c>
      <c r="BL35" s="174">
        <f>$U$9</f>
        <v>2</v>
      </c>
      <c r="BM35" s="174">
        <f>$V$9</f>
        <v>3</v>
      </c>
      <c r="BN35" s="174">
        <f>$W$9</f>
        <v>4</v>
      </c>
      <c r="BO35" s="174">
        <f>$X$9</f>
        <v>5</v>
      </c>
      <c r="BP35" s="174">
        <f>$S$9</f>
        <v>0</v>
      </c>
      <c r="BQ35" s="174">
        <f>$T$9</f>
        <v>1</v>
      </c>
      <c r="BR35" s="174">
        <f>$U$9</f>
        <v>2</v>
      </c>
      <c r="BS35" s="174">
        <f>$V$9</f>
        <v>3</v>
      </c>
      <c r="BT35" s="174">
        <f>$W$9</f>
        <v>4</v>
      </c>
      <c r="BU35" s="174">
        <f>$X$9</f>
        <v>5</v>
      </c>
      <c r="BV35" s="174">
        <f>$S$9</f>
        <v>0</v>
      </c>
      <c r="BW35" s="174">
        <f>$T$9</f>
        <v>1</v>
      </c>
      <c r="BX35" s="174">
        <f>$U$9</f>
        <v>2</v>
      </c>
      <c r="BY35" s="174">
        <f>$V$9</f>
        <v>3</v>
      </c>
      <c r="BZ35" s="174">
        <f>$W$9</f>
        <v>4</v>
      </c>
      <c r="CA35" s="174">
        <f>$X$9</f>
        <v>5</v>
      </c>
      <c r="CB35" s="174">
        <f>$S$9</f>
        <v>0</v>
      </c>
      <c r="CC35" s="174">
        <f>$T$9</f>
        <v>1</v>
      </c>
      <c r="CD35" s="174">
        <f>$U$9</f>
        <v>2</v>
      </c>
      <c r="CE35" s="174">
        <f>$V$9</f>
        <v>3</v>
      </c>
      <c r="CF35" s="174">
        <f>$W$9</f>
        <v>4</v>
      </c>
      <c r="CG35" s="174">
        <f>$X$9</f>
        <v>5</v>
      </c>
      <c r="CH35" s="174">
        <f>$S$9</f>
        <v>0</v>
      </c>
      <c r="CI35" s="174">
        <f>$T$9</f>
        <v>1</v>
      </c>
      <c r="CJ35" s="174">
        <f>$U$9</f>
        <v>2</v>
      </c>
      <c r="CK35" s="174">
        <f>$V$9</f>
        <v>3</v>
      </c>
      <c r="CL35" s="174">
        <f>$W$9</f>
        <v>4</v>
      </c>
      <c r="CM35" s="174">
        <f>$X$9</f>
        <v>5</v>
      </c>
      <c r="CN35" s="174">
        <f>$S$9</f>
        <v>0</v>
      </c>
      <c r="CO35" s="174">
        <f>$T$9</f>
        <v>1</v>
      </c>
      <c r="CP35" s="174">
        <f>$U$9</f>
        <v>2</v>
      </c>
      <c r="CQ35" s="174">
        <f>$V$9</f>
        <v>3</v>
      </c>
      <c r="CR35" s="174">
        <f>$W$9</f>
        <v>4</v>
      </c>
      <c r="CS35" s="174">
        <f>$X$9</f>
        <v>5</v>
      </c>
      <c r="CT35" s="174">
        <f>$S$9</f>
        <v>0</v>
      </c>
      <c r="CU35" s="174">
        <f>$T$9</f>
        <v>1</v>
      </c>
      <c r="CV35" s="174">
        <f>$U$9</f>
        <v>2</v>
      </c>
      <c r="CW35" s="174">
        <f>$V$9</f>
        <v>3</v>
      </c>
      <c r="CX35" s="174">
        <f>$W$9</f>
        <v>4</v>
      </c>
      <c r="CY35" s="174">
        <f>$X$9</f>
        <v>5</v>
      </c>
      <c r="CZ35" s="174">
        <f>$S$9</f>
        <v>0</v>
      </c>
      <c r="DA35" s="174">
        <f>$T$9</f>
        <v>1</v>
      </c>
      <c r="DB35" s="174">
        <f>$U$9</f>
        <v>2</v>
      </c>
      <c r="DC35" s="174">
        <f>$V$9</f>
        <v>3</v>
      </c>
      <c r="DD35" s="174">
        <f>$W$9</f>
        <v>4</v>
      </c>
      <c r="DE35" s="174">
        <f>$X$9</f>
        <v>5</v>
      </c>
    </row>
    <row r="36" spans="1:109" ht="15" customHeight="1" x14ac:dyDescent="0.25">
      <c r="A36" s="121"/>
      <c r="B36" s="333" t="s">
        <v>336</v>
      </c>
      <c r="C36" s="158">
        <f>C37-$G$439</f>
        <v>0.15000000000000002</v>
      </c>
      <c r="D36" s="157">
        <f t="shared" ref="D36:D42" si="11">IFERROR(IRR(BD36:BI36),0)</f>
        <v>0.20388129946797395</v>
      </c>
      <c r="E36" s="157">
        <f t="shared" ref="E36:E42" si="12">IFERROR(IRR(BJ36:BO36),0)</f>
        <v>0.22092173319003172</v>
      </c>
      <c r="F36" s="157">
        <f t="shared" ref="F36:F42" si="13">IFERROR(IRR(BP36:BU36),0)</f>
        <v>0.23706074102218366</v>
      </c>
      <c r="G36" s="157">
        <f t="shared" ref="G36:G42" si="14">IFERROR(IRR(BV36:CA36),0)</f>
        <v>0.25239899785601883</v>
      </c>
      <c r="H36" s="157">
        <f t="shared" ref="H36:H42" si="15">IFERROR(IRR(CB36:CG36),0)</f>
        <v>0.26702070446342208</v>
      </c>
      <c r="I36" s="157">
        <f t="shared" ref="I36:I42" si="16">IFERROR(IRR(CH36:CM36),0)</f>
        <v>0.2809970450892656</v>
      </c>
      <c r="J36" s="157">
        <f t="shared" ref="J36:J42" si="17">IFERROR(IRR(CN36:CS36),0)</f>
        <v>0.29438877613573999</v>
      </c>
      <c r="K36" s="157">
        <f t="shared" ref="K36:K42" si="18">IFERROR(IRR(CT36:CY36),0)</f>
        <v>0.30724819674106874</v>
      </c>
      <c r="L36" s="157">
        <f t="shared" ref="L36:L42" si="19">IFERROR(IRR(CZ36:DE36),0)</f>
        <v>0.31962067111170533</v>
      </c>
      <c r="M36" s="121"/>
      <c r="AT36" s="154">
        <f t="shared" ref="AT36:BB42" si="20">IF(Z50&lt;$G$449,0,MIN($G$446,1+IFERROR(INT((Z50-$G$449)/$G$451),0)))</f>
        <v>0</v>
      </c>
      <c r="AU36" s="154">
        <f t="shared" si="20"/>
        <v>0</v>
      </c>
      <c r="AV36" s="154">
        <f t="shared" si="20"/>
        <v>0</v>
      </c>
      <c r="AW36" s="154">
        <f t="shared" si="20"/>
        <v>0</v>
      </c>
      <c r="AX36" s="154">
        <f t="shared" si="20"/>
        <v>0</v>
      </c>
      <c r="AY36" s="154">
        <f t="shared" si="20"/>
        <v>2</v>
      </c>
      <c r="AZ36" s="154">
        <f t="shared" si="20"/>
        <v>4</v>
      </c>
      <c r="BA36" s="154">
        <f t="shared" si="20"/>
        <v>5</v>
      </c>
      <c r="BB36" s="154">
        <f t="shared" si="20"/>
        <v>7</v>
      </c>
      <c r="BD36" s="173">
        <f t="shared" ref="BD36:BD42" si="21">(BD$35=0)*($O10-$G$430)+(BD$35=$G$444)*$G$435+(BD$35=$G$445)*(Z10+$G$430-$O10-$G$435)</f>
        <v>-2350</v>
      </c>
      <c r="BE36" s="173">
        <f t="shared" ref="BE36:BE42" si="22">(BE$35=0)*($O10-$G$430)+(BE$35=$G$444)*$G$435+(BE$35=$G$445)*(Z10+$G$430-$O10-$G$435)</f>
        <v>0</v>
      </c>
      <c r="BF36" s="173">
        <f t="shared" ref="BF36:BF42" si="23">(BF$35=0)*($O10-$G$430)+(BF$35=$G$444)*$G$435+(BF$35=$G$445)*(Z10+$G$430-$O10-$G$435)</f>
        <v>0</v>
      </c>
      <c r="BG36" s="173">
        <f t="shared" ref="BG36:BG42" si="24">(BG$35=0)*($O10-$G$430)+(BG$35=$G$444)*$G$435+(BG$35=$G$445)*(Z10+$G$430-$O10-$G$435)</f>
        <v>0</v>
      </c>
      <c r="BH36" s="173">
        <f t="shared" ref="BH36:BH42" si="25">(BH$35=0)*($O10-$G$430)+(BH$35=$G$444)*$G$435+(BH$35=$G$445)*(Z10+$G$430-$O10-$G$435)</f>
        <v>0</v>
      </c>
      <c r="BI36" s="173">
        <f t="shared" ref="BI36:BJ42" si="26">(BI$35=0)*($O10-$G$430)+(BI$35=$G$444)*$G$435+(BI$35=$G$445)*(Z10+$G$430-$O10-$G$435)</f>
        <v>5942.7328057261693</v>
      </c>
      <c r="BJ36" s="173">
        <f t="shared" si="26"/>
        <v>-2350</v>
      </c>
      <c r="BK36" s="173">
        <f t="shared" ref="BK36:BK42" si="27">(BK$35=0)*($O10-$G$430)+(BK$35=$G$444)*$G$435+(BK$35=$G$445)*(AA10+$G$430-$O10-$G$435)</f>
        <v>0</v>
      </c>
      <c r="BL36" s="173">
        <f t="shared" ref="BL36:BL42" si="28">(BL$35=0)*($O10-$G$430)+(BL$35=$G$444)*$G$435+(BL$35=$G$445)*(AA10+$G$430-$O10-$G$435)</f>
        <v>0</v>
      </c>
      <c r="BM36" s="173">
        <f t="shared" ref="BM36:BM42" si="29">(BM$35=0)*($O10-$G$430)+(BM$35=$G$444)*$G$435+(BM$35=$G$445)*(AA10+$G$430-$O10-$G$435)</f>
        <v>0</v>
      </c>
      <c r="BN36" s="173">
        <f t="shared" ref="BN36:BN42" si="30">(BN$35=0)*($O10-$G$430)+(BN$35=$G$444)*$G$435+(BN$35=$G$445)*(AA10+$G$430-$O10-$G$435)</f>
        <v>0</v>
      </c>
      <c r="BO36" s="173">
        <f t="shared" ref="BO36:BP42" si="31">(BO$35=0)*($O10-$G$430)+(BO$35=$G$444)*$G$435+(BO$35=$G$445)*(AA10+$G$430-$O10-$G$435)</f>
        <v>6375.3933469216445</v>
      </c>
      <c r="BP36" s="173">
        <f t="shared" si="31"/>
        <v>-2350</v>
      </c>
      <c r="BQ36" s="173">
        <f t="shared" ref="BQ36:BQ42" si="32">(BQ$35=0)*($O10-$G$430)+(BQ$35=$G$444)*$G$435+(BQ$35=$G$445)*(AB10+$G$430-$O10-$G$435)</f>
        <v>0</v>
      </c>
      <c r="BR36" s="173">
        <f t="shared" ref="BR36:BR42" si="33">(BR$35=0)*($O10-$G$430)+(BR$35=$G$444)*$G$435+(BR$35=$G$445)*(AB10+$G$430-$O10-$G$435)</f>
        <v>0</v>
      </c>
      <c r="BS36" s="173">
        <f t="shared" ref="BS36:BS42" si="34">(BS$35=0)*($O10-$G$430)+(BS$35=$G$444)*$G$435+(BS$35=$G$445)*(AB10+$G$430-$O10-$G$435)</f>
        <v>0</v>
      </c>
      <c r="BT36" s="173">
        <f t="shared" ref="BT36:BT42" si="35">(BT$35=0)*($O10-$G$430)+(BT$35=$G$444)*$G$435+(BT$35=$G$445)*(AB10+$G$430-$O10-$G$435)</f>
        <v>0</v>
      </c>
      <c r="BU36" s="173">
        <f t="shared" ref="BU36:BV42" si="36">(BU$35=0)*($O10-$G$430)+(BU$35=$G$444)*$G$435+(BU$35=$G$445)*(AB10+$G$430-$O10-$G$435)</f>
        <v>6808.0538881171215</v>
      </c>
      <c r="BV36" s="173">
        <f t="shared" si="36"/>
        <v>-2350</v>
      </c>
      <c r="BW36" s="173">
        <f t="shared" ref="BW36:BW42" si="37">(BW$35=0)*($O10-$G$430)+(BW$35=$G$444)*$G$435+(BW$35=$G$445)*(AC10+$G$430-$O10-$G$435)</f>
        <v>0</v>
      </c>
      <c r="BX36" s="173">
        <f t="shared" ref="BX36:BX42" si="38">(BX$35=0)*($O10-$G$430)+(BX$35=$G$444)*$G$435+(BX$35=$G$445)*(AC10+$G$430-$O10-$G$435)</f>
        <v>0</v>
      </c>
      <c r="BY36" s="173">
        <f t="shared" ref="BY36:BY42" si="39">(BY$35=0)*($O10-$G$430)+(BY$35=$G$444)*$G$435+(BY$35=$G$445)*(AC10+$G$430-$O10-$G$435)</f>
        <v>0</v>
      </c>
      <c r="BZ36" s="173">
        <f t="shared" ref="BZ36:BZ42" si="40">(BZ$35=0)*($O10-$G$430)+(BZ$35=$G$444)*$G$435+(BZ$35=$G$445)*(AC10+$G$430-$O10-$G$435)</f>
        <v>0</v>
      </c>
      <c r="CA36" s="173">
        <f t="shared" ref="CA36:CB42" si="41">(CA$35=0)*($O10-$G$430)+(CA$35=$G$444)*$G$435+(CA$35=$G$445)*(AC10+$G$430-$O10-$G$435)</f>
        <v>7240.7144293125975</v>
      </c>
      <c r="CB36" s="173">
        <f t="shared" si="41"/>
        <v>-2350</v>
      </c>
      <c r="CC36" s="173">
        <f t="shared" ref="CC36:CC42" si="42">(CC$35=0)*($O10-$G$430)+(CC$35=$G$444)*$G$435+(CC$35=$G$445)*(AD10+$G$430-$O10-$G$435)</f>
        <v>0</v>
      </c>
      <c r="CD36" s="173">
        <f t="shared" ref="CD36:CD42" si="43">(CD$35=0)*($O10-$G$430)+(CD$35=$G$444)*$G$435+(CD$35=$G$445)*(AD10+$G$430-$O10-$G$435)</f>
        <v>0</v>
      </c>
      <c r="CE36" s="173">
        <f t="shared" ref="CE36:CE42" si="44">(CE$35=0)*($O10-$G$430)+(CE$35=$G$444)*$G$435+(CE$35=$G$445)*(AD10+$G$430-$O10-$G$435)</f>
        <v>0</v>
      </c>
      <c r="CF36" s="173">
        <f t="shared" ref="CF36:CF42" si="45">(CF$35=0)*($O10-$G$430)+(CF$35=$G$444)*$G$435+(CF$35=$G$445)*(AD10+$G$430-$O10-$G$435)</f>
        <v>0</v>
      </c>
      <c r="CG36" s="173">
        <f t="shared" ref="CG36:CH42" si="46">(CG$35=0)*($O10-$G$430)+(CG$35=$G$444)*$G$435+(CG$35=$G$445)*(AD10+$G$430-$O10-$G$435)</f>
        <v>7673.3749705080736</v>
      </c>
      <c r="CH36" s="173">
        <f t="shared" si="46"/>
        <v>-2350</v>
      </c>
      <c r="CI36" s="173">
        <f t="shared" ref="CI36:CI42" si="47">(CI$35=0)*($O10-$G$430)+(CI$35=$G$444)*$G$435+(CI$35=$G$445)*(AE10+$G$430-$O10-$G$435)</f>
        <v>0</v>
      </c>
      <c r="CJ36" s="173">
        <f t="shared" ref="CJ36:CJ42" si="48">(CJ$35=0)*($O10-$G$430)+(CJ$35=$G$444)*$G$435+(CJ$35=$G$445)*(AE10+$G$430-$O10-$G$435)</f>
        <v>0</v>
      </c>
      <c r="CK36" s="173">
        <f t="shared" ref="CK36:CK42" si="49">(CK$35=0)*($O10-$G$430)+(CK$35=$G$444)*$G$435+(CK$35=$G$445)*(AE10+$G$430-$O10-$G$435)</f>
        <v>0</v>
      </c>
      <c r="CL36" s="173">
        <f t="shared" ref="CL36:CL42" si="50">(CL$35=0)*($O10-$G$430)+(CL$35=$G$444)*$G$435+(CL$35=$G$445)*(AE10+$G$430-$O10-$G$435)</f>
        <v>0</v>
      </c>
      <c r="CM36" s="173">
        <f t="shared" ref="CM36:CN42" si="51">(CM$35=0)*($O10-$G$430)+(CM$35=$G$444)*$G$435+(CM$35=$G$445)*(AE10+$G$430-$O10-$G$435)</f>
        <v>8106.0355117035506</v>
      </c>
      <c r="CN36" s="173">
        <f t="shared" si="51"/>
        <v>-2350</v>
      </c>
      <c r="CO36" s="173">
        <f t="shared" ref="CO36:CO42" si="52">(CO$35=0)*($O10-$G$430)+(CO$35=$G$444)*$G$435+(CO$35=$G$445)*(AF10+$G$430-$O10-$G$435)</f>
        <v>0</v>
      </c>
      <c r="CP36" s="173">
        <f t="shared" ref="CP36:CP42" si="53">(CP$35=0)*($O10-$G$430)+(CP$35=$G$444)*$G$435+(CP$35=$G$445)*(AF10+$G$430-$O10-$G$435)</f>
        <v>0</v>
      </c>
      <c r="CQ36" s="173">
        <f t="shared" ref="CQ36:CQ42" si="54">(CQ$35=0)*($O10-$G$430)+(CQ$35=$G$444)*$G$435+(CQ$35=$G$445)*(AF10+$G$430-$O10-$G$435)</f>
        <v>0</v>
      </c>
      <c r="CR36" s="173">
        <f t="shared" ref="CR36:CR42" si="55">(CR$35=0)*($O10-$G$430)+(CR$35=$G$444)*$G$435+(CR$35=$G$445)*(AF10+$G$430-$O10-$G$435)</f>
        <v>0</v>
      </c>
      <c r="CS36" s="173">
        <f t="shared" ref="CS36:CT42" si="56">(CS$35=0)*($O10-$G$430)+(CS$35=$G$444)*$G$435+(CS$35=$G$445)*(AF10+$G$430-$O10-$G$435)</f>
        <v>8538.6960528990276</v>
      </c>
      <c r="CT36" s="173">
        <f t="shared" si="56"/>
        <v>-2350</v>
      </c>
      <c r="CU36" s="173">
        <f t="shared" ref="CU36:CU42" si="57">(CU$35=0)*($O10-$G$430)+(CU$35=$G$444)*$G$435+(CU$35=$G$445)*(AG10+$G$430-$O10-$G$435)</f>
        <v>0</v>
      </c>
      <c r="CV36" s="173">
        <f t="shared" ref="CV36:CV42" si="58">(CV$35=0)*($O10-$G$430)+(CV$35=$G$444)*$G$435+(CV$35=$G$445)*(AG10+$G$430-$O10-$G$435)</f>
        <v>0</v>
      </c>
      <c r="CW36" s="173">
        <f t="shared" ref="CW36:CW42" si="59">(CW$35=0)*($O10-$G$430)+(CW$35=$G$444)*$G$435+(CW$35=$G$445)*(AG10+$G$430-$O10-$G$435)</f>
        <v>0</v>
      </c>
      <c r="CX36" s="173">
        <f t="shared" ref="CX36:CX42" si="60">(CX$35=0)*($O10-$G$430)+(CX$35=$G$444)*$G$435+(CX$35=$G$445)*(AG10+$G$430-$O10-$G$435)</f>
        <v>0</v>
      </c>
      <c r="CY36" s="173">
        <f t="shared" ref="CY36:CZ42" si="61">(CY$35=0)*($O10-$G$430)+(CY$35=$G$444)*$G$435+(CY$35=$G$445)*(AG10+$G$430-$O10-$G$435)</f>
        <v>8971.3565940945045</v>
      </c>
      <c r="CZ36" s="173">
        <f t="shared" si="61"/>
        <v>-2350</v>
      </c>
      <c r="DA36" s="173">
        <f t="shared" ref="DA36:DA42" si="62">(DA$35=0)*($O10-$G$430)+(DA$35=$G$444)*$G$435+(DA$35=$G$445)*(AH10+$G$430-$O10-$G$435)</f>
        <v>0</v>
      </c>
      <c r="DB36" s="173">
        <f t="shared" ref="DB36:DB42" si="63">(DB$35=0)*($O10-$G$430)+(DB$35=$G$444)*$G$435+(DB$35=$G$445)*(AH10+$G$430-$O10-$G$435)</f>
        <v>0</v>
      </c>
      <c r="DC36" s="173">
        <f t="shared" ref="DC36:DC42" si="64">(DC$35=0)*($O10-$G$430)+(DC$35=$G$444)*$G$435+(DC$35=$G$445)*(AH10+$G$430-$O10-$G$435)</f>
        <v>0</v>
      </c>
      <c r="DD36" s="173">
        <f t="shared" ref="DD36:DD42" si="65">(DD$35=0)*($O10-$G$430)+(DD$35=$G$444)*$G$435+(DD$35=$G$445)*(AH10+$G$430-$O10-$G$435)</f>
        <v>0</v>
      </c>
      <c r="DE36" s="173">
        <f t="shared" ref="DE36:DE42" si="66">(DE$35=0)*($O10-$G$430)+(DE$35=$G$444)*$G$435+(DE$35=$G$445)*(AH10+$G$430-$O10-$G$435)</f>
        <v>9404.0171352899815</v>
      </c>
    </row>
    <row r="37" spans="1:109" ht="15" customHeight="1" x14ac:dyDescent="0.25">
      <c r="A37" s="121"/>
      <c r="B37" s="334"/>
      <c r="C37" s="158">
        <f>C38-$G$439</f>
        <v>0.2</v>
      </c>
      <c r="D37" s="157">
        <f t="shared" si="11"/>
        <v>0.21909796755647126</v>
      </c>
      <c r="E37" s="157">
        <f t="shared" si="12"/>
        <v>0.23411533302631615</v>
      </c>
      <c r="F37" s="157">
        <f t="shared" si="13"/>
        <v>0.24843543420293512</v>
      </c>
      <c r="G37" s="157">
        <f t="shared" si="14"/>
        <v>0.26212713836359569</v>
      </c>
      <c r="H37" s="157">
        <f t="shared" si="15"/>
        <v>0.2752492797595405</v>
      </c>
      <c r="I37" s="157">
        <f t="shared" si="16"/>
        <v>0.28785254566912655</v>
      </c>
      <c r="J37" s="157">
        <f t="shared" si="17"/>
        <v>0.29998093561561778</v>
      </c>
      <c r="K37" s="157">
        <f t="shared" si="18"/>
        <v>0.31167290526155633</v>
      </c>
      <c r="L37" s="157">
        <f t="shared" si="19"/>
        <v>0.32296227368615704</v>
      </c>
      <c r="M37" s="121"/>
      <c r="AT37" s="154">
        <f t="shared" si="20"/>
        <v>0</v>
      </c>
      <c r="AU37" s="154">
        <f t="shared" si="20"/>
        <v>0</v>
      </c>
      <c r="AV37" s="154">
        <f t="shared" si="20"/>
        <v>0</v>
      </c>
      <c r="AW37" s="154">
        <f t="shared" si="20"/>
        <v>0</v>
      </c>
      <c r="AX37" s="154">
        <f t="shared" si="20"/>
        <v>1</v>
      </c>
      <c r="AY37" s="154">
        <f t="shared" si="20"/>
        <v>3</v>
      </c>
      <c r="AZ37" s="154">
        <f t="shared" si="20"/>
        <v>4</v>
      </c>
      <c r="BA37" s="154">
        <f t="shared" si="20"/>
        <v>6</v>
      </c>
      <c r="BB37" s="154">
        <f t="shared" si="20"/>
        <v>8</v>
      </c>
      <c r="BD37" s="173">
        <f t="shared" si="21"/>
        <v>-2350</v>
      </c>
      <c r="BE37" s="173">
        <f t="shared" si="22"/>
        <v>0</v>
      </c>
      <c r="BF37" s="173">
        <f t="shared" si="23"/>
        <v>0</v>
      </c>
      <c r="BG37" s="173">
        <f t="shared" si="24"/>
        <v>0</v>
      </c>
      <c r="BH37" s="173">
        <f t="shared" si="25"/>
        <v>0</v>
      </c>
      <c r="BI37" s="173">
        <f t="shared" si="26"/>
        <v>6327.918810968451</v>
      </c>
      <c r="BJ37" s="173">
        <f t="shared" si="26"/>
        <v>-2350</v>
      </c>
      <c r="BK37" s="173">
        <f t="shared" si="27"/>
        <v>0</v>
      </c>
      <c r="BL37" s="173">
        <f t="shared" si="28"/>
        <v>0</v>
      </c>
      <c r="BM37" s="173">
        <f t="shared" si="29"/>
        <v>0</v>
      </c>
      <c r="BN37" s="173">
        <f t="shared" si="30"/>
        <v>0</v>
      </c>
      <c r="BO37" s="173">
        <f t="shared" si="31"/>
        <v>6727.3899648146053</v>
      </c>
      <c r="BP37" s="173">
        <f t="shared" si="31"/>
        <v>-2350</v>
      </c>
      <c r="BQ37" s="173">
        <f t="shared" si="32"/>
        <v>0</v>
      </c>
      <c r="BR37" s="173">
        <f t="shared" si="33"/>
        <v>0</v>
      </c>
      <c r="BS37" s="173">
        <f t="shared" si="34"/>
        <v>0</v>
      </c>
      <c r="BT37" s="173">
        <f t="shared" si="35"/>
        <v>0</v>
      </c>
      <c r="BU37" s="173">
        <f t="shared" si="36"/>
        <v>7126.8611186607595</v>
      </c>
      <c r="BV37" s="173">
        <f t="shared" si="36"/>
        <v>-2350</v>
      </c>
      <c r="BW37" s="173">
        <f t="shared" si="37"/>
        <v>0</v>
      </c>
      <c r="BX37" s="173">
        <f t="shared" si="38"/>
        <v>0</v>
      </c>
      <c r="BY37" s="173">
        <f t="shared" si="39"/>
        <v>0</v>
      </c>
      <c r="BZ37" s="173">
        <f t="shared" si="40"/>
        <v>0</v>
      </c>
      <c r="CA37" s="173">
        <f t="shared" si="41"/>
        <v>7526.3322725069129</v>
      </c>
      <c r="CB37" s="173">
        <f t="shared" si="41"/>
        <v>-2350</v>
      </c>
      <c r="CC37" s="173">
        <f t="shared" si="42"/>
        <v>0</v>
      </c>
      <c r="CD37" s="173">
        <f t="shared" si="43"/>
        <v>0</v>
      </c>
      <c r="CE37" s="173">
        <f t="shared" si="44"/>
        <v>0</v>
      </c>
      <c r="CF37" s="173">
        <f t="shared" si="45"/>
        <v>0</v>
      </c>
      <c r="CG37" s="173">
        <f t="shared" si="46"/>
        <v>7925.8034263530681</v>
      </c>
      <c r="CH37" s="173">
        <f t="shared" si="46"/>
        <v>-2350</v>
      </c>
      <c r="CI37" s="173">
        <f t="shared" si="47"/>
        <v>0</v>
      </c>
      <c r="CJ37" s="173">
        <f t="shared" si="48"/>
        <v>0</v>
      </c>
      <c r="CK37" s="173">
        <f t="shared" si="49"/>
        <v>0</v>
      </c>
      <c r="CL37" s="173">
        <f t="shared" si="50"/>
        <v>0</v>
      </c>
      <c r="CM37" s="173">
        <f t="shared" si="51"/>
        <v>8325.2745801992205</v>
      </c>
      <c r="CN37" s="173">
        <f t="shared" si="51"/>
        <v>-2350</v>
      </c>
      <c r="CO37" s="173">
        <f t="shared" si="52"/>
        <v>0</v>
      </c>
      <c r="CP37" s="173">
        <f t="shared" si="53"/>
        <v>0</v>
      </c>
      <c r="CQ37" s="173">
        <f t="shared" si="54"/>
        <v>0</v>
      </c>
      <c r="CR37" s="173">
        <f t="shared" si="55"/>
        <v>0</v>
      </c>
      <c r="CS37" s="173">
        <f t="shared" si="56"/>
        <v>8724.7457340453748</v>
      </c>
      <c r="CT37" s="173">
        <f t="shared" si="56"/>
        <v>-2350</v>
      </c>
      <c r="CU37" s="173">
        <f t="shared" si="57"/>
        <v>0</v>
      </c>
      <c r="CV37" s="173">
        <f t="shared" si="58"/>
        <v>0</v>
      </c>
      <c r="CW37" s="173">
        <f t="shared" si="59"/>
        <v>0</v>
      </c>
      <c r="CX37" s="173">
        <f t="shared" si="60"/>
        <v>0</v>
      </c>
      <c r="CY37" s="173">
        <f t="shared" si="61"/>
        <v>9124.216887891529</v>
      </c>
      <c r="CZ37" s="173">
        <f t="shared" si="61"/>
        <v>-2350</v>
      </c>
      <c r="DA37" s="173">
        <f t="shared" si="62"/>
        <v>0</v>
      </c>
      <c r="DB37" s="173">
        <f t="shared" si="63"/>
        <v>0</v>
      </c>
      <c r="DC37" s="173">
        <f t="shared" si="64"/>
        <v>0</v>
      </c>
      <c r="DD37" s="173">
        <f t="shared" si="65"/>
        <v>0</v>
      </c>
      <c r="DE37" s="173">
        <f t="shared" si="66"/>
        <v>9523.6880417376815</v>
      </c>
    </row>
    <row r="38" spans="1:109" ht="15" customHeight="1" x14ac:dyDescent="0.25">
      <c r="A38" s="121"/>
      <c r="B38" s="334"/>
      <c r="C38" s="158">
        <f>C39-$G$439</f>
        <v>0.25</v>
      </c>
      <c r="D38" s="157">
        <f t="shared" si="11"/>
        <v>0.23365345629936574</v>
      </c>
      <c r="E38" s="157">
        <f t="shared" si="12"/>
        <v>0.24682211156747402</v>
      </c>
      <c r="F38" s="157">
        <f t="shared" si="13"/>
        <v>0.2594568431663693</v>
      </c>
      <c r="G38" s="157">
        <f t="shared" si="14"/>
        <v>0.27160402027994257</v>
      </c>
      <c r="H38" s="157">
        <f t="shared" si="15"/>
        <v>0.28330403495480883</v>
      </c>
      <c r="I38" s="157">
        <f t="shared" si="16"/>
        <v>0.29459230191456087</v>
      </c>
      <c r="J38" s="157">
        <f t="shared" si="17"/>
        <v>0.30550005600563979</v>
      </c>
      <c r="K38" s="157">
        <f t="shared" si="18"/>
        <v>0.31605499471533394</v>
      </c>
      <c r="L38" s="157">
        <f t="shared" si="19"/>
        <v>0.32628180083504188</v>
      </c>
      <c r="M38" s="121"/>
      <c r="AT38" s="154">
        <f t="shared" si="20"/>
        <v>0</v>
      </c>
      <c r="AU38" s="154">
        <f t="shared" si="20"/>
        <v>0</v>
      </c>
      <c r="AV38" s="154">
        <f t="shared" si="20"/>
        <v>0</v>
      </c>
      <c r="AW38" s="154">
        <f t="shared" si="20"/>
        <v>0</v>
      </c>
      <c r="AX38" s="154">
        <f t="shared" si="20"/>
        <v>2</v>
      </c>
      <c r="AY38" s="154">
        <f t="shared" si="20"/>
        <v>4</v>
      </c>
      <c r="AZ38" s="154">
        <f t="shared" si="20"/>
        <v>5</v>
      </c>
      <c r="BA38" s="154">
        <f t="shared" si="20"/>
        <v>7</v>
      </c>
      <c r="BB38" s="154">
        <f t="shared" si="20"/>
        <v>8</v>
      </c>
      <c r="BD38" s="173">
        <f t="shared" si="21"/>
        <v>-2350</v>
      </c>
      <c r="BE38" s="173">
        <f t="shared" si="22"/>
        <v>0</v>
      </c>
      <c r="BF38" s="173">
        <f t="shared" si="23"/>
        <v>0</v>
      </c>
      <c r="BG38" s="173">
        <f t="shared" si="24"/>
        <v>0</v>
      </c>
      <c r="BH38" s="173">
        <f t="shared" si="25"/>
        <v>0</v>
      </c>
      <c r="BI38" s="173">
        <f t="shared" si="26"/>
        <v>6714.8105087393833</v>
      </c>
      <c r="BJ38" s="173">
        <f t="shared" si="26"/>
        <v>-2350</v>
      </c>
      <c r="BK38" s="173">
        <f t="shared" si="27"/>
        <v>0</v>
      </c>
      <c r="BL38" s="173">
        <f t="shared" si="28"/>
        <v>0</v>
      </c>
      <c r="BM38" s="173">
        <f t="shared" si="29"/>
        <v>0</v>
      </c>
      <c r="BN38" s="173">
        <f t="shared" si="30"/>
        <v>0</v>
      </c>
      <c r="BO38" s="173">
        <f t="shared" si="31"/>
        <v>7080.9306386095122</v>
      </c>
      <c r="BP38" s="173">
        <f t="shared" si="31"/>
        <v>-2350</v>
      </c>
      <c r="BQ38" s="173">
        <f t="shared" si="32"/>
        <v>0</v>
      </c>
      <c r="BR38" s="173">
        <f t="shared" si="33"/>
        <v>0</v>
      </c>
      <c r="BS38" s="173">
        <f t="shared" si="34"/>
        <v>0</v>
      </c>
      <c r="BT38" s="173">
        <f t="shared" si="35"/>
        <v>0</v>
      </c>
      <c r="BU38" s="173">
        <f t="shared" si="36"/>
        <v>7447.050768479643</v>
      </c>
      <c r="BV38" s="173">
        <f t="shared" si="36"/>
        <v>-2350</v>
      </c>
      <c r="BW38" s="173">
        <f t="shared" si="37"/>
        <v>0</v>
      </c>
      <c r="BX38" s="173">
        <f t="shared" si="38"/>
        <v>0</v>
      </c>
      <c r="BY38" s="173">
        <f t="shared" si="39"/>
        <v>0</v>
      </c>
      <c r="BZ38" s="173">
        <f t="shared" si="40"/>
        <v>0</v>
      </c>
      <c r="CA38" s="173">
        <f t="shared" si="41"/>
        <v>7813.170898349772</v>
      </c>
      <c r="CB38" s="173">
        <f t="shared" si="41"/>
        <v>-2350</v>
      </c>
      <c r="CC38" s="173">
        <f t="shared" si="42"/>
        <v>0</v>
      </c>
      <c r="CD38" s="173">
        <f t="shared" si="43"/>
        <v>0</v>
      </c>
      <c r="CE38" s="173">
        <f t="shared" si="44"/>
        <v>0</v>
      </c>
      <c r="CF38" s="173">
        <f t="shared" si="45"/>
        <v>0</v>
      </c>
      <c r="CG38" s="173">
        <f t="shared" si="46"/>
        <v>8179.2910282199027</v>
      </c>
      <c r="CH38" s="173">
        <f t="shared" si="46"/>
        <v>-2350</v>
      </c>
      <c r="CI38" s="173">
        <f t="shared" si="47"/>
        <v>0</v>
      </c>
      <c r="CJ38" s="173">
        <f t="shared" si="48"/>
        <v>0</v>
      </c>
      <c r="CK38" s="173">
        <f t="shared" si="49"/>
        <v>0</v>
      </c>
      <c r="CL38" s="173">
        <f t="shared" si="50"/>
        <v>0</v>
      </c>
      <c r="CM38" s="173">
        <f t="shared" si="51"/>
        <v>8545.4111580900317</v>
      </c>
      <c r="CN38" s="173">
        <f t="shared" si="51"/>
        <v>-2350</v>
      </c>
      <c r="CO38" s="173">
        <f t="shared" si="52"/>
        <v>0</v>
      </c>
      <c r="CP38" s="173">
        <f t="shared" si="53"/>
        <v>0</v>
      </c>
      <c r="CQ38" s="173">
        <f t="shared" si="54"/>
        <v>0</v>
      </c>
      <c r="CR38" s="173">
        <f t="shared" si="55"/>
        <v>0</v>
      </c>
      <c r="CS38" s="173">
        <f t="shared" si="56"/>
        <v>8911.5312879601624</v>
      </c>
      <c r="CT38" s="173">
        <f t="shared" si="56"/>
        <v>-2350</v>
      </c>
      <c r="CU38" s="173">
        <f t="shared" si="57"/>
        <v>0</v>
      </c>
      <c r="CV38" s="173">
        <f t="shared" si="58"/>
        <v>0</v>
      </c>
      <c r="CW38" s="173">
        <f t="shared" si="59"/>
        <v>0</v>
      </c>
      <c r="CX38" s="173">
        <f t="shared" si="60"/>
        <v>0</v>
      </c>
      <c r="CY38" s="173">
        <f t="shared" si="61"/>
        <v>9277.6514178302932</v>
      </c>
      <c r="CZ38" s="173">
        <f t="shared" si="61"/>
        <v>-2350</v>
      </c>
      <c r="DA38" s="173">
        <f t="shared" si="62"/>
        <v>0</v>
      </c>
      <c r="DB38" s="173">
        <f t="shared" si="63"/>
        <v>0</v>
      </c>
      <c r="DC38" s="173">
        <f t="shared" si="64"/>
        <v>0</v>
      </c>
      <c r="DD38" s="173">
        <f t="shared" si="65"/>
        <v>0</v>
      </c>
      <c r="DE38" s="173">
        <f t="shared" si="66"/>
        <v>9643.7715477004222</v>
      </c>
    </row>
    <row r="39" spans="1:109" ht="15" customHeight="1" x14ac:dyDescent="0.25">
      <c r="A39" s="121"/>
      <c r="B39" s="334"/>
      <c r="C39" s="158">
        <f>$G$438</f>
        <v>0.3</v>
      </c>
      <c r="D39" s="157">
        <f t="shared" si="11"/>
        <v>0.24761311388791962</v>
      </c>
      <c r="E39" s="157">
        <f t="shared" si="12"/>
        <v>0.25908373981303301</v>
      </c>
      <c r="F39" s="157">
        <f t="shared" si="13"/>
        <v>0.27015098157094575</v>
      </c>
      <c r="G39" s="157">
        <f t="shared" si="14"/>
        <v>0.28084541841584931</v>
      </c>
      <c r="H39" s="159">
        <f t="shared" si="15"/>
        <v>0.29119416880747617</v>
      </c>
      <c r="I39" s="157">
        <f t="shared" si="16"/>
        <v>0.30122140139452713</v>
      </c>
      <c r="J39" s="157">
        <f t="shared" si="17"/>
        <v>0.31094875427053492</v>
      </c>
      <c r="K39" s="157">
        <f t="shared" si="18"/>
        <v>0.32039568158616216</v>
      </c>
      <c r="L39" s="157">
        <f t="shared" si="19"/>
        <v>0.32957974239339749</v>
      </c>
      <c r="M39" s="121"/>
      <c r="AT39" s="154">
        <f t="shared" si="20"/>
        <v>0</v>
      </c>
      <c r="AU39" s="154">
        <f t="shared" si="20"/>
        <v>0</v>
      </c>
      <c r="AV39" s="154">
        <f t="shared" si="20"/>
        <v>0</v>
      </c>
      <c r="AW39" s="154">
        <f t="shared" si="20"/>
        <v>2</v>
      </c>
      <c r="AX39" s="154">
        <f t="shared" si="20"/>
        <v>3</v>
      </c>
      <c r="AY39" s="154">
        <f t="shared" si="20"/>
        <v>5</v>
      </c>
      <c r="AZ39" s="154">
        <f t="shared" si="20"/>
        <v>6</v>
      </c>
      <c r="BA39" s="154">
        <f t="shared" si="20"/>
        <v>7</v>
      </c>
      <c r="BB39" s="154">
        <f t="shared" si="20"/>
        <v>9</v>
      </c>
      <c r="BD39" s="173">
        <f t="shared" si="21"/>
        <v>-2350</v>
      </c>
      <c r="BE39" s="173">
        <f t="shared" si="22"/>
        <v>0</v>
      </c>
      <c r="BF39" s="173">
        <f t="shared" si="23"/>
        <v>0</v>
      </c>
      <c r="BG39" s="173">
        <f t="shared" si="24"/>
        <v>0</v>
      </c>
      <c r="BH39" s="173">
        <f t="shared" si="25"/>
        <v>0</v>
      </c>
      <c r="BI39" s="173">
        <f t="shared" si="26"/>
        <v>7103.4203898711494</v>
      </c>
      <c r="BJ39" s="173">
        <f t="shared" si="26"/>
        <v>-2350</v>
      </c>
      <c r="BK39" s="173">
        <f t="shared" si="27"/>
        <v>0</v>
      </c>
      <c r="BL39" s="173">
        <f t="shared" si="28"/>
        <v>0</v>
      </c>
      <c r="BM39" s="173">
        <f t="shared" si="29"/>
        <v>0</v>
      </c>
      <c r="BN39" s="173">
        <f t="shared" si="30"/>
        <v>0</v>
      </c>
      <c r="BO39" s="173">
        <f t="shared" si="31"/>
        <v>7436.0266754691947</v>
      </c>
      <c r="BP39" s="173">
        <f t="shared" si="31"/>
        <v>-2350</v>
      </c>
      <c r="BQ39" s="173">
        <f t="shared" si="32"/>
        <v>0</v>
      </c>
      <c r="BR39" s="173">
        <f t="shared" si="33"/>
        <v>0</v>
      </c>
      <c r="BS39" s="173">
        <f t="shared" si="34"/>
        <v>0</v>
      </c>
      <c r="BT39" s="173">
        <f t="shared" si="35"/>
        <v>0</v>
      </c>
      <c r="BU39" s="173">
        <f t="shared" si="36"/>
        <v>7768.6329610672419</v>
      </c>
      <c r="BV39" s="173">
        <f t="shared" si="36"/>
        <v>-2350</v>
      </c>
      <c r="BW39" s="173">
        <f t="shared" si="37"/>
        <v>0</v>
      </c>
      <c r="BX39" s="173">
        <f t="shared" si="38"/>
        <v>0</v>
      </c>
      <c r="BY39" s="173">
        <f t="shared" si="39"/>
        <v>0</v>
      </c>
      <c r="BZ39" s="173">
        <f t="shared" si="40"/>
        <v>0</v>
      </c>
      <c r="CA39" s="173">
        <f t="shared" si="41"/>
        <v>8101.2392466652891</v>
      </c>
      <c r="CB39" s="173">
        <f t="shared" si="41"/>
        <v>-2350</v>
      </c>
      <c r="CC39" s="173">
        <f t="shared" si="42"/>
        <v>0</v>
      </c>
      <c r="CD39" s="173">
        <f t="shared" si="43"/>
        <v>0</v>
      </c>
      <c r="CE39" s="173">
        <f t="shared" si="44"/>
        <v>0</v>
      </c>
      <c r="CF39" s="173">
        <f t="shared" si="45"/>
        <v>0</v>
      </c>
      <c r="CG39" s="173">
        <f t="shared" si="46"/>
        <v>8433.8455322633381</v>
      </c>
      <c r="CH39" s="173">
        <f t="shared" si="46"/>
        <v>-2350</v>
      </c>
      <c r="CI39" s="173">
        <f t="shared" si="47"/>
        <v>0</v>
      </c>
      <c r="CJ39" s="173">
        <f t="shared" si="48"/>
        <v>0</v>
      </c>
      <c r="CK39" s="173">
        <f t="shared" si="49"/>
        <v>0</v>
      </c>
      <c r="CL39" s="173">
        <f t="shared" si="50"/>
        <v>0</v>
      </c>
      <c r="CM39" s="173">
        <f t="shared" si="51"/>
        <v>8766.4518178613835</v>
      </c>
      <c r="CN39" s="173">
        <f t="shared" si="51"/>
        <v>-2350</v>
      </c>
      <c r="CO39" s="173">
        <f t="shared" si="52"/>
        <v>0</v>
      </c>
      <c r="CP39" s="173">
        <f t="shared" si="53"/>
        <v>0</v>
      </c>
      <c r="CQ39" s="173">
        <f t="shared" si="54"/>
        <v>0</v>
      </c>
      <c r="CR39" s="173">
        <f t="shared" si="55"/>
        <v>0</v>
      </c>
      <c r="CS39" s="173">
        <f t="shared" si="56"/>
        <v>9099.0581034594325</v>
      </c>
      <c r="CT39" s="173">
        <f t="shared" si="56"/>
        <v>-2350</v>
      </c>
      <c r="CU39" s="173">
        <f t="shared" si="57"/>
        <v>0</v>
      </c>
      <c r="CV39" s="173">
        <f t="shared" si="58"/>
        <v>0</v>
      </c>
      <c r="CW39" s="173">
        <f t="shared" si="59"/>
        <v>0</v>
      </c>
      <c r="CX39" s="173">
        <f t="shared" si="60"/>
        <v>0</v>
      </c>
      <c r="CY39" s="173">
        <f t="shared" si="61"/>
        <v>9431.6643890574778</v>
      </c>
      <c r="CZ39" s="173">
        <f t="shared" si="61"/>
        <v>-2350</v>
      </c>
      <c r="DA39" s="173">
        <f t="shared" si="62"/>
        <v>0</v>
      </c>
      <c r="DB39" s="173">
        <f t="shared" si="63"/>
        <v>0</v>
      </c>
      <c r="DC39" s="173">
        <f t="shared" si="64"/>
        <v>0</v>
      </c>
      <c r="DD39" s="173">
        <f t="shared" si="65"/>
        <v>0</v>
      </c>
      <c r="DE39" s="173">
        <f t="shared" si="66"/>
        <v>9764.2706746555268</v>
      </c>
    </row>
    <row r="40" spans="1:109" ht="15" customHeight="1" x14ac:dyDescent="0.25">
      <c r="A40" s="121"/>
      <c r="B40" s="334"/>
      <c r="C40" s="158">
        <f>C39+$G$439</f>
        <v>0.35</v>
      </c>
      <c r="D40" s="157">
        <f t="shared" si="11"/>
        <v>0.26103283777883224</v>
      </c>
      <c r="E40" s="157">
        <f t="shared" si="12"/>
        <v>0.27093664491210356</v>
      </c>
      <c r="F40" s="157">
        <f t="shared" si="13"/>
        <v>0.28054103802281216</v>
      </c>
      <c r="G40" s="157">
        <f t="shared" si="14"/>
        <v>0.28986564495436351</v>
      </c>
      <c r="H40" s="157">
        <f t="shared" si="15"/>
        <v>0.29892816212919548</v>
      </c>
      <c r="I40" s="157">
        <f t="shared" si="16"/>
        <v>0.30774460376977353</v>
      </c>
      <c r="J40" s="157">
        <f t="shared" si="17"/>
        <v>0.31632951176620727</v>
      </c>
      <c r="K40" s="157">
        <f t="shared" si="18"/>
        <v>0.32469613361840199</v>
      </c>
      <c r="L40" s="157">
        <f t="shared" si="19"/>
        <v>0.33285657396631141</v>
      </c>
      <c r="M40" s="121"/>
      <c r="AT40" s="154">
        <f t="shared" si="20"/>
        <v>0</v>
      </c>
      <c r="AU40" s="154">
        <f t="shared" si="20"/>
        <v>0</v>
      </c>
      <c r="AV40" s="154">
        <f t="shared" si="20"/>
        <v>2</v>
      </c>
      <c r="AW40" s="154">
        <f t="shared" si="20"/>
        <v>3</v>
      </c>
      <c r="AX40" s="154">
        <f t="shared" si="20"/>
        <v>4</v>
      </c>
      <c r="AY40" s="154">
        <f t="shared" si="20"/>
        <v>6</v>
      </c>
      <c r="AZ40" s="154">
        <f t="shared" si="20"/>
        <v>7</v>
      </c>
      <c r="BA40" s="154">
        <f t="shared" si="20"/>
        <v>8</v>
      </c>
      <c r="BB40" s="154">
        <f t="shared" si="20"/>
        <v>9</v>
      </c>
      <c r="BD40" s="173">
        <f t="shared" si="21"/>
        <v>-2350</v>
      </c>
      <c r="BE40" s="173">
        <f t="shared" si="22"/>
        <v>0</v>
      </c>
      <c r="BF40" s="173">
        <f t="shared" si="23"/>
        <v>0</v>
      </c>
      <c r="BG40" s="173">
        <f t="shared" si="24"/>
        <v>0</v>
      </c>
      <c r="BH40" s="173">
        <f t="shared" si="25"/>
        <v>0</v>
      </c>
      <c r="BI40" s="173">
        <f t="shared" si="26"/>
        <v>7493.7610674553061</v>
      </c>
      <c r="BJ40" s="173">
        <f t="shared" si="26"/>
        <v>-2350</v>
      </c>
      <c r="BK40" s="173">
        <f t="shared" si="27"/>
        <v>0</v>
      </c>
      <c r="BL40" s="173">
        <f t="shared" si="28"/>
        <v>0</v>
      </c>
      <c r="BM40" s="173">
        <f t="shared" si="29"/>
        <v>0</v>
      </c>
      <c r="BN40" s="173">
        <f t="shared" si="30"/>
        <v>0</v>
      </c>
      <c r="BO40" s="173">
        <f t="shared" si="31"/>
        <v>7792.6894932301839</v>
      </c>
      <c r="BP40" s="173">
        <f t="shared" si="31"/>
        <v>-2350</v>
      </c>
      <c r="BQ40" s="173">
        <f t="shared" si="32"/>
        <v>0</v>
      </c>
      <c r="BR40" s="173">
        <f t="shared" si="33"/>
        <v>0</v>
      </c>
      <c r="BS40" s="173">
        <f t="shared" si="34"/>
        <v>0</v>
      </c>
      <c r="BT40" s="173">
        <f t="shared" si="35"/>
        <v>0</v>
      </c>
      <c r="BU40" s="173">
        <f t="shared" si="36"/>
        <v>8091.6179190050607</v>
      </c>
      <c r="BV40" s="173">
        <f t="shared" si="36"/>
        <v>-2350</v>
      </c>
      <c r="BW40" s="173">
        <f t="shared" si="37"/>
        <v>0</v>
      </c>
      <c r="BX40" s="173">
        <f t="shared" si="38"/>
        <v>0</v>
      </c>
      <c r="BY40" s="173">
        <f t="shared" si="39"/>
        <v>0</v>
      </c>
      <c r="BZ40" s="173">
        <f t="shared" si="40"/>
        <v>0</v>
      </c>
      <c r="CA40" s="173">
        <f t="shared" si="41"/>
        <v>8390.5463447799393</v>
      </c>
      <c r="CB40" s="173">
        <f t="shared" si="41"/>
        <v>-2350</v>
      </c>
      <c r="CC40" s="173">
        <f t="shared" si="42"/>
        <v>0</v>
      </c>
      <c r="CD40" s="173">
        <f t="shared" si="43"/>
        <v>0</v>
      </c>
      <c r="CE40" s="173">
        <f t="shared" si="44"/>
        <v>0</v>
      </c>
      <c r="CF40" s="173">
        <f t="shared" si="45"/>
        <v>0</v>
      </c>
      <c r="CG40" s="173">
        <f t="shared" si="46"/>
        <v>8689.4747705548161</v>
      </c>
      <c r="CH40" s="173">
        <f t="shared" si="46"/>
        <v>-2350</v>
      </c>
      <c r="CI40" s="173">
        <f t="shared" si="47"/>
        <v>0</v>
      </c>
      <c r="CJ40" s="173">
        <f t="shared" si="48"/>
        <v>0</v>
      </c>
      <c r="CK40" s="173">
        <f t="shared" si="49"/>
        <v>0</v>
      </c>
      <c r="CL40" s="173">
        <f t="shared" si="50"/>
        <v>0</v>
      </c>
      <c r="CM40" s="173">
        <f t="shared" si="51"/>
        <v>8988.4031963296948</v>
      </c>
      <c r="CN40" s="173">
        <f t="shared" si="51"/>
        <v>-2350</v>
      </c>
      <c r="CO40" s="173">
        <f t="shared" si="52"/>
        <v>0</v>
      </c>
      <c r="CP40" s="173">
        <f t="shared" si="53"/>
        <v>0</v>
      </c>
      <c r="CQ40" s="173">
        <f t="shared" si="54"/>
        <v>0</v>
      </c>
      <c r="CR40" s="173">
        <f t="shared" si="55"/>
        <v>0</v>
      </c>
      <c r="CS40" s="173">
        <f t="shared" si="56"/>
        <v>9287.3316221045716</v>
      </c>
      <c r="CT40" s="173">
        <f t="shared" si="56"/>
        <v>-2350</v>
      </c>
      <c r="CU40" s="173">
        <f t="shared" si="57"/>
        <v>0</v>
      </c>
      <c r="CV40" s="173">
        <f t="shared" si="58"/>
        <v>0</v>
      </c>
      <c r="CW40" s="173">
        <f t="shared" si="59"/>
        <v>0</v>
      </c>
      <c r="CX40" s="173">
        <f t="shared" si="60"/>
        <v>0</v>
      </c>
      <c r="CY40" s="173">
        <f t="shared" si="61"/>
        <v>9586.2600478794484</v>
      </c>
      <c r="CZ40" s="173">
        <f t="shared" si="61"/>
        <v>-2350</v>
      </c>
      <c r="DA40" s="173">
        <f t="shared" si="62"/>
        <v>0</v>
      </c>
      <c r="DB40" s="173">
        <f t="shared" si="63"/>
        <v>0</v>
      </c>
      <c r="DC40" s="173">
        <f t="shared" si="64"/>
        <v>0</v>
      </c>
      <c r="DD40" s="173">
        <f t="shared" si="65"/>
        <v>0</v>
      </c>
      <c r="DE40" s="173">
        <f t="shared" si="66"/>
        <v>9885.188473654327</v>
      </c>
    </row>
    <row r="41" spans="1:109" ht="15" customHeight="1" x14ac:dyDescent="0.25">
      <c r="A41" s="121"/>
      <c r="B41" s="334"/>
      <c r="C41" s="158">
        <f>C40+$G$439</f>
        <v>0.39999999999999997</v>
      </c>
      <c r="D41" s="157">
        <f t="shared" si="11"/>
        <v>0.27396083824063111</v>
      </c>
      <c r="E41" s="157">
        <f t="shared" si="12"/>
        <v>0.28241286708240865</v>
      </c>
      <c r="F41" s="157">
        <f t="shared" si="13"/>
        <v>0.29064777689014409</v>
      </c>
      <c r="G41" s="157">
        <f t="shared" si="14"/>
        <v>0.29867772765187883</v>
      </c>
      <c r="H41" s="157">
        <f t="shared" si="15"/>
        <v>0.30651385185888547</v>
      </c>
      <c r="I41" s="157">
        <f t="shared" si="16"/>
        <v>0.31416636884846572</v>
      </c>
      <c r="J41" s="157">
        <f t="shared" si="17"/>
        <v>0.32164468362564325</v>
      </c>
      <c r="K41" s="157">
        <f t="shared" si="18"/>
        <v>0.32895747246874207</v>
      </c>
      <c r="L41" s="157">
        <f t="shared" si="19"/>
        <v>0.33611275750712477</v>
      </c>
      <c r="M41" s="121"/>
      <c r="AT41" s="154">
        <f t="shared" si="20"/>
        <v>1</v>
      </c>
      <c r="AU41" s="154">
        <f t="shared" si="20"/>
        <v>2</v>
      </c>
      <c r="AV41" s="154">
        <f t="shared" si="20"/>
        <v>3</v>
      </c>
      <c r="AW41" s="154">
        <f t="shared" si="20"/>
        <v>4</v>
      </c>
      <c r="AX41" s="154">
        <f t="shared" si="20"/>
        <v>5</v>
      </c>
      <c r="AY41" s="154">
        <f t="shared" si="20"/>
        <v>6</v>
      </c>
      <c r="AZ41" s="154">
        <f t="shared" si="20"/>
        <v>8</v>
      </c>
      <c r="BA41" s="154">
        <f t="shared" si="20"/>
        <v>9</v>
      </c>
      <c r="BB41" s="154">
        <f t="shared" si="20"/>
        <v>10</v>
      </c>
      <c r="BD41" s="173">
        <f t="shared" si="21"/>
        <v>-2350</v>
      </c>
      <c r="BE41" s="173">
        <f t="shared" si="22"/>
        <v>0</v>
      </c>
      <c r="BF41" s="173">
        <f t="shared" si="23"/>
        <v>0</v>
      </c>
      <c r="BG41" s="173">
        <f t="shared" si="24"/>
        <v>0</v>
      </c>
      <c r="BH41" s="173">
        <f t="shared" si="25"/>
        <v>0</v>
      </c>
      <c r="BI41" s="173">
        <f t="shared" si="26"/>
        <v>7885.8452783422799</v>
      </c>
      <c r="BJ41" s="173">
        <f t="shared" si="26"/>
        <v>-2350</v>
      </c>
      <c r="BK41" s="173">
        <f t="shared" si="27"/>
        <v>0</v>
      </c>
      <c r="BL41" s="173">
        <f t="shared" si="28"/>
        <v>0</v>
      </c>
      <c r="BM41" s="173">
        <f t="shared" si="29"/>
        <v>0</v>
      </c>
      <c r="BN41" s="173">
        <f t="shared" si="30"/>
        <v>0</v>
      </c>
      <c r="BO41" s="173">
        <f t="shared" si="31"/>
        <v>8150.9306217601061</v>
      </c>
      <c r="BP41" s="173">
        <f t="shared" si="31"/>
        <v>-2350</v>
      </c>
      <c r="BQ41" s="173">
        <f t="shared" si="32"/>
        <v>0</v>
      </c>
      <c r="BR41" s="173">
        <f t="shared" si="33"/>
        <v>0</v>
      </c>
      <c r="BS41" s="173">
        <f t="shared" si="34"/>
        <v>0</v>
      </c>
      <c r="BT41" s="173">
        <f t="shared" si="35"/>
        <v>0</v>
      </c>
      <c r="BU41" s="173">
        <f t="shared" si="36"/>
        <v>8416.0159651779304</v>
      </c>
      <c r="BV41" s="173">
        <f t="shared" si="36"/>
        <v>-2350</v>
      </c>
      <c r="BW41" s="173">
        <f t="shared" si="37"/>
        <v>0</v>
      </c>
      <c r="BX41" s="173">
        <f t="shared" si="38"/>
        <v>0</v>
      </c>
      <c r="BY41" s="173">
        <f t="shared" si="39"/>
        <v>0</v>
      </c>
      <c r="BZ41" s="173">
        <f t="shared" si="40"/>
        <v>0</v>
      </c>
      <c r="CA41" s="173">
        <f t="shared" si="41"/>
        <v>8681.1013085957566</v>
      </c>
      <c r="CB41" s="173">
        <f t="shared" si="41"/>
        <v>-2350</v>
      </c>
      <c r="CC41" s="173">
        <f t="shared" si="42"/>
        <v>0</v>
      </c>
      <c r="CD41" s="173">
        <f t="shared" si="43"/>
        <v>0</v>
      </c>
      <c r="CE41" s="173">
        <f t="shared" si="44"/>
        <v>0</v>
      </c>
      <c r="CF41" s="173">
        <f t="shared" si="45"/>
        <v>0</v>
      </c>
      <c r="CG41" s="173">
        <f t="shared" si="46"/>
        <v>8946.1866520135809</v>
      </c>
      <c r="CH41" s="173">
        <f t="shared" si="46"/>
        <v>-2350</v>
      </c>
      <c r="CI41" s="173">
        <f t="shared" si="47"/>
        <v>0</v>
      </c>
      <c r="CJ41" s="173">
        <f t="shared" si="48"/>
        <v>0</v>
      </c>
      <c r="CK41" s="173">
        <f t="shared" si="49"/>
        <v>0</v>
      </c>
      <c r="CL41" s="173">
        <f t="shared" si="50"/>
        <v>0</v>
      </c>
      <c r="CM41" s="173">
        <f t="shared" si="51"/>
        <v>9211.2719954314052</v>
      </c>
      <c r="CN41" s="173">
        <f t="shared" si="51"/>
        <v>-2350</v>
      </c>
      <c r="CO41" s="173">
        <f t="shared" si="52"/>
        <v>0</v>
      </c>
      <c r="CP41" s="173">
        <f t="shared" si="53"/>
        <v>0</v>
      </c>
      <c r="CQ41" s="173">
        <f t="shared" si="54"/>
        <v>0</v>
      </c>
      <c r="CR41" s="173">
        <f t="shared" si="55"/>
        <v>0</v>
      </c>
      <c r="CS41" s="173">
        <f t="shared" si="56"/>
        <v>9476.3573388492314</v>
      </c>
      <c r="CT41" s="173">
        <f t="shared" si="56"/>
        <v>-2350</v>
      </c>
      <c r="CU41" s="173">
        <f t="shared" si="57"/>
        <v>0</v>
      </c>
      <c r="CV41" s="173">
        <f t="shared" si="58"/>
        <v>0</v>
      </c>
      <c r="CW41" s="173">
        <f t="shared" si="59"/>
        <v>0</v>
      </c>
      <c r="CX41" s="173">
        <f t="shared" si="60"/>
        <v>0</v>
      </c>
      <c r="CY41" s="173">
        <f t="shared" si="61"/>
        <v>9741.4426822670557</v>
      </c>
      <c r="CZ41" s="173">
        <f t="shared" si="61"/>
        <v>-2350</v>
      </c>
      <c r="DA41" s="173">
        <f t="shared" si="62"/>
        <v>0</v>
      </c>
      <c r="DB41" s="173">
        <f t="shared" si="63"/>
        <v>0</v>
      </c>
      <c r="DC41" s="173">
        <f t="shared" si="64"/>
        <v>0</v>
      </c>
      <c r="DD41" s="173">
        <f t="shared" si="65"/>
        <v>0</v>
      </c>
      <c r="DE41" s="173">
        <f t="shared" si="66"/>
        <v>10006.528025684882</v>
      </c>
    </row>
    <row r="42" spans="1:109" ht="15" customHeight="1" x14ac:dyDescent="0.25">
      <c r="A42" s="121"/>
      <c r="B42" s="335"/>
      <c r="C42" s="156">
        <f>C41+$G$439</f>
        <v>0.44999999999999996</v>
      </c>
      <c r="D42" s="155">
        <f t="shared" si="11"/>
        <v>0.28643900569650671</v>
      </c>
      <c r="E42" s="155">
        <f t="shared" si="12"/>
        <v>0.29354074696725352</v>
      </c>
      <c r="F42" s="155">
        <f t="shared" si="13"/>
        <v>0.30048986989015081</v>
      </c>
      <c r="G42" s="155">
        <f t="shared" si="14"/>
        <v>0.30729356149339049</v>
      </c>
      <c r="H42" s="155">
        <f t="shared" si="15"/>
        <v>0.31395849568428646</v>
      </c>
      <c r="I42" s="155">
        <f t="shared" si="16"/>
        <v>0.32049088179632079</v>
      </c>
      <c r="J42" s="155">
        <f t="shared" si="17"/>
        <v>0.32689650738092602</v>
      </c>
      <c r="K42" s="155">
        <f t="shared" si="18"/>
        <v>0.33318077617894937</v>
      </c>
      <c r="L42" s="155">
        <f t="shared" si="19"/>
        <v>0.33934874186660724</v>
      </c>
      <c r="M42" s="121"/>
      <c r="AT42" s="154">
        <f t="shared" si="20"/>
        <v>2</v>
      </c>
      <c r="AU42" s="154">
        <f t="shared" si="20"/>
        <v>3</v>
      </c>
      <c r="AV42" s="154">
        <f t="shared" si="20"/>
        <v>4</v>
      </c>
      <c r="AW42" s="154">
        <f t="shared" si="20"/>
        <v>5</v>
      </c>
      <c r="AX42" s="154">
        <f t="shared" si="20"/>
        <v>6</v>
      </c>
      <c r="AY42" s="154">
        <f t="shared" si="20"/>
        <v>7</v>
      </c>
      <c r="AZ42" s="154">
        <f t="shared" si="20"/>
        <v>8</v>
      </c>
      <c r="BA42" s="154">
        <f t="shared" si="20"/>
        <v>9</v>
      </c>
      <c r="BB42" s="154">
        <f t="shared" si="20"/>
        <v>10</v>
      </c>
      <c r="BD42" s="173">
        <f t="shared" si="21"/>
        <v>-2350</v>
      </c>
      <c r="BE42" s="173">
        <f t="shared" si="22"/>
        <v>0</v>
      </c>
      <c r="BF42" s="173">
        <f t="shared" si="23"/>
        <v>0</v>
      </c>
      <c r="BG42" s="173">
        <f t="shared" si="24"/>
        <v>0</v>
      </c>
      <c r="BH42" s="173">
        <f t="shared" si="25"/>
        <v>0</v>
      </c>
      <c r="BI42" s="173">
        <f t="shared" si="26"/>
        <v>8279.6858846629948</v>
      </c>
      <c r="BJ42" s="173">
        <f t="shared" si="26"/>
        <v>-2350</v>
      </c>
      <c r="BK42" s="173">
        <f t="shared" si="27"/>
        <v>0</v>
      </c>
      <c r="BL42" s="173">
        <f t="shared" si="28"/>
        <v>0</v>
      </c>
      <c r="BM42" s="173">
        <f t="shared" si="29"/>
        <v>0</v>
      </c>
      <c r="BN42" s="173">
        <f t="shared" si="30"/>
        <v>0</v>
      </c>
      <c r="BO42" s="173">
        <f t="shared" si="31"/>
        <v>8510.7617043351256</v>
      </c>
      <c r="BP42" s="173">
        <f t="shared" si="31"/>
        <v>-2350</v>
      </c>
      <c r="BQ42" s="173">
        <f t="shared" si="32"/>
        <v>0</v>
      </c>
      <c r="BR42" s="173">
        <f t="shared" si="33"/>
        <v>0</v>
      </c>
      <c r="BS42" s="173">
        <f t="shared" si="34"/>
        <v>0</v>
      </c>
      <c r="BT42" s="173">
        <f t="shared" si="35"/>
        <v>0</v>
      </c>
      <c r="BU42" s="173">
        <f t="shared" si="36"/>
        <v>8741.8375240072564</v>
      </c>
      <c r="BV42" s="173">
        <f t="shared" si="36"/>
        <v>-2350</v>
      </c>
      <c r="BW42" s="173">
        <f t="shared" si="37"/>
        <v>0</v>
      </c>
      <c r="BX42" s="173">
        <f t="shared" si="38"/>
        <v>0</v>
      </c>
      <c r="BY42" s="173">
        <f t="shared" si="39"/>
        <v>0</v>
      </c>
      <c r="BZ42" s="173">
        <f t="shared" si="40"/>
        <v>0</v>
      </c>
      <c r="CA42" s="173">
        <f t="shared" si="41"/>
        <v>8972.9133436793891</v>
      </c>
      <c r="CB42" s="173">
        <f t="shared" si="41"/>
        <v>-2350</v>
      </c>
      <c r="CC42" s="173">
        <f t="shared" si="42"/>
        <v>0</v>
      </c>
      <c r="CD42" s="173">
        <f t="shared" si="43"/>
        <v>0</v>
      </c>
      <c r="CE42" s="173">
        <f t="shared" si="44"/>
        <v>0</v>
      </c>
      <c r="CF42" s="173">
        <f t="shared" si="45"/>
        <v>0</v>
      </c>
      <c r="CG42" s="173">
        <f t="shared" si="46"/>
        <v>9203.9891633515199</v>
      </c>
      <c r="CH42" s="173">
        <f t="shared" si="46"/>
        <v>-2350</v>
      </c>
      <c r="CI42" s="173">
        <f t="shared" si="47"/>
        <v>0</v>
      </c>
      <c r="CJ42" s="173">
        <f t="shared" si="48"/>
        <v>0</v>
      </c>
      <c r="CK42" s="173">
        <f t="shared" si="49"/>
        <v>0</v>
      </c>
      <c r="CL42" s="173">
        <f t="shared" si="50"/>
        <v>0</v>
      </c>
      <c r="CM42" s="173">
        <f t="shared" si="51"/>
        <v>9435.0649830236507</v>
      </c>
      <c r="CN42" s="173">
        <f t="shared" si="51"/>
        <v>-2350</v>
      </c>
      <c r="CO42" s="173">
        <f t="shared" si="52"/>
        <v>0</v>
      </c>
      <c r="CP42" s="173">
        <f t="shared" si="53"/>
        <v>0</v>
      </c>
      <c r="CQ42" s="173">
        <f t="shared" si="54"/>
        <v>0</v>
      </c>
      <c r="CR42" s="173">
        <f t="shared" si="55"/>
        <v>0</v>
      </c>
      <c r="CS42" s="173">
        <f t="shared" si="56"/>
        <v>9666.1408026957815</v>
      </c>
      <c r="CT42" s="173">
        <f t="shared" si="56"/>
        <v>-2350</v>
      </c>
      <c r="CU42" s="173">
        <f t="shared" si="57"/>
        <v>0</v>
      </c>
      <c r="CV42" s="173">
        <f t="shared" si="58"/>
        <v>0</v>
      </c>
      <c r="CW42" s="173">
        <f t="shared" si="59"/>
        <v>0</v>
      </c>
      <c r="CX42" s="173">
        <f t="shared" si="60"/>
        <v>0</v>
      </c>
      <c r="CY42" s="173">
        <f t="shared" si="61"/>
        <v>9897.2166223679124</v>
      </c>
      <c r="CZ42" s="173">
        <f t="shared" si="61"/>
        <v>-2350</v>
      </c>
      <c r="DA42" s="173">
        <f t="shared" si="62"/>
        <v>0</v>
      </c>
      <c r="DB42" s="173">
        <f t="shared" si="63"/>
        <v>0</v>
      </c>
      <c r="DC42" s="173">
        <f t="shared" si="64"/>
        <v>0</v>
      </c>
      <c r="DD42" s="173">
        <f t="shared" si="65"/>
        <v>0</v>
      </c>
      <c r="DE42" s="173">
        <f t="shared" si="66"/>
        <v>10128.292442040045</v>
      </c>
    </row>
    <row r="43" spans="1:109" ht="15" hidden="1" customHeight="1" outlineLevel="1" x14ac:dyDescent="0.25">
      <c r="A43" s="121"/>
      <c r="B43" s="153" t="s">
        <v>345</v>
      </c>
      <c r="D43" s="121"/>
      <c r="E43" s="121"/>
      <c r="F43" s="121"/>
      <c r="G43" s="121"/>
      <c r="H43" s="121"/>
      <c r="I43" s="121"/>
      <c r="J43" s="121"/>
      <c r="K43" s="121"/>
      <c r="L43" s="121"/>
      <c r="M43" s="121"/>
    </row>
    <row r="44" spans="1:109" ht="3.95" customHeight="1" collapsed="1" x14ac:dyDescent="0.25">
      <c r="A44" s="121"/>
      <c r="B44" s="153"/>
      <c r="D44" s="121"/>
      <c r="E44" s="121"/>
      <c r="F44" s="121"/>
      <c r="G44" s="121"/>
      <c r="H44" s="121"/>
      <c r="I44" s="121"/>
      <c r="J44" s="121"/>
      <c r="K44" s="121"/>
      <c r="L44" s="121"/>
      <c r="M44" s="121"/>
    </row>
    <row r="45" spans="1:109" x14ac:dyDescent="0.25">
      <c r="A45" s="121"/>
      <c r="B45" s="172" t="s">
        <v>368</v>
      </c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21"/>
      <c r="N45" s="121"/>
      <c r="O45" s="121"/>
      <c r="P45" s="121"/>
      <c r="Q45" s="121"/>
    </row>
    <row r="46" spans="1:109" ht="15" customHeight="1" x14ac:dyDescent="0.25">
      <c r="A46" s="121"/>
      <c r="B46" s="164" t="s">
        <v>367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</row>
    <row r="47" spans="1:109" ht="2.1" customHeight="1" x14ac:dyDescent="0.25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</row>
    <row r="48" spans="1:109" ht="12.75" customHeight="1" x14ac:dyDescent="0.25">
      <c r="A48" s="121"/>
      <c r="B48" s="10"/>
      <c r="C48" s="10"/>
      <c r="D48" s="163" t="s">
        <v>287</v>
      </c>
      <c r="E48" s="163"/>
      <c r="F48" s="163"/>
      <c r="G48" s="163"/>
      <c r="H48" s="163"/>
      <c r="I48" s="163"/>
      <c r="J48" s="163"/>
      <c r="K48" s="163"/>
      <c r="L48" s="163"/>
      <c r="M48" s="121"/>
      <c r="N48" s="121"/>
      <c r="O48" s="121"/>
      <c r="P48" s="121"/>
      <c r="Q48" s="121"/>
      <c r="Z48" s="171" t="s">
        <v>366</v>
      </c>
      <c r="AA48" s="58"/>
      <c r="AB48" s="58"/>
      <c r="AC48" s="58"/>
      <c r="AD48" s="58"/>
      <c r="AE48" s="58"/>
      <c r="AF48" s="58"/>
      <c r="AG48" s="58"/>
      <c r="AH48" s="58"/>
    </row>
    <row r="49" spans="1:54" ht="12.75" customHeight="1" x14ac:dyDescent="0.25">
      <c r="A49" s="121"/>
      <c r="B49" s="10"/>
      <c r="C49" s="10"/>
      <c r="D49" s="181">
        <f>E49-$G$441</f>
        <v>1.0219039595619215</v>
      </c>
      <c r="E49" s="181">
        <f>F49-$G$441</f>
        <v>1.2719039595619215</v>
      </c>
      <c r="F49" s="181">
        <f>G49-$G$441</f>
        <v>1.5219039595619215</v>
      </c>
      <c r="G49" s="181">
        <f>H49-$G$441</f>
        <v>1.7719039595619215</v>
      </c>
      <c r="H49" s="181">
        <f>$G$440</f>
        <v>2.0219039595619215</v>
      </c>
      <c r="I49" s="181">
        <f>H49+$G$441</f>
        <v>2.2719039595619215</v>
      </c>
      <c r="J49" s="181">
        <f>I49+$G$441</f>
        <v>2.5219039595619215</v>
      </c>
      <c r="K49" s="181">
        <f>J49+$G$441</f>
        <v>2.7719039595619215</v>
      </c>
      <c r="L49" s="181">
        <f>K49+$G$441</f>
        <v>3.0219039595619215</v>
      </c>
      <c r="M49" s="121"/>
      <c r="N49" s="121"/>
      <c r="O49" s="121"/>
      <c r="P49" s="121"/>
      <c r="Q49" s="121"/>
      <c r="Z49" s="182">
        <f t="shared" ref="Z49:AH49" si="67">D$9</f>
        <v>1.0219039595619215</v>
      </c>
      <c r="AA49" s="182">
        <f t="shared" si="67"/>
        <v>1.2719039595619215</v>
      </c>
      <c r="AB49" s="182">
        <f t="shared" si="67"/>
        <v>1.5219039595619215</v>
      </c>
      <c r="AC49" s="182">
        <f t="shared" si="67"/>
        <v>1.7719039595619215</v>
      </c>
      <c r="AD49" s="182">
        <f t="shared" si="67"/>
        <v>2.0219039595619215</v>
      </c>
      <c r="AE49" s="182">
        <f t="shared" si="67"/>
        <v>2.2719039595619215</v>
      </c>
      <c r="AF49" s="182">
        <f t="shared" si="67"/>
        <v>2.5219039595619215</v>
      </c>
      <c r="AG49" s="182">
        <f t="shared" si="67"/>
        <v>2.7719039595619215</v>
      </c>
      <c r="AH49" s="182">
        <f t="shared" si="67"/>
        <v>3.0219039595619215</v>
      </c>
      <c r="AT49" s="161" t="s">
        <v>288</v>
      </c>
      <c r="AU49" s="160"/>
      <c r="AV49" s="160"/>
      <c r="AW49" s="160"/>
      <c r="AX49" s="160"/>
      <c r="AY49" s="160"/>
      <c r="AZ49" s="160"/>
      <c r="BA49" s="160"/>
      <c r="BB49" s="160"/>
    </row>
    <row r="50" spans="1:54" ht="15" customHeight="1" x14ac:dyDescent="0.25">
      <c r="A50" s="121"/>
      <c r="B50" s="333" t="s">
        <v>336</v>
      </c>
      <c r="C50" s="158">
        <f>C51-$G$439</f>
        <v>0.15000000000000002</v>
      </c>
      <c r="D50" s="152">
        <f t="shared" ref="D50:L56" si="68">ROUND(Z50,$G$452)</f>
        <v>-900</v>
      </c>
      <c r="E50" s="152">
        <f t="shared" si="68"/>
        <v>-500</v>
      </c>
      <c r="F50" s="152">
        <f t="shared" si="68"/>
        <v>0</v>
      </c>
      <c r="G50" s="152">
        <f t="shared" si="68"/>
        <v>400</v>
      </c>
      <c r="H50" s="152">
        <f t="shared" si="68"/>
        <v>800</v>
      </c>
      <c r="I50" s="152">
        <f t="shared" si="68"/>
        <v>1300</v>
      </c>
      <c r="J50" s="152">
        <f t="shared" si="68"/>
        <v>1700</v>
      </c>
      <c r="K50" s="152">
        <f t="shared" si="68"/>
        <v>2100</v>
      </c>
      <c r="L50" s="152">
        <f t="shared" si="68"/>
        <v>2600</v>
      </c>
      <c r="M50" s="121"/>
      <c r="N50" s="121"/>
      <c r="O50" s="121"/>
      <c r="P50" s="121"/>
      <c r="Q50" s="121"/>
      <c r="Z50" s="57">
        <f t="shared" ref="Z50:AH50" si="69">Z10+$G$430-$G$447</f>
        <v>-897.52489300264824</v>
      </c>
      <c r="AA50" s="57">
        <f t="shared" si="69"/>
        <v>-464.86435180717308</v>
      </c>
      <c r="AB50" s="57">
        <f t="shared" si="69"/>
        <v>-32.203810611696099</v>
      </c>
      <c r="AC50" s="57">
        <f t="shared" si="69"/>
        <v>400.45673058377997</v>
      </c>
      <c r="AD50" s="57">
        <f t="shared" si="69"/>
        <v>833.11727177925604</v>
      </c>
      <c r="AE50" s="57">
        <f t="shared" si="69"/>
        <v>1265.777812974733</v>
      </c>
      <c r="AF50" s="57">
        <f t="shared" si="69"/>
        <v>1698.43835417021</v>
      </c>
      <c r="AG50" s="57">
        <f t="shared" si="69"/>
        <v>2131.098895365687</v>
      </c>
      <c r="AH50" s="57">
        <f t="shared" si="69"/>
        <v>2563.759436561164</v>
      </c>
      <c r="AT50" s="154">
        <f t="shared" ref="AT50:BB56" si="70">IF(Z50&lt;$G$449,0,MIN($G$446,1+IFERROR(INT((Z50-$G$449)/$G$451),0)))</f>
        <v>0</v>
      </c>
      <c r="AU50" s="154">
        <f t="shared" si="70"/>
        <v>0</v>
      </c>
      <c r="AV50" s="154">
        <f t="shared" si="70"/>
        <v>0</v>
      </c>
      <c r="AW50" s="154">
        <f t="shared" si="70"/>
        <v>0</v>
      </c>
      <c r="AX50" s="154">
        <f t="shared" si="70"/>
        <v>0</v>
      </c>
      <c r="AY50" s="154">
        <f t="shared" si="70"/>
        <v>2</v>
      </c>
      <c r="AZ50" s="154">
        <f t="shared" si="70"/>
        <v>4</v>
      </c>
      <c r="BA50" s="154">
        <f t="shared" si="70"/>
        <v>5</v>
      </c>
      <c r="BB50" s="154">
        <f t="shared" si="70"/>
        <v>7</v>
      </c>
    </row>
    <row r="51" spans="1:54" ht="15" customHeight="1" x14ac:dyDescent="0.25">
      <c r="A51" s="121"/>
      <c r="B51" s="334"/>
      <c r="C51" s="158">
        <f>C52-$G$439</f>
        <v>0.2</v>
      </c>
      <c r="D51" s="168">
        <f t="shared" si="68"/>
        <v>-500</v>
      </c>
      <c r="E51" s="168">
        <f t="shared" si="68"/>
        <v>-100</v>
      </c>
      <c r="F51" s="168">
        <f t="shared" si="68"/>
        <v>300</v>
      </c>
      <c r="G51" s="168">
        <f t="shared" si="68"/>
        <v>700</v>
      </c>
      <c r="H51" s="168">
        <f t="shared" si="68"/>
        <v>1100</v>
      </c>
      <c r="I51" s="168">
        <f t="shared" si="68"/>
        <v>1500</v>
      </c>
      <c r="J51" s="168">
        <f t="shared" si="68"/>
        <v>1900</v>
      </c>
      <c r="K51" s="168">
        <f t="shared" si="68"/>
        <v>2300</v>
      </c>
      <c r="L51" s="168">
        <f t="shared" si="68"/>
        <v>2700</v>
      </c>
      <c r="M51" s="121"/>
      <c r="N51" s="121"/>
      <c r="O51" s="121"/>
      <c r="P51" s="121"/>
      <c r="Q51" s="121"/>
      <c r="Z51" s="57">
        <f t="shared" ref="Z51:AH51" si="71">Z11+$G$430-$G$447</f>
        <v>-512.33888776036656</v>
      </c>
      <c r="AA51" s="57">
        <f t="shared" si="71"/>
        <v>-112.86773391421229</v>
      </c>
      <c r="AB51" s="57">
        <f t="shared" si="71"/>
        <v>286.60341993194197</v>
      </c>
      <c r="AC51" s="57">
        <f t="shared" si="71"/>
        <v>686.07457377809533</v>
      </c>
      <c r="AD51" s="57">
        <f t="shared" si="71"/>
        <v>1085.5457276242505</v>
      </c>
      <c r="AE51" s="57">
        <f t="shared" si="71"/>
        <v>1485.016881470403</v>
      </c>
      <c r="AF51" s="57">
        <f t="shared" si="71"/>
        <v>1884.4880353165572</v>
      </c>
      <c r="AG51" s="57">
        <f t="shared" si="71"/>
        <v>2283.9591891627115</v>
      </c>
      <c r="AH51" s="57">
        <f t="shared" si="71"/>
        <v>2683.4303430088639</v>
      </c>
      <c r="AT51" s="154">
        <f t="shared" si="70"/>
        <v>0</v>
      </c>
      <c r="AU51" s="154">
        <f t="shared" si="70"/>
        <v>0</v>
      </c>
      <c r="AV51" s="154">
        <f t="shared" si="70"/>
        <v>0</v>
      </c>
      <c r="AW51" s="154">
        <f t="shared" si="70"/>
        <v>0</v>
      </c>
      <c r="AX51" s="154">
        <f t="shared" si="70"/>
        <v>1</v>
      </c>
      <c r="AY51" s="154">
        <f t="shared" si="70"/>
        <v>3</v>
      </c>
      <c r="AZ51" s="154">
        <f t="shared" si="70"/>
        <v>4</v>
      </c>
      <c r="BA51" s="154">
        <f t="shared" si="70"/>
        <v>6</v>
      </c>
      <c r="BB51" s="154">
        <f t="shared" si="70"/>
        <v>8</v>
      </c>
    </row>
    <row r="52" spans="1:54" ht="15" customHeight="1" x14ac:dyDescent="0.25">
      <c r="A52" s="121"/>
      <c r="B52" s="334"/>
      <c r="C52" s="158">
        <f>C53-$G$439</f>
        <v>0.25</v>
      </c>
      <c r="D52" s="168">
        <f t="shared" si="68"/>
        <v>-100</v>
      </c>
      <c r="E52" s="168">
        <f t="shared" si="68"/>
        <v>200</v>
      </c>
      <c r="F52" s="168">
        <f t="shared" si="68"/>
        <v>600</v>
      </c>
      <c r="G52" s="168">
        <f t="shared" si="68"/>
        <v>1000</v>
      </c>
      <c r="H52" s="168">
        <f t="shared" si="68"/>
        <v>1300</v>
      </c>
      <c r="I52" s="168">
        <f t="shared" si="68"/>
        <v>1700</v>
      </c>
      <c r="J52" s="168">
        <f t="shared" si="68"/>
        <v>2100</v>
      </c>
      <c r="K52" s="168">
        <f t="shared" si="68"/>
        <v>2400</v>
      </c>
      <c r="L52" s="168">
        <f t="shared" si="68"/>
        <v>2800</v>
      </c>
      <c r="M52" s="121"/>
      <c r="N52" s="121"/>
      <c r="O52" s="121"/>
      <c r="P52" s="121"/>
      <c r="Q52" s="121"/>
      <c r="Z52" s="57">
        <f t="shared" ref="Z52:AH52" si="72">Z12+$G$430-$G$447</f>
        <v>-125.44718998943426</v>
      </c>
      <c r="AA52" s="57">
        <f t="shared" si="72"/>
        <v>240.67293988069468</v>
      </c>
      <c r="AB52" s="57">
        <f t="shared" si="72"/>
        <v>606.79306975082545</v>
      </c>
      <c r="AC52" s="57">
        <f t="shared" si="72"/>
        <v>972.9131996209544</v>
      </c>
      <c r="AD52" s="57">
        <f t="shared" si="72"/>
        <v>1339.0333294910852</v>
      </c>
      <c r="AE52" s="57">
        <f t="shared" si="72"/>
        <v>1705.1534593612141</v>
      </c>
      <c r="AF52" s="57">
        <f t="shared" si="72"/>
        <v>2071.2735892313449</v>
      </c>
      <c r="AG52" s="57">
        <f t="shared" si="72"/>
        <v>2437.3937191014757</v>
      </c>
      <c r="AH52" s="57">
        <f t="shared" si="72"/>
        <v>2803.5138489716046</v>
      </c>
      <c r="AT52" s="154">
        <f t="shared" si="70"/>
        <v>0</v>
      </c>
      <c r="AU52" s="154">
        <f t="shared" si="70"/>
        <v>0</v>
      </c>
      <c r="AV52" s="154">
        <f t="shared" si="70"/>
        <v>0</v>
      </c>
      <c r="AW52" s="154">
        <f t="shared" si="70"/>
        <v>0</v>
      </c>
      <c r="AX52" s="154">
        <f t="shared" si="70"/>
        <v>2</v>
      </c>
      <c r="AY52" s="154">
        <f t="shared" si="70"/>
        <v>4</v>
      </c>
      <c r="AZ52" s="154">
        <f t="shared" si="70"/>
        <v>5</v>
      </c>
      <c r="BA52" s="154">
        <f t="shared" si="70"/>
        <v>7</v>
      </c>
      <c r="BB52" s="154">
        <f t="shared" si="70"/>
        <v>8</v>
      </c>
    </row>
    <row r="53" spans="1:54" ht="15" customHeight="1" x14ac:dyDescent="0.25">
      <c r="A53" s="121"/>
      <c r="B53" s="334"/>
      <c r="C53" s="158">
        <f>$G$438</f>
        <v>0.3</v>
      </c>
      <c r="D53" s="168">
        <f t="shared" si="68"/>
        <v>300</v>
      </c>
      <c r="E53" s="168">
        <f t="shared" si="68"/>
        <v>600</v>
      </c>
      <c r="F53" s="168">
        <f t="shared" si="68"/>
        <v>900</v>
      </c>
      <c r="G53" s="168">
        <f t="shared" si="68"/>
        <v>1300</v>
      </c>
      <c r="H53" s="169">
        <f t="shared" si="68"/>
        <v>1600</v>
      </c>
      <c r="I53" s="168">
        <f t="shared" si="68"/>
        <v>1900</v>
      </c>
      <c r="J53" s="168">
        <f t="shared" si="68"/>
        <v>2300</v>
      </c>
      <c r="K53" s="168">
        <f t="shared" si="68"/>
        <v>2600</v>
      </c>
      <c r="L53" s="168">
        <f t="shared" si="68"/>
        <v>2900</v>
      </c>
      <c r="M53" s="121"/>
      <c r="N53" s="121"/>
      <c r="O53" s="121"/>
      <c r="P53" s="121"/>
      <c r="Q53" s="121"/>
      <c r="Z53" s="57">
        <f t="shared" ref="Z53:AH53" si="73">Z13+$G$430-$G$447</f>
        <v>263.16269114233182</v>
      </c>
      <c r="AA53" s="57">
        <f t="shared" si="73"/>
        <v>595.76897674037718</v>
      </c>
      <c r="AB53" s="57">
        <f t="shared" si="73"/>
        <v>928.37526233842436</v>
      </c>
      <c r="AC53" s="57">
        <f t="shared" si="73"/>
        <v>1260.9815479364715</v>
      </c>
      <c r="AD53" s="57">
        <f t="shared" si="73"/>
        <v>1593.5878335345205</v>
      </c>
      <c r="AE53" s="57">
        <f t="shared" si="73"/>
        <v>1926.1941191325659</v>
      </c>
      <c r="AF53" s="57">
        <f t="shared" si="73"/>
        <v>2258.8004047306149</v>
      </c>
      <c r="AG53" s="57">
        <f t="shared" si="73"/>
        <v>2591.4066903286603</v>
      </c>
      <c r="AH53" s="57">
        <f t="shared" si="73"/>
        <v>2924.0129759267093</v>
      </c>
      <c r="AT53" s="154">
        <f t="shared" si="70"/>
        <v>0</v>
      </c>
      <c r="AU53" s="154">
        <f t="shared" si="70"/>
        <v>0</v>
      </c>
      <c r="AV53" s="154">
        <f t="shared" si="70"/>
        <v>0</v>
      </c>
      <c r="AW53" s="154">
        <f t="shared" si="70"/>
        <v>2</v>
      </c>
      <c r="AX53" s="154">
        <f t="shared" si="70"/>
        <v>3</v>
      </c>
      <c r="AY53" s="154">
        <f t="shared" si="70"/>
        <v>5</v>
      </c>
      <c r="AZ53" s="154">
        <f t="shared" si="70"/>
        <v>6</v>
      </c>
      <c r="BA53" s="154">
        <f t="shared" si="70"/>
        <v>7</v>
      </c>
      <c r="BB53" s="154">
        <f t="shared" si="70"/>
        <v>9</v>
      </c>
    </row>
    <row r="54" spans="1:54" ht="15" customHeight="1" x14ac:dyDescent="0.25">
      <c r="A54" s="121"/>
      <c r="B54" s="334"/>
      <c r="C54" s="158">
        <f>C53+$G$439</f>
        <v>0.35</v>
      </c>
      <c r="D54" s="168">
        <f t="shared" si="68"/>
        <v>700</v>
      </c>
      <c r="E54" s="168">
        <f t="shared" si="68"/>
        <v>1000</v>
      </c>
      <c r="F54" s="168">
        <f t="shared" si="68"/>
        <v>1300</v>
      </c>
      <c r="G54" s="168">
        <f t="shared" si="68"/>
        <v>1600</v>
      </c>
      <c r="H54" s="168">
        <f t="shared" si="68"/>
        <v>1800</v>
      </c>
      <c r="I54" s="168">
        <f t="shared" si="68"/>
        <v>2100</v>
      </c>
      <c r="J54" s="168">
        <f t="shared" si="68"/>
        <v>2400</v>
      </c>
      <c r="K54" s="168">
        <f t="shared" si="68"/>
        <v>2700</v>
      </c>
      <c r="L54" s="168">
        <f t="shared" si="68"/>
        <v>3000</v>
      </c>
      <c r="M54" s="121"/>
      <c r="N54" s="121"/>
      <c r="O54" s="121"/>
      <c r="P54" s="121"/>
      <c r="Q54" s="121"/>
      <c r="Z54" s="57">
        <f t="shared" ref="Z54:AH54" si="74">Z14+$G$430-$G$447</f>
        <v>653.50336872648859</v>
      </c>
      <c r="AA54" s="57">
        <f t="shared" si="74"/>
        <v>952.43179450136631</v>
      </c>
      <c r="AB54" s="57">
        <f t="shared" si="74"/>
        <v>1251.3602202762431</v>
      </c>
      <c r="AC54" s="57">
        <f t="shared" si="74"/>
        <v>1550.2886460511218</v>
      </c>
      <c r="AD54" s="57">
        <f t="shared" si="74"/>
        <v>1849.2170718259986</v>
      </c>
      <c r="AE54" s="57">
        <f t="shared" si="74"/>
        <v>2148.1454976008772</v>
      </c>
      <c r="AF54" s="57">
        <f t="shared" si="74"/>
        <v>2447.073923375754</v>
      </c>
      <c r="AG54" s="57">
        <f t="shared" si="74"/>
        <v>2746.0023491506308</v>
      </c>
      <c r="AH54" s="57">
        <f t="shared" si="74"/>
        <v>3044.9307749255095</v>
      </c>
      <c r="AT54" s="154">
        <f t="shared" si="70"/>
        <v>0</v>
      </c>
      <c r="AU54" s="154">
        <f t="shared" si="70"/>
        <v>0</v>
      </c>
      <c r="AV54" s="154">
        <f t="shared" si="70"/>
        <v>2</v>
      </c>
      <c r="AW54" s="154">
        <f t="shared" si="70"/>
        <v>3</v>
      </c>
      <c r="AX54" s="154">
        <f t="shared" si="70"/>
        <v>4</v>
      </c>
      <c r="AY54" s="154">
        <f t="shared" si="70"/>
        <v>6</v>
      </c>
      <c r="AZ54" s="154">
        <f t="shared" si="70"/>
        <v>7</v>
      </c>
      <c r="BA54" s="154">
        <f t="shared" si="70"/>
        <v>8</v>
      </c>
      <c r="BB54" s="154">
        <f t="shared" si="70"/>
        <v>9</v>
      </c>
    </row>
    <row r="55" spans="1:54" ht="15" customHeight="1" x14ac:dyDescent="0.25">
      <c r="A55" s="121"/>
      <c r="B55" s="334"/>
      <c r="C55" s="158">
        <f>C54+$G$439</f>
        <v>0.39999999999999997</v>
      </c>
      <c r="D55" s="168">
        <f t="shared" si="68"/>
        <v>1000</v>
      </c>
      <c r="E55" s="168">
        <f t="shared" si="68"/>
        <v>1300</v>
      </c>
      <c r="F55" s="168">
        <f t="shared" si="68"/>
        <v>1600</v>
      </c>
      <c r="G55" s="168">
        <f t="shared" si="68"/>
        <v>1800</v>
      </c>
      <c r="H55" s="168">
        <f t="shared" si="68"/>
        <v>2100</v>
      </c>
      <c r="I55" s="168">
        <f t="shared" si="68"/>
        <v>2400</v>
      </c>
      <c r="J55" s="168">
        <f t="shared" si="68"/>
        <v>2600</v>
      </c>
      <c r="K55" s="168">
        <f t="shared" si="68"/>
        <v>2900</v>
      </c>
      <c r="L55" s="168">
        <f t="shared" si="68"/>
        <v>3200</v>
      </c>
      <c r="M55" s="121"/>
      <c r="N55" s="121"/>
      <c r="O55" s="121"/>
      <c r="P55" s="121"/>
      <c r="Q55" s="121"/>
      <c r="Z55" s="57">
        <f t="shared" ref="Z55:AH55" si="75">Z15+$G$430-$G$447</f>
        <v>1045.5875796134624</v>
      </c>
      <c r="AA55" s="57">
        <f t="shared" si="75"/>
        <v>1310.6729230312885</v>
      </c>
      <c r="AB55" s="57">
        <f t="shared" si="75"/>
        <v>1575.7582664491129</v>
      </c>
      <c r="AC55" s="57">
        <f t="shared" si="75"/>
        <v>1840.843609866939</v>
      </c>
      <c r="AD55" s="57">
        <f t="shared" si="75"/>
        <v>2105.9289532847633</v>
      </c>
      <c r="AE55" s="57">
        <f t="shared" si="75"/>
        <v>2371.0142967025877</v>
      </c>
      <c r="AF55" s="57">
        <f t="shared" si="75"/>
        <v>2636.0996401204138</v>
      </c>
      <c r="AG55" s="57">
        <f t="shared" si="75"/>
        <v>2901.1849835382382</v>
      </c>
      <c r="AH55" s="57">
        <f t="shared" si="75"/>
        <v>3166.2703269560643</v>
      </c>
      <c r="AT55" s="154">
        <f t="shared" si="70"/>
        <v>1</v>
      </c>
      <c r="AU55" s="154">
        <f t="shared" si="70"/>
        <v>2</v>
      </c>
      <c r="AV55" s="154">
        <f t="shared" si="70"/>
        <v>3</v>
      </c>
      <c r="AW55" s="154">
        <f t="shared" si="70"/>
        <v>4</v>
      </c>
      <c r="AX55" s="154">
        <f t="shared" si="70"/>
        <v>5</v>
      </c>
      <c r="AY55" s="154">
        <f t="shared" si="70"/>
        <v>6</v>
      </c>
      <c r="AZ55" s="154">
        <f t="shared" si="70"/>
        <v>8</v>
      </c>
      <c r="BA55" s="154">
        <f t="shared" si="70"/>
        <v>9</v>
      </c>
      <c r="BB55" s="154">
        <f t="shared" si="70"/>
        <v>10</v>
      </c>
    </row>
    <row r="56" spans="1:54" ht="15" customHeight="1" x14ac:dyDescent="0.25">
      <c r="A56" s="121"/>
      <c r="B56" s="335"/>
      <c r="C56" s="156">
        <f>C55+$G$439</f>
        <v>0.44999999999999996</v>
      </c>
      <c r="D56" s="149">
        <f t="shared" si="68"/>
        <v>1400</v>
      </c>
      <c r="E56" s="149">
        <f t="shared" si="68"/>
        <v>1700</v>
      </c>
      <c r="F56" s="149">
        <f t="shared" si="68"/>
        <v>1900</v>
      </c>
      <c r="G56" s="149">
        <f t="shared" si="68"/>
        <v>2100</v>
      </c>
      <c r="H56" s="149">
        <f t="shared" si="68"/>
        <v>2400</v>
      </c>
      <c r="I56" s="149">
        <f t="shared" si="68"/>
        <v>2600</v>
      </c>
      <c r="J56" s="149">
        <f t="shared" si="68"/>
        <v>2800</v>
      </c>
      <c r="K56" s="149">
        <f t="shared" si="68"/>
        <v>3100</v>
      </c>
      <c r="L56" s="149">
        <f t="shared" si="68"/>
        <v>3300</v>
      </c>
      <c r="M56" s="121"/>
      <c r="N56" s="121"/>
      <c r="O56" s="121"/>
      <c r="P56" s="121"/>
      <c r="Q56" s="121"/>
      <c r="Z56" s="57">
        <f t="shared" ref="Z56:AH56" si="76">Z16+$G$430-$G$447</f>
        <v>1439.4281859341772</v>
      </c>
      <c r="AA56" s="57">
        <f t="shared" si="76"/>
        <v>1670.5040056063081</v>
      </c>
      <c r="AB56" s="57">
        <f t="shared" si="76"/>
        <v>1901.5798252784389</v>
      </c>
      <c r="AC56" s="57">
        <f t="shared" si="76"/>
        <v>2132.6556449505715</v>
      </c>
      <c r="AD56" s="57">
        <f t="shared" si="76"/>
        <v>2363.7314646227023</v>
      </c>
      <c r="AE56" s="57">
        <f t="shared" si="76"/>
        <v>2594.8072842948332</v>
      </c>
      <c r="AF56" s="57">
        <f t="shared" si="76"/>
        <v>2825.883103966964</v>
      </c>
      <c r="AG56" s="57">
        <f t="shared" si="76"/>
        <v>3056.9589236390948</v>
      </c>
      <c r="AH56" s="57">
        <f t="shared" si="76"/>
        <v>3288.0347433112274</v>
      </c>
      <c r="AT56" s="154">
        <f t="shared" si="70"/>
        <v>2</v>
      </c>
      <c r="AU56" s="154">
        <f t="shared" si="70"/>
        <v>3</v>
      </c>
      <c r="AV56" s="154">
        <f t="shared" si="70"/>
        <v>4</v>
      </c>
      <c r="AW56" s="154">
        <f t="shared" si="70"/>
        <v>5</v>
      </c>
      <c r="AX56" s="154">
        <f t="shared" si="70"/>
        <v>6</v>
      </c>
      <c r="AY56" s="154">
        <f t="shared" si="70"/>
        <v>7</v>
      </c>
      <c r="AZ56" s="154">
        <f t="shared" si="70"/>
        <v>8</v>
      </c>
      <c r="BA56" s="154">
        <f t="shared" si="70"/>
        <v>9</v>
      </c>
      <c r="BB56" s="154">
        <f t="shared" si="70"/>
        <v>10</v>
      </c>
    </row>
    <row r="57" spans="1:54" ht="15" hidden="1" customHeight="1" outlineLevel="1" x14ac:dyDescent="0.25">
      <c r="A57" s="121"/>
      <c r="B57" s="153" t="s">
        <v>365</v>
      </c>
      <c r="C57" s="4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</row>
    <row r="58" spans="1:54" ht="3.95" customHeight="1" collapsed="1" x14ac:dyDescent="0.25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</row>
    <row r="59" spans="1:54" ht="15" customHeight="1" x14ac:dyDescent="0.25">
      <c r="A59" s="121"/>
      <c r="B59" s="164" t="s">
        <v>364</v>
      </c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</row>
    <row r="60" spans="1:54" ht="2.1" customHeight="1" x14ac:dyDescent="0.25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</row>
    <row r="61" spans="1:54" ht="12.75" customHeight="1" x14ac:dyDescent="0.25">
      <c r="A61" s="121"/>
      <c r="B61" s="10"/>
      <c r="C61" s="10"/>
      <c r="D61" s="163" t="s">
        <v>287</v>
      </c>
      <c r="E61" s="163"/>
      <c r="F61" s="163"/>
      <c r="G61" s="163"/>
      <c r="H61" s="163"/>
      <c r="I61" s="163"/>
      <c r="J61" s="163"/>
      <c r="K61" s="163"/>
      <c r="L61" s="163"/>
      <c r="M61" s="121"/>
      <c r="N61" s="121"/>
      <c r="O61" s="121"/>
      <c r="P61" s="121"/>
      <c r="Q61" s="121"/>
    </row>
    <row r="62" spans="1:54" ht="12.75" customHeight="1" x14ac:dyDescent="0.25">
      <c r="A62" s="121"/>
      <c r="B62" s="10"/>
      <c r="C62" s="10"/>
      <c r="D62" s="181">
        <f>E62-$G$441</f>
        <v>1.0219039595619215</v>
      </c>
      <c r="E62" s="181">
        <f>F62-$G$441</f>
        <v>1.2719039595619215</v>
      </c>
      <c r="F62" s="181">
        <f>G62-$G$441</f>
        <v>1.5219039595619215</v>
      </c>
      <c r="G62" s="181">
        <f>H62-$G$441</f>
        <v>1.7719039595619215</v>
      </c>
      <c r="H62" s="181">
        <f>$G$440</f>
        <v>2.0219039595619215</v>
      </c>
      <c r="I62" s="181">
        <f>H62+$G$441</f>
        <v>2.2719039595619215</v>
      </c>
      <c r="J62" s="181">
        <f>I62+$G$441</f>
        <v>2.5219039595619215</v>
      </c>
      <c r="K62" s="181">
        <f>J62+$G$441</f>
        <v>2.7719039595619215</v>
      </c>
      <c r="L62" s="181">
        <f>K62+$G$441</f>
        <v>3.0219039595619215</v>
      </c>
      <c r="M62" s="121"/>
      <c r="N62" s="121"/>
      <c r="O62" s="121"/>
      <c r="P62" s="121"/>
      <c r="Q62" s="121"/>
      <c r="AT62" s="161" t="s">
        <v>288</v>
      </c>
      <c r="AU62" s="160"/>
      <c r="AV62" s="160"/>
      <c r="AW62" s="160"/>
      <c r="AX62" s="160"/>
      <c r="AY62" s="160"/>
      <c r="AZ62" s="160"/>
      <c r="BA62" s="160"/>
      <c r="BB62" s="160"/>
    </row>
    <row r="63" spans="1:54" ht="15" customHeight="1" x14ac:dyDescent="0.25">
      <c r="A63" s="121"/>
      <c r="B63" s="333" t="s">
        <v>336</v>
      </c>
      <c r="C63" s="158">
        <f>C64-$G$439</f>
        <v>0.15000000000000002</v>
      </c>
      <c r="D63" s="166">
        <f t="shared" ref="D63:L69" si="77">IFERROR(Z50/$G$447,0)</f>
        <v>-0.1198256360598873</v>
      </c>
      <c r="E63" s="166">
        <f t="shared" si="77"/>
        <v>-6.206253115778191E-2</v>
      </c>
      <c r="F63" s="166">
        <f t="shared" si="77"/>
        <v>-4.2994262556762843E-3</v>
      </c>
      <c r="G63" s="166">
        <f t="shared" si="77"/>
        <v>5.3463678646429223E-2</v>
      </c>
      <c r="H63" s="166">
        <f t="shared" si="77"/>
        <v>0.11122678354853473</v>
      </c>
      <c r="I63" s="166">
        <f t="shared" si="77"/>
        <v>0.16898988845064036</v>
      </c>
      <c r="J63" s="166">
        <f t="shared" si="77"/>
        <v>0.22675299335274599</v>
      </c>
      <c r="K63" s="166">
        <f t="shared" si="77"/>
        <v>0.28451609825485163</v>
      </c>
      <c r="L63" s="166">
        <f t="shared" si="77"/>
        <v>0.34227920315695726</v>
      </c>
      <c r="M63" s="121"/>
      <c r="N63" s="121"/>
      <c r="O63" s="121"/>
      <c r="P63" s="121"/>
      <c r="Q63" s="121"/>
      <c r="AT63" s="154">
        <f t="shared" ref="AT63:BB69" si="78">IF(Z50&lt;$G$449,0,MIN($G$446,1+IFERROR(INT((Z50-$G$449)/$G$451),0)))</f>
        <v>0</v>
      </c>
      <c r="AU63" s="154">
        <f t="shared" si="78"/>
        <v>0</v>
      </c>
      <c r="AV63" s="154">
        <f t="shared" si="78"/>
        <v>0</v>
      </c>
      <c r="AW63" s="154">
        <f t="shared" si="78"/>
        <v>0</v>
      </c>
      <c r="AX63" s="154">
        <f t="shared" si="78"/>
        <v>0</v>
      </c>
      <c r="AY63" s="154">
        <f t="shared" si="78"/>
        <v>2</v>
      </c>
      <c r="AZ63" s="154">
        <f t="shared" si="78"/>
        <v>4</v>
      </c>
      <c r="BA63" s="154">
        <f t="shared" si="78"/>
        <v>5</v>
      </c>
      <c r="BB63" s="154">
        <f t="shared" si="78"/>
        <v>7</v>
      </c>
    </row>
    <row r="64" spans="1:54" ht="15" customHeight="1" x14ac:dyDescent="0.25">
      <c r="A64" s="121"/>
      <c r="B64" s="334"/>
      <c r="C64" s="158">
        <f>C65-$G$439</f>
        <v>0.2</v>
      </c>
      <c r="D64" s="166">
        <f t="shared" si="77"/>
        <v>-6.8400702401376162E-2</v>
      </c>
      <c r="E64" s="166">
        <f t="shared" si="77"/>
        <v>-1.506860490706044E-2</v>
      </c>
      <c r="F64" s="166">
        <f t="shared" si="77"/>
        <v>3.8263492587255289E-2</v>
      </c>
      <c r="G64" s="166">
        <f t="shared" si="77"/>
        <v>9.1595590081570893E-2</v>
      </c>
      <c r="H64" s="166">
        <f t="shared" si="77"/>
        <v>0.14492768757588675</v>
      </c>
      <c r="I64" s="166">
        <f t="shared" si="77"/>
        <v>0.19825978507020223</v>
      </c>
      <c r="J64" s="166">
        <f t="shared" si="77"/>
        <v>0.25159188256451798</v>
      </c>
      <c r="K64" s="166">
        <f t="shared" si="77"/>
        <v>0.3049239800588337</v>
      </c>
      <c r="L64" s="166">
        <f t="shared" si="77"/>
        <v>0.3582560775531492</v>
      </c>
      <c r="M64" s="121"/>
      <c r="N64" s="121"/>
      <c r="O64" s="121"/>
      <c r="P64" s="121"/>
      <c r="Q64" s="121"/>
      <c r="AT64" s="154">
        <f t="shared" si="78"/>
        <v>0</v>
      </c>
      <c r="AU64" s="154">
        <f t="shared" si="78"/>
        <v>0</v>
      </c>
      <c r="AV64" s="154">
        <f t="shared" si="78"/>
        <v>0</v>
      </c>
      <c r="AW64" s="154">
        <f t="shared" si="78"/>
        <v>0</v>
      </c>
      <c r="AX64" s="154">
        <f t="shared" si="78"/>
        <v>1</v>
      </c>
      <c r="AY64" s="154">
        <f t="shared" si="78"/>
        <v>3</v>
      </c>
      <c r="AZ64" s="154">
        <f t="shared" si="78"/>
        <v>4</v>
      </c>
      <c r="BA64" s="154">
        <f t="shared" si="78"/>
        <v>6</v>
      </c>
      <c r="BB64" s="154">
        <f t="shared" si="78"/>
        <v>8</v>
      </c>
    </row>
    <row r="65" spans="1:54" ht="15" customHeight="1" x14ac:dyDescent="0.25">
      <c r="A65" s="121"/>
      <c r="B65" s="334"/>
      <c r="C65" s="158">
        <f>C66-$G$439</f>
        <v>0.25</v>
      </c>
      <c r="D65" s="166">
        <f t="shared" si="77"/>
        <v>-1.6748047268216697E-2</v>
      </c>
      <c r="E65" s="166">
        <f t="shared" si="77"/>
        <v>3.2131463236777506E-2</v>
      </c>
      <c r="F65" s="166">
        <f t="shared" si="77"/>
        <v>8.1010973741771949E-2</v>
      </c>
      <c r="G65" s="166">
        <f t="shared" si="77"/>
        <v>0.12989048424676616</v>
      </c>
      <c r="H65" s="166">
        <f t="shared" si="77"/>
        <v>0.17876999475176061</v>
      </c>
      <c r="I65" s="166">
        <f t="shared" si="77"/>
        <v>0.22764950525675481</v>
      </c>
      <c r="J65" s="166">
        <f t="shared" si="77"/>
        <v>0.27652901576174926</v>
      </c>
      <c r="K65" s="166">
        <f t="shared" si="77"/>
        <v>0.32540852626674371</v>
      </c>
      <c r="L65" s="166">
        <f t="shared" si="77"/>
        <v>0.37428803677173789</v>
      </c>
      <c r="M65" s="121"/>
      <c r="N65" s="121"/>
      <c r="O65" s="121"/>
      <c r="P65" s="121"/>
      <c r="Q65" s="121"/>
      <c r="AT65" s="154">
        <f t="shared" si="78"/>
        <v>0</v>
      </c>
      <c r="AU65" s="154">
        <f t="shared" si="78"/>
        <v>0</v>
      </c>
      <c r="AV65" s="154">
        <f t="shared" si="78"/>
        <v>0</v>
      </c>
      <c r="AW65" s="154">
        <f t="shared" si="78"/>
        <v>0</v>
      </c>
      <c r="AX65" s="154">
        <f t="shared" si="78"/>
        <v>2</v>
      </c>
      <c r="AY65" s="154">
        <f t="shared" si="78"/>
        <v>4</v>
      </c>
      <c r="AZ65" s="154">
        <f t="shared" si="78"/>
        <v>5</v>
      </c>
      <c r="BA65" s="154">
        <f t="shared" si="78"/>
        <v>7</v>
      </c>
      <c r="BB65" s="154">
        <f t="shared" si="78"/>
        <v>8</v>
      </c>
    </row>
    <row r="66" spans="1:54" ht="15" customHeight="1" x14ac:dyDescent="0.25">
      <c r="A66" s="121"/>
      <c r="B66" s="334"/>
      <c r="C66" s="158">
        <f>$G$438</f>
        <v>0.3</v>
      </c>
      <c r="D66" s="166">
        <f t="shared" si="77"/>
        <v>3.5133996950064021E-2</v>
      </c>
      <c r="E66" s="166">
        <f t="shared" si="77"/>
        <v>7.9539182856350324E-2</v>
      </c>
      <c r="F66" s="166">
        <f t="shared" si="77"/>
        <v>0.12394436876263687</v>
      </c>
      <c r="G66" s="166">
        <f t="shared" si="77"/>
        <v>0.1683495546689234</v>
      </c>
      <c r="H66" s="167">
        <f t="shared" si="77"/>
        <v>0.21275474057521021</v>
      </c>
      <c r="I66" s="166">
        <f t="shared" si="77"/>
        <v>0.25715992648149649</v>
      </c>
      <c r="J66" s="166">
        <f t="shared" si="77"/>
        <v>0.30156511238778327</v>
      </c>
      <c r="K66" s="166">
        <f t="shared" si="77"/>
        <v>0.34597029829406961</v>
      </c>
      <c r="L66" s="166">
        <f t="shared" si="77"/>
        <v>0.39037548420035639</v>
      </c>
      <c r="M66" s="121"/>
      <c r="N66" s="121"/>
      <c r="O66" s="121"/>
      <c r="P66" s="121"/>
      <c r="Q66" s="121"/>
      <c r="AT66" s="154">
        <f t="shared" si="78"/>
        <v>0</v>
      </c>
      <c r="AU66" s="154">
        <f t="shared" si="78"/>
        <v>0</v>
      </c>
      <c r="AV66" s="154">
        <f t="shared" si="78"/>
        <v>0</v>
      </c>
      <c r="AW66" s="154">
        <f t="shared" si="78"/>
        <v>2</v>
      </c>
      <c r="AX66" s="154">
        <f t="shared" si="78"/>
        <v>3</v>
      </c>
      <c r="AY66" s="154">
        <f t="shared" si="78"/>
        <v>5</v>
      </c>
      <c r="AZ66" s="154">
        <f t="shared" si="78"/>
        <v>6</v>
      </c>
      <c r="BA66" s="154">
        <f t="shared" si="78"/>
        <v>7</v>
      </c>
      <c r="BB66" s="154">
        <f t="shared" si="78"/>
        <v>9</v>
      </c>
    </row>
    <row r="67" spans="1:54" ht="15" customHeight="1" x14ac:dyDescent="0.25">
      <c r="A67" s="121"/>
      <c r="B67" s="334"/>
      <c r="C67" s="158">
        <f>C66+$G$439</f>
        <v>0.35</v>
      </c>
      <c r="D67" s="166">
        <f t="shared" si="77"/>
        <v>8.7247114186391153E-2</v>
      </c>
      <c r="E67" s="166">
        <f t="shared" si="77"/>
        <v>0.1271560783099632</v>
      </c>
      <c r="F67" s="166">
        <f t="shared" si="77"/>
        <v>0.16706504243353512</v>
      </c>
      <c r="G67" s="166">
        <f t="shared" si="77"/>
        <v>0.20697400655710729</v>
      </c>
      <c r="H67" s="166">
        <f t="shared" si="77"/>
        <v>0.24688297068067924</v>
      </c>
      <c r="I67" s="166">
        <f t="shared" si="77"/>
        <v>0.28679193480425141</v>
      </c>
      <c r="J67" s="166">
        <f t="shared" si="77"/>
        <v>0.32670089892782334</v>
      </c>
      <c r="K67" s="166">
        <f t="shared" si="77"/>
        <v>0.36660986305139526</v>
      </c>
      <c r="L67" s="166">
        <f t="shared" si="77"/>
        <v>0.40651882717496746</v>
      </c>
      <c r="M67" s="121"/>
      <c r="N67" s="121"/>
      <c r="O67" s="121"/>
      <c r="P67" s="121"/>
      <c r="Q67" s="121"/>
      <c r="AT67" s="154">
        <f t="shared" si="78"/>
        <v>0</v>
      </c>
      <c r="AU67" s="154">
        <f t="shared" si="78"/>
        <v>0</v>
      </c>
      <c r="AV67" s="154">
        <f t="shared" si="78"/>
        <v>2</v>
      </c>
      <c r="AW67" s="154">
        <f t="shared" si="78"/>
        <v>3</v>
      </c>
      <c r="AX67" s="154">
        <f t="shared" si="78"/>
        <v>4</v>
      </c>
      <c r="AY67" s="154">
        <f t="shared" si="78"/>
        <v>6</v>
      </c>
      <c r="AZ67" s="154">
        <f t="shared" si="78"/>
        <v>7</v>
      </c>
      <c r="BA67" s="154">
        <f t="shared" si="78"/>
        <v>8</v>
      </c>
      <c r="BB67" s="154">
        <f t="shared" si="78"/>
        <v>9</v>
      </c>
    </row>
    <row r="68" spans="1:54" ht="15" customHeight="1" x14ac:dyDescent="0.25">
      <c r="A68" s="121"/>
      <c r="B68" s="334"/>
      <c r="C68" s="158">
        <f>C67+$G$439</f>
        <v>0.39999999999999997</v>
      </c>
      <c r="D68" s="166">
        <f t="shared" si="77"/>
        <v>0.13959300489633494</v>
      </c>
      <c r="E68" s="166">
        <f t="shared" si="77"/>
        <v>0.17498368891282937</v>
      </c>
      <c r="F68" s="166">
        <f t="shared" si="77"/>
        <v>0.21037437292932351</v>
      </c>
      <c r="G68" s="166">
        <f t="shared" si="77"/>
        <v>0.24576505694581793</v>
      </c>
      <c r="H68" s="166">
        <f t="shared" si="77"/>
        <v>0.28115574096231211</v>
      </c>
      <c r="I68" s="166">
        <f t="shared" si="77"/>
        <v>0.31654642497880625</v>
      </c>
      <c r="J68" s="166">
        <f t="shared" si="77"/>
        <v>0.35193710899530067</v>
      </c>
      <c r="K68" s="166">
        <f t="shared" si="77"/>
        <v>0.38732779301179482</v>
      </c>
      <c r="L68" s="166">
        <f t="shared" si="77"/>
        <v>0.42271847702828924</v>
      </c>
      <c r="M68" s="121"/>
      <c r="N68" s="121"/>
      <c r="O68" s="121"/>
      <c r="P68" s="121"/>
      <c r="Q68" s="121"/>
      <c r="AT68" s="154">
        <f t="shared" si="78"/>
        <v>1</v>
      </c>
      <c r="AU68" s="154">
        <f t="shared" si="78"/>
        <v>2</v>
      </c>
      <c r="AV68" s="154">
        <f t="shared" si="78"/>
        <v>3</v>
      </c>
      <c r="AW68" s="154">
        <f t="shared" si="78"/>
        <v>4</v>
      </c>
      <c r="AX68" s="154">
        <f t="shared" si="78"/>
        <v>5</v>
      </c>
      <c r="AY68" s="154">
        <f t="shared" si="78"/>
        <v>6</v>
      </c>
      <c r="AZ68" s="154">
        <f t="shared" si="78"/>
        <v>8</v>
      </c>
      <c r="BA68" s="154">
        <f t="shared" si="78"/>
        <v>9</v>
      </c>
      <c r="BB68" s="154">
        <f t="shared" si="78"/>
        <v>10</v>
      </c>
    </row>
    <row r="69" spans="1:54" ht="15" customHeight="1" x14ac:dyDescent="0.25">
      <c r="A69" s="121"/>
      <c r="B69" s="335"/>
      <c r="C69" s="156">
        <f>C68+$G$439</f>
        <v>0.44999999999999996</v>
      </c>
      <c r="D69" s="165">
        <f t="shared" si="77"/>
        <v>0.19217338626125835</v>
      </c>
      <c r="E69" s="165">
        <f t="shared" si="77"/>
        <v>0.22302356912096785</v>
      </c>
      <c r="F69" s="165">
        <f t="shared" si="77"/>
        <v>0.25387375198067735</v>
      </c>
      <c r="G69" s="165">
        <f t="shared" si="77"/>
        <v>0.28472393484038711</v>
      </c>
      <c r="H69" s="165">
        <f t="shared" si="77"/>
        <v>0.31557411770009658</v>
      </c>
      <c r="I69" s="165">
        <f t="shared" si="77"/>
        <v>0.34642430055980605</v>
      </c>
      <c r="J69" s="165">
        <f t="shared" si="77"/>
        <v>0.37727448341951553</v>
      </c>
      <c r="K69" s="165">
        <f t="shared" si="77"/>
        <v>0.40812466627922506</v>
      </c>
      <c r="L69" s="165">
        <f t="shared" si="77"/>
        <v>0.43897484913893475</v>
      </c>
      <c r="M69" s="121"/>
      <c r="N69" s="121"/>
      <c r="O69" s="121"/>
      <c r="P69" s="121"/>
      <c r="Q69" s="121"/>
      <c r="AT69" s="154">
        <f t="shared" si="78"/>
        <v>2</v>
      </c>
      <c r="AU69" s="154">
        <f t="shared" si="78"/>
        <v>3</v>
      </c>
      <c r="AV69" s="154">
        <f t="shared" si="78"/>
        <v>4</v>
      </c>
      <c r="AW69" s="154">
        <f t="shared" si="78"/>
        <v>5</v>
      </c>
      <c r="AX69" s="154">
        <f t="shared" si="78"/>
        <v>6</v>
      </c>
      <c r="AY69" s="154">
        <f t="shared" si="78"/>
        <v>7</v>
      </c>
      <c r="AZ69" s="154">
        <f t="shared" si="78"/>
        <v>8</v>
      </c>
      <c r="BA69" s="154">
        <f t="shared" si="78"/>
        <v>9</v>
      </c>
      <c r="BB69" s="154">
        <f t="shared" si="78"/>
        <v>10</v>
      </c>
    </row>
    <row r="70" spans="1:54" ht="15" hidden="1" customHeight="1" outlineLevel="1" x14ac:dyDescent="0.25">
      <c r="A70" s="121"/>
      <c r="B70" s="153" t="s">
        <v>363</v>
      </c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</row>
    <row r="71" spans="1:54" ht="3.95" customHeight="1" collapsed="1" x14ac:dyDescent="0.25">
      <c r="A71" s="121"/>
      <c r="M71" s="121"/>
      <c r="N71" s="121"/>
      <c r="O71" s="121"/>
      <c r="P71" s="121"/>
      <c r="Q71" s="121"/>
    </row>
    <row r="72" spans="1:54" ht="15" customHeight="1" x14ac:dyDescent="0.25">
      <c r="A72" s="121"/>
      <c r="B72" s="164" t="s">
        <v>362</v>
      </c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</row>
    <row r="73" spans="1:54" ht="2.1" customHeight="1" x14ac:dyDescent="0.25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</row>
    <row r="74" spans="1:54" ht="12.75" customHeight="1" x14ac:dyDescent="0.25">
      <c r="A74" s="121"/>
      <c r="B74" s="10"/>
      <c r="C74" s="10"/>
      <c r="D74" s="163" t="s">
        <v>287</v>
      </c>
      <c r="E74" s="163"/>
      <c r="F74" s="163"/>
      <c r="G74" s="163"/>
      <c r="H74" s="163"/>
      <c r="I74" s="163"/>
      <c r="J74" s="163"/>
      <c r="K74" s="163"/>
      <c r="L74" s="163"/>
      <c r="M74" s="121"/>
      <c r="N74" s="121"/>
      <c r="O74" s="121"/>
      <c r="P74" s="121"/>
      <c r="Q74" s="121"/>
    </row>
    <row r="75" spans="1:54" ht="12.75" customHeight="1" x14ac:dyDescent="0.25">
      <c r="A75" s="121"/>
      <c r="B75" s="10"/>
      <c r="C75" s="10"/>
      <c r="D75" s="181">
        <f>E75-$G$441</f>
        <v>1.0219039595619215</v>
      </c>
      <c r="E75" s="181">
        <f>F75-$G$441</f>
        <v>1.2719039595619215</v>
      </c>
      <c r="F75" s="181">
        <f>G75-$G$441</f>
        <v>1.5219039595619215</v>
      </c>
      <c r="G75" s="181">
        <f>H75-$G$441</f>
        <v>1.7719039595619215</v>
      </c>
      <c r="H75" s="181">
        <f>$G$440</f>
        <v>2.0219039595619215</v>
      </c>
      <c r="I75" s="181">
        <f>H75+$G$441</f>
        <v>2.2719039595619215</v>
      </c>
      <c r="J75" s="181">
        <f>I75+$G$441</f>
        <v>2.5219039595619215</v>
      </c>
      <c r="K75" s="181">
        <f>J75+$G$441</f>
        <v>2.7719039595619215</v>
      </c>
      <c r="L75" s="181">
        <f>K75+$G$441</f>
        <v>3.0219039595619215</v>
      </c>
      <c r="M75" s="121"/>
      <c r="N75" s="121"/>
      <c r="O75" s="121"/>
      <c r="P75" s="121"/>
      <c r="Q75" s="121"/>
      <c r="AT75" s="161" t="s">
        <v>288</v>
      </c>
      <c r="AU75" s="160"/>
      <c r="AV75" s="160"/>
      <c r="AW75" s="160"/>
      <c r="AX75" s="160"/>
      <c r="AY75" s="160"/>
      <c r="AZ75" s="160"/>
      <c r="BA75" s="160"/>
      <c r="BB75" s="160"/>
    </row>
    <row r="76" spans="1:54" ht="15" customHeight="1" x14ac:dyDescent="0.25">
      <c r="A76" s="121"/>
      <c r="B76" s="333" t="s">
        <v>336</v>
      </c>
      <c r="C76" s="158">
        <f>C77-$G$439</f>
        <v>0.15000000000000002</v>
      </c>
      <c r="D76" s="157">
        <f t="shared" ref="D76:L76" si="79">D36-$G$448</f>
        <v>3.0690735113620971E-3</v>
      </c>
      <c r="E76" s="157">
        <f t="shared" si="79"/>
        <v>2.0109507233419865E-2</v>
      </c>
      <c r="F76" s="157">
        <f t="shared" si="79"/>
        <v>3.6248515065571807E-2</v>
      </c>
      <c r="G76" s="157">
        <f t="shared" si="79"/>
        <v>5.1586771899406969E-2</v>
      </c>
      <c r="H76" s="157">
        <f t="shared" si="79"/>
        <v>6.620847850681022E-2</v>
      </c>
      <c r="I76" s="157">
        <f t="shared" si="79"/>
        <v>8.018481913265374E-2</v>
      </c>
      <c r="J76" s="157">
        <f t="shared" si="79"/>
        <v>9.3576550179128137E-2</v>
      </c>
      <c r="K76" s="157">
        <f t="shared" si="79"/>
        <v>0.10643597078445688</v>
      </c>
      <c r="L76" s="157">
        <f t="shared" si="79"/>
        <v>0.11880844515509348</v>
      </c>
      <c r="M76" s="121"/>
      <c r="N76" s="121"/>
      <c r="O76" s="121"/>
      <c r="P76" s="121"/>
      <c r="Q76" s="121"/>
      <c r="AT76" s="154">
        <f t="shared" ref="AT76:BB82" si="80">IF(Z50&lt;$G$449,0,MIN($G$446,1+IFERROR(INT((Z50-$G$449)/$G$451),0)))</f>
        <v>0</v>
      </c>
      <c r="AU76" s="154">
        <f t="shared" si="80"/>
        <v>0</v>
      </c>
      <c r="AV76" s="154">
        <f t="shared" si="80"/>
        <v>0</v>
      </c>
      <c r="AW76" s="154">
        <f t="shared" si="80"/>
        <v>0</v>
      </c>
      <c r="AX76" s="154">
        <f t="shared" si="80"/>
        <v>0</v>
      </c>
      <c r="AY76" s="154">
        <f t="shared" si="80"/>
        <v>2</v>
      </c>
      <c r="AZ76" s="154">
        <f t="shared" si="80"/>
        <v>4</v>
      </c>
      <c r="BA76" s="154">
        <f t="shared" si="80"/>
        <v>5</v>
      </c>
      <c r="BB76" s="154">
        <f t="shared" si="80"/>
        <v>7</v>
      </c>
    </row>
    <row r="77" spans="1:54" ht="15" customHeight="1" x14ac:dyDescent="0.25">
      <c r="A77" s="121"/>
      <c r="B77" s="334"/>
      <c r="C77" s="158">
        <f>C78-$G$439</f>
        <v>0.2</v>
      </c>
      <c r="D77" s="157">
        <f t="shared" ref="D77:L77" si="81">D37-$G$448</f>
        <v>1.8285741599859406E-2</v>
      </c>
      <c r="E77" s="157">
        <f t="shared" si="81"/>
        <v>3.3303107069704296E-2</v>
      </c>
      <c r="F77" s="157">
        <f t="shared" si="81"/>
        <v>4.7623208246323268E-2</v>
      </c>
      <c r="G77" s="157">
        <f t="shared" si="81"/>
        <v>6.1314912406983835E-2</v>
      </c>
      <c r="H77" s="157">
        <f t="shared" si="81"/>
        <v>7.4437053802928643E-2</v>
      </c>
      <c r="I77" s="157">
        <f t="shared" si="81"/>
        <v>8.7040319712514691E-2</v>
      </c>
      <c r="J77" s="157">
        <f t="shared" si="81"/>
        <v>9.9168709659005927E-2</v>
      </c>
      <c r="K77" s="157">
        <f t="shared" si="81"/>
        <v>0.11086067930494448</v>
      </c>
      <c r="L77" s="157">
        <f t="shared" si="81"/>
        <v>0.12215004772954519</v>
      </c>
      <c r="M77" s="121"/>
      <c r="N77" s="121"/>
      <c r="O77" s="121"/>
      <c r="P77" s="121"/>
      <c r="Q77" s="121"/>
      <c r="AT77" s="154">
        <f t="shared" si="80"/>
        <v>0</v>
      </c>
      <c r="AU77" s="154">
        <f t="shared" si="80"/>
        <v>0</v>
      </c>
      <c r="AV77" s="154">
        <f t="shared" si="80"/>
        <v>0</v>
      </c>
      <c r="AW77" s="154">
        <f t="shared" si="80"/>
        <v>0</v>
      </c>
      <c r="AX77" s="154">
        <f t="shared" si="80"/>
        <v>1</v>
      </c>
      <c r="AY77" s="154">
        <f t="shared" si="80"/>
        <v>3</v>
      </c>
      <c r="AZ77" s="154">
        <f t="shared" si="80"/>
        <v>4</v>
      </c>
      <c r="BA77" s="154">
        <f t="shared" si="80"/>
        <v>6</v>
      </c>
      <c r="BB77" s="154">
        <f t="shared" si="80"/>
        <v>8</v>
      </c>
    </row>
    <row r="78" spans="1:54" ht="15" customHeight="1" x14ac:dyDescent="0.25">
      <c r="A78" s="121"/>
      <c r="B78" s="334"/>
      <c r="C78" s="158">
        <f>C79-$G$439</f>
        <v>0.25</v>
      </c>
      <c r="D78" s="157">
        <f t="shared" ref="D78:L78" si="82">D38-$G$448</f>
        <v>3.284123034275388E-2</v>
      </c>
      <c r="E78" s="157">
        <f t="shared" si="82"/>
        <v>4.6009885610862167E-2</v>
      </c>
      <c r="F78" s="157">
        <f t="shared" si="82"/>
        <v>5.8644617209757444E-2</v>
      </c>
      <c r="G78" s="157">
        <f t="shared" si="82"/>
        <v>7.0791794323330715E-2</v>
      </c>
      <c r="H78" s="157">
        <f t="shared" si="82"/>
        <v>8.2491808998196969E-2</v>
      </c>
      <c r="I78" s="157">
        <f t="shared" si="82"/>
        <v>9.3780075957949016E-2</v>
      </c>
      <c r="J78" s="157">
        <f t="shared" si="82"/>
        <v>0.10468783004902793</v>
      </c>
      <c r="K78" s="157">
        <f t="shared" si="82"/>
        <v>0.11524276875872208</v>
      </c>
      <c r="L78" s="157">
        <f t="shared" si="82"/>
        <v>0.12546957487843002</v>
      </c>
      <c r="M78" s="121"/>
      <c r="N78" s="121"/>
      <c r="O78" s="121"/>
      <c r="P78" s="121"/>
      <c r="Q78" s="121"/>
      <c r="AT78" s="154">
        <f t="shared" si="80"/>
        <v>0</v>
      </c>
      <c r="AU78" s="154">
        <f t="shared" si="80"/>
        <v>0</v>
      </c>
      <c r="AV78" s="154">
        <f t="shared" si="80"/>
        <v>0</v>
      </c>
      <c r="AW78" s="154">
        <f t="shared" si="80"/>
        <v>0</v>
      </c>
      <c r="AX78" s="154">
        <f t="shared" si="80"/>
        <v>2</v>
      </c>
      <c r="AY78" s="154">
        <f t="shared" si="80"/>
        <v>4</v>
      </c>
      <c r="AZ78" s="154">
        <f t="shared" si="80"/>
        <v>5</v>
      </c>
      <c r="BA78" s="154">
        <f t="shared" si="80"/>
        <v>7</v>
      </c>
      <c r="BB78" s="154">
        <f t="shared" si="80"/>
        <v>8</v>
      </c>
    </row>
    <row r="79" spans="1:54" ht="15" customHeight="1" x14ac:dyDescent="0.25">
      <c r="A79" s="121"/>
      <c r="B79" s="334"/>
      <c r="C79" s="158">
        <f>$G$438</f>
        <v>0.3</v>
      </c>
      <c r="D79" s="157">
        <f t="shared" ref="D79:L79" si="83">D39-$G$448</f>
        <v>4.6800887931307766E-2</v>
      </c>
      <c r="E79" s="157">
        <f t="shared" si="83"/>
        <v>5.8271513856421153E-2</v>
      </c>
      <c r="F79" s="157">
        <f t="shared" si="83"/>
        <v>6.9338755614333891E-2</v>
      </c>
      <c r="G79" s="157">
        <f t="shared" si="83"/>
        <v>8.0033192459237457E-2</v>
      </c>
      <c r="H79" s="159">
        <f t="shared" si="83"/>
        <v>9.0381942850864316E-2</v>
      </c>
      <c r="I79" s="157">
        <f t="shared" si="83"/>
        <v>0.10040917543791528</v>
      </c>
      <c r="J79" s="157">
        <f t="shared" si="83"/>
        <v>0.11013652831392307</v>
      </c>
      <c r="K79" s="157">
        <f t="shared" si="83"/>
        <v>0.11958345562955031</v>
      </c>
      <c r="L79" s="157">
        <f t="shared" si="83"/>
        <v>0.12876751643678563</v>
      </c>
      <c r="M79" s="121"/>
      <c r="N79" s="121"/>
      <c r="O79" s="121"/>
      <c r="P79" s="121"/>
      <c r="Q79" s="121"/>
      <c r="AT79" s="154">
        <f t="shared" si="80"/>
        <v>0</v>
      </c>
      <c r="AU79" s="154">
        <f t="shared" si="80"/>
        <v>0</v>
      </c>
      <c r="AV79" s="154">
        <f t="shared" si="80"/>
        <v>0</v>
      </c>
      <c r="AW79" s="154">
        <f t="shared" si="80"/>
        <v>2</v>
      </c>
      <c r="AX79" s="154">
        <f t="shared" si="80"/>
        <v>3</v>
      </c>
      <c r="AY79" s="154">
        <f t="shared" si="80"/>
        <v>5</v>
      </c>
      <c r="AZ79" s="154">
        <f t="shared" si="80"/>
        <v>6</v>
      </c>
      <c r="BA79" s="154">
        <f t="shared" si="80"/>
        <v>7</v>
      </c>
      <c r="BB79" s="154">
        <f t="shared" si="80"/>
        <v>9</v>
      </c>
    </row>
    <row r="80" spans="1:54" ht="15" customHeight="1" x14ac:dyDescent="0.25">
      <c r="A80" s="121"/>
      <c r="B80" s="334"/>
      <c r="C80" s="158">
        <f>C79+$G$439</f>
        <v>0.35</v>
      </c>
      <c r="D80" s="157">
        <f t="shared" ref="D80:L80" si="84">D40-$G$448</f>
        <v>6.0220611822220382E-2</v>
      </c>
      <c r="E80" s="157">
        <f t="shared" si="84"/>
        <v>7.0124418955491707E-2</v>
      </c>
      <c r="F80" s="157">
        <f t="shared" si="84"/>
        <v>7.9728812066200305E-2</v>
      </c>
      <c r="G80" s="157">
        <f t="shared" si="84"/>
        <v>8.9053418997751654E-2</v>
      </c>
      <c r="H80" s="157">
        <f t="shared" si="84"/>
        <v>9.8115936172583629E-2</v>
      </c>
      <c r="I80" s="157">
        <f t="shared" si="84"/>
        <v>0.10693237781316167</v>
      </c>
      <c r="J80" s="157">
        <f t="shared" si="84"/>
        <v>0.11551728580959542</v>
      </c>
      <c r="K80" s="157">
        <f t="shared" si="84"/>
        <v>0.12388390766179014</v>
      </c>
      <c r="L80" s="157">
        <f t="shared" si="84"/>
        <v>0.13204434800969955</v>
      </c>
      <c r="M80" s="121"/>
      <c r="N80" s="121"/>
      <c r="O80" s="121"/>
      <c r="P80" s="121"/>
      <c r="Q80" s="121"/>
      <c r="AT80" s="154">
        <f t="shared" si="80"/>
        <v>0</v>
      </c>
      <c r="AU80" s="154">
        <f t="shared" si="80"/>
        <v>0</v>
      </c>
      <c r="AV80" s="154">
        <f t="shared" si="80"/>
        <v>2</v>
      </c>
      <c r="AW80" s="154">
        <f t="shared" si="80"/>
        <v>3</v>
      </c>
      <c r="AX80" s="154">
        <f t="shared" si="80"/>
        <v>4</v>
      </c>
      <c r="AY80" s="154">
        <f t="shared" si="80"/>
        <v>6</v>
      </c>
      <c r="AZ80" s="154">
        <f t="shared" si="80"/>
        <v>7</v>
      </c>
      <c r="BA80" s="154">
        <f t="shared" si="80"/>
        <v>8</v>
      </c>
      <c r="BB80" s="154">
        <f t="shared" si="80"/>
        <v>9</v>
      </c>
    </row>
    <row r="81" spans="1:54" ht="15" customHeight="1" x14ac:dyDescent="0.25">
      <c r="A81" s="121"/>
      <c r="B81" s="334"/>
      <c r="C81" s="158">
        <f>C80+$G$439</f>
        <v>0.39999999999999997</v>
      </c>
      <c r="D81" s="157">
        <f t="shared" ref="D81:L81" si="85">D41-$G$448</f>
        <v>7.3148612284019254E-2</v>
      </c>
      <c r="E81" s="157">
        <f t="shared" si="85"/>
        <v>8.1600641125796791E-2</v>
      </c>
      <c r="F81" s="157">
        <f t="shared" si="85"/>
        <v>8.9835550933532238E-2</v>
      </c>
      <c r="G81" s="157">
        <f t="shared" si="85"/>
        <v>9.7865501695266977E-2</v>
      </c>
      <c r="H81" s="157">
        <f t="shared" si="85"/>
        <v>0.10570162590227361</v>
      </c>
      <c r="I81" s="157">
        <f t="shared" si="85"/>
        <v>0.11335414289185386</v>
      </c>
      <c r="J81" s="157">
        <f t="shared" si="85"/>
        <v>0.12083245766903139</v>
      </c>
      <c r="K81" s="157">
        <f t="shared" si="85"/>
        <v>0.12814524651213022</v>
      </c>
      <c r="L81" s="157">
        <f t="shared" si="85"/>
        <v>0.13530053155051291</v>
      </c>
      <c r="M81" s="121"/>
      <c r="N81" s="121"/>
      <c r="O81" s="121"/>
      <c r="P81" s="121"/>
      <c r="Q81" s="121"/>
      <c r="AT81" s="154">
        <f t="shared" si="80"/>
        <v>1</v>
      </c>
      <c r="AU81" s="154">
        <f t="shared" si="80"/>
        <v>2</v>
      </c>
      <c r="AV81" s="154">
        <f t="shared" si="80"/>
        <v>3</v>
      </c>
      <c r="AW81" s="154">
        <f t="shared" si="80"/>
        <v>4</v>
      </c>
      <c r="AX81" s="154">
        <f t="shared" si="80"/>
        <v>5</v>
      </c>
      <c r="AY81" s="154">
        <f t="shared" si="80"/>
        <v>6</v>
      </c>
      <c r="AZ81" s="154">
        <f t="shared" si="80"/>
        <v>8</v>
      </c>
      <c r="BA81" s="154">
        <f t="shared" si="80"/>
        <v>9</v>
      </c>
      <c r="BB81" s="154">
        <f t="shared" si="80"/>
        <v>10</v>
      </c>
    </row>
    <row r="82" spans="1:54" ht="15" customHeight="1" x14ac:dyDescent="0.25">
      <c r="A82" s="121"/>
      <c r="B82" s="335"/>
      <c r="C82" s="156">
        <f>C81+$G$439</f>
        <v>0.44999999999999996</v>
      </c>
      <c r="D82" s="155">
        <f t="shared" ref="D82:L82" si="86">D42-$G$448</f>
        <v>8.5626779739894854E-2</v>
      </c>
      <c r="E82" s="155">
        <f t="shared" si="86"/>
        <v>9.2728521010641662E-2</v>
      </c>
      <c r="F82" s="155">
        <f t="shared" si="86"/>
        <v>9.9677643933538951E-2</v>
      </c>
      <c r="G82" s="155">
        <f t="shared" si="86"/>
        <v>0.10648133553677863</v>
      </c>
      <c r="H82" s="155">
        <f t="shared" si="86"/>
        <v>0.11314626972767461</v>
      </c>
      <c r="I82" s="155">
        <f t="shared" si="86"/>
        <v>0.11967865583970894</v>
      </c>
      <c r="J82" s="155">
        <f t="shared" si="86"/>
        <v>0.12608428142431416</v>
      </c>
      <c r="K82" s="155">
        <f t="shared" si="86"/>
        <v>0.13236855022233751</v>
      </c>
      <c r="L82" s="155">
        <f t="shared" si="86"/>
        <v>0.13853651590999538</v>
      </c>
      <c r="M82" s="121"/>
      <c r="N82" s="121"/>
      <c r="O82" s="121"/>
      <c r="P82" s="121"/>
      <c r="Q82" s="121"/>
      <c r="AT82" s="154">
        <f t="shared" si="80"/>
        <v>2</v>
      </c>
      <c r="AU82" s="154">
        <f t="shared" si="80"/>
        <v>3</v>
      </c>
      <c r="AV82" s="154">
        <f t="shared" si="80"/>
        <v>4</v>
      </c>
      <c r="AW82" s="154">
        <f t="shared" si="80"/>
        <v>5</v>
      </c>
      <c r="AX82" s="154">
        <f t="shared" si="80"/>
        <v>6</v>
      </c>
      <c r="AY82" s="154">
        <f t="shared" si="80"/>
        <v>7</v>
      </c>
      <c r="AZ82" s="154">
        <f t="shared" si="80"/>
        <v>8</v>
      </c>
      <c r="BA82" s="154">
        <f t="shared" si="80"/>
        <v>9</v>
      </c>
      <c r="BB82" s="154">
        <f t="shared" si="80"/>
        <v>10</v>
      </c>
    </row>
    <row r="83" spans="1:54" ht="15" hidden="1" customHeight="1" outlineLevel="1" x14ac:dyDescent="0.25">
      <c r="A83" s="121"/>
      <c r="B83" s="153" t="s">
        <v>361</v>
      </c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</row>
    <row r="84" spans="1:54" ht="3.95" customHeight="1" collapsed="1" x14ac:dyDescent="0.25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</row>
    <row r="85" spans="1:54" ht="15" customHeight="1" x14ac:dyDescent="0.25">
      <c r="A85" s="121"/>
      <c r="B85" s="178" t="s">
        <v>360</v>
      </c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21"/>
      <c r="N85" s="121"/>
      <c r="O85" s="121"/>
      <c r="P85" s="121"/>
      <c r="Q85" s="121"/>
    </row>
    <row r="86" spans="1:54" ht="15" customHeight="1" x14ac:dyDescent="0.25">
      <c r="A86" s="121"/>
      <c r="B86" s="164" t="s">
        <v>359</v>
      </c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</row>
    <row r="87" spans="1:54" ht="2.1" customHeight="1" x14ac:dyDescent="0.25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</row>
    <row r="88" spans="1:54" ht="12.75" customHeight="1" x14ac:dyDescent="0.25">
      <c r="A88" s="121"/>
      <c r="B88" s="10"/>
      <c r="C88" s="10"/>
      <c r="D88" s="163" t="s">
        <v>337</v>
      </c>
      <c r="E88" s="163"/>
      <c r="F88" s="163"/>
      <c r="G88" s="163"/>
      <c r="H88" s="163"/>
      <c r="I88" s="163"/>
      <c r="J88" s="163"/>
      <c r="K88" s="163"/>
      <c r="L88" s="163"/>
      <c r="M88" s="121"/>
      <c r="N88" s="121"/>
      <c r="O88" s="121"/>
      <c r="P88" s="121"/>
      <c r="Q88" s="121"/>
      <c r="Z88" s="171" t="s">
        <v>358</v>
      </c>
      <c r="AA88" s="58"/>
      <c r="AB88" s="58"/>
      <c r="AC88" s="58"/>
      <c r="AD88" s="58"/>
      <c r="AE88" s="58"/>
      <c r="AF88" s="58"/>
      <c r="AG88" s="58"/>
      <c r="AH88" s="58"/>
      <c r="AJ88" s="171" t="s">
        <v>357</v>
      </c>
      <c r="AK88" s="58"/>
      <c r="AL88" s="58"/>
      <c r="AM88" s="58"/>
      <c r="AN88" s="58"/>
      <c r="AO88" s="58"/>
      <c r="AP88" s="58"/>
      <c r="AQ88" s="58"/>
      <c r="AR88" s="58"/>
    </row>
    <row r="89" spans="1:54" ht="12.75" customHeight="1" x14ac:dyDescent="0.25">
      <c r="A89" s="121"/>
      <c r="B89" s="10"/>
      <c r="C89" s="10"/>
      <c r="D89" s="183">
        <f>E89+$G$458</f>
        <v>64</v>
      </c>
      <c r="E89" s="183">
        <f>F89+$G$458</f>
        <v>60</v>
      </c>
      <c r="F89" s="183">
        <f>G89+$G$458</f>
        <v>56</v>
      </c>
      <c r="G89" s="183">
        <f>H89+$G$458</f>
        <v>52</v>
      </c>
      <c r="H89" s="183">
        <f>$G$457</f>
        <v>48</v>
      </c>
      <c r="I89" s="183">
        <f>H89-$G$458</f>
        <v>44</v>
      </c>
      <c r="J89" s="183">
        <f>I89-$G$458</f>
        <v>40</v>
      </c>
      <c r="K89" s="183">
        <f>J89-$G$458</f>
        <v>36</v>
      </c>
      <c r="L89" s="183">
        <f>K89-$G$458</f>
        <v>32</v>
      </c>
      <c r="M89" s="121"/>
      <c r="N89" s="161" t="s">
        <v>356</v>
      </c>
      <c r="O89" s="161" t="s">
        <v>355</v>
      </c>
      <c r="P89" s="161" t="s">
        <v>354</v>
      </c>
      <c r="Q89" s="161" t="s">
        <v>353</v>
      </c>
      <c r="R89" s="161" t="s">
        <v>352</v>
      </c>
      <c r="Z89" s="57">
        <f t="shared" ref="Z89:AH89" si="87">D$89</f>
        <v>64</v>
      </c>
      <c r="AA89" s="57">
        <f t="shared" si="87"/>
        <v>60</v>
      </c>
      <c r="AB89" s="57">
        <f t="shared" si="87"/>
        <v>56</v>
      </c>
      <c r="AC89" s="57">
        <f t="shared" si="87"/>
        <v>52</v>
      </c>
      <c r="AD89" s="57">
        <f t="shared" si="87"/>
        <v>48</v>
      </c>
      <c r="AE89" s="57">
        <f t="shared" si="87"/>
        <v>44</v>
      </c>
      <c r="AF89" s="57">
        <f t="shared" si="87"/>
        <v>40</v>
      </c>
      <c r="AG89" s="57">
        <f t="shared" si="87"/>
        <v>36</v>
      </c>
      <c r="AH89" s="57">
        <f t="shared" si="87"/>
        <v>32</v>
      </c>
      <c r="AI89" s="186"/>
      <c r="AJ89" s="57">
        <f t="shared" ref="AJ89:AR89" si="88">D$89</f>
        <v>64</v>
      </c>
      <c r="AK89" s="57">
        <f t="shared" si="88"/>
        <v>60</v>
      </c>
      <c r="AL89" s="57">
        <f t="shared" si="88"/>
        <v>56</v>
      </c>
      <c r="AM89" s="57">
        <f t="shared" si="88"/>
        <v>52</v>
      </c>
      <c r="AN89" s="57">
        <f t="shared" si="88"/>
        <v>48</v>
      </c>
      <c r="AO89" s="57">
        <f t="shared" si="88"/>
        <v>44</v>
      </c>
      <c r="AP89" s="57">
        <f t="shared" si="88"/>
        <v>40</v>
      </c>
      <c r="AQ89" s="57">
        <f t="shared" si="88"/>
        <v>36</v>
      </c>
      <c r="AR89" s="57">
        <f t="shared" si="88"/>
        <v>32</v>
      </c>
      <c r="AT89" s="161" t="s">
        <v>288</v>
      </c>
      <c r="AU89" s="160"/>
      <c r="AV89" s="160"/>
      <c r="AW89" s="160"/>
      <c r="AX89" s="160"/>
      <c r="AY89" s="160"/>
      <c r="AZ89" s="160"/>
      <c r="BA89" s="160"/>
      <c r="BB89" s="160"/>
    </row>
    <row r="90" spans="1:54" ht="15" customHeight="1" x14ac:dyDescent="0.25">
      <c r="A90" s="121"/>
      <c r="B90" s="333" t="s">
        <v>336</v>
      </c>
      <c r="C90" s="158">
        <f>C91-$G$439</f>
        <v>0.15000000000000002</v>
      </c>
      <c r="D90" s="152">
        <f t="shared" ref="D90:L96" si="89">ROUND(Z90,$G$452)</f>
        <v>5800</v>
      </c>
      <c r="E90" s="152">
        <f t="shared" si="89"/>
        <v>5700</v>
      </c>
      <c r="F90" s="152">
        <f t="shared" si="89"/>
        <v>5600</v>
      </c>
      <c r="G90" s="152">
        <f t="shared" si="89"/>
        <v>5400</v>
      </c>
      <c r="H90" s="152">
        <f t="shared" si="89"/>
        <v>5300</v>
      </c>
      <c r="I90" s="152">
        <f t="shared" si="89"/>
        <v>5200</v>
      </c>
      <c r="J90" s="152">
        <f t="shared" si="89"/>
        <v>5100</v>
      </c>
      <c r="K90" s="152">
        <f t="shared" si="89"/>
        <v>5000</v>
      </c>
      <c r="L90" s="152">
        <f t="shared" si="89"/>
        <v>4900</v>
      </c>
      <c r="M90" s="121"/>
      <c r="N90" s="185">
        <f t="shared" ref="N90:N96" si="90">$C90</f>
        <v>0.15000000000000002</v>
      </c>
      <c r="O90" s="173">
        <f t="shared" ref="O90:O96" si="91">$G$433</f>
        <v>650</v>
      </c>
      <c r="P90" s="173">
        <f t="shared" ref="P90:P96" si="92">$G$430*(1-N90)-O90</f>
        <v>1900</v>
      </c>
      <c r="Q90" s="173">
        <f t="shared" ref="Q90:Q96" si="93">$G$432-O90</f>
        <v>59350</v>
      </c>
      <c r="R90" s="184">
        <f t="shared" ref="R90:R96" si="94">IFERROR(P90/(Q90+$G$430*(1-N90)),0)*(1-$G$434)</f>
        <v>2.9159935379644585E-2</v>
      </c>
      <c r="Z90" s="57">
        <f t="shared" ref="Z90:AH96" si="95">$O90+$G$435+$N90*AJ$90+$R90*($Q90*(1+$G$437)+AJ$90*(1-$N90))-$G$430</f>
        <v>5788.486606551045</v>
      </c>
      <c r="AA90" s="57">
        <f t="shared" si="95"/>
        <v>5672.2086975403035</v>
      </c>
      <c r="AB90" s="57">
        <f t="shared" si="95"/>
        <v>5555.9307885295602</v>
      </c>
      <c r="AC90" s="57">
        <f t="shared" si="95"/>
        <v>5439.6528795188169</v>
      </c>
      <c r="AD90" s="57">
        <f t="shared" si="95"/>
        <v>5323.3749705080736</v>
      </c>
      <c r="AE90" s="57">
        <f t="shared" si="95"/>
        <v>5207.0970614973321</v>
      </c>
      <c r="AF90" s="57">
        <f t="shared" si="95"/>
        <v>5090.8191524865888</v>
      </c>
      <c r="AG90" s="57">
        <f t="shared" si="95"/>
        <v>4974.5412434758455</v>
      </c>
      <c r="AH90" s="57">
        <f t="shared" si="95"/>
        <v>4858.263334465104</v>
      </c>
      <c r="AJ90" s="57">
        <f t="shared" ref="AJ90:AR90" si="96">($G$453+AJ$89*$G$445*$G$454)*$G$455</f>
        <v>16641.224756384192</v>
      </c>
      <c r="AK90" s="57">
        <f t="shared" si="96"/>
        <v>15975.965836610179</v>
      </c>
      <c r="AL90" s="57">
        <f t="shared" si="96"/>
        <v>15310.706916836167</v>
      </c>
      <c r="AM90" s="57">
        <f t="shared" si="96"/>
        <v>14645.447997062158</v>
      </c>
      <c r="AN90" s="57">
        <f t="shared" si="96"/>
        <v>13980.189077288145</v>
      </c>
      <c r="AO90" s="57">
        <f t="shared" si="96"/>
        <v>13314.930157514133</v>
      </c>
      <c r="AP90" s="57">
        <f t="shared" si="96"/>
        <v>12649.67123774012</v>
      </c>
      <c r="AQ90" s="57">
        <f t="shared" si="96"/>
        <v>11984.412317966107</v>
      </c>
      <c r="AR90" s="57">
        <f t="shared" si="96"/>
        <v>11319.153398192097</v>
      </c>
      <c r="AT90" s="154">
        <f t="shared" ref="AT90:BB96" si="97">IF(Z130&lt;$G$449,0,MIN($G$446,1+IFERROR(INT((Z130-$G$449)/$G$463),0)))</f>
        <v>0</v>
      </c>
      <c r="AU90" s="154">
        <f t="shared" si="97"/>
        <v>0</v>
      </c>
      <c r="AV90" s="154">
        <f t="shared" si="97"/>
        <v>0</v>
      </c>
      <c r="AW90" s="154">
        <f t="shared" si="97"/>
        <v>0</v>
      </c>
      <c r="AX90" s="154">
        <f t="shared" si="97"/>
        <v>0</v>
      </c>
      <c r="AY90" s="154">
        <f t="shared" si="97"/>
        <v>1</v>
      </c>
      <c r="AZ90" s="154">
        <f t="shared" si="97"/>
        <v>3</v>
      </c>
      <c r="BA90" s="154">
        <f t="shared" si="97"/>
        <v>5</v>
      </c>
      <c r="BB90" s="154">
        <f t="shared" si="97"/>
        <v>6</v>
      </c>
    </row>
    <row r="91" spans="1:54" ht="15" customHeight="1" x14ac:dyDescent="0.25">
      <c r="A91" s="121"/>
      <c r="B91" s="334"/>
      <c r="C91" s="158">
        <f>C92-$G$439</f>
        <v>0.2</v>
      </c>
      <c r="D91" s="168">
        <f t="shared" si="89"/>
        <v>6200</v>
      </c>
      <c r="E91" s="168">
        <f t="shared" si="89"/>
        <v>6000</v>
      </c>
      <c r="F91" s="168">
        <f t="shared" si="89"/>
        <v>5900</v>
      </c>
      <c r="G91" s="168">
        <f t="shared" si="89"/>
        <v>5700</v>
      </c>
      <c r="H91" s="168">
        <f t="shared" si="89"/>
        <v>5600</v>
      </c>
      <c r="I91" s="168">
        <f t="shared" si="89"/>
        <v>5400</v>
      </c>
      <c r="J91" s="168">
        <f t="shared" si="89"/>
        <v>5300</v>
      </c>
      <c r="K91" s="168">
        <f t="shared" si="89"/>
        <v>5100</v>
      </c>
      <c r="L91" s="168">
        <f t="shared" si="89"/>
        <v>5000</v>
      </c>
      <c r="M91" s="121"/>
      <c r="N91" s="185">
        <f t="shared" si="90"/>
        <v>0.2</v>
      </c>
      <c r="O91" s="173">
        <f t="shared" si="91"/>
        <v>650</v>
      </c>
      <c r="P91" s="173">
        <f t="shared" si="92"/>
        <v>1750</v>
      </c>
      <c r="Q91" s="173">
        <f t="shared" si="93"/>
        <v>59350</v>
      </c>
      <c r="R91" s="184">
        <f t="shared" si="94"/>
        <v>2.6923076923076921E-2</v>
      </c>
      <c r="Z91" s="57">
        <f t="shared" si="95"/>
        <v>6165.3251767989605</v>
      </c>
      <c r="AA91" s="57">
        <f t="shared" si="95"/>
        <v>6017.9447391874855</v>
      </c>
      <c r="AB91" s="57">
        <f t="shared" si="95"/>
        <v>5870.5643015760124</v>
      </c>
      <c r="AC91" s="57">
        <f t="shared" si="95"/>
        <v>5723.1838639645393</v>
      </c>
      <c r="AD91" s="57">
        <f t="shared" si="95"/>
        <v>5575.8034263530681</v>
      </c>
      <c r="AE91" s="57">
        <f t="shared" si="95"/>
        <v>5428.4229887415931</v>
      </c>
      <c r="AF91" s="57">
        <f t="shared" si="95"/>
        <v>5281.0425511301182</v>
      </c>
      <c r="AG91" s="57">
        <f t="shared" si="95"/>
        <v>5133.6621135186451</v>
      </c>
      <c r="AH91" s="57">
        <f t="shared" si="95"/>
        <v>4986.2816759071729</v>
      </c>
      <c r="AT91" s="154">
        <f t="shared" si="97"/>
        <v>0</v>
      </c>
      <c r="AU91" s="154">
        <f t="shared" si="97"/>
        <v>0</v>
      </c>
      <c r="AV91" s="154">
        <f t="shared" si="97"/>
        <v>0</v>
      </c>
      <c r="AW91" s="154">
        <f t="shared" si="97"/>
        <v>0</v>
      </c>
      <c r="AX91" s="154">
        <f t="shared" si="97"/>
        <v>1</v>
      </c>
      <c r="AY91" s="154">
        <f t="shared" si="97"/>
        <v>2</v>
      </c>
      <c r="AZ91" s="154">
        <f t="shared" si="97"/>
        <v>4</v>
      </c>
      <c r="BA91" s="154">
        <f t="shared" si="97"/>
        <v>5</v>
      </c>
      <c r="BB91" s="154">
        <f t="shared" si="97"/>
        <v>7</v>
      </c>
    </row>
    <row r="92" spans="1:54" ht="15" customHeight="1" x14ac:dyDescent="0.25">
      <c r="A92" s="121"/>
      <c r="B92" s="334"/>
      <c r="C92" s="158">
        <f>C93-$G$439</f>
        <v>0.25</v>
      </c>
      <c r="D92" s="168">
        <f t="shared" si="89"/>
        <v>6500</v>
      </c>
      <c r="E92" s="168">
        <f t="shared" si="89"/>
        <v>6400</v>
      </c>
      <c r="F92" s="168">
        <f t="shared" si="89"/>
        <v>6200</v>
      </c>
      <c r="G92" s="168">
        <f t="shared" si="89"/>
        <v>6000</v>
      </c>
      <c r="H92" s="168">
        <f t="shared" si="89"/>
        <v>5800</v>
      </c>
      <c r="I92" s="168">
        <f t="shared" si="89"/>
        <v>5700</v>
      </c>
      <c r="J92" s="168">
        <f t="shared" si="89"/>
        <v>5500</v>
      </c>
      <c r="K92" s="168">
        <f t="shared" si="89"/>
        <v>5300</v>
      </c>
      <c r="L92" s="168">
        <f t="shared" si="89"/>
        <v>5100</v>
      </c>
      <c r="M92" s="121"/>
      <c r="N92" s="185">
        <f t="shared" si="90"/>
        <v>0.25</v>
      </c>
      <c r="O92" s="173">
        <f t="shared" si="91"/>
        <v>650</v>
      </c>
      <c r="P92" s="173">
        <f t="shared" si="92"/>
        <v>1600</v>
      </c>
      <c r="Q92" s="173">
        <f t="shared" si="93"/>
        <v>59350</v>
      </c>
      <c r="R92" s="184">
        <f t="shared" si="94"/>
        <v>2.4675324675324677E-2</v>
      </c>
      <c r="Z92" s="57">
        <f t="shared" si="95"/>
        <v>6543.796387509652</v>
      </c>
      <c r="AA92" s="57">
        <f t="shared" si="95"/>
        <v>6365.1700476872138</v>
      </c>
      <c r="AB92" s="57">
        <f t="shared" si="95"/>
        <v>6186.5437078647774</v>
      </c>
      <c r="AC92" s="57">
        <f t="shared" si="95"/>
        <v>6007.917368042341</v>
      </c>
      <c r="AD92" s="57">
        <f t="shared" si="95"/>
        <v>5829.2910282199027</v>
      </c>
      <c r="AE92" s="57">
        <f t="shared" si="95"/>
        <v>5650.6646883974645</v>
      </c>
      <c r="AF92" s="57">
        <f t="shared" si="95"/>
        <v>5472.0383485750281</v>
      </c>
      <c r="AG92" s="57">
        <f t="shared" si="95"/>
        <v>5293.412008752588</v>
      </c>
      <c r="AH92" s="57">
        <f t="shared" si="95"/>
        <v>5114.7856689301516</v>
      </c>
      <c r="AJ92" s="171" t="s">
        <v>351</v>
      </c>
      <c r="AK92" s="58"/>
      <c r="AL92" s="58"/>
      <c r="AM92" s="58"/>
      <c r="AN92" s="58"/>
      <c r="AO92" s="58"/>
      <c r="AP92" s="58"/>
      <c r="AQ92" s="58"/>
      <c r="AR92" s="58"/>
      <c r="AT92" s="154">
        <f t="shared" si="97"/>
        <v>0</v>
      </c>
      <c r="AU92" s="154">
        <f t="shared" si="97"/>
        <v>0</v>
      </c>
      <c r="AV92" s="154">
        <f t="shared" si="97"/>
        <v>0</v>
      </c>
      <c r="AW92" s="154">
        <f t="shared" si="97"/>
        <v>1</v>
      </c>
      <c r="AX92" s="154">
        <f t="shared" si="97"/>
        <v>2</v>
      </c>
      <c r="AY92" s="154">
        <f t="shared" si="97"/>
        <v>4</v>
      </c>
      <c r="AZ92" s="154">
        <f t="shared" si="97"/>
        <v>5</v>
      </c>
      <c r="BA92" s="154">
        <f t="shared" si="97"/>
        <v>6</v>
      </c>
      <c r="BB92" s="154">
        <f t="shared" si="97"/>
        <v>8</v>
      </c>
    </row>
    <row r="93" spans="1:54" ht="15" customHeight="1" x14ac:dyDescent="0.25">
      <c r="A93" s="121"/>
      <c r="B93" s="334"/>
      <c r="C93" s="158">
        <f>$G$438</f>
        <v>0.3</v>
      </c>
      <c r="D93" s="168">
        <f t="shared" si="89"/>
        <v>6900</v>
      </c>
      <c r="E93" s="168">
        <f t="shared" si="89"/>
        <v>6700</v>
      </c>
      <c r="F93" s="168">
        <f t="shared" si="89"/>
        <v>6500</v>
      </c>
      <c r="G93" s="168">
        <f t="shared" si="89"/>
        <v>6300</v>
      </c>
      <c r="H93" s="169">
        <f t="shared" si="89"/>
        <v>6100</v>
      </c>
      <c r="I93" s="168">
        <f t="shared" si="89"/>
        <v>5900</v>
      </c>
      <c r="J93" s="168">
        <f t="shared" si="89"/>
        <v>5700</v>
      </c>
      <c r="K93" s="168">
        <f t="shared" si="89"/>
        <v>5500</v>
      </c>
      <c r="L93" s="168">
        <f t="shared" si="89"/>
        <v>5200</v>
      </c>
      <c r="M93" s="121"/>
      <c r="N93" s="185">
        <f t="shared" si="90"/>
        <v>0.3</v>
      </c>
      <c r="O93" s="173">
        <f t="shared" si="91"/>
        <v>650</v>
      </c>
      <c r="P93" s="173">
        <f t="shared" si="92"/>
        <v>1450</v>
      </c>
      <c r="Q93" s="173">
        <f t="shared" si="93"/>
        <v>59350</v>
      </c>
      <c r="R93" s="184">
        <f t="shared" si="94"/>
        <v>2.2416598860862488E-2</v>
      </c>
      <c r="Z93" s="57">
        <f t="shared" si="95"/>
        <v>6923.9121945530678</v>
      </c>
      <c r="AA93" s="57">
        <f t="shared" si="95"/>
        <v>6713.8955289806363</v>
      </c>
      <c r="AB93" s="57">
        <f t="shared" si="95"/>
        <v>6503.8788634082011</v>
      </c>
      <c r="AC93" s="57">
        <f t="shared" si="95"/>
        <v>6293.8621978357696</v>
      </c>
      <c r="AD93" s="57">
        <f t="shared" si="95"/>
        <v>6083.8455322633381</v>
      </c>
      <c r="AE93" s="57">
        <f t="shared" si="95"/>
        <v>5873.8288666909029</v>
      </c>
      <c r="AF93" s="57">
        <f t="shared" si="95"/>
        <v>5663.8122011184714</v>
      </c>
      <c r="AG93" s="57">
        <f t="shared" si="95"/>
        <v>5453.7955355460381</v>
      </c>
      <c r="AH93" s="57">
        <f t="shared" si="95"/>
        <v>5243.7788699736047</v>
      </c>
      <c r="AJ93" s="57">
        <f t="shared" ref="AJ93:AR93" si="98">($G$453+(AJ$89-$G$459)*$G$445*$G$460)*$G$461*$G$462</f>
        <v>9153.4049981638491</v>
      </c>
      <c r="AK93" s="57">
        <f t="shared" si="98"/>
        <v>8737.6181733050907</v>
      </c>
      <c r="AL93" s="57">
        <f t="shared" si="98"/>
        <v>8321.8313484463324</v>
      </c>
      <c r="AM93" s="57">
        <f t="shared" si="98"/>
        <v>7906.044523587575</v>
      </c>
      <c r="AN93" s="57">
        <f t="shared" si="98"/>
        <v>7490.2576987288176</v>
      </c>
      <c r="AO93" s="57">
        <f t="shared" si="98"/>
        <v>7074.4708738700601</v>
      </c>
      <c r="AP93" s="57">
        <f t="shared" si="98"/>
        <v>6658.6840490113027</v>
      </c>
      <c r="AQ93" s="57">
        <f t="shared" si="98"/>
        <v>6242.8972241525462</v>
      </c>
      <c r="AR93" s="57">
        <f t="shared" si="98"/>
        <v>5827.1103992937879</v>
      </c>
      <c r="AT93" s="154">
        <f t="shared" si="97"/>
        <v>0</v>
      </c>
      <c r="AU93" s="154">
        <f t="shared" si="97"/>
        <v>0</v>
      </c>
      <c r="AV93" s="154">
        <f t="shared" si="97"/>
        <v>2</v>
      </c>
      <c r="AW93" s="154">
        <f t="shared" si="97"/>
        <v>3</v>
      </c>
      <c r="AX93" s="154">
        <f t="shared" si="97"/>
        <v>4</v>
      </c>
      <c r="AY93" s="154">
        <f t="shared" si="97"/>
        <v>5</v>
      </c>
      <c r="AZ93" s="154">
        <f t="shared" si="97"/>
        <v>6</v>
      </c>
      <c r="BA93" s="154">
        <f t="shared" si="97"/>
        <v>7</v>
      </c>
      <c r="BB93" s="154">
        <f t="shared" si="97"/>
        <v>8</v>
      </c>
    </row>
    <row r="94" spans="1:54" ht="15" customHeight="1" x14ac:dyDescent="0.25">
      <c r="A94" s="121"/>
      <c r="B94" s="334"/>
      <c r="C94" s="158">
        <f>C93+$G$439</f>
        <v>0.35</v>
      </c>
      <c r="D94" s="168">
        <f t="shared" si="89"/>
        <v>7300</v>
      </c>
      <c r="E94" s="168">
        <f t="shared" si="89"/>
        <v>7100</v>
      </c>
      <c r="F94" s="168">
        <f t="shared" si="89"/>
        <v>6800</v>
      </c>
      <c r="G94" s="168">
        <f t="shared" si="89"/>
        <v>6600</v>
      </c>
      <c r="H94" s="168">
        <f t="shared" si="89"/>
        <v>6300</v>
      </c>
      <c r="I94" s="168">
        <f t="shared" si="89"/>
        <v>6100</v>
      </c>
      <c r="J94" s="168">
        <f t="shared" si="89"/>
        <v>5900</v>
      </c>
      <c r="K94" s="168">
        <f t="shared" si="89"/>
        <v>5600</v>
      </c>
      <c r="L94" s="168">
        <f t="shared" si="89"/>
        <v>5400</v>
      </c>
      <c r="M94" s="121"/>
      <c r="N94" s="185">
        <f t="shared" si="90"/>
        <v>0.35</v>
      </c>
      <c r="O94" s="173">
        <f t="shared" si="91"/>
        <v>650</v>
      </c>
      <c r="P94" s="173">
        <f t="shared" si="92"/>
        <v>1300</v>
      </c>
      <c r="Q94" s="173">
        <f t="shared" si="93"/>
        <v>59350</v>
      </c>
      <c r="R94" s="184">
        <f t="shared" si="94"/>
        <v>2.0146818923327897E-2</v>
      </c>
      <c r="Z94" s="57">
        <f t="shared" si="95"/>
        <v>7305.6846708223529</v>
      </c>
      <c r="AA94" s="57">
        <f t="shared" si="95"/>
        <v>7064.1321957554683</v>
      </c>
      <c r="AB94" s="57">
        <f t="shared" si="95"/>
        <v>6822.5797206885836</v>
      </c>
      <c r="AC94" s="57">
        <f t="shared" si="95"/>
        <v>6581.0272456217008</v>
      </c>
      <c r="AD94" s="57">
        <f t="shared" si="95"/>
        <v>6339.4747705548161</v>
      </c>
      <c r="AE94" s="57">
        <f t="shared" si="95"/>
        <v>6097.9222954879315</v>
      </c>
      <c r="AF94" s="57">
        <f t="shared" si="95"/>
        <v>5856.3698204210468</v>
      </c>
      <c r="AG94" s="57">
        <f t="shared" si="95"/>
        <v>5614.817345354164</v>
      </c>
      <c r="AH94" s="57">
        <f t="shared" si="95"/>
        <v>5373.2648702872793</v>
      </c>
      <c r="AJ94" s="171" t="s">
        <v>350</v>
      </c>
      <c r="AK94" s="58"/>
      <c r="AL94" s="58"/>
      <c r="AM94" s="58"/>
      <c r="AN94" s="58"/>
      <c r="AO94" s="58"/>
      <c r="AP94" s="58"/>
      <c r="AQ94" s="58"/>
      <c r="AR94" s="58"/>
      <c r="AT94" s="154">
        <f t="shared" si="97"/>
        <v>1</v>
      </c>
      <c r="AU94" s="154">
        <f t="shared" si="97"/>
        <v>2</v>
      </c>
      <c r="AV94" s="154">
        <f t="shared" si="97"/>
        <v>3</v>
      </c>
      <c r="AW94" s="154">
        <f t="shared" si="97"/>
        <v>4</v>
      </c>
      <c r="AX94" s="154">
        <f t="shared" si="97"/>
        <v>5</v>
      </c>
      <c r="AY94" s="154">
        <f t="shared" si="97"/>
        <v>6</v>
      </c>
      <c r="AZ94" s="154">
        <f t="shared" si="97"/>
        <v>7</v>
      </c>
      <c r="BA94" s="154">
        <f t="shared" si="97"/>
        <v>8</v>
      </c>
      <c r="BB94" s="154">
        <f t="shared" si="97"/>
        <v>9</v>
      </c>
    </row>
    <row r="95" spans="1:54" ht="15" customHeight="1" x14ac:dyDescent="0.25">
      <c r="A95" s="121"/>
      <c r="B95" s="334"/>
      <c r="C95" s="158">
        <f>C94+$G$439</f>
        <v>0.39999999999999997</v>
      </c>
      <c r="D95" s="168">
        <f t="shared" si="89"/>
        <v>7700</v>
      </c>
      <c r="E95" s="168">
        <f t="shared" si="89"/>
        <v>7400</v>
      </c>
      <c r="F95" s="168">
        <f t="shared" si="89"/>
        <v>7100</v>
      </c>
      <c r="G95" s="168">
        <f t="shared" si="89"/>
        <v>6900</v>
      </c>
      <c r="H95" s="168">
        <f t="shared" si="89"/>
        <v>6600</v>
      </c>
      <c r="I95" s="168">
        <f t="shared" si="89"/>
        <v>6300</v>
      </c>
      <c r="J95" s="168">
        <f t="shared" si="89"/>
        <v>6000</v>
      </c>
      <c r="K95" s="168">
        <f t="shared" si="89"/>
        <v>5800</v>
      </c>
      <c r="L95" s="168">
        <f t="shared" si="89"/>
        <v>5500</v>
      </c>
      <c r="M95" s="121"/>
      <c r="N95" s="185">
        <f t="shared" si="90"/>
        <v>0.39999999999999997</v>
      </c>
      <c r="O95" s="173">
        <f t="shared" si="91"/>
        <v>650</v>
      </c>
      <c r="P95" s="173">
        <f t="shared" si="92"/>
        <v>1150.0000000000002</v>
      </c>
      <c r="Q95" s="173">
        <f t="shared" si="93"/>
        <v>59350</v>
      </c>
      <c r="R95" s="184">
        <f t="shared" si="94"/>
        <v>1.7865903515944404E-2</v>
      </c>
      <c r="Z95" s="57">
        <f t="shared" si="95"/>
        <v>7689.1260076691287</v>
      </c>
      <c r="AA95" s="57">
        <f t="shared" si="95"/>
        <v>7415.8911687552409</v>
      </c>
      <c r="AB95" s="57">
        <f t="shared" si="95"/>
        <v>7142.6563298413548</v>
      </c>
      <c r="AC95" s="57">
        <f t="shared" si="95"/>
        <v>6869.4214909274669</v>
      </c>
      <c r="AD95" s="57">
        <f t="shared" si="95"/>
        <v>6596.1866520135809</v>
      </c>
      <c r="AE95" s="57">
        <f t="shared" si="95"/>
        <v>6322.951813099693</v>
      </c>
      <c r="AF95" s="57">
        <f t="shared" si="95"/>
        <v>6049.716974185807</v>
      </c>
      <c r="AG95" s="57">
        <f t="shared" si="95"/>
        <v>5776.4821352719191</v>
      </c>
      <c r="AH95" s="57">
        <f t="shared" si="95"/>
        <v>5503.2472963580331</v>
      </c>
      <c r="AJ95" s="175">
        <f t="shared" ref="AJ95:AR95" si="99">IFERROR((AJ$93/$G$430)^(1/$G$445)-1,0)</f>
        <v>0.24994897498434732</v>
      </c>
      <c r="AK95" s="175">
        <f t="shared" si="99"/>
        <v>0.2383812320355434</v>
      </c>
      <c r="AL95" s="175">
        <f t="shared" si="99"/>
        <v>0.22636438906489698</v>
      </c>
      <c r="AM95" s="175">
        <f t="shared" si="99"/>
        <v>0.21385720427347343</v>
      </c>
      <c r="AN95" s="175">
        <f t="shared" si="99"/>
        <v>0.20081222595661186</v>
      </c>
      <c r="AO95" s="175">
        <f t="shared" si="99"/>
        <v>0.18717445096254903</v>
      </c>
      <c r="AP95" s="175">
        <f t="shared" si="99"/>
        <v>0.17287959485981674</v>
      </c>
      <c r="AQ95" s="175">
        <f t="shared" si="99"/>
        <v>0.15785182924075625</v>
      </c>
      <c r="AR95" s="175">
        <f t="shared" si="99"/>
        <v>0.14200077411811818</v>
      </c>
      <c r="AT95" s="154">
        <f t="shared" si="97"/>
        <v>3</v>
      </c>
      <c r="AU95" s="154">
        <f t="shared" si="97"/>
        <v>4</v>
      </c>
      <c r="AV95" s="154">
        <f t="shared" si="97"/>
        <v>5</v>
      </c>
      <c r="AW95" s="154">
        <f t="shared" si="97"/>
        <v>6</v>
      </c>
      <c r="AX95" s="154">
        <f t="shared" si="97"/>
        <v>7</v>
      </c>
      <c r="AY95" s="154">
        <f t="shared" si="97"/>
        <v>7</v>
      </c>
      <c r="AZ95" s="154">
        <f t="shared" si="97"/>
        <v>8</v>
      </c>
      <c r="BA95" s="154">
        <f t="shared" si="97"/>
        <v>9</v>
      </c>
      <c r="BB95" s="154">
        <f t="shared" si="97"/>
        <v>10</v>
      </c>
    </row>
    <row r="96" spans="1:54" ht="15" customHeight="1" x14ac:dyDescent="0.25">
      <c r="A96" s="121"/>
      <c r="B96" s="335"/>
      <c r="C96" s="156">
        <f>C95+$G$439</f>
        <v>0.44999999999999996</v>
      </c>
      <c r="D96" s="149">
        <f t="shared" si="89"/>
        <v>8100</v>
      </c>
      <c r="E96" s="149">
        <f t="shared" si="89"/>
        <v>7800</v>
      </c>
      <c r="F96" s="149">
        <f t="shared" si="89"/>
        <v>7500</v>
      </c>
      <c r="G96" s="149">
        <f t="shared" si="89"/>
        <v>7200</v>
      </c>
      <c r="H96" s="149">
        <f t="shared" si="89"/>
        <v>6900</v>
      </c>
      <c r="I96" s="149">
        <f t="shared" si="89"/>
        <v>6500</v>
      </c>
      <c r="J96" s="149">
        <f t="shared" si="89"/>
        <v>6200</v>
      </c>
      <c r="K96" s="149">
        <f t="shared" si="89"/>
        <v>5900</v>
      </c>
      <c r="L96" s="149">
        <f t="shared" si="89"/>
        <v>5600</v>
      </c>
      <c r="M96" s="121"/>
      <c r="N96" s="185">
        <f t="shared" si="90"/>
        <v>0.44999999999999996</v>
      </c>
      <c r="O96" s="173">
        <f t="shared" si="91"/>
        <v>650</v>
      </c>
      <c r="P96" s="173">
        <f t="shared" si="92"/>
        <v>1000.0000000000002</v>
      </c>
      <c r="Q96" s="173">
        <f t="shared" si="93"/>
        <v>59350</v>
      </c>
      <c r="R96" s="184">
        <f t="shared" si="94"/>
        <v>1.5573770491803283E-2</v>
      </c>
      <c r="Z96" s="57">
        <f t="shared" si="95"/>
        <v>8074.2485163599486</v>
      </c>
      <c r="AA96" s="57">
        <f t="shared" si="95"/>
        <v>7769.1836781078418</v>
      </c>
      <c r="AB96" s="57">
        <f t="shared" si="95"/>
        <v>7464.1188398557315</v>
      </c>
      <c r="AC96" s="57">
        <f t="shared" si="95"/>
        <v>7159.0540016036266</v>
      </c>
      <c r="AD96" s="57">
        <f t="shared" si="95"/>
        <v>6853.9891633515199</v>
      </c>
      <c r="AE96" s="57">
        <f t="shared" si="95"/>
        <v>6548.9243250994114</v>
      </c>
      <c r="AF96" s="57">
        <f t="shared" si="95"/>
        <v>6243.8594868473047</v>
      </c>
      <c r="AG96" s="57">
        <f t="shared" si="95"/>
        <v>5938.7946485951961</v>
      </c>
      <c r="AH96" s="57">
        <f t="shared" si="95"/>
        <v>5633.7298103430894</v>
      </c>
      <c r="AT96" s="154">
        <f t="shared" si="97"/>
        <v>6</v>
      </c>
      <c r="AU96" s="154">
        <f t="shared" si="97"/>
        <v>6</v>
      </c>
      <c r="AV96" s="154">
        <f t="shared" si="97"/>
        <v>7</v>
      </c>
      <c r="AW96" s="154">
        <f t="shared" si="97"/>
        <v>7</v>
      </c>
      <c r="AX96" s="154">
        <f t="shared" si="97"/>
        <v>8</v>
      </c>
      <c r="AY96" s="154">
        <f t="shared" si="97"/>
        <v>9</v>
      </c>
      <c r="AZ96" s="154">
        <f t="shared" si="97"/>
        <v>9</v>
      </c>
      <c r="BA96" s="154">
        <f t="shared" si="97"/>
        <v>10</v>
      </c>
      <c r="BB96" s="154">
        <f t="shared" si="97"/>
        <v>10</v>
      </c>
    </row>
    <row r="97" spans="1:54" ht="15" hidden="1" customHeight="1" outlineLevel="1" x14ac:dyDescent="0.25">
      <c r="A97" s="121"/>
      <c r="B97" s="153" t="s">
        <v>349</v>
      </c>
      <c r="C97" s="4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</row>
    <row r="98" spans="1:54" ht="3.95" customHeight="1" collapsed="1" x14ac:dyDescent="0.25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</row>
    <row r="99" spans="1:54" ht="15" customHeight="1" x14ac:dyDescent="0.25">
      <c r="A99" s="121"/>
      <c r="B99" s="164" t="s">
        <v>348</v>
      </c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</row>
    <row r="100" spans="1:54" ht="2.1" customHeight="1" x14ac:dyDescent="0.25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</row>
    <row r="101" spans="1:54" ht="12.75" customHeight="1" x14ac:dyDescent="0.25">
      <c r="A101" s="121"/>
      <c r="B101" s="10"/>
      <c r="C101" s="10"/>
      <c r="D101" s="163" t="s">
        <v>337</v>
      </c>
      <c r="E101" s="163"/>
      <c r="F101" s="163"/>
      <c r="G101" s="163"/>
      <c r="H101" s="163"/>
      <c r="I101" s="163"/>
      <c r="J101" s="163"/>
      <c r="K101" s="163"/>
      <c r="L101" s="163"/>
      <c r="M101" s="121"/>
      <c r="N101" s="121"/>
      <c r="O101" s="121"/>
      <c r="P101" s="121"/>
      <c r="Q101" s="121"/>
    </row>
    <row r="102" spans="1:54" ht="12.75" customHeight="1" x14ac:dyDescent="0.25">
      <c r="A102" s="121"/>
      <c r="B102" s="10"/>
      <c r="C102" s="10"/>
      <c r="D102" s="183">
        <f>E102+$G$458</f>
        <v>64</v>
      </c>
      <c r="E102" s="183">
        <f>F102+$G$458</f>
        <v>60</v>
      </c>
      <c r="F102" s="183">
        <f>G102+$G$458</f>
        <v>56</v>
      </c>
      <c r="G102" s="183">
        <f>H102+$G$458</f>
        <v>52</v>
      </c>
      <c r="H102" s="183">
        <f>$G$457</f>
        <v>48</v>
      </c>
      <c r="I102" s="183">
        <f>H102-$G$458</f>
        <v>44</v>
      </c>
      <c r="J102" s="183">
        <f>I102-$G$458</f>
        <v>40</v>
      </c>
      <c r="K102" s="183">
        <f>J102-$G$458</f>
        <v>36</v>
      </c>
      <c r="L102" s="183">
        <f>K102-$G$458</f>
        <v>32</v>
      </c>
      <c r="M102" s="121"/>
      <c r="N102" s="121"/>
      <c r="O102" s="121"/>
      <c r="P102" s="121"/>
      <c r="Q102" s="121"/>
      <c r="AT102" s="161" t="s">
        <v>288</v>
      </c>
      <c r="AU102" s="160"/>
      <c r="AV102" s="160"/>
      <c r="AW102" s="160"/>
      <c r="AX102" s="160"/>
      <c r="AY102" s="160"/>
      <c r="AZ102" s="160"/>
      <c r="BA102" s="160"/>
      <c r="BB102" s="160"/>
    </row>
    <row r="103" spans="1:54" ht="15" customHeight="1" x14ac:dyDescent="0.25">
      <c r="A103" s="121"/>
      <c r="B103" s="333" t="s">
        <v>336</v>
      </c>
      <c r="C103" s="158">
        <f>C104-$G$439</f>
        <v>0.15000000000000002</v>
      </c>
      <c r="D103" s="166">
        <f t="shared" ref="D103:L109" si="100">IFERROR(Z90/$G$430,0)</f>
        <v>1.9294955355170149</v>
      </c>
      <c r="E103" s="166">
        <f t="shared" si="100"/>
        <v>1.8907362325134345</v>
      </c>
      <c r="F103" s="166">
        <f t="shared" si="100"/>
        <v>1.8519769295098534</v>
      </c>
      <c r="G103" s="166">
        <f t="shared" si="100"/>
        <v>1.8132176265062723</v>
      </c>
      <c r="H103" s="166">
        <f t="shared" si="100"/>
        <v>1.7744583235026912</v>
      </c>
      <c r="I103" s="166">
        <f t="shared" si="100"/>
        <v>1.7356990204991107</v>
      </c>
      <c r="J103" s="166">
        <f t="shared" si="100"/>
        <v>1.6969397174955296</v>
      </c>
      <c r="K103" s="166">
        <f t="shared" si="100"/>
        <v>1.6581804144919485</v>
      </c>
      <c r="L103" s="166">
        <f t="shared" si="100"/>
        <v>1.6194211114883681</v>
      </c>
      <c r="M103" s="121"/>
      <c r="N103" s="121"/>
      <c r="O103" s="121"/>
      <c r="P103" s="121"/>
      <c r="Q103" s="121"/>
      <c r="AT103" s="154">
        <f t="shared" ref="AT103:BB109" si="101">IF(Z130&lt;$G$449,0,MIN($G$446,1+IFERROR(INT((Z130-$G$449)/$G$463),0)))</f>
        <v>0</v>
      </c>
      <c r="AU103" s="154">
        <f t="shared" si="101"/>
        <v>0</v>
      </c>
      <c r="AV103" s="154">
        <f t="shared" si="101"/>
        <v>0</v>
      </c>
      <c r="AW103" s="154">
        <f t="shared" si="101"/>
        <v>0</v>
      </c>
      <c r="AX103" s="154">
        <f t="shared" si="101"/>
        <v>0</v>
      </c>
      <c r="AY103" s="154">
        <f t="shared" si="101"/>
        <v>1</v>
      </c>
      <c r="AZ103" s="154">
        <f t="shared" si="101"/>
        <v>3</v>
      </c>
      <c r="BA103" s="154">
        <f t="shared" si="101"/>
        <v>5</v>
      </c>
      <c r="BB103" s="154">
        <f t="shared" si="101"/>
        <v>6</v>
      </c>
    </row>
    <row r="104" spans="1:54" ht="15" customHeight="1" x14ac:dyDescent="0.25">
      <c r="A104" s="121"/>
      <c r="B104" s="334"/>
      <c r="C104" s="158">
        <f>C105-$G$439</f>
        <v>0.2</v>
      </c>
      <c r="D104" s="166">
        <f t="shared" si="100"/>
        <v>2.05510839226632</v>
      </c>
      <c r="E104" s="166">
        <f t="shared" si="100"/>
        <v>2.0059815797291618</v>
      </c>
      <c r="F104" s="166">
        <f t="shared" si="100"/>
        <v>1.9568547671920042</v>
      </c>
      <c r="G104" s="166">
        <f t="shared" si="100"/>
        <v>1.9077279546548465</v>
      </c>
      <c r="H104" s="166">
        <f t="shared" si="100"/>
        <v>1.8586011421176893</v>
      </c>
      <c r="I104" s="166">
        <f t="shared" si="100"/>
        <v>1.8094743295805311</v>
      </c>
      <c r="J104" s="166">
        <f t="shared" si="100"/>
        <v>1.7603475170433727</v>
      </c>
      <c r="K104" s="166">
        <f t="shared" si="100"/>
        <v>1.7112207045062151</v>
      </c>
      <c r="L104" s="166">
        <f t="shared" si="100"/>
        <v>1.6620938919690575</v>
      </c>
      <c r="M104" s="121"/>
      <c r="N104" s="121"/>
      <c r="O104" s="121"/>
      <c r="P104" s="121"/>
      <c r="Q104" s="121"/>
      <c r="AT104" s="154">
        <f t="shared" si="101"/>
        <v>0</v>
      </c>
      <c r="AU104" s="154">
        <f t="shared" si="101"/>
        <v>0</v>
      </c>
      <c r="AV104" s="154">
        <f t="shared" si="101"/>
        <v>0</v>
      </c>
      <c r="AW104" s="154">
        <f t="shared" si="101"/>
        <v>0</v>
      </c>
      <c r="AX104" s="154">
        <f t="shared" si="101"/>
        <v>1</v>
      </c>
      <c r="AY104" s="154">
        <f t="shared" si="101"/>
        <v>2</v>
      </c>
      <c r="AZ104" s="154">
        <f t="shared" si="101"/>
        <v>4</v>
      </c>
      <c r="BA104" s="154">
        <f t="shared" si="101"/>
        <v>5</v>
      </c>
      <c r="BB104" s="154">
        <f t="shared" si="101"/>
        <v>7</v>
      </c>
    </row>
    <row r="105" spans="1:54" ht="15" customHeight="1" x14ac:dyDescent="0.25">
      <c r="A105" s="121"/>
      <c r="B105" s="334"/>
      <c r="C105" s="158">
        <f>C106-$G$439</f>
        <v>0.25</v>
      </c>
      <c r="D105" s="166">
        <f t="shared" si="100"/>
        <v>2.1812654625032173</v>
      </c>
      <c r="E105" s="166">
        <f t="shared" si="100"/>
        <v>2.1217233492290712</v>
      </c>
      <c r="F105" s="166">
        <f t="shared" si="100"/>
        <v>2.0621812359549256</v>
      </c>
      <c r="G105" s="166">
        <f t="shared" si="100"/>
        <v>2.0026391226807805</v>
      </c>
      <c r="H105" s="166">
        <f t="shared" si="100"/>
        <v>1.9430970094066342</v>
      </c>
      <c r="I105" s="166">
        <f t="shared" si="100"/>
        <v>1.8835548961324882</v>
      </c>
      <c r="J105" s="166">
        <f t="shared" si="100"/>
        <v>1.8240127828583428</v>
      </c>
      <c r="K105" s="166">
        <f t="shared" si="100"/>
        <v>1.7644706695841961</v>
      </c>
      <c r="L105" s="166">
        <f t="shared" si="100"/>
        <v>1.7049285563100505</v>
      </c>
      <c r="M105" s="121"/>
      <c r="N105" s="121"/>
      <c r="O105" s="121"/>
      <c r="P105" s="121"/>
      <c r="Q105" s="121"/>
      <c r="AT105" s="154">
        <f t="shared" si="101"/>
        <v>0</v>
      </c>
      <c r="AU105" s="154">
        <f t="shared" si="101"/>
        <v>0</v>
      </c>
      <c r="AV105" s="154">
        <f t="shared" si="101"/>
        <v>0</v>
      </c>
      <c r="AW105" s="154">
        <f t="shared" si="101"/>
        <v>1</v>
      </c>
      <c r="AX105" s="154">
        <f t="shared" si="101"/>
        <v>2</v>
      </c>
      <c r="AY105" s="154">
        <f t="shared" si="101"/>
        <v>4</v>
      </c>
      <c r="AZ105" s="154">
        <f t="shared" si="101"/>
        <v>5</v>
      </c>
      <c r="BA105" s="154">
        <f t="shared" si="101"/>
        <v>6</v>
      </c>
      <c r="BB105" s="154">
        <f t="shared" si="101"/>
        <v>8</v>
      </c>
    </row>
    <row r="106" spans="1:54" ht="15" customHeight="1" x14ac:dyDescent="0.25">
      <c r="A106" s="121"/>
      <c r="B106" s="334"/>
      <c r="C106" s="158">
        <f>$G$438</f>
        <v>0.3</v>
      </c>
      <c r="D106" s="166">
        <f t="shared" si="100"/>
        <v>2.3079707315176892</v>
      </c>
      <c r="E106" s="166">
        <f t="shared" si="100"/>
        <v>2.2379651763268789</v>
      </c>
      <c r="F106" s="166">
        <f t="shared" si="100"/>
        <v>2.1679596211360672</v>
      </c>
      <c r="G106" s="166">
        <f t="shared" si="100"/>
        <v>2.0979540659452565</v>
      </c>
      <c r="H106" s="167">
        <f t="shared" si="100"/>
        <v>2.0279485107544462</v>
      </c>
      <c r="I106" s="166">
        <f t="shared" si="100"/>
        <v>1.9579429555636343</v>
      </c>
      <c r="J106" s="166">
        <f t="shared" si="100"/>
        <v>1.8879374003728238</v>
      </c>
      <c r="K106" s="166">
        <f t="shared" si="100"/>
        <v>1.8179318451820128</v>
      </c>
      <c r="L106" s="166">
        <f t="shared" si="100"/>
        <v>1.7479262899912016</v>
      </c>
      <c r="M106" s="121"/>
      <c r="N106" s="121"/>
      <c r="O106" s="121"/>
      <c r="P106" s="121"/>
      <c r="Q106" s="121"/>
      <c r="AT106" s="154">
        <f t="shared" si="101"/>
        <v>0</v>
      </c>
      <c r="AU106" s="154">
        <f t="shared" si="101"/>
        <v>0</v>
      </c>
      <c r="AV106" s="154">
        <f t="shared" si="101"/>
        <v>2</v>
      </c>
      <c r="AW106" s="154">
        <f t="shared" si="101"/>
        <v>3</v>
      </c>
      <c r="AX106" s="154">
        <f t="shared" si="101"/>
        <v>4</v>
      </c>
      <c r="AY106" s="154">
        <f t="shared" si="101"/>
        <v>5</v>
      </c>
      <c r="AZ106" s="154">
        <f t="shared" si="101"/>
        <v>6</v>
      </c>
      <c r="BA106" s="154">
        <f t="shared" si="101"/>
        <v>7</v>
      </c>
      <c r="BB106" s="154">
        <f t="shared" si="101"/>
        <v>8</v>
      </c>
    </row>
    <row r="107" spans="1:54" ht="15" customHeight="1" x14ac:dyDescent="0.25">
      <c r="A107" s="121"/>
      <c r="B107" s="334"/>
      <c r="C107" s="158">
        <f>C106+$G$439</f>
        <v>0.35</v>
      </c>
      <c r="D107" s="166">
        <f t="shared" si="100"/>
        <v>2.4352282236074512</v>
      </c>
      <c r="E107" s="166">
        <f t="shared" si="100"/>
        <v>2.3547107319184892</v>
      </c>
      <c r="F107" s="166">
        <f t="shared" si="100"/>
        <v>2.2741932402295277</v>
      </c>
      <c r="G107" s="166">
        <f t="shared" si="100"/>
        <v>2.1936757485405671</v>
      </c>
      <c r="H107" s="166">
        <f t="shared" si="100"/>
        <v>2.1131582568516052</v>
      </c>
      <c r="I107" s="166">
        <f t="shared" si="100"/>
        <v>2.0326407651626437</v>
      </c>
      <c r="J107" s="166">
        <f t="shared" si="100"/>
        <v>1.9521232734736822</v>
      </c>
      <c r="K107" s="166">
        <f t="shared" si="100"/>
        <v>1.8716057817847214</v>
      </c>
      <c r="L107" s="166">
        <f t="shared" si="100"/>
        <v>1.7910882900957599</v>
      </c>
      <c r="M107" s="121"/>
      <c r="N107" s="121"/>
      <c r="O107" s="121"/>
      <c r="P107" s="121"/>
      <c r="Q107" s="121"/>
      <c r="AT107" s="154">
        <f t="shared" si="101"/>
        <v>1</v>
      </c>
      <c r="AU107" s="154">
        <f t="shared" si="101"/>
        <v>2</v>
      </c>
      <c r="AV107" s="154">
        <f t="shared" si="101"/>
        <v>3</v>
      </c>
      <c r="AW107" s="154">
        <f t="shared" si="101"/>
        <v>4</v>
      </c>
      <c r="AX107" s="154">
        <f t="shared" si="101"/>
        <v>5</v>
      </c>
      <c r="AY107" s="154">
        <f t="shared" si="101"/>
        <v>6</v>
      </c>
      <c r="AZ107" s="154">
        <f t="shared" si="101"/>
        <v>7</v>
      </c>
      <c r="BA107" s="154">
        <f t="shared" si="101"/>
        <v>8</v>
      </c>
      <c r="BB107" s="154">
        <f t="shared" si="101"/>
        <v>9</v>
      </c>
    </row>
    <row r="108" spans="1:54" ht="15" customHeight="1" x14ac:dyDescent="0.25">
      <c r="A108" s="121"/>
      <c r="B108" s="334"/>
      <c r="C108" s="158">
        <f>C107+$G$439</f>
        <v>0.39999999999999997</v>
      </c>
      <c r="D108" s="166">
        <f t="shared" si="100"/>
        <v>2.5630420025563763</v>
      </c>
      <c r="E108" s="166">
        <f t="shared" si="100"/>
        <v>2.4719637229184137</v>
      </c>
      <c r="F108" s="166">
        <f t="shared" si="100"/>
        <v>2.3808854432804516</v>
      </c>
      <c r="G108" s="166">
        <f t="shared" si="100"/>
        <v>2.289807163642489</v>
      </c>
      <c r="H108" s="166">
        <f t="shared" si="100"/>
        <v>2.1987288840045269</v>
      </c>
      <c r="I108" s="166">
        <f t="shared" si="100"/>
        <v>2.1076506043665644</v>
      </c>
      <c r="J108" s="166">
        <f t="shared" si="100"/>
        <v>2.0165723247286023</v>
      </c>
      <c r="K108" s="166">
        <f t="shared" si="100"/>
        <v>1.9254940450906397</v>
      </c>
      <c r="L108" s="166">
        <f t="shared" si="100"/>
        <v>1.8344157654526776</v>
      </c>
      <c r="M108" s="121"/>
      <c r="N108" s="121"/>
      <c r="O108" s="121"/>
      <c r="P108" s="121"/>
      <c r="Q108" s="121"/>
      <c r="AT108" s="154">
        <f t="shared" si="101"/>
        <v>3</v>
      </c>
      <c r="AU108" s="154">
        <f t="shared" si="101"/>
        <v>4</v>
      </c>
      <c r="AV108" s="154">
        <f t="shared" si="101"/>
        <v>5</v>
      </c>
      <c r="AW108" s="154">
        <f t="shared" si="101"/>
        <v>6</v>
      </c>
      <c r="AX108" s="154">
        <f t="shared" si="101"/>
        <v>7</v>
      </c>
      <c r="AY108" s="154">
        <f t="shared" si="101"/>
        <v>7</v>
      </c>
      <c r="AZ108" s="154">
        <f t="shared" si="101"/>
        <v>8</v>
      </c>
      <c r="BA108" s="154">
        <f t="shared" si="101"/>
        <v>9</v>
      </c>
      <c r="BB108" s="154">
        <f t="shared" si="101"/>
        <v>10</v>
      </c>
    </row>
    <row r="109" spans="1:54" ht="15" customHeight="1" x14ac:dyDescent="0.25">
      <c r="A109" s="121"/>
      <c r="B109" s="335"/>
      <c r="C109" s="156">
        <f>C108+$G$439</f>
        <v>0.44999999999999996</v>
      </c>
      <c r="D109" s="165">
        <f t="shared" si="100"/>
        <v>2.691416172119983</v>
      </c>
      <c r="E109" s="165">
        <f t="shared" si="100"/>
        <v>2.5897278927026139</v>
      </c>
      <c r="F109" s="165">
        <f t="shared" si="100"/>
        <v>2.488039613285244</v>
      </c>
      <c r="G109" s="165">
        <f t="shared" si="100"/>
        <v>2.3863513338678755</v>
      </c>
      <c r="H109" s="165">
        <f t="shared" si="100"/>
        <v>2.2846630544505064</v>
      </c>
      <c r="I109" s="165">
        <f t="shared" si="100"/>
        <v>2.182974775033137</v>
      </c>
      <c r="J109" s="165">
        <f t="shared" si="100"/>
        <v>2.0812864956157684</v>
      </c>
      <c r="K109" s="165">
        <f t="shared" si="100"/>
        <v>1.9795982161983987</v>
      </c>
      <c r="L109" s="165">
        <f t="shared" si="100"/>
        <v>1.8779099367810299</v>
      </c>
      <c r="M109" s="121"/>
      <c r="N109" s="121"/>
      <c r="O109" s="121"/>
      <c r="P109" s="121"/>
      <c r="Q109" s="121"/>
      <c r="AT109" s="154">
        <f t="shared" si="101"/>
        <v>6</v>
      </c>
      <c r="AU109" s="154">
        <f t="shared" si="101"/>
        <v>6</v>
      </c>
      <c r="AV109" s="154">
        <f t="shared" si="101"/>
        <v>7</v>
      </c>
      <c r="AW109" s="154">
        <f t="shared" si="101"/>
        <v>7</v>
      </c>
      <c r="AX109" s="154">
        <f t="shared" si="101"/>
        <v>8</v>
      </c>
      <c r="AY109" s="154">
        <f t="shared" si="101"/>
        <v>9</v>
      </c>
      <c r="AZ109" s="154">
        <f t="shared" si="101"/>
        <v>9</v>
      </c>
      <c r="BA109" s="154">
        <f t="shared" si="101"/>
        <v>10</v>
      </c>
      <c r="BB109" s="154">
        <f t="shared" si="101"/>
        <v>10</v>
      </c>
    </row>
    <row r="110" spans="1:54" ht="15" hidden="1" customHeight="1" outlineLevel="1" x14ac:dyDescent="0.25">
      <c r="A110" s="121"/>
      <c r="B110" s="153" t="s">
        <v>347</v>
      </c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</row>
    <row r="111" spans="1:54" ht="3.95" customHeight="1" collapsed="1" x14ac:dyDescent="0.25">
      <c r="A111" s="121"/>
      <c r="M111" s="121"/>
      <c r="N111" s="121"/>
      <c r="O111" s="121"/>
      <c r="P111" s="121"/>
      <c r="Q111" s="121"/>
    </row>
    <row r="112" spans="1:54" ht="15" customHeight="1" x14ac:dyDescent="0.25">
      <c r="A112" s="121"/>
      <c r="B112" s="164" t="s">
        <v>346</v>
      </c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</row>
    <row r="113" spans="1:109" ht="2.1" customHeight="1" x14ac:dyDescent="0.25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</row>
    <row r="114" spans="1:109" ht="12.75" customHeight="1" x14ac:dyDescent="0.25">
      <c r="A114" s="121"/>
      <c r="B114" s="10"/>
      <c r="C114" s="10"/>
      <c r="D114" s="163" t="s">
        <v>337</v>
      </c>
      <c r="E114" s="163"/>
      <c r="F114" s="163"/>
      <c r="G114" s="163"/>
      <c r="H114" s="163"/>
      <c r="I114" s="163"/>
      <c r="J114" s="163"/>
      <c r="K114" s="163"/>
      <c r="L114" s="163"/>
      <c r="M114" s="121"/>
      <c r="N114" s="121"/>
      <c r="O114" s="121"/>
      <c r="P114" s="121"/>
      <c r="Q114" s="121"/>
      <c r="BD114" s="161" t="s">
        <v>304</v>
      </c>
      <c r="BE114" s="161"/>
      <c r="BF114" s="161"/>
      <c r="BG114" s="161"/>
      <c r="BH114" s="161"/>
      <c r="BI114" s="161"/>
      <c r="BJ114" s="161" t="s">
        <v>303</v>
      </c>
      <c r="BK114" s="161"/>
      <c r="BL114" s="161"/>
      <c r="BM114" s="161"/>
      <c r="BN114" s="161"/>
      <c r="BO114" s="161"/>
      <c r="BP114" s="161" t="s">
        <v>302</v>
      </c>
      <c r="BQ114" s="161"/>
      <c r="BR114" s="161"/>
      <c r="BS114" s="161"/>
      <c r="BT114" s="161"/>
      <c r="BU114" s="161"/>
      <c r="BV114" s="161" t="s">
        <v>301</v>
      </c>
      <c r="BW114" s="161"/>
      <c r="BX114" s="161"/>
      <c r="BY114" s="161"/>
      <c r="BZ114" s="161"/>
      <c r="CA114" s="161"/>
      <c r="CB114" s="161" t="s">
        <v>300</v>
      </c>
      <c r="CC114" s="161"/>
      <c r="CD114" s="161"/>
      <c r="CE114" s="161"/>
      <c r="CF114" s="161"/>
      <c r="CG114" s="161"/>
      <c r="CH114" s="161" t="s">
        <v>299</v>
      </c>
      <c r="CI114" s="161"/>
      <c r="CJ114" s="161"/>
      <c r="CK114" s="161"/>
      <c r="CL114" s="161"/>
      <c r="CM114" s="161"/>
      <c r="CN114" s="161" t="s">
        <v>298</v>
      </c>
      <c r="CO114" s="161"/>
      <c r="CP114" s="161"/>
      <c r="CQ114" s="161"/>
      <c r="CR114" s="161"/>
      <c r="CS114" s="161"/>
      <c r="CT114" s="161" t="s">
        <v>297</v>
      </c>
      <c r="CU114" s="161"/>
      <c r="CV114" s="161"/>
      <c r="CW114" s="161"/>
      <c r="CX114" s="161"/>
      <c r="CY114" s="161"/>
      <c r="CZ114" s="161" t="s">
        <v>296</v>
      </c>
      <c r="DA114" s="161"/>
      <c r="DB114" s="161"/>
      <c r="DC114" s="161"/>
      <c r="DD114" s="161"/>
      <c r="DE114" s="161"/>
    </row>
    <row r="115" spans="1:109" ht="12.75" customHeight="1" x14ac:dyDescent="0.25">
      <c r="A115" s="121"/>
      <c r="B115" s="10"/>
      <c r="C115" s="10"/>
      <c r="D115" s="183">
        <f>E115+$G$458</f>
        <v>64</v>
      </c>
      <c r="E115" s="183">
        <f>F115+$G$458</f>
        <v>60</v>
      </c>
      <c r="F115" s="183">
        <f>G115+$G$458</f>
        <v>56</v>
      </c>
      <c r="G115" s="183">
        <f>H115+$G$458</f>
        <v>52</v>
      </c>
      <c r="H115" s="183">
        <f>$G$457</f>
        <v>48</v>
      </c>
      <c r="I115" s="183">
        <f>H115-$G$458</f>
        <v>44</v>
      </c>
      <c r="J115" s="183">
        <f>I115-$G$458</f>
        <v>40</v>
      </c>
      <c r="K115" s="183">
        <f>J115-$G$458</f>
        <v>36</v>
      </c>
      <c r="L115" s="183">
        <f>K115-$G$458</f>
        <v>32</v>
      </c>
      <c r="M115" s="121"/>
      <c r="N115" s="121"/>
      <c r="O115" s="121"/>
      <c r="P115" s="121"/>
      <c r="Q115" s="121"/>
      <c r="AT115" s="161" t="s">
        <v>288</v>
      </c>
      <c r="AU115" s="160"/>
      <c r="AV115" s="160"/>
      <c r="AW115" s="160"/>
      <c r="AX115" s="160"/>
      <c r="AY115" s="160"/>
      <c r="AZ115" s="160"/>
      <c r="BA115" s="160"/>
      <c r="BB115" s="160"/>
      <c r="BD115" s="174">
        <f>$S$9</f>
        <v>0</v>
      </c>
      <c r="BE115" s="174">
        <f>$T$9</f>
        <v>1</v>
      </c>
      <c r="BF115" s="174">
        <f>$U$9</f>
        <v>2</v>
      </c>
      <c r="BG115" s="174">
        <f>$V$9</f>
        <v>3</v>
      </c>
      <c r="BH115" s="174">
        <f>$W$9</f>
        <v>4</v>
      </c>
      <c r="BI115" s="174">
        <f>$X$9</f>
        <v>5</v>
      </c>
      <c r="BJ115" s="174">
        <f>$S$9</f>
        <v>0</v>
      </c>
      <c r="BK115" s="174">
        <f>$T$9</f>
        <v>1</v>
      </c>
      <c r="BL115" s="174">
        <f>$U$9</f>
        <v>2</v>
      </c>
      <c r="BM115" s="174">
        <f>$V$9</f>
        <v>3</v>
      </c>
      <c r="BN115" s="174">
        <f>$W$9</f>
        <v>4</v>
      </c>
      <c r="BO115" s="174">
        <f>$X$9</f>
        <v>5</v>
      </c>
      <c r="BP115" s="174">
        <f>$S$9</f>
        <v>0</v>
      </c>
      <c r="BQ115" s="174">
        <f>$T$9</f>
        <v>1</v>
      </c>
      <c r="BR115" s="174">
        <f>$U$9</f>
        <v>2</v>
      </c>
      <c r="BS115" s="174">
        <f>$V$9</f>
        <v>3</v>
      </c>
      <c r="BT115" s="174">
        <f>$W$9</f>
        <v>4</v>
      </c>
      <c r="BU115" s="174">
        <f>$X$9</f>
        <v>5</v>
      </c>
      <c r="BV115" s="174">
        <f>$S$9</f>
        <v>0</v>
      </c>
      <c r="BW115" s="174">
        <f>$T$9</f>
        <v>1</v>
      </c>
      <c r="BX115" s="174">
        <f>$U$9</f>
        <v>2</v>
      </c>
      <c r="BY115" s="174">
        <f>$V$9</f>
        <v>3</v>
      </c>
      <c r="BZ115" s="174">
        <f>$W$9</f>
        <v>4</v>
      </c>
      <c r="CA115" s="174">
        <f>$X$9</f>
        <v>5</v>
      </c>
      <c r="CB115" s="174">
        <f>$S$9</f>
        <v>0</v>
      </c>
      <c r="CC115" s="174">
        <f>$T$9</f>
        <v>1</v>
      </c>
      <c r="CD115" s="174">
        <f>$U$9</f>
        <v>2</v>
      </c>
      <c r="CE115" s="174">
        <f>$V$9</f>
        <v>3</v>
      </c>
      <c r="CF115" s="174">
        <f>$W$9</f>
        <v>4</v>
      </c>
      <c r="CG115" s="174">
        <f>$X$9</f>
        <v>5</v>
      </c>
      <c r="CH115" s="174">
        <f>$S$9</f>
        <v>0</v>
      </c>
      <c r="CI115" s="174">
        <f>$T$9</f>
        <v>1</v>
      </c>
      <c r="CJ115" s="174">
        <f>$U$9</f>
        <v>2</v>
      </c>
      <c r="CK115" s="174">
        <f>$V$9</f>
        <v>3</v>
      </c>
      <c r="CL115" s="174">
        <f>$W$9</f>
        <v>4</v>
      </c>
      <c r="CM115" s="174">
        <f>$X$9</f>
        <v>5</v>
      </c>
      <c r="CN115" s="174">
        <f>$S$9</f>
        <v>0</v>
      </c>
      <c r="CO115" s="174">
        <f>$T$9</f>
        <v>1</v>
      </c>
      <c r="CP115" s="174">
        <f>$U$9</f>
        <v>2</v>
      </c>
      <c r="CQ115" s="174">
        <f>$V$9</f>
        <v>3</v>
      </c>
      <c r="CR115" s="174">
        <f>$W$9</f>
        <v>4</v>
      </c>
      <c r="CS115" s="174">
        <f>$X$9</f>
        <v>5</v>
      </c>
      <c r="CT115" s="174">
        <f>$S$9</f>
        <v>0</v>
      </c>
      <c r="CU115" s="174">
        <f>$T$9</f>
        <v>1</v>
      </c>
      <c r="CV115" s="174">
        <f>$U$9</f>
        <v>2</v>
      </c>
      <c r="CW115" s="174">
        <f>$V$9</f>
        <v>3</v>
      </c>
      <c r="CX115" s="174">
        <f>$W$9</f>
        <v>4</v>
      </c>
      <c r="CY115" s="174">
        <f>$X$9</f>
        <v>5</v>
      </c>
      <c r="CZ115" s="174">
        <f>$S$9</f>
        <v>0</v>
      </c>
      <c r="DA115" s="174">
        <f>$T$9</f>
        <v>1</v>
      </c>
      <c r="DB115" s="174">
        <f>$U$9</f>
        <v>2</v>
      </c>
      <c r="DC115" s="174">
        <f>$V$9</f>
        <v>3</v>
      </c>
      <c r="DD115" s="174">
        <f>$W$9</f>
        <v>4</v>
      </c>
      <c r="DE115" s="174">
        <f>$X$9</f>
        <v>5</v>
      </c>
    </row>
    <row r="116" spans="1:109" ht="15" customHeight="1" x14ac:dyDescent="0.25">
      <c r="A116" s="121"/>
      <c r="B116" s="333" t="s">
        <v>336</v>
      </c>
      <c r="C116" s="158">
        <f>C117-$G$439</f>
        <v>0.15000000000000002</v>
      </c>
      <c r="D116" s="157">
        <f t="shared" ref="D116:D122" si="102">IFERROR(IRR(BD116:BI116),0)</f>
        <v>0.28202105612625195</v>
      </c>
      <c r="E116" s="157">
        <f t="shared" ref="E116:E122" si="103">IFERROR(IRR(BJ116:BO116),0)</f>
        <v>0.27833658637435832</v>
      </c>
      <c r="F116" s="157">
        <f t="shared" ref="F116:F122" si="104">IFERROR(IRR(BP116:BU116),0)</f>
        <v>0.27460914220066157</v>
      </c>
      <c r="G116" s="157">
        <f t="shared" ref="G116:G122" si="105">IFERROR(IRR(BV116:CA116),0)</f>
        <v>0.2708375791058395</v>
      </c>
      <c r="H116" s="157">
        <f t="shared" ref="H116:H122" si="106">IFERROR(IRR(CB116:CG116),0)</f>
        <v>0.26702070446342208</v>
      </c>
      <c r="I116" s="157">
        <f t="shared" ref="I116:I122" si="107">IFERROR(IRR(CH116:CM116),0)</f>
        <v>0.26315727473128425</v>
      </c>
      <c r="J116" s="157">
        <f t="shared" ref="J116:J122" si="108">IFERROR(IRR(CN116:CS116),0)</f>
        <v>0.25924599245588853</v>
      </c>
      <c r="K116" s="157">
        <f t="shared" ref="K116:K122" si="109">IFERROR(IRR(CT116:CY116),0)</f>
        <v>0.25528550305037201</v>
      </c>
      <c r="L116" s="157">
        <f t="shared" ref="L116:L122" si="110">IFERROR(IRR(CZ116:DE116),0)</f>
        <v>0.25127439132551688</v>
      </c>
      <c r="M116" s="121"/>
      <c r="N116" s="121"/>
      <c r="O116" s="121"/>
      <c r="P116" s="121"/>
      <c r="Q116" s="121"/>
      <c r="AT116" s="154">
        <f t="shared" ref="AT116:BB122" si="111">IF(Z130&lt;$G$449,0,MIN($G$446,1+IFERROR(INT((Z130-$G$449)/$G$463),0)))</f>
        <v>0</v>
      </c>
      <c r="AU116" s="154">
        <f t="shared" si="111"/>
        <v>0</v>
      </c>
      <c r="AV116" s="154">
        <f t="shared" si="111"/>
        <v>0</v>
      </c>
      <c r="AW116" s="154">
        <f t="shared" si="111"/>
        <v>0</v>
      </c>
      <c r="AX116" s="154">
        <f t="shared" si="111"/>
        <v>0</v>
      </c>
      <c r="AY116" s="154">
        <f t="shared" si="111"/>
        <v>1</v>
      </c>
      <c r="AZ116" s="154">
        <f t="shared" si="111"/>
        <v>3</v>
      </c>
      <c r="BA116" s="154">
        <f t="shared" si="111"/>
        <v>5</v>
      </c>
      <c r="BB116" s="154">
        <f t="shared" si="111"/>
        <v>6</v>
      </c>
      <c r="BD116" s="173">
        <f t="shared" ref="BD116:BD122" si="112">(BD$115=0)*($O90-$G$430)+(BD$115=$G$444)*$G$435+(BD$115=$G$445)*(Z90+$G$430-$O90-$G$435)</f>
        <v>-2350</v>
      </c>
      <c r="BE116" s="173">
        <f t="shared" ref="BE116:BE122" si="113">(BE$115=0)*($O90-$G$430)+(BE$115=$G$444)*$G$435+(BE$115=$G$445)*(Z90+$G$430-$O90-$G$435)</f>
        <v>0</v>
      </c>
      <c r="BF116" s="173">
        <f t="shared" ref="BF116:BF122" si="114">(BF$115=0)*($O90-$G$430)+(BF$115=$G$444)*$G$435+(BF$115=$G$445)*(Z90+$G$430-$O90-$G$435)</f>
        <v>0</v>
      </c>
      <c r="BG116" s="173">
        <f t="shared" ref="BG116:BG122" si="115">(BG$115=0)*($O90-$G$430)+(BG$115=$G$444)*$G$435+(BG$115=$G$445)*(Z90+$G$430-$O90-$G$435)</f>
        <v>0</v>
      </c>
      <c r="BH116" s="173">
        <f t="shared" ref="BH116:BH122" si="116">(BH$115=0)*($O90-$G$430)+(BH$115=$G$444)*$G$435+(BH$115=$G$445)*(Z90+$G$430-$O90-$G$435)</f>
        <v>0</v>
      </c>
      <c r="BI116" s="173">
        <f t="shared" ref="BI116:BJ122" si="117">(BI$115=0)*($O90-$G$430)+(BI$115=$G$444)*$G$435+(BI$115=$G$445)*(Z90+$G$430-$O90-$G$435)</f>
        <v>8138.486606551045</v>
      </c>
      <c r="BJ116" s="173">
        <f t="shared" si="117"/>
        <v>-2350</v>
      </c>
      <c r="BK116" s="173">
        <f t="shared" ref="BK116:BK122" si="118">(BK$115=0)*($O90-$G$430)+(BK$115=$G$444)*$G$435+(BK$115=$G$445)*(AA90+$G$430-$O90-$G$435)</f>
        <v>0</v>
      </c>
      <c r="BL116" s="173">
        <f t="shared" ref="BL116:BL122" si="119">(BL$115=0)*($O90-$G$430)+(BL$115=$G$444)*$G$435+(BL$115=$G$445)*(AA90+$G$430-$O90-$G$435)</f>
        <v>0</v>
      </c>
      <c r="BM116" s="173">
        <f t="shared" ref="BM116:BM122" si="120">(BM$115=0)*($O90-$G$430)+(BM$115=$G$444)*$G$435+(BM$115=$G$445)*(AA90+$G$430-$O90-$G$435)</f>
        <v>0</v>
      </c>
      <c r="BN116" s="173">
        <f t="shared" ref="BN116:BN122" si="121">(BN$115=0)*($O90-$G$430)+(BN$115=$G$444)*$G$435+(BN$115=$G$445)*(AA90+$G$430-$O90-$G$435)</f>
        <v>0</v>
      </c>
      <c r="BO116" s="173">
        <f t="shared" ref="BO116:BP122" si="122">(BO$115=0)*($O90-$G$430)+(BO$115=$G$444)*$G$435+(BO$115=$G$445)*(AA90+$G$430-$O90-$G$435)</f>
        <v>8022.2086975403035</v>
      </c>
      <c r="BP116" s="173">
        <f t="shared" si="122"/>
        <v>-2350</v>
      </c>
      <c r="BQ116" s="173">
        <f t="shared" ref="BQ116:BQ122" si="123">(BQ$115=0)*($O90-$G$430)+(BQ$115=$G$444)*$G$435+(BQ$115=$G$445)*(AB90+$G$430-$O90-$G$435)</f>
        <v>0</v>
      </c>
      <c r="BR116" s="173">
        <f t="shared" ref="BR116:BR122" si="124">(BR$115=0)*($O90-$G$430)+(BR$115=$G$444)*$G$435+(BR$115=$G$445)*(AB90+$G$430-$O90-$G$435)</f>
        <v>0</v>
      </c>
      <c r="BS116" s="173">
        <f t="shared" ref="BS116:BS122" si="125">(BS$115=0)*($O90-$G$430)+(BS$115=$G$444)*$G$435+(BS$115=$G$445)*(AB90+$G$430-$O90-$G$435)</f>
        <v>0</v>
      </c>
      <c r="BT116" s="173">
        <f t="shared" ref="BT116:BT122" si="126">(BT$115=0)*($O90-$G$430)+(BT$115=$G$444)*$G$435+(BT$115=$G$445)*(AB90+$G$430-$O90-$G$435)</f>
        <v>0</v>
      </c>
      <c r="BU116" s="173">
        <f t="shared" ref="BU116:BV122" si="127">(BU$115=0)*($O90-$G$430)+(BU$115=$G$444)*$G$435+(BU$115=$G$445)*(AB90+$G$430-$O90-$G$435)</f>
        <v>7905.9307885295602</v>
      </c>
      <c r="BV116" s="173">
        <f t="shared" si="127"/>
        <v>-2350</v>
      </c>
      <c r="BW116" s="173">
        <f t="shared" ref="BW116:BW122" si="128">(BW$115=0)*($O90-$G$430)+(BW$115=$G$444)*$G$435+(BW$115=$G$445)*(AC90+$G$430-$O90-$G$435)</f>
        <v>0</v>
      </c>
      <c r="BX116" s="173">
        <f t="shared" ref="BX116:BX122" si="129">(BX$115=0)*($O90-$G$430)+(BX$115=$G$444)*$G$435+(BX$115=$G$445)*(AC90+$G$430-$O90-$G$435)</f>
        <v>0</v>
      </c>
      <c r="BY116" s="173">
        <f t="shared" ref="BY116:BY122" si="130">(BY$115=0)*($O90-$G$430)+(BY$115=$G$444)*$G$435+(BY$115=$G$445)*(AC90+$G$430-$O90-$G$435)</f>
        <v>0</v>
      </c>
      <c r="BZ116" s="173">
        <f t="shared" ref="BZ116:BZ122" si="131">(BZ$115=0)*($O90-$G$430)+(BZ$115=$G$444)*$G$435+(BZ$115=$G$445)*(AC90+$G$430-$O90-$G$435)</f>
        <v>0</v>
      </c>
      <c r="CA116" s="173">
        <f t="shared" ref="CA116:CB122" si="132">(CA$115=0)*($O90-$G$430)+(CA$115=$G$444)*$G$435+(CA$115=$G$445)*(AC90+$G$430-$O90-$G$435)</f>
        <v>7789.6528795188169</v>
      </c>
      <c r="CB116" s="173">
        <f t="shared" si="132"/>
        <v>-2350</v>
      </c>
      <c r="CC116" s="173">
        <f t="shared" ref="CC116:CC122" si="133">(CC$115=0)*($O90-$G$430)+(CC$115=$G$444)*$G$435+(CC$115=$G$445)*(AD90+$G$430-$O90-$G$435)</f>
        <v>0</v>
      </c>
      <c r="CD116" s="173">
        <f t="shared" ref="CD116:CD122" si="134">(CD$115=0)*($O90-$G$430)+(CD$115=$G$444)*$G$435+(CD$115=$G$445)*(AD90+$G$430-$O90-$G$435)</f>
        <v>0</v>
      </c>
      <c r="CE116" s="173">
        <f t="shared" ref="CE116:CE122" si="135">(CE$115=0)*($O90-$G$430)+(CE$115=$G$444)*$G$435+(CE$115=$G$445)*(AD90+$G$430-$O90-$G$435)</f>
        <v>0</v>
      </c>
      <c r="CF116" s="173">
        <f t="shared" ref="CF116:CF122" si="136">(CF$115=0)*($O90-$G$430)+(CF$115=$G$444)*$G$435+(CF$115=$G$445)*(AD90+$G$430-$O90-$G$435)</f>
        <v>0</v>
      </c>
      <c r="CG116" s="173">
        <f t="shared" ref="CG116:CH122" si="137">(CG$115=0)*($O90-$G$430)+(CG$115=$G$444)*$G$435+(CG$115=$G$445)*(AD90+$G$430-$O90-$G$435)</f>
        <v>7673.3749705080736</v>
      </c>
      <c r="CH116" s="173">
        <f t="shared" si="137"/>
        <v>-2350</v>
      </c>
      <c r="CI116" s="173">
        <f t="shared" ref="CI116:CI122" si="138">(CI$115=0)*($O90-$G$430)+(CI$115=$G$444)*$G$435+(CI$115=$G$445)*(AE90+$G$430-$O90-$G$435)</f>
        <v>0</v>
      </c>
      <c r="CJ116" s="173">
        <f t="shared" ref="CJ116:CJ122" si="139">(CJ$115=0)*($O90-$G$430)+(CJ$115=$G$444)*$G$435+(CJ$115=$G$445)*(AE90+$G$430-$O90-$G$435)</f>
        <v>0</v>
      </c>
      <c r="CK116" s="173">
        <f t="shared" ref="CK116:CK122" si="140">(CK$115=0)*($O90-$G$430)+(CK$115=$G$444)*$G$435+(CK$115=$G$445)*(AE90+$G$430-$O90-$G$435)</f>
        <v>0</v>
      </c>
      <c r="CL116" s="173">
        <f t="shared" ref="CL116:CL122" si="141">(CL$115=0)*($O90-$G$430)+(CL$115=$G$444)*$G$435+(CL$115=$G$445)*(AE90+$G$430-$O90-$G$435)</f>
        <v>0</v>
      </c>
      <c r="CM116" s="173">
        <f t="shared" ref="CM116:CN122" si="142">(CM$115=0)*($O90-$G$430)+(CM$115=$G$444)*$G$435+(CM$115=$G$445)*(AE90+$G$430-$O90-$G$435)</f>
        <v>7557.0970614973321</v>
      </c>
      <c r="CN116" s="173">
        <f t="shared" si="142"/>
        <v>-2350</v>
      </c>
      <c r="CO116" s="173">
        <f t="shared" ref="CO116:CO122" si="143">(CO$115=0)*($O90-$G$430)+(CO$115=$G$444)*$G$435+(CO$115=$G$445)*(AF90+$G$430-$O90-$G$435)</f>
        <v>0</v>
      </c>
      <c r="CP116" s="173">
        <f t="shared" ref="CP116:CP122" si="144">(CP$115=0)*($O90-$G$430)+(CP$115=$G$444)*$G$435+(CP$115=$G$445)*(AF90+$G$430-$O90-$G$435)</f>
        <v>0</v>
      </c>
      <c r="CQ116" s="173">
        <f t="shared" ref="CQ116:CQ122" si="145">(CQ$115=0)*($O90-$G$430)+(CQ$115=$G$444)*$G$435+(CQ$115=$G$445)*(AF90+$G$430-$O90-$G$435)</f>
        <v>0</v>
      </c>
      <c r="CR116" s="173">
        <f t="shared" ref="CR116:CR122" si="146">(CR$115=0)*($O90-$G$430)+(CR$115=$G$444)*$G$435+(CR$115=$G$445)*(AF90+$G$430-$O90-$G$435)</f>
        <v>0</v>
      </c>
      <c r="CS116" s="173">
        <f t="shared" ref="CS116:CT122" si="147">(CS$115=0)*($O90-$G$430)+(CS$115=$G$444)*$G$435+(CS$115=$G$445)*(AF90+$G$430-$O90-$G$435)</f>
        <v>7440.8191524865888</v>
      </c>
      <c r="CT116" s="173">
        <f t="shared" si="147"/>
        <v>-2350</v>
      </c>
      <c r="CU116" s="173">
        <f t="shared" ref="CU116:CU122" si="148">(CU$115=0)*($O90-$G$430)+(CU$115=$G$444)*$G$435+(CU$115=$G$445)*(AG90+$G$430-$O90-$G$435)</f>
        <v>0</v>
      </c>
      <c r="CV116" s="173">
        <f t="shared" ref="CV116:CV122" si="149">(CV$115=0)*($O90-$G$430)+(CV$115=$G$444)*$G$435+(CV$115=$G$445)*(AG90+$G$430-$O90-$G$435)</f>
        <v>0</v>
      </c>
      <c r="CW116" s="173">
        <f t="shared" ref="CW116:CW122" si="150">(CW$115=0)*($O90-$G$430)+(CW$115=$G$444)*$G$435+(CW$115=$G$445)*(AG90+$G$430-$O90-$G$435)</f>
        <v>0</v>
      </c>
      <c r="CX116" s="173">
        <f t="shared" ref="CX116:CX122" si="151">(CX$115=0)*($O90-$G$430)+(CX$115=$G$444)*$G$435+(CX$115=$G$445)*(AG90+$G$430-$O90-$G$435)</f>
        <v>0</v>
      </c>
      <c r="CY116" s="173">
        <f t="shared" ref="CY116:CZ122" si="152">(CY$115=0)*($O90-$G$430)+(CY$115=$G$444)*$G$435+(CY$115=$G$445)*(AG90+$G$430-$O90-$G$435)</f>
        <v>7324.5412434758455</v>
      </c>
      <c r="CZ116" s="173">
        <f t="shared" si="152"/>
        <v>-2350</v>
      </c>
      <c r="DA116" s="173">
        <f t="shared" ref="DA116:DA122" si="153">(DA$115=0)*($O90-$G$430)+(DA$115=$G$444)*$G$435+(DA$115=$G$445)*(AH90+$G$430-$O90-$G$435)</f>
        <v>0</v>
      </c>
      <c r="DB116" s="173">
        <f t="shared" ref="DB116:DB122" si="154">(DB$115=0)*($O90-$G$430)+(DB$115=$G$444)*$G$435+(DB$115=$G$445)*(AH90+$G$430-$O90-$G$435)</f>
        <v>0</v>
      </c>
      <c r="DC116" s="173">
        <f t="shared" ref="DC116:DC122" si="155">(DC$115=0)*($O90-$G$430)+(DC$115=$G$444)*$G$435+(DC$115=$G$445)*(AH90+$G$430-$O90-$G$435)</f>
        <v>0</v>
      </c>
      <c r="DD116" s="173">
        <f t="shared" ref="DD116:DD122" si="156">(DD$115=0)*($O90-$G$430)+(DD$115=$G$444)*$G$435+(DD$115=$G$445)*(AH90+$G$430-$O90-$G$435)</f>
        <v>0</v>
      </c>
      <c r="DE116" s="173">
        <f t="shared" ref="DE116:DE122" si="157">(DE$115=0)*($O90-$G$430)+(DE$115=$G$444)*$G$435+(DE$115=$G$445)*(AH90+$G$430-$O90-$G$435)</f>
        <v>7208.263334465104</v>
      </c>
    </row>
    <row r="117" spans="1:109" ht="15" customHeight="1" x14ac:dyDescent="0.25">
      <c r="A117" s="121"/>
      <c r="B117" s="334"/>
      <c r="C117" s="158">
        <f>C118-$G$439</f>
        <v>0.2</v>
      </c>
      <c r="D117" s="157">
        <f t="shared" si="102"/>
        <v>0.29367943659587081</v>
      </c>
      <c r="E117" s="157">
        <f t="shared" si="103"/>
        <v>0.28916999306163893</v>
      </c>
      <c r="F117" s="157">
        <f t="shared" si="104"/>
        <v>0.28459655706241072</v>
      </c>
      <c r="G117" s="157">
        <f t="shared" si="105"/>
        <v>0.27995704840232682</v>
      </c>
      <c r="H117" s="157">
        <f t="shared" si="106"/>
        <v>0.2752492797595405</v>
      </c>
      <c r="I117" s="157">
        <f t="shared" si="107"/>
        <v>0.27047094905862901</v>
      </c>
      <c r="J117" s="157">
        <f t="shared" si="108"/>
        <v>0.26561963114385367</v>
      </c>
      <c r="K117" s="157">
        <f t="shared" si="109"/>
        <v>0.26069276867432278</v>
      </c>
      <c r="L117" s="157">
        <f t="shared" si="110"/>
        <v>0.25568766215145811</v>
      </c>
      <c r="M117" s="121"/>
      <c r="N117" s="121"/>
      <c r="O117" s="121"/>
      <c r="P117" s="121"/>
      <c r="Q117" s="121"/>
      <c r="AT117" s="154">
        <f t="shared" si="111"/>
        <v>0</v>
      </c>
      <c r="AU117" s="154">
        <f t="shared" si="111"/>
        <v>0</v>
      </c>
      <c r="AV117" s="154">
        <f t="shared" si="111"/>
        <v>0</v>
      </c>
      <c r="AW117" s="154">
        <f t="shared" si="111"/>
        <v>0</v>
      </c>
      <c r="AX117" s="154">
        <f t="shared" si="111"/>
        <v>1</v>
      </c>
      <c r="AY117" s="154">
        <f t="shared" si="111"/>
        <v>2</v>
      </c>
      <c r="AZ117" s="154">
        <f t="shared" si="111"/>
        <v>4</v>
      </c>
      <c r="BA117" s="154">
        <f t="shared" si="111"/>
        <v>5</v>
      </c>
      <c r="BB117" s="154">
        <f t="shared" si="111"/>
        <v>7</v>
      </c>
      <c r="BD117" s="173">
        <f t="shared" si="112"/>
        <v>-2350</v>
      </c>
      <c r="BE117" s="173">
        <f t="shared" si="113"/>
        <v>0</v>
      </c>
      <c r="BF117" s="173">
        <f t="shared" si="114"/>
        <v>0</v>
      </c>
      <c r="BG117" s="173">
        <f t="shared" si="115"/>
        <v>0</v>
      </c>
      <c r="BH117" s="173">
        <f t="shared" si="116"/>
        <v>0</v>
      </c>
      <c r="BI117" s="173">
        <f t="shared" si="117"/>
        <v>8515.3251767989605</v>
      </c>
      <c r="BJ117" s="173">
        <f t="shared" si="117"/>
        <v>-2350</v>
      </c>
      <c r="BK117" s="173">
        <f t="shared" si="118"/>
        <v>0</v>
      </c>
      <c r="BL117" s="173">
        <f t="shared" si="119"/>
        <v>0</v>
      </c>
      <c r="BM117" s="173">
        <f t="shared" si="120"/>
        <v>0</v>
      </c>
      <c r="BN117" s="173">
        <f t="shared" si="121"/>
        <v>0</v>
      </c>
      <c r="BO117" s="173">
        <f t="shared" si="122"/>
        <v>8367.9447391874855</v>
      </c>
      <c r="BP117" s="173">
        <f t="shared" si="122"/>
        <v>-2350</v>
      </c>
      <c r="BQ117" s="173">
        <f t="shared" si="123"/>
        <v>0</v>
      </c>
      <c r="BR117" s="173">
        <f t="shared" si="124"/>
        <v>0</v>
      </c>
      <c r="BS117" s="173">
        <f t="shared" si="125"/>
        <v>0</v>
      </c>
      <c r="BT117" s="173">
        <f t="shared" si="126"/>
        <v>0</v>
      </c>
      <c r="BU117" s="173">
        <f t="shared" si="127"/>
        <v>8220.5643015760124</v>
      </c>
      <c r="BV117" s="173">
        <f t="shared" si="127"/>
        <v>-2350</v>
      </c>
      <c r="BW117" s="173">
        <f t="shared" si="128"/>
        <v>0</v>
      </c>
      <c r="BX117" s="173">
        <f t="shared" si="129"/>
        <v>0</v>
      </c>
      <c r="BY117" s="173">
        <f t="shared" si="130"/>
        <v>0</v>
      </c>
      <c r="BZ117" s="173">
        <f t="shared" si="131"/>
        <v>0</v>
      </c>
      <c r="CA117" s="173">
        <f t="shared" si="132"/>
        <v>8073.1838639645393</v>
      </c>
      <c r="CB117" s="173">
        <f t="shared" si="132"/>
        <v>-2350</v>
      </c>
      <c r="CC117" s="173">
        <f t="shared" si="133"/>
        <v>0</v>
      </c>
      <c r="CD117" s="173">
        <f t="shared" si="134"/>
        <v>0</v>
      </c>
      <c r="CE117" s="173">
        <f t="shared" si="135"/>
        <v>0</v>
      </c>
      <c r="CF117" s="173">
        <f t="shared" si="136"/>
        <v>0</v>
      </c>
      <c r="CG117" s="173">
        <f t="shared" si="137"/>
        <v>7925.8034263530681</v>
      </c>
      <c r="CH117" s="173">
        <f t="shared" si="137"/>
        <v>-2350</v>
      </c>
      <c r="CI117" s="173">
        <f t="shared" si="138"/>
        <v>0</v>
      </c>
      <c r="CJ117" s="173">
        <f t="shared" si="139"/>
        <v>0</v>
      </c>
      <c r="CK117" s="173">
        <f t="shared" si="140"/>
        <v>0</v>
      </c>
      <c r="CL117" s="173">
        <f t="shared" si="141"/>
        <v>0</v>
      </c>
      <c r="CM117" s="173">
        <f t="shared" si="142"/>
        <v>7778.4229887415931</v>
      </c>
      <c r="CN117" s="173">
        <f t="shared" si="142"/>
        <v>-2350</v>
      </c>
      <c r="CO117" s="173">
        <f t="shared" si="143"/>
        <v>0</v>
      </c>
      <c r="CP117" s="173">
        <f t="shared" si="144"/>
        <v>0</v>
      </c>
      <c r="CQ117" s="173">
        <f t="shared" si="145"/>
        <v>0</v>
      </c>
      <c r="CR117" s="173">
        <f t="shared" si="146"/>
        <v>0</v>
      </c>
      <c r="CS117" s="173">
        <f t="shared" si="147"/>
        <v>7631.0425511301182</v>
      </c>
      <c r="CT117" s="173">
        <f t="shared" si="147"/>
        <v>-2350</v>
      </c>
      <c r="CU117" s="173">
        <f t="shared" si="148"/>
        <v>0</v>
      </c>
      <c r="CV117" s="173">
        <f t="shared" si="149"/>
        <v>0</v>
      </c>
      <c r="CW117" s="173">
        <f t="shared" si="150"/>
        <v>0</v>
      </c>
      <c r="CX117" s="173">
        <f t="shared" si="151"/>
        <v>0</v>
      </c>
      <c r="CY117" s="173">
        <f t="shared" si="152"/>
        <v>7483.6621135186451</v>
      </c>
      <c r="CZ117" s="173">
        <f t="shared" si="152"/>
        <v>-2350</v>
      </c>
      <c r="DA117" s="173">
        <f t="shared" si="153"/>
        <v>0</v>
      </c>
      <c r="DB117" s="173">
        <f t="shared" si="154"/>
        <v>0</v>
      </c>
      <c r="DC117" s="173">
        <f t="shared" si="155"/>
        <v>0</v>
      </c>
      <c r="DD117" s="173">
        <f t="shared" si="156"/>
        <v>0</v>
      </c>
      <c r="DE117" s="173">
        <f t="shared" si="157"/>
        <v>7336.2816759071729</v>
      </c>
    </row>
    <row r="118" spans="1:109" ht="15" customHeight="1" x14ac:dyDescent="0.25">
      <c r="A118" s="121"/>
      <c r="B118" s="334"/>
      <c r="C118" s="158">
        <f>C119-$G$439</f>
        <v>0.25</v>
      </c>
      <c r="D118" s="157">
        <f t="shared" si="102"/>
        <v>0.30498002492387477</v>
      </c>
      <c r="E118" s="157">
        <f t="shared" si="103"/>
        <v>0.29969545616198756</v>
      </c>
      <c r="F118" s="157">
        <f t="shared" si="104"/>
        <v>0.29432351436316972</v>
      </c>
      <c r="G118" s="157">
        <f t="shared" si="105"/>
        <v>0.28886088044081304</v>
      </c>
      <c r="H118" s="157">
        <f t="shared" si="106"/>
        <v>0.28330403495480883</v>
      </c>
      <c r="I118" s="157">
        <f t="shared" si="107"/>
        <v>0.27764924132000424</v>
      </c>
      <c r="J118" s="157">
        <f t="shared" si="108"/>
        <v>0.27189252721319712</v>
      </c>
      <c r="K118" s="157">
        <f t="shared" si="109"/>
        <v>0.26602966392267469</v>
      </c>
      <c r="L118" s="157">
        <f t="shared" si="110"/>
        <v>0.26005614335869121</v>
      </c>
      <c r="M118" s="121"/>
      <c r="N118" s="121"/>
      <c r="O118" s="121"/>
      <c r="P118" s="121"/>
      <c r="Q118" s="121"/>
      <c r="AT118" s="154">
        <f t="shared" si="111"/>
        <v>0</v>
      </c>
      <c r="AU118" s="154">
        <f t="shared" si="111"/>
        <v>0</v>
      </c>
      <c r="AV118" s="154">
        <f t="shared" si="111"/>
        <v>0</v>
      </c>
      <c r="AW118" s="154">
        <f t="shared" si="111"/>
        <v>1</v>
      </c>
      <c r="AX118" s="154">
        <f t="shared" si="111"/>
        <v>2</v>
      </c>
      <c r="AY118" s="154">
        <f t="shared" si="111"/>
        <v>4</v>
      </c>
      <c r="AZ118" s="154">
        <f t="shared" si="111"/>
        <v>5</v>
      </c>
      <c r="BA118" s="154">
        <f t="shared" si="111"/>
        <v>6</v>
      </c>
      <c r="BB118" s="154">
        <f t="shared" si="111"/>
        <v>8</v>
      </c>
      <c r="BD118" s="173">
        <f t="shared" si="112"/>
        <v>-2350</v>
      </c>
      <c r="BE118" s="173">
        <f t="shared" si="113"/>
        <v>0</v>
      </c>
      <c r="BF118" s="173">
        <f t="shared" si="114"/>
        <v>0</v>
      </c>
      <c r="BG118" s="173">
        <f t="shared" si="115"/>
        <v>0</v>
      </c>
      <c r="BH118" s="173">
        <f t="shared" si="116"/>
        <v>0</v>
      </c>
      <c r="BI118" s="173">
        <f t="shared" si="117"/>
        <v>8893.796387509652</v>
      </c>
      <c r="BJ118" s="173">
        <f t="shared" si="117"/>
        <v>-2350</v>
      </c>
      <c r="BK118" s="173">
        <f t="shared" si="118"/>
        <v>0</v>
      </c>
      <c r="BL118" s="173">
        <f t="shared" si="119"/>
        <v>0</v>
      </c>
      <c r="BM118" s="173">
        <f t="shared" si="120"/>
        <v>0</v>
      </c>
      <c r="BN118" s="173">
        <f t="shared" si="121"/>
        <v>0</v>
      </c>
      <c r="BO118" s="173">
        <f t="shared" si="122"/>
        <v>8715.1700476872138</v>
      </c>
      <c r="BP118" s="173">
        <f t="shared" si="122"/>
        <v>-2350</v>
      </c>
      <c r="BQ118" s="173">
        <f t="shared" si="123"/>
        <v>0</v>
      </c>
      <c r="BR118" s="173">
        <f t="shared" si="124"/>
        <v>0</v>
      </c>
      <c r="BS118" s="173">
        <f t="shared" si="125"/>
        <v>0</v>
      </c>
      <c r="BT118" s="173">
        <f t="shared" si="126"/>
        <v>0</v>
      </c>
      <c r="BU118" s="173">
        <f t="shared" si="127"/>
        <v>8536.5437078647774</v>
      </c>
      <c r="BV118" s="173">
        <f t="shared" si="127"/>
        <v>-2350</v>
      </c>
      <c r="BW118" s="173">
        <f t="shared" si="128"/>
        <v>0</v>
      </c>
      <c r="BX118" s="173">
        <f t="shared" si="129"/>
        <v>0</v>
      </c>
      <c r="BY118" s="173">
        <f t="shared" si="130"/>
        <v>0</v>
      </c>
      <c r="BZ118" s="173">
        <f t="shared" si="131"/>
        <v>0</v>
      </c>
      <c r="CA118" s="173">
        <f t="shared" si="132"/>
        <v>8357.917368042341</v>
      </c>
      <c r="CB118" s="173">
        <f t="shared" si="132"/>
        <v>-2350</v>
      </c>
      <c r="CC118" s="173">
        <f t="shared" si="133"/>
        <v>0</v>
      </c>
      <c r="CD118" s="173">
        <f t="shared" si="134"/>
        <v>0</v>
      </c>
      <c r="CE118" s="173">
        <f t="shared" si="135"/>
        <v>0</v>
      </c>
      <c r="CF118" s="173">
        <f t="shared" si="136"/>
        <v>0</v>
      </c>
      <c r="CG118" s="173">
        <f t="shared" si="137"/>
        <v>8179.2910282199027</v>
      </c>
      <c r="CH118" s="173">
        <f t="shared" si="137"/>
        <v>-2350</v>
      </c>
      <c r="CI118" s="173">
        <f t="shared" si="138"/>
        <v>0</v>
      </c>
      <c r="CJ118" s="173">
        <f t="shared" si="139"/>
        <v>0</v>
      </c>
      <c r="CK118" s="173">
        <f t="shared" si="140"/>
        <v>0</v>
      </c>
      <c r="CL118" s="173">
        <f t="shared" si="141"/>
        <v>0</v>
      </c>
      <c r="CM118" s="173">
        <f t="shared" si="142"/>
        <v>8000.6646883974645</v>
      </c>
      <c r="CN118" s="173">
        <f t="shared" si="142"/>
        <v>-2350</v>
      </c>
      <c r="CO118" s="173">
        <f t="shared" si="143"/>
        <v>0</v>
      </c>
      <c r="CP118" s="173">
        <f t="shared" si="144"/>
        <v>0</v>
      </c>
      <c r="CQ118" s="173">
        <f t="shared" si="145"/>
        <v>0</v>
      </c>
      <c r="CR118" s="173">
        <f t="shared" si="146"/>
        <v>0</v>
      </c>
      <c r="CS118" s="173">
        <f t="shared" si="147"/>
        <v>7822.0383485750281</v>
      </c>
      <c r="CT118" s="173">
        <f t="shared" si="147"/>
        <v>-2350</v>
      </c>
      <c r="CU118" s="173">
        <f t="shared" si="148"/>
        <v>0</v>
      </c>
      <c r="CV118" s="173">
        <f t="shared" si="149"/>
        <v>0</v>
      </c>
      <c r="CW118" s="173">
        <f t="shared" si="150"/>
        <v>0</v>
      </c>
      <c r="CX118" s="173">
        <f t="shared" si="151"/>
        <v>0</v>
      </c>
      <c r="CY118" s="173">
        <f t="shared" si="152"/>
        <v>7643.412008752588</v>
      </c>
      <c r="CZ118" s="173">
        <f t="shared" si="152"/>
        <v>-2350</v>
      </c>
      <c r="DA118" s="173">
        <f t="shared" si="153"/>
        <v>0</v>
      </c>
      <c r="DB118" s="173">
        <f t="shared" si="154"/>
        <v>0</v>
      </c>
      <c r="DC118" s="173">
        <f t="shared" si="155"/>
        <v>0</v>
      </c>
      <c r="DD118" s="173">
        <f t="shared" si="156"/>
        <v>0</v>
      </c>
      <c r="DE118" s="173">
        <f t="shared" si="157"/>
        <v>7464.7856689301516</v>
      </c>
    </row>
    <row r="119" spans="1:109" ht="15" customHeight="1" x14ac:dyDescent="0.25">
      <c r="A119" s="121"/>
      <c r="B119" s="334"/>
      <c r="C119" s="158">
        <f>$G$438</f>
        <v>0.3</v>
      </c>
      <c r="D119" s="157">
        <f t="shared" si="102"/>
        <v>0.31594889422115613</v>
      </c>
      <c r="E119" s="157">
        <f t="shared" si="103"/>
        <v>0.30993397334336126</v>
      </c>
      <c r="F119" s="157">
        <f t="shared" si="104"/>
        <v>0.3038065025758323</v>
      </c>
      <c r="G119" s="157">
        <f t="shared" si="105"/>
        <v>0.29756162962574817</v>
      </c>
      <c r="H119" s="159">
        <f t="shared" si="106"/>
        <v>0.29119416880747617</v>
      </c>
      <c r="I119" s="157">
        <f t="shared" si="107"/>
        <v>0.28469856911304725</v>
      </c>
      <c r="J119" s="157">
        <f t="shared" si="108"/>
        <v>0.27806887842667893</v>
      </c>
      <c r="K119" s="157">
        <f t="shared" si="109"/>
        <v>0.27129870313073168</v>
      </c>
      <c r="L119" s="157">
        <f t="shared" si="110"/>
        <v>0.26438116244835519</v>
      </c>
      <c r="M119" s="121"/>
      <c r="N119" s="121"/>
      <c r="O119" s="121"/>
      <c r="P119" s="121"/>
      <c r="Q119" s="121"/>
      <c r="AT119" s="154">
        <f t="shared" si="111"/>
        <v>0</v>
      </c>
      <c r="AU119" s="154">
        <f t="shared" si="111"/>
        <v>0</v>
      </c>
      <c r="AV119" s="154">
        <f t="shared" si="111"/>
        <v>2</v>
      </c>
      <c r="AW119" s="154">
        <f t="shared" si="111"/>
        <v>3</v>
      </c>
      <c r="AX119" s="154">
        <f t="shared" si="111"/>
        <v>4</v>
      </c>
      <c r="AY119" s="154">
        <f t="shared" si="111"/>
        <v>5</v>
      </c>
      <c r="AZ119" s="154">
        <f t="shared" si="111"/>
        <v>6</v>
      </c>
      <c r="BA119" s="154">
        <f t="shared" si="111"/>
        <v>7</v>
      </c>
      <c r="BB119" s="154">
        <f t="shared" si="111"/>
        <v>8</v>
      </c>
      <c r="BD119" s="173">
        <f t="shared" si="112"/>
        <v>-2350</v>
      </c>
      <c r="BE119" s="173">
        <f t="shared" si="113"/>
        <v>0</v>
      </c>
      <c r="BF119" s="173">
        <f t="shared" si="114"/>
        <v>0</v>
      </c>
      <c r="BG119" s="173">
        <f t="shared" si="115"/>
        <v>0</v>
      </c>
      <c r="BH119" s="173">
        <f t="shared" si="116"/>
        <v>0</v>
      </c>
      <c r="BI119" s="173">
        <f t="shared" si="117"/>
        <v>9273.9121945530678</v>
      </c>
      <c r="BJ119" s="173">
        <f t="shared" si="117"/>
        <v>-2350</v>
      </c>
      <c r="BK119" s="173">
        <f t="shared" si="118"/>
        <v>0</v>
      </c>
      <c r="BL119" s="173">
        <f t="shared" si="119"/>
        <v>0</v>
      </c>
      <c r="BM119" s="173">
        <f t="shared" si="120"/>
        <v>0</v>
      </c>
      <c r="BN119" s="173">
        <f t="shared" si="121"/>
        <v>0</v>
      </c>
      <c r="BO119" s="173">
        <f t="shared" si="122"/>
        <v>9063.8955289806363</v>
      </c>
      <c r="BP119" s="173">
        <f t="shared" si="122"/>
        <v>-2350</v>
      </c>
      <c r="BQ119" s="173">
        <f t="shared" si="123"/>
        <v>0</v>
      </c>
      <c r="BR119" s="173">
        <f t="shared" si="124"/>
        <v>0</v>
      </c>
      <c r="BS119" s="173">
        <f t="shared" si="125"/>
        <v>0</v>
      </c>
      <c r="BT119" s="173">
        <f t="shared" si="126"/>
        <v>0</v>
      </c>
      <c r="BU119" s="173">
        <f t="shared" si="127"/>
        <v>8853.8788634082011</v>
      </c>
      <c r="BV119" s="173">
        <f t="shared" si="127"/>
        <v>-2350</v>
      </c>
      <c r="BW119" s="173">
        <f t="shared" si="128"/>
        <v>0</v>
      </c>
      <c r="BX119" s="173">
        <f t="shared" si="129"/>
        <v>0</v>
      </c>
      <c r="BY119" s="173">
        <f t="shared" si="130"/>
        <v>0</v>
      </c>
      <c r="BZ119" s="173">
        <f t="shared" si="131"/>
        <v>0</v>
      </c>
      <c r="CA119" s="173">
        <f t="shared" si="132"/>
        <v>8643.8621978357696</v>
      </c>
      <c r="CB119" s="173">
        <f t="shared" si="132"/>
        <v>-2350</v>
      </c>
      <c r="CC119" s="173">
        <f t="shared" si="133"/>
        <v>0</v>
      </c>
      <c r="CD119" s="173">
        <f t="shared" si="134"/>
        <v>0</v>
      </c>
      <c r="CE119" s="173">
        <f t="shared" si="135"/>
        <v>0</v>
      </c>
      <c r="CF119" s="173">
        <f t="shared" si="136"/>
        <v>0</v>
      </c>
      <c r="CG119" s="173">
        <f t="shared" si="137"/>
        <v>8433.8455322633381</v>
      </c>
      <c r="CH119" s="173">
        <f t="shared" si="137"/>
        <v>-2350</v>
      </c>
      <c r="CI119" s="173">
        <f t="shared" si="138"/>
        <v>0</v>
      </c>
      <c r="CJ119" s="173">
        <f t="shared" si="139"/>
        <v>0</v>
      </c>
      <c r="CK119" s="173">
        <f t="shared" si="140"/>
        <v>0</v>
      </c>
      <c r="CL119" s="173">
        <f t="shared" si="141"/>
        <v>0</v>
      </c>
      <c r="CM119" s="173">
        <f t="shared" si="142"/>
        <v>8223.8288666909029</v>
      </c>
      <c r="CN119" s="173">
        <f t="shared" si="142"/>
        <v>-2350</v>
      </c>
      <c r="CO119" s="173">
        <f t="shared" si="143"/>
        <v>0</v>
      </c>
      <c r="CP119" s="173">
        <f t="shared" si="144"/>
        <v>0</v>
      </c>
      <c r="CQ119" s="173">
        <f t="shared" si="145"/>
        <v>0</v>
      </c>
      <c r="CR119" s="173">
        <f t="shared" si="146"/>
        <v>0</v>
      </c>
      <c r="CS119" s="173">
        <f t="shared" si="147"/>
        <v>8013.8122011184714</v>
      </c>
      <c r="CT119" s="173">
        <f t="shared" si="147"/>
        <v>-2350</v>
      </c>
      <c r="CU119" s="173">
        <f t="shared" si="148"/>
        <v>0</v>
      </c>
      <c r="CV119" s="173">
        <f t="shared" si="149"/>
        <v>0</v>
      </c>
      <c r="CW119" s="173">
        <f t="shared" si="150"/>
        <v>0</v>
      </c>
      <c r="CX119" s="173">
        <f t="shared" si="151"/>
        <v>0</v>
      </c>
      <c r="CY119" s="173">
        <f t="shared" si="152"/>
        <v>7803.7955355460381</v>
      </c>
      <c r="CZ119" s="173">
        <f t="shared" si="152"/>
        <v>-2350</v>
      </c>
      <c r="DA119" s="173">
        <f t="shared" si="153"/>
        <v>0</v>
      </c>
      <c r="DB119" s="173">
        <f t="shared" si="154"/>
        <v>0</v>
      </c>
      <c r="DC119" s="173">
        <f t="shared" si="155"/>
        <v>0</v>
      </c>
      <c r="DD119" s="173">
        <f t="shared" si="156"/>
        <v>0</v>
      </c>
      <c r="DE119" s="173">
        <f t="shared" si="157"/>
        <v>7593.7788699736047</v>
      </c>
    </row>
    <row r="120" spans="1:109" ht="15" customHeight="1" x14ac:dyDescent="0.25">
      <c r="A120" s="121"/>
      <c r="B120" s="334"/>
      <c r="C120" s="158">
        <f>C119+$G$439</f>
        <v>0.35</v>
      </c>
      <c r="D120" s="157">
        <f t="shared" si="102"/>
        <v>0.32660931495758683</v>
      </c>
      <c r="E120" s="157">
        <f t="shared" si="103"/>
        <v>0.31990442864793289</v>
      </c>
      <c r="F120" s="157">
        <f t="shared" si="104"/>
        <v>0.31306046864569415</v>
      </c>
      <c r="G120" s="157">
        <f t="shared" si="105"/>
        <v>0.30607077117110482</v>
      </c>
      <c r="H120" s="157">
        <f t="shared" si="106"/>
        <v>0.29892816212919548</v>
      </c>
      <c r="I120" s="157">
        <f t="shared" si="107"/>
        <v>0.29162490261411755</v>
      </c>
      <c r="J120" s="157">
        <f t="shared" si="108"/>
        <v>0.28415262674266595</v>
      </c>
      <c r="K120" s="157">
        <f t="shared" si="109"/>
        <v>0.27650227071251976</v>
      </c>
      <c r="L120" s="157">
        <f t="shared" si="110"/>
        <v>0.26866399133239627</v>
      </c>
      <c r="M120" s="121"/>
      <c r="N120" s="121"/>
      <c r="O120" s="121"/>
      <c r="P120" s="121"/>
      <c r="Q120" s="121"/>
      <c r="AT120" s="154">
        <f t="shared" si="111"/>
        <v>1</v>
      </c>
      <c r="AU120" s="154">
        <f t="shared" si="111"/>
        <v>2</v>
      </c>
      <c r="AV120" s="154">
        <f t="shared" si="111"/>
        <v>3</v>
      </c>
      <c r="AW120" s="154">
        <f t="shared" si="111"/>
        <v>4</v>
      </c>
      <c r="AX120" s="154">
        <f t="shared" si="111"/>
        <v>5</v>
      </c>
      <c r="AY120" s="154">
        <f t="shared" si="111"/>
        <v>6</v>
      </c>
      <c r="AZ120" s="154">
        <f t="shared" si="111"/>
        <v>7</v>
      </c>
      <c r="BA120" s="154">
        <f t="shared" si="111"/>
        <v>8</v>
      </c>
      <c r="BB120" s="154">
        <f t="shared" si="111"/>
        <v>9</v>
      </c>
      <c r="BD120" s="173">
        <f t="shared" si="112"/>
        <v>-2350</v>
      </c>
      <c r="BE120" s="173">
        <f t="shared" si="113"/>
        <v>0</v>
      </c>
      <c r="BF120" s="173">
        <f t="shared" si="114"/>
        <v>0</v>
      </c>
      <c r="BG120" s="173">
        <f t="shared" si="115"/>
        <v>0</v>
      </c>
      <c r="BH120" s="173">
        <f t="shared" si="116"/>
        <v>0</v>
      </c>
      <c r="BI120" s="173">
        <f t="shared" si="117"/>
        <v>9655.6846708223529</v>
      </c>
      <c r="BJ120" s="173">
        <f t="shared" si="117"/>
        <v>-2350</v>
      </c>
      <c r="BK120" s="173">
        <f t="shared" si="118"/>
        <v>0</v>
      </c>
      <c r="BL120" s="173">
        <f t="shared" si="119"/>
        <v>0</v>
      </c>
      <c r="BM120" s="173">
        <f t="shared" si="120"/>
        <v>0</v>
      </c>
      <c r="BN120" s="173">
        <f t="shared" si="121"/>
        <v>0</v>
      </c>
      <c r="BO120" s="173">
        <f t="shared" si="122"/>
        <v>9414.1321957554683</v>
      </c>
      <c r="BP120" s="173">
        <f t="shared" si="122"/>
        <v>-2350</v>
      </c>
      <c r="BQ120" s="173">
        <f t="shared" si="123"/>
        <v>0</v>
      </c>
      <c r="BR120" s="173">
        <f t="shared" si="124"/>
        <v>0</v>
      </c>
      <c r="BS120" s="173">
        <f t="shared" si="125"/>
        <v>0</v>
      </c>
      <c r="BT120" s="173">
        <f t="shared" si="126"/>
        <v>0</v>
      </c>
      <c r="BU120" s="173">
        <f t="shared" si="127"/>
        <v>9172.5797206885836</v>
      </c>
      <c r="BV120" s="173">
        <f t="shared" si="127"/>
        <v>-2350</v>
      </c>
      <c r="BW120" s="173">
        <f t="shared" si="128"/>
        <v>0</v>
      </c>
      <c r="BX120" s="173">
        <f t="shared" si="129"/>
        <v>0</v>
      </c>
      <c r="BY120" s="173">
        <f t="shared" si="130"/>
        <v>0</v>
      </c>
      <c r="BZ120" s="173">
        <f t="shared" si="131"/>
        <v>0</v>
      </c>
      <c r="CA120" s="173">
        <f t="shared" si="132"/>
        <v>8931.0272456217008</v>
      </c>
      <c r="CB120" s="173">
        <f t="shared" si="132"/>
        <v>-2350</v>
      </c>
      <c r="CC120" s="173">
        <f t="shared" si="133"/>
        <v>0</v>
      </c>
      <c r="CD120" s="173">
        <f t="shared" si="134"/>
        <v>0</v>
      </c>
      <c r="CE120" s="173">
        <f t="shared" si="135"/>
        <v>0</v>
      </c>
      <c r="CF120" s="173">
        <f t="shared" si="136"/>
        <v>0</v>
      </c>
      <c r="CG120" s="173">
        <f t="shared" si="137"/>
        <v>8689.4747705548161</v>
      </c>
      <c r="CH120" s="173">
        <f t="shared" si="137"/>
        <v>-2350</v>
      </c>
      <c r="CI120" s="173">
        <f t="shared" si="138"/>
        <v>0</v>
      </c>
      <c r="CJ120" s="173">
        <f t="shared" si="139"/>
        <v>0</v>
      </c>
      <c r="CK120" s="173">
        <f t="shared" si="140"/>
        <v>0</v>
      </c>
      <c r="CL120" s="173">
        <f t="shared" si="141"/>
        <v>0</v>
      </c>
      <c r="CM120" s="173">
        <f t="shared" si="142"/>
        <v>8447.9222954879315</v>
      </c>
      <c r="CN120" s="173">
        <f t="shared" si="142"/>
        <v>-2350</v>
      </c>
      <c r="CO120" s="173">
        <f t="shared" si="143"/>
        <v>0</v>
      </c>
      <c r="CP120" s="173">
        <f t="shared" si="144"/>
        <v>0</v>
      </c>
      <c r="CQ120" s="173">
        <f t="shared" si="145"/>
        <v>0</v>
      </c>
      <c r="CR120" s="173">
        <f t="shared" si="146"/>
        <v>0</v>
      </c>
      <c r="CS120" s="173">
        <f t="shared" si="147"/>
        <v>8206.3698204210468</v>
      </c>
      <c r="CT120" s="173">
        <f t="shared" si="147"/>
        <v>-2350</v>
      </c>
      <c r="CU120" s="173">
        <f t="shared" si="148"/>
        <v>0</v>
      </c>
      <c r="CV120" s="173">
        <f t="shared" si="149"/>
        <v>0</v>
      </c>
      <c r="CW120" s="173">
        <f t="shared" si="150"/>
        <v>0</v>
      </c>
      <c r="CX120" s="173">
        <f t="shared" si="151"/>
        <v>0</v>
      </c>
      <c r="CY120" s="173">
        <f t="shared" si="152"/>
        <v>7964.817345354164</v>
      </c>
      <c r="CZ120" s="173">
        <f t="shared" si="152"/>
        <v>-2350</v>
      </c>
      <c r="DA120" s="173">
        <f t="shared" si="153"/>
        <v>0</v>
      </c>
      <c r="DB120" s="173">
        <f t="shared" si="154"/>
        <v>0</v>
      </c>
      <c r="DC120" s="173">
        <f t="shared" si="155"/>
        <v>0</v>
      </c>
      <c r="DD120" s="173">
        <f t="shared" si="156"/>
        <v>0</v>
      </c>
      <c r="DE120" s="173">
        <f t="shared" si="157"/>
        <v>7723.2648702872793</v>
      </c>
    </row>
    <row r="121" spans="1:109" ht="15" customHeight="1" x14ac:dyDescent="0.25">
      <c r="A121" s="121"/>
      <c r="B121" s="334"/>
      <c r="C121" s="158">
        <f>C120+$G$439</f>
        <v>0.39999999999999997</v>
      </c>
      <c r="D121" s="157">
        <f t="shared" si="102"/>
        <v>0.33698214867977461</v>
      </c>
      <c r="E121" s="157">
        <f t="shared" si="103"/>
        <v>0.32962387130343895</v>
      </c>
      <c r="F121" s="157">
        <f t="shared" si="104"/>
        <v>0.32209900735103747</v>
      </c>
      <c r="G121" s="157">
        <f t="shared" si="105"/>
        <v>0.31439882327618873</v>
      </c>
      <c r="H121" s="157">
        <f t="shared" si="106"/>
        <v>0.30651385185888547</v>
      </c>
      <c r="I121" s="157">
        <f t="shared" si="107"/>
        <v>0.29843380595730951</v>
      </c>
      <c r="J121" s="157">
        <f t="shared" si="108"/>
        <v>0.29014747908673333</v>
      </c>
      <c r="K121" s="157">
        <f t="shared" si="109"/>
        <v>0.28164263016135127</v>
      </c>
      <c r="L121" s="157">
        <f t="shared" si="110"/>
        <v>0.27290584948613605</v>
      </c>
      <c r="M121" s="121"/>
      <c r="N121" s="121"/>
      <c r="O121" s="121"/>
      <c r="P121" s="121"/>
      <c r="Q121" s="121"/>
      <c r="AT121" s="154">
        <f t="shared" si="111"/>
        <v>3</v>
      </c>
      <c r="AU121" s="154">
        <f t="shared" si="111"/>
        <v>4</v>
      </c>
      <c r="AV121" s="154">
        <f t="shared" si="111"/>
        <v>5</v>
      </c>
      <c r="AW121" s="154">
        <f t="shared" si="111"/>
        <v>6</v>
      </c>
      <c r="AX121" s="154">
        <f t="shared" si="111"/>
        <v>7</v>
      </c>
      <c r="AY121" s="154">
        <f t="shared" si="111"/>
        <v>7</v>
      </c>
      <c r="AZ121" s="154">
        <f t="shared" si="111"/>
        <v>8</v>
      </c>
      <c r="BA121" s="154">
        <f t="shared" si="111"/>
        <v>9</v>
      </c>
      <c r="BB121" s="154">
        <f t="shared" si="111"/>
        <v>10</v>
      </c>
      <c r="BD121" s="173">
        <f t="shared" si="112"/>
        <v>-2350</v>
      </c>
      <c r="BE121" s="173">
        <f t="shared" si="113"/>
        <v>0</v>
      </c>
      <c r="BF121" s="173">
        <f t="shared" si="114"/>
        <v>0</v>
      </c>
      <c r="BG121" s="173">
        <f t="shared" si="115"/>
        <v>0</v>
      </c>
      <c r="BH121" s="173">
        <f t="shared" si="116"/>
        <v>0</v>
      </c>
      <c r="BI121" s="173">
        <f t="shared" si="117"/>
        <v>10039.126007669129</v>
      </c>
      <c r="BJ121" s="173">
        <f t="shared" si="117"/>
        <v>-2350</v>
      </c>
      <c r="BK121" s="173">
        <f t="shared" si="118"/>
        <v>0</v>
      </c>
      <c r="BL121" s="173">
        <f t="shared" si="119"/>
        <v>0</v>
      </c>
      <c r="BM121" s="173">
        <f t="shared" si="120"/>
        <v>0</v>
      </c>
      <c r="BN121" s="173">
        <f t="shared" si="121"/>
        <v>0</v>
      </c>
      <c r="BO121" s="173">
        <f t="shared" si="122"/>
        <v>9765.8911687552409</v>
      </c>
      <c r="BP121" s="173">
        <f t="shared" si="122"/>
        <v>-2350</v>
      </c>
      <c r="BQ121" s="173">
        <f t="shared" si="123"/>
        <v>0</v>
      </c>
      <c r="BR121" s="173">
        <f t="shared" si="124"/>
        <v>0</v>
      </c>
      <c r="BS121" s="173">
        <f t="shared" si="125"/>
        <v>0</v>
      </c>
      <c r="BT121" s="173">
        <f t="shared" si="126"/>
        <v>0</v>
      </c>
      <c r="BU121" s="173">
        <f t="shared" si="127"/>
        <v>9492.6563298413548</v>
      </c>
      <c r="BV121" s="173">
        <f t="shared" si="127"/>
        <v>-2350</v>
      </c>
      <c r="BW121" s="173">
        <f t="shared" si="128"/>
        <v>0</v>
      </c>
      <c r="BX121" s="173">
        <f t="shared" si="129"/>
        <v>0</v>
      </c>
      <c r="BY121" s="173">
        <f t="shared" si="130"/>
        <v>0</v>
      </c>
      <c r="BZ121" s="173">
        <f t="shared" si="131"/>
        <v>0</v>
      </c>
      <c r="CA121" s="173">
        <f t="shared" si="132"/>
        <v>9219.4214909274669</v>
      </c>
      <c r="CB121" s="173">
        <f t="shared" si="132"/>
        <v>-2350</v>
      </c>
      <c r="CC121" s="173">
        <f t="shared" si="133"/>
        <v>0</v>
      </c>
      <c r="CD121" s="173">
        <f t="shared" si="134"/>
        <v>0</v>
      </c>
      <c r="CE121" s="173">
        <f t="shared" si="135"/>
        <v>0</v>
      </c>
      <c r="CF121" s="173">
        <f t="shared" si="136"/>
        <v>0</v>
      </c>
      <c r="CG121" s="173">
        <f t="shared" si="137"/>
        <v>8946.1866520135809</v>
      </c>
      <c r="CH121" s="173">
        <f t="shared" si="137"/>
        <v>-2350</v>
      </c>
      <c r="CI121" s="173">
        <f t="shared" si="138"/>
        <v>0</v>
      </c>
      <c r="CJ121" s="173">
        <f t="shared" si="139"/>
        <v>0</v>
      </c>
      <c r="CK121" s="173">
        <f t="shared" si="140"/>
        <v>0</v>
      </c>
      <c r="CL121" s="173">
        <f t="shared" si="141"/>
        <v>0</v>
      </c>
      <c r="CM121" s="173">
        <f t="shared" si="142"/>
        <v>8672.951813099693</v>
      </c>
      <c r="CN121" s="173">
        <f t="shared" si="142"/>
        <v>-2350</v>
      </c>
      <c r="CO121" s="173">
        <f t="shared" si="143"/>
        <v>0</v>
      </c>
      <c r="CP121" s="173">
        <f t="shared" si="144"/>
        <v>0</v>
      </c>
      <c r="CQ121" s="173">
        <f t="shared" si="145"/>
        <v>0</v>
      </c>
      <c r="CR121" s="173">
        <f t="shared" si="146"/>
        <v>0</v>
      </c>
      <c r="CS121" s="173">
        <f t="shared" si="147"/>
        <v>8399.716974185807</v>
      </c>
      <c r="CT121" s="173">
        <f t="shared" si="147"/>
        <v>-2350</v>
      </c>
      <c r="CU121" s="173">
        <f t="shared" si="148"/>
        <v>0</v>
      </c>
      <c r="CV121" s="173">
        <f t="shared" si="149"/>
        <v>0</v>
      </c>
      <c r="CW121" s="173">
        <f t="shared" si="150"/>
        <v>0</v>
      </c>
      <c r="CX121" s="173">
        <f t="shared" si="151"/>
        <v>0</v>
      </c>
      <c r="CY121" s="173">
        <f t="shared" si="152"/>
        <v>8126.4821352719191</v>
      </c>
      <c r="CZ121" s="173">
        <f t="shared" si="152"/>
        <v>-2350</v>
      </c>
      <c r="DA121" s="173">
        <f t="shared" si="153"/>
        <v>0</v>
      </c>
      <c r="DB121" s="173">
        <f t="shared" si="154"/>
        <v>0</v>
      </c>
      <c r="DC121" s="173">
        <f t="shared" si="155"/>
        <v>0</v>
      </c>
      <c r="DD121" s="173">
        <f t="shared" si="156"/>
        <v>0</v>
      </c>
      <c r="DE121" s="173">
        <f t="shared" si="157"/>
        <v>7853.2472963580331</v>
      </c>
    </row>
    <row r="122" spans="1:109" ht="15" customHeight="1" x14ac:dyDescent="0.25">
      <c r="A122" s="121"/>
      <c r="B122" s="335"/>
      <c r="C122" s="156">
        <f>C121+$G$439</f>
        <v>0.44999999999999996</v>
      </c>
      <c r="D122" s="155">
        <f t="shared" si="102"/>
        <v>0.34708617439487588</v>
      </c>
      <c r="E122" s="155">
        <f t="shared" si="103"/>
        <v>0.33910774956397738</v>
      </c>
      <c r="F122" s="155">
        <f t="shared" si="104"/>
        <v>0.33093452215800845</v>
      </c>
      <c r="G122" s="155">
        <f t="shared" si="105"/>
        <v>0.32255545243239059</v>
      </c>
      <c r="H122" s="155">
        <f t="shared" si="106"/>
        <v>0.31395849568428646</v>
      </c>
      <c r="I122" s="155">
        <f t="shared" si="107"/>
        <v>0.3051304739115519</v>
      </c>
      <c r="J122" s="155">
        <f t="shared" si="108"/>
        <v>0.29605692603956957</v>
      </c>
      <c r="K122" s="155">
        <f t="shared" si="109"/>
        <v>0.28672193227818976</v>
      </c>
      <c r="L122" s="155">
        <f t="shared" si="110"/>
        <v>0.27710790687906339</v>
      </c>
      <c r="M122" s="121"/>
      <c r="N122" s="121"/>
      <c r="O122" s="121"/>
      <c r="P122" s="121"/>
      <c r="Q122" s="121"/>
      <c r="AT122" s="154">
        <f t="shared" si="111"/>
        <v>6</v>
      </c>
      <c r="AU122" s="154">
        <f t="shared" si="111"/>
        <v>6</v>
      </c>
      <c r="AV122" s="154">
        <f t="shared" si="111"/>
        <v>7</v>
      </c>
      <c r="AW122" s="154">
        <f t="shared" si="111"/>
        <v>7</v>
      </c>
      <c r="AX122" s="154">
        <f t="shared" si="111"/>
        <v>8</v>
      </c>
      <c r="AY122" s="154">
        <f t="shared" si="111"/>
        <v>9</v>
      </c>
      <c r="AZ122" s="154">
        <f t="shared" si="111"/>
        <v>9</v>
      </c>
      <c r="BA122" s="154">
        <f t="shared" si="111"/>
        <v>10</v>
      </c>
      <c r="BB122" s="154">
        <f t="shared" si="111"/>
        <v>10</v>
      </c>
      <c r="BD122" s="173">
        <f t="shared" si="112"/>
        <v>-2350</v>
      </c>
      <c r="BE122" s="173">
        <f t="shared" si="113"/>
        <v>0</v>
      </c>
      <c r="BF122" s="173">
        <f t="shared" si="114"/>
        <v>0</v>
      </c>
      <c r="BG122" s="173">
        <f t="shared" si="115"/>
        <v>0</v>
      </c>
      <c r="BH122" s="173">
        <f t="shared" si="116"/>
        <v>0</v>
      </c>
      <c r="BI122" s="173">
        <f t="shared" si="117"/>
        <v>10424.248516359949</v>
      </c>
      <c r="BJ122" s="173">
        <f t="shared" si="117"/>
        <v>-2350</v>
      </c>
      <c r="BK122" s="173">
        <f t="shared" si="118"/>
        <v>0</v>
      </c>
      <c r="BL122" s="173">
        <f t="shared" si="119"/>
        <v>0</v>
      </c>
      <c r="BM122" s="173">
        <f t="shared" si="120"/>
        <v>0</v>
      </c>
      <c r="BN122" s="173">
        <f t="shared" si="121"/>
        <v>0</v>
      </c>
      <c r="BO122" s="173">
        <f t="shared" si="122"/>
        <v>10119.183678107842</v>
      </c>
      <c r="BP122" s="173">
        <f t="shared" si="122"/>
        <v>-2350</v>
      </c>
      <c r="BQ122" s="173">
        <f t="shared" si="123"/>
        <v>0</v>
      </c>
      <c r="BR122" s="173">
        <f t="shared" si="124"/>
        <v>0</v>
      </c>
      <c r="BS122" s="173">
        <f t="shared" si="125"/>
        <v>0</v>
      </c>
      <c r="BT122" s="173">
        <f t="shared" si="126"/>
        <v>0</v>
      </c>
      <c r="BU122" s="173">
        <f t="shared" si="127"/>
        <v>9814.1188398557315</v>
      </c>
      <c r="BV122" s="173">
        <f t="shared" si="127"/>
        <v>-2350</v>
      </c>
      <c r="BW122" s="173">
        <f t="shared" si="128"/>
        <v>0</v>
      </c>
      <c r="BX122" s="173">
        <f t="shared" si="129"/>
        <v>0</v>
      </c>
      <c r="BY122" s="173">
        <f t="shared" si="130"/>
        <v>0</v>
      </c>
      <c r="BZ122" s="173">
        <f t="shared" si="131"/>
        <v>0</v>
      </c>
      <c r="CA122" s="173">
        <f t="shared" si="132"/>
        <v>9509.0540016036266</v>
      </c>
      <c r="CB122" s="173">
        <f t="shared" si="132"/>
        <v>-2350</v>
      </c>
      <c r="CC122" s="173">
        <f t="shared" si="133"/>
        <v>0</v>
      </c>
      <c r="CD122" s="173">
        <f t="shared" si="134"/>
        <v>0</v>
      </c>
      <c r="CE122" s="173">
        <f t="shared" si="135"/>
        <v>0</v>
      </c>
      <c r="CF122" s="173">
        <f t="shared" si="136"/>
        <v>0</v>
      </c>
      <c r="CG122" s="173">
        <f t="shared" si="137"/>
        <v>9203.9891633515199</v>
      </c>
      <c r="CH122" s="173">
        <f t="shared" si="137"/>
        <v>-2350</v>
      </c>
      <c r="CI122" s="173">
        <f t="shared" si="138"/>
        <v>0</v>
      </c>
      <c r="CJ122" s="173">
        <f t="shared" si="139"/>
        <v>0</v>
      </c>
      <c r="CK122" s="173">
        <f t="shared" si="140"/>
        <v>0</v>
      </c>
      <c r="CL122" s="173">
        <f t="shared" si="141"/>
        <v>0</v>
      </c>
      <c r="CM122" s="173">
        <f t="shared" si="142"/>
        <v>8898.9243250994114</v>
      </c>
      <c r="CN122" s="173">
        <f t="shared" si="142"/>
        <v>-2350</v>
      </c>
      <c r="CO122" s="173">
        <f t="shared" si="143"/>
        <v>0</v>
      </c>
      <c r="CP122" s="173">
        <f t="shared" si="144"/>
        <v>0</v>
      </c>
      <c r="CQ122" s="173">
        <f t="shared" si="145"/>
        <v>0</v>
      </c>
      <c r="CR122" s="173">
        <f t="shared" si="146"/>
        <v>0</v>
      </c>
      <c r="CS122" s="173">
        <f t="shared" si="147"/>
        <v>8593.8594868473047</v>
      </c>
      <c r="CT122" s="173">
        <f t="shared" si="147"/>
        <v>-2350</v>
      </c>
      <c r="CU122" s="173">
        <f t="shared" si="148"/>
        <v>0</v>
      </c>
      <c r="CV122" s="173">
        <f t="shared" si="149"/>
        <v>0</v>
      </c>
      <c r="CW122" s="173">
        <f t="shared" si="150"/>
        <v>0</v>
      </c>
      <c r="CX122" s="173">
        <f t="shared" si="151"/>
        <v>0</v>
      </c>
      <c r="CY122" s="173">
        <f t="shared" si="152"/>
        <v>8288.7946485951961</v>
      </c>
      <c r="CZ122" s="173">
        <f t="shared" si="152"/>
        <v>-2350</v>
      </c>
      <c r="DA122" s="173">
        <f t="shared" si="153"/>
        <v>0</v>
      </c>
      <c r="DB122" s="173">
        <f t="shared" si="154"/>
        <v>0</v>
      </c>
      <c r="DC122" s="173">
        <f t="shared" si="155"/>
        <v>0</v>
      </c>
      <c r="DD122" s="173">
        <f t="shared" si="156"/>
        <v>0</v>
      </c>
      <c r="DE122" s="173">
        <f t="shared" si="157"/>
        <v>7983.7298103430894</v>
      </c>
    </row>
    <row r="123" spans="1:109" ht="15" hidden="1" customHeight="1" outlineLevel="1" x14ac:dyDescent="0.25">
      <c r="A123" s="121"/>
      <c r="B123" s="153" t="s">
        <v>345</v>
      </c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</row>
    <row r="124" spans="1:109" ht="3.95" customHeight="1" collapsed="1" x14ac:dyDescent="0.25">
      <c r="A124" s="121"/>
      <c r="B124" s="153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</row>
    <row r="125" spans="1:109" ht="15" customHeight="1" x14ac:dyDescent="0.25">
      <c r="A125" s="121"/>
      <c r="B125" s="172" t="s">
        <v>344</v>
      </c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21"/>
      <c r="N125" s="121"/>
      <c r="O125" s="121"/>
      <c r="P125" s="121"/>
      <c r="Q125" s="121"/>
    </row>
    <row r="126" spans="1:109" ht="15" customHeight="1" x14ac:dyDescent="0.25">
      <c r="A126" s="121"/>
      <c r="B126" s="164" t="s">
        <v>343</v>
      </c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</row>
    <row r="127" spans="1:109" ht="2.1" customHeight="1" x14ac:dyDescent="0.25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</row>
    <row r="128" spans="1:109" ht="12.75" customHeight="1" x14ac:dyDescent="0.25">
      <c r="A128" s="121"/>
      <c r="B128" s="10"/>
      <c r="C128" s="10"/>
      <c r="D128" s="163" t="s">
        <v>337</v>
      </c>
      <c r="E128" s="163"/>
      <c r="F128" s="163"/>
      <c r="G128" s="163"/>
      <c r="H128" s="163"/>
      <c r="I128" s="163"/>
      <c r="J128" s="163"/>
      <c r="K128" s="163"/>
      <c r="L128" s="163"/>
      <c r="M128" s="121"/>
      <c r="N128" s="121"/>
      <c r="O128" s="121"/>
      <c r="P128" s="121"/>
      <c r="Q128" s="121"/>
      <c r="Z128" s="171" t="s">
        <v>342</v>
      </c>
      <c r="AA128" s="58"/>
      <c r="AB128" s="58"/>
      <c r="AC128" s="58"/>
      <c r="AD128" s="58"/>
      <c r="AE128" s="58"/>
      <c r="AF128" s="58"/>
      <c r="AG128" s="58"/>
      <c r="AH128" s="58"/>
    </row>
    <row r="129" spans="1:54" ht="12.75" customHeight="1" x14ac:dyDescent="0.25">
      <c r="A129" s="121"/>
      <c r="B129" s="10"/>
      <c r="C129" s="10"/>
      <c r="D129" s="183">
        <f>E129+$G$458</f>
        <v>64</v>
      </c>
      <c r="E129" s="183">
        <f>F129+$G$458</f>
        <v>60</v>
      </c>
      <c r="F129" s="183">
        <f>G129+$G$458</f>
        <v>56</v>
      </c>
      <c r="G129" s="183">
        <f>H129+$G$458</f>
        <v>52</v>
      </c>
      <c r="H129" s="183">
        <f>$G$457</f>
        <v>48</v>
      </c>
      <c r="I129" s="183">
        <f>H129-$G$458</f>
        <v>44</v>
      </c>
      <c r="J129" s="183">
        <f>I129-$G$458</f>
        <v>40</v>
      </c>
      <c r="K129" s="183">
        <f>J129-$G$458</f>
        <v>36</v>
      </c>
      <c r="L129" s="183">
        <f>K129-$G$458</f>
        <v>32</v>
      </c>
      <c r="M129" s="121"/>
      <c r="N129" s="121"/>
      <c r="O129" s="121"/>
      <c r="P129" s="121"/>
      <c r="Q129" s="121"/>
      <c r="Z129" s="57">
        <f t="shared" ref="Z129:AH129" si="158">D$129</f>
        <v>64</v>
      </c>
      <c r="AA129" s="57">
        <f t="shared" si="158"/>
        <v>60</v>
      </c>
      <c r="AB129" s="57">
        <f t="shared" si="158"/>
        <v>56</v>
      </c>
      <c r="AC129" s="57">
        <f t="shared" si="158"/>
        <v>52</v>
      </c>
      <c r="AD129" s="57">
        <f t="shared" si="158"/>
        <v>48</v>
      </c>
      <c r="AE129" s="57">
        <f t="shared" si="158"/>
        <v>44</v>
      </c>
      <c r="AF129" s="57">
        <f t="shared" si="158"/>
        <v>40</v>
      </c>
      <c r="AG129" s="57">
        <f t="shared" si="158"/>
        <v>36</v>
      </c>
      <c r="AH129" s="57">
        <f t="shared" si="158"/>
        <v>32</v>
      </c>
      <c r="AT129" s="161" t="s">
        <v>288</v>
      </c>
      <c r="AU129" s="160"/>
      <c r="AV129" s="160"/>
      <c r="AW129" s="160"/>
      <c r="AX129" s="160"/>
      <c r="AY129" s="160"/>
      <c r="AZ129" s="160"/>
      <c r="BA129" s="160"/>
      <c r="BB129" s="160"/>
    </row>
    <row r="130" spans="1:54" ht="15" customHeight="1" x14ac:dyDescent="0.25">
      <c r="A130" s="121"/>
      <c r="B130" s="333" t="s">
        <v>336</v>
      </c>
      <c r="C130" s="158">
        <f>C131-$G$439</f>
        <v>0.15000000000000002</v>
      </c>
      <c r="D130" s="152">
        <f t="shared" ref="D130:L136" si="159">ROUND(Z130,$G$452)</f>
        <v>-400</v>
      </c>
      <c r="E130" s="152">
        <f t="shared" si="159"/>
        <v>-100</v>
      </c>
      <c r="F130" s="152">
        <f t="shared" si="159"/>
        <v>200</v>
      </c>
      <c r="G130" s="152">
        <f t="shared" si="159"/>
        <v>500</v>
      </c>
      <c r="H130" s="152">
        <f t="shared" si="159"/>
        <v>800</v>
      </c>
      <c r="I130" s="152">
        <f t="shared" si="159"/>
        <v>1100</v>
      </c>
      <c r="J130" s="152">
        <f t="shared" si="159"/>
        <v>1400</v>
      </c>
      <c r="K130" s="152">
        <f t="shared" si="159"/>
        <v>1700</v>
      </c>
      <c r="L130" s="152">
        <f t="shared" si="159"/>
        <v>2000</v>
      </c>
      <c r="M130" s="121"/>
      <c r="N130" s="121"/>
      <c r="O130" s="121"/>
      <c r="P130" s="121"/>
      <c r="Q130" s="121"/>
      <c r="Z130" s="57">
        <f t="shared" ref="Z130:AH136" si="160">Z90+$G$430-AJ$93</f>
        <v>-364.91839161280404</v>
      </c>
      <c r="AA130" s="57">
        <f t="shared" si="160"/>
        <v>-65.409475764787203</v>
      </c>
      <c r="AB130" s="57">
        <f t="shared" si="160"/>
        <v>234.09944008322782</v>
      </c>
      <c r="AC130" s="57">
        <f t="shared" si="160"/>
        <v>533.60835593124193</v>
      </c>
      <c r="AD130" s="57">
        <f t="shared" si="160"/>
        <v>833.11727177925604</v>
      </c>
      <c r="AE130" s="57">
        <f t="shared" si="160"/>
        <v>1132.626187627272</v>
      </c>
      <c r="AF130" s="57">
        <f t="shared" si="160"/>
        <v>1432.1351034752861</v>
      </c>
      <c r="AG130" s="57">
        <f t="shared" si="160"/>
        <v>1731.6440193232993</v>
      </c>
      <c r="AH130" s="57">
        <f t="shared" si="160"/>
        <v>2031.1529351713161</v>
      </c>
      <c r="AT130" s="154">
        <f t="shared" ref="AT130:BB136" si="161">IF(Z130&lt;$G$449,0,MIN($G$446,1+IFERROR(INT((Z130-$G$449)/$G$463),0)))</f>
        <v>0</v>
      </c>
      <c r="AU130" s="154">
        <f t="shared" si="161"/>
        <v>0</v>
      </c>
      <c r="AV130" s="154">
        <f t="shared" si="161"/>
        <v>0</v>
      </c>
      <c r="AW130" s="154">
        <f t="shared" si="161"/>
        <v>0</v>
      </c>
      <c r="AX130" s="154">
        <f t="shared" si="161"/>
        <v>0</v>
      </c>
      <c r="AY130" s="154">
        <f t="shared" si="161"/>
        <v>1</v>
      </c>
      <c r="AZ130" s="154">
        <f t="shared" si="161"/>
        <v>3</v>
      </c>
      <c r="BA130" s="154">
        <f t="shared" si="161"/>
        <v>5</v>
      </c>
      <c r="BB130" s="154">
        <f t="shared" si="161"/>
        <v>6</v>
      </c>
    </row>
    <row r="131" spans="1:54" ht="15" customHeight="1" x14ac:dyDescent="0.25">
      <c r="A131" s="121"/>
      <c r="B131" s="334"/>
      <c r="C131" s="158">
        <f>C132-$G$439</f>
        <v>0.2</v>
      </c>
      <c r="D131" s="168">
        <f t="shared" si="159"/>
        <v>0</v>
      </c>
      <c r="E131" s="168">
        <f t="shared" si="159"/>
        <v>300</v>
      </c>
      <c r="F131" s="168">
        <f t="shared" si="159"/>
        <v>500</v>
      </c>
      <c r="G131" s="168">
        <f t="shared" si="159"/>
        <v>800</v>
      </c>
      <c r="H131" s="168">
        <f t="shared" si="159"/>
        <v>1100</v>
      </c>
      <c r="I131" s="168">
        <f t="shared" si="159"/>
        <v>1400</v>
      </c>
      <c r="J131" s="168">
        <f t="shared" si="159"/>
        <v>1600</v>
      </c>
      <c r="K131" s="168">
        <f t="shared" si="159"/>
        <v>1900</v>
      </c>
      <c r="L131" s="168">
        <f t="shared" si="159"/>
        <v>2200</v>
      </c>
      <c r="M131" s="121"/>
      <c r="N131" s="121"/>
      <c r="O131" s="121"/>
      <c r="P131" s="121"/>
      <c r="Q131" s="121"/>
      <c r="Z131" s="57">
        <f t="shared" si="160"/>
        <v>11.92017863511137</v>
      </c>
      <c r="AA131" s="57">
        <f t="shared" si="160"/>
        <v>280.32656588239479</v>
      </c>
      <c r="AB131" s="57">
        <f t="shared" si="160"/>
        <v>548.73295312968003</v>
      </c>
      <c r="AC131" s="57">
        <f t="shared" si="160"/>
        <v>817.13934037696436</v>
      </c>
      <c r="AD131" s="57">
        <f t="shared" si="160"/>
        <v>1085.5457276242505</v>
      </c>
      <c r="AE131" s="57">
        <f t="shared" si="160"/>
        <v>1353.952114871533</v>
      </c>
      <c r="AF131" s="57">
        <f t="shared" si="160"/>
        <v>1622.3585021188155</v>
      </c>
      <c r="AG131" s="57">
        <f t="shared" si="160"/>
        <v>1890.7648893660989</v>
      </c>
      <c r="AH131" s="57">
        <f t="shared" si="160"/>
        <v>2159.1712766133851</v>
      </c>
      <c r="AT131" s="154">
        <f t="shared" si="161"/>
        <v>0</v>
      </c>
      <c r="AU131" s="154">
        <f t="shared" si="161"/>
        <v>0</v>
      </c>
      <c r="AV131" s="154">
        <f t="shared" si="161"/>
        <v>0</v>
      </c>
      <c r="AW131" s="154">
        <f t="shared" si="161"/>
        <v>0</v>
      </c>
      <c r="AX131" s="154">
        <f t="shared" si="161"/>
        <v>1</v>
      </c>
      <c r="AY131" s="154">
        <f t="shared" si="161"/>
        <v>2</v>
      </c>
      <c r="AZ131" s="154">
        <f t="shared" si="161"/>
        <v>4</v>
      </c>
      <c r="BA131" s="154">
        <f t="shared" si="161"/>
        <v>5</v>
      </c>
      <c r="BB131" s="154">
        <f t="shared" si="161"/>
        <v>7</v>
      </c>
    </row>
    <row r="132" spans="1:54" ht="15" customHeight="1" x14ac:dyDescent="0.25">
      <c r="A132" s="121"/>
      <c r="B132" s="334"/>
      <c r="C132" s="158">
        <f>C133-$G$439</f>
        <v>0.25</v>
      </c>
      <c r="D132" s="168">
        <f t="shared" si="159"/>
        <v>400</v>
      </c>
      <c r="E132" s="168">
        <f t="shared" si="159"/>
        <v>600</v>
      </c>
      <c r="F132" s="168">
        <f t="shared" si="159"/>
        <v>900</v>
      </c>
      <c r="G132" s="168">
        <f t="shared" si="159"/>
        <v>1100</v>
      </c>
      <c r="H132" s="168">
        <f t="shared" si="159"/>
        <v>1300</v>
      </c>
      <c r="I132" s="168">
        <f t="shared" si="159"/>
        <v>1600</v>
      </c>
      <c r="J132" s="168">
        <f t="shared" si="159"/>
        <v>1800</v>
      </c>
      <c r="K132" s="168">
        <f t="shared" si="159"/>
        <v>2100</v>
      </c>
      <c r="L132" s="168">
        <f t="shared" si="159"/>
        <v>2300</v>
      </c>
      <c r="M132" s="121"/>
      <c r="N132" s="121"/>
      <c r="O132" s="121"/>
      <c r="P132" s="121"/>
      <c r="Q132" s="121"/>
      <c r="Z132" s="57">
        <f t="shared" si="160"/>
        <v>390.39138934580296</v>
      </c>
      <c r="AA132" s="57">
        <f t="shared" si="160"/>
        <v>627.55187438212306</v>
      </c>
      <c r="AB132" s="57">
        <f t="shared" si="160"/>
        <v>864.71235941844498</v>
      </c>
      <c r="AC132" s="57">
        <f t="shared" si="160"/>
        <v>1101.872844454766</v>
      </c>
      <c r="AD132" s="57">
        <f t="shared" si="160"/>
        <v>1339.0333294910852</v>
      </c>
      <c r="AE132" s="57">
        <f t="shared" si="160"/>
        <v>1576.1938145274044</v>
      </c>
      <c r="AF132" s="57">
        <f t="shared" si="160"/>
        <v>1813.3542995637254</v>
      </c>
      <c r="AG132" s="57">
        <f t="shared" si="160"/>
        <v>2050.5147846000418</v>
      </c>
      <c r="AH132" s="57">
        <f t="shared" si="160"/>
        <v>2287.6752696363637</v>
      </c>
      <c r="AT132" s="154">
        <f t="shared" si="161"/>
        <v>0</v>
      </c>
      <c r="AU132" s="154">
        <f t="shared" si="161"/>
        <v>0</v>
      </c>
      <c r="AV132" s="154">
        <f t="shared" si="161"/>
        <v>0</v>
      </c>
      <c r="AW132" s="154">
        <f t="shared" si="161"/>
        <v>1</v>
      </c>
      <c r="AX132" s="154">
        <f t="shared" si="161"/>
        <v>2</v>
      </c>
      <c r="AY132" s="154">
        <f t="shared" si="161"/>
        <v>4</v>
      </c>
      <c r="AZ132" s="154">
        <f t="shared" si="161"/>
        <v>5</v>
      </c>
      <c r="BA132" s="154">
        <f t="shared" si="161"/>
        <v>6</v>
      </c>
      <c r="BB132" s="154">
        <f t="shared" si="161"/>
        <v>8</v>
      </c>
    </row>
    <row r="133" spans="1:54" ht="15" customHeight="1" x14ac:dyDescent="0.25">
      <c r="A133" s="121"/>
      <c r="B133" s="334"/>
      <c r="C133" s="158">
        <f>$G$438</f>
        <v>0.3</v>
      </c>
      <c r="D133" s="168">
        <f t="shared" si="159"/>
        <v>800</v>
      </c>
      <c r="E133" s="168">
        <f t="shared" si="159"/>
        <v>1000</v>
      </c>
      <c r="F133" s="168">
        <f t="shared" si="159"/>
        <v>1200</v>
      </c>
      <c r="G133" s="168">
        <f t="shared" si="159"/>
        <v>1400</v>
      </c>
      <c r="H133" s="169">
        <f t="shared" si="159"/>
        <v>1600</v>
      </c>
      <c r="I133" s="168">
        <f t="shared" si="159"/>
        <v>1800</v>
      </c>
      <c r="J133" s="168">
        <f t="shared" si="159"/>
        <v>2000</v>
      </c>
      <c r="K133" s="168">
        <f t="shared" si="159"/>
        <v>2200</v>
      </c>
      <c r="L133" s="168">
        <f t="shared" si="159"/>
        <v>2400</v>
      </c>
      <c r="M133" s="121"/>
      <c r="N133" s="121"/>
      <c r="O133" s="121"/>
      <c r="P133" s="121"/>
      <c r="Q133" s="121"/>
      <c r="Z133" s="57">
        <f t="shared" si="160"/>
        <v>770.50719638921873</v>
      </c>
      <c r="AA133" s="57">
        <f t="shared" si="160"/>
        <v>976.27735567554555</v>
      </c>
      <c r="AB133" s="57">
        <f t="shared" si="160"/>
        <v>1182.0475149618687</v>
      </c>
      <c r="AC133" s="57">
        <f t="shared" si="160"/>
        <v>1387.8176742481946</v>
      </c>
      <c r="AD133" s="57">
        <f t="shared" si="160"/>
        <v>1593.5878335345205</v>
      </c>
      <c r="AE133" s="57">
        <f t="shared" si="160"/>
        <v>1799.3579928208428</v>
      </c>
      <c r="AF133" s="57">
        <f t="shared" si="160"/>
        <v>2005.1281521071687</v>
      </c>
      <c r="AG133" s="57">
        <f t="shared" si="160"/>
        <v>2210.8983113934919</v>
      </c>
      <c r="AH133" s="57">
        <f t="shared" si="160"/>
        <v>2416.6684706798169</v>
      </c>
      <c r="AT133" s="154">
        <f t="shared" si="161"/>
        <v>0</v>
      </c>
      <c r="AU133" s="154">
        <f t="shared" si="161"/>
        <v>0</v>
      </c>
      <c r="AV133" s="154">
        <f t="shared" si="161"/>
        <v>2</v>
      </c>
      <c r="AW133" s="154">
        <f t="shared" si="161"/>
        <v>3</v>
      </c>
      <c r="AX133" s="154">
        <f t="shared" si="161"/>
        <v>4</v>
      </c>
      <c r="AY133" s="154">
        <f t="shared" si="161"/>
        <v>5</v>
      </c>
      <c r="AZ133" s="154">
        <f t="shared" si="161"/>
        <v>6</v>
      </c>
      <c r="BA133" s="154">
        <f t="shared" si="161"/>
        <v>7</v>
      </c>
      <c r="BB133" s="154">
        <f t="shared" si="161"/>
        <v>8</v>
      </c>
    </row>
    <row r="134" spans="1:54" ht="15" customHeight="1" x14ac:dyDescent="0.25">
      <c r="A134" s="121"/>
      <c r="B134" s="334"/>
      <c r="C134" s="158">
        <f>C133+$G$439</f>
        <v>0.35</v>
      </c>
      <c r="D134" s="168">
        <f t="shared" si="159"/>
        <v>1200</v>
      </c>
      <c r="E134" s="168">
        <f t="shared" si="159"/>
        <v>1300</v>
      </c>
      <c r="F134" s="168">
        <f t="shared" si="159"/>
        <v>1500</v>
      </c>
      <c r="G134" s="168">
        <f t="shared" si="159"/>
        <v>1700</v>
      </c>
      <c r="H134" s="168">
        <f t="shared" si="159"/>
        <v>1800</v>
      </c>
      <c r="I134" s="168">
        <f t="shared" si="159"/>
        <v>2000</v>
      </c>
      <c r="J134" s="168">
        <f t="shared" si="159"/>
        <v>2200</v>
      </c>
      <c r="K134" s="168">
        <f t="shared" si="159"/>
        <v>2400</v>
      </c>
      <c r="L134" s="168">
        <f t="shared" si="159"/>
        <v>2500</v>
      </c>
      <c r="M134" s="121"/>
      <c r="N134" s="121"/>
      <c r="O134" s="121"/>
      <c r="P134" s="121"/>
      <c r="Q134" s="121"/>
      <c r="Z134" s="57">
        <f t="shared" si="160"/>
        <v>1152.2796726585038</v>
      </c>
      <c r="AA134" s="57">
        <f t="shared" si="160"/>
        <v>1326.5140224503775</v>
      </c>
      <c r="AB134" s="57">
        <f t="shared" si="160"/>
        <v>1500.7483722422512</v>
      </c>
      <c r="AC134" s="57">
        <f t="shared" si="160"/>
        <v>1674.9827220341258</v>
      </c>
      <c r="AD134" s="57">
        <f t="shared" si="160"/>
        <v>1849.2170718259986</v>
      </c>
      <c r="AE134" s="57">
        <f t="shared" si="160"/>
        <v>2023.4514216178713</v>
      </c>
      <c r="AF134" s="57">
        <f t="shared" si="160"/>
        <v>2197.6857714097441</v>
      </c>
      <c r="AG134" s="57">
        <f t="shared" si="160"/>
        <v>2371.9201212016178</v>
      </c>
      <c r="AH134" s="57">
        <f t="shared" si="160"/>
        <v>2546.1544709934915</v>
      </c>
      <c r="AT134" s="154">
        <f t="shared" si="161"/>
        <v>1</v>
      </c>
      <c r="AU134" s="154">
        <f t="shared" si="161"/>
        <v>2</v>
      </c>
      <c r="AV134" s="154">
        <f t="shared" si="161"/>
        <v>3</v>
      </c>
      <c r="AW134" s="154">
        <f t="shared" si="161"/>
        <v>4</v>
      </c>
      <c r="AX134" s="154">
        <f t="shared" si="161"/>
        <v>5</v>
      </c>
      <c r="AY134" s="154">
        <f t="shared" si="161"/>
        <v>6</v>
      </c>
      <c r="AZ134" s="154">
        <f t="shared" si="161"/>
        <v>7</v>
      </c>
      <c r="BA134" s="154">
        <f t="shared" si="161"/>
        <v>8</v>
      </c>
      <c r="BB134" s="154">
        <f t="shared" si="161"/>
        <v>9</v>
      </c>
    </row>
    <row r="135" spans="1:54" ht="15" customHeight="1" x14ac:dyDescent="0.25">
      <c r="A135" s="121"/>
      <c r="B135" s="334"/>
      <c r="C135" s="158">
        <f>C134+$G$439</f>
        <v>0.39999999999999997</v>
      </c>
      <c r="D135" s="168">
        <f t="shared" si="159"/>
        <v>1500</v>
      </c>
      <c r="E135" s="168">
        <f t="shared" si="159"/>
        <v>1700</v>
      </c>
      <c r="F135" s="168">
        <f t="shared" si="159"/>
        <v>1800</v>
      </c>
      <c r="G135" s="168">
        <f t="shared" si="159"/>
        <v>2000</v>
      </c>
      <c r="H135" s="168">
        <f t="shared" si="159"/>
        <v>2100</v>
      </c>
      <c r="I135" s="168">
        <f t="shared" si="159"/>
        <v>2200</v>
      </c>
      <c r="J135" s="168">
        <f t="shared" si="159"/>
        <v>2400</v>
      </c>
      <c r="K135" s="168">
        <f t="shared" si="159"/>
        <v>2500</v>
      </c>
      <c r="L135" s="168">
        <f t="shared" si="159"/>
        <v>2700</v>
      </c>
      <c r="M135" s="121"/>
      <c r="N135" s="121"/>
      <c r="O135" s="121"/>
      <c r="P135" s="121"/>
      <c r="Q135" s="121"/>
      <c r="Z135" s="57">
        <f t="shared" si="160"/>
        <v>1535.7210095052797</v>
      </c>
      <c r="AA135" s="57">
        <f t="shared" si="160"/>
        <v>1678.2729954501501</v>
      </c>
      <c r="AB135" s="57">
        <f t="shared" si="160"/>
        <v>1820.8249813950224</v>
      </c>
      <c r="AC135" s="57">
        <f t="shared" si="160"/>
        <v>1963.376967339892</v>
      </c>
      <c r="AD135" s="57">
        <f t="shared" si="160"/>
        <v>2105.9289532847633</v>
      </c>
      <c r="AE135" s="57">
        <f t="shared" si="160"/>
        <v>2248.4809392296329</v>
      </c>
      <c r="AF135" s="57">
        <f t="shared" si="160"/>
        <v>2391.0329251745043</v>
      </c>
      <c r="AG135" s="57">
        <f t="shared" si="160"/>
        <v>2533.5849111193729</v>
      </c>
      <c r="AH135" s="57">
        <f t="shared" si="160"/>
        <v>2676.1368970642452</v>
      </c>
      <c r="AT135" s="154">
        <f t="shared" si="161"/>
        <v>3</v>
      </c>
      <c r="AU135" s="154">
        <f t="shared" si="161"/>
        <v>4</v>
      </c>
      <c r="AV135" s="154">
        <f t="shared" si="161"/>
        <v>5</v>
      </c>
      <c r="AW135" s="154">
        <f t="shared" si="161"/>
        <v>6</v>
      </c>
      <c r="AX135" s="154">
        <f t="shared" si="161"/>
        <v>7</v>
      </c>
      <c r="AY135" s="154">
        <f t="shared" si="161"/>
        <v>7</v>
      </c>
      <c r="AZ135" s="154">
        <f t="shared" si="161"/>
        <v>8</v>
      </c>
      <c r="BA135" s="154">
        <f t="shared" si="161"/>
        <v>9</v>
      </c>
      <c r="BB135" s="154">
        <f t="shared" si="161"/>
        <v>10</v>
      </c>
    </row>
    <row r="136" spans="1:54" ht="15" customHeight="1" x14ac:dyDescent="0.25">
      <c r="A136" s="121"/>
      <c r="B136" s="335"/>
      <c r="C136" s="156">
        <f>C135+$G$439</f>
        <v>0.44999999999999996</v>
      </c>
      <c r="D136" s="149">
        <f t="shared" si="159"/>
        <v>1900</v>
      </c>
      <c r="E136" s="149">
        <f t="shared" si="159"/>
        <v>2000</v>
      </c>
      <c r="F136" s="149">
        <f t="shared" si="159"/>
        <v>2100</v>
      </c>
      <c r="G136" s="149">
        <f t="shared" si="159"/>
        <v>2300</v>
      </c>
      <c r="H136" s="149">
        <f t="shared" si="159"/>
        <v>2400</v>
      </c>
      <c r="I136" s="149">
        <f t="shared" si="159"/>
        <v>2500</v>
      </c>
      <c r="J136" s="149">
        <f t="shared" si="159"/>
        <v>2600</v>
      </c>
      <c r="K136" s="149">
        <f t="shared" si="159"/>
        <v>2700</v>
      </c>
      <c r="L136" s="149">
        <f t="shared" si="159"/>
        <v>2800</v>
      </c>
      <c r="M136" s="121"/>
      <c r="N136" s="121"/>
      <c r="O136" s="121"/>
      <c r="P136" s="121"/>
      <c r="Q136" s="121"/>
      <c r="Z136" s="57">
        <f t="shared" si="160"/>
        <v>1920.8435181960995</v>
      </c>
      <c r="AA136" s="57">
        <f t="shared" si="160"/>
        <v>2031.5655048027511</v>
      </c>
      <c r="AB136" s="57">
        <f t="shared" si="160"/>
        <v>2142.2874914093991</v>
      </c>
      <c r="AC136" s="57">
        <f t="shared" si="160"/>
        <v>2253.0094780160516</v>
      </c>
      <c r="AD136" s="57">
        <f t="shared" si="160"/>
        <v>2363.7314646227023</v>
      </c>
      <c r="AE136" s="57">
        <f t="shared" si="160"/>
        <v>2474.4534512293512</v>
      </c>
      <c r="AF136" s="57">
        <f t="shared" si="160"/>
        <v>2585.1754378360019</v>
      </c>
      <c r="AG136" s="57">
        <f t="shared" si="160"/>
        <v>2695.8974244426499</v>
      </c>
      <c r="AH136" s="57">
        <f t="shared" si="160"/>
        <v>2806.6194110493016</v>
      </c>
      <c r="AT136" s="154">
        <f t="shared" si="161"/>
        <v>6</v>
      </c>
      <c r="AU136" s="154">
        <f t="shared" si="161"/>
        <v>6</v>
      </c>
      <c r="AV136" s="154">
        <f t="shared" si="161"/>
        <v>7</v>
      </c>
      <c r="AW136" s="154">
        <f t="shared" si="161"/>
        <v>7</v>
      </c>
      <c r="AX136" s="154">
        <f t="shared" si="161"/>
        <v>8</v>
      </c>
      <c r="AY136" s="154">
        <f t="shared" si="161"/>
        <v>9</v>
      </c>
      <c r="AZ136" s="154">
        <f t="shared" si="161"/>
        <v>9</v>
      </c>
      <c r="BA136" s="154">
        <f t="shared" si="161"/>
        <v>10</v>
      </c>
      <c r="BB136" s="154">
        <f t="shared" si="161"/>
        <v>10</v>
      </c>
    </row>
    <row r="137" spans="1:54" ht="15" hidden="1" customHeight="1" outlineLevel="1" x14ac:dyDescent="0.25">
      <c r="A137" s="121"/>
      <c r="B137" s="153" t="s">
        <v>341</v>
      </c>
      <c r="C137" s="4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</row>
    <row r="138" spans="1:54" ht="3.95" customHeight="1" collapsed="1" x14ac:dyDescent="0.25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</row>
    <row r="139" spans="1:54" ht="15" customHeight="1" x14ac:dyDescent="0.25">
      <c r="A139" s="121"/>
      <c r="B139" s="164" t="s">
        <v>340</v>
      </c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</row>
    <row r="140" spans="1:54" ht="2.1" customHeight="1" x14ac:dyDescent="0.25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</row>
    <row r="141" spans="1:54" ht="12.75" customHeight="1" x14ac:dyDescent="0.25">
      <c r="A141" s="121"/>
      <c r="B141" s="10"/>
      <c r="C141" s="10"/>
      <c r="D141" s="163" t="s">
        <v>337</v>
      </c>
      <c r="E141" s="163"/>
      <c r="F141" s="163"/>
      <c r="G141" s="163"/>
      <c r="H141" s="163"/>
      <c r="I141" s="163"/>
      <c r="J141" s="163"/>
      <c r="K141" s="163"/>
      <c r="L141" s="163"/>
      <c r="M141" s="121"/>
      <c r="N141" s="121"/>
      <c r="O141" s="121"/>
      <c r="P141" s="121"/>
      <c r="Q141" s="121"/>
    </row>
    <row r="142" spans="1:54" ht="12.75" customHeight="1" x14ac:dyDescent="0.25">
      <c r="A142" s="121"/>
      <c r="B142" s="10"/>
      <c r="C142" s="10"/>
      <c r="D142" s="183">
        <f>E142+$G$458</f>
        <v>64</v>
      </c>
      <c r="E142" s="183">
        <f>F142+$G$458</f>
        <v>60</v>
      </c>
      <c r="F142" s="183">
        <f>G142+$G$458</f>
        <v>56</v>
      </c>
      <c r="G142" s="183">
        <f>H142+$G$458</f>
        <v>52</v>
      </c>
      <c r="H142" s="183">
        <f>$G$457</f>
        <v>48</v>
      </c>
      <c r="I142" s="183">
        <f>H142-$G$458</f>
        <v>44</v>
      </c>
      <c r="J142" s="183">
        <f>I142-$G$458</f>
        <v>40</v>
      </c>
      <c r="K142" s="183">
        <f>J142-$G$458</f>
        <v>36</v>
      </c>
      <c r="L142" s="183">
        <f>K142-$G$458</f>
        <v>32</v>
      </c>
      <c r="M142" s="121"/>
      <c r="N142" s="121"/>
      <c r="O142" s="121"/>
      <c r="P142" s="121"/>
      <c r="Q142" s="121"/>
      <c r="AT142" s="161" t="s">
        <v>288</v>
      </c>
      <c r="AU142" s="160"/>
      <c r="AV142" s="160"/>
      <c r="AW142" s="160"/>
      <c r="AX142" s="160"/>
      <c r="AY142" s="160"/>
      <c r="AZ142" s="160"/>
      <c r="BA142" s="160"/>
      <c r="BB142" s="160"/>
    </row>
    <row r="143" spans="1:54" ht="15" customHeight="1" x14ac:dyDescent="0.25">
      <c r="A143" s="121"/>
      <c r="B143" s="333" t="s">
        <v>336</v>
      </c>
      <c r="C143" s="158">
        <f>C144-$G$439</f>
        <v>0.15000000000000002</v>
      </c>
      <c r="D143" s="166">
        <f t="shared" ref="D143:L149" si="162">IFERROR(Z130/AJ$93,0)</f>
        <v>-3.9866955705118015E-2</v>
      </c>
      <c r="E143" s="166">
        <f t="shared" si="162"/>
        <v>-7.4859617881477443E-3</v>
      </c>
      <c r="F143" s="166">
        <f t="shared" si="162"/>
        <v>2.8130759959096464E-2</v>
      </c>
      <c r="G143" s="166">
        <f t="shared" si="162"/>
        <v>6.7493720069401172E-2</v>
      </c>
      <c r="H143" s="166">
        <f t="shared" si="162"/>
        <v>0.11122678354853473</v>
      </c>
      <c r="I143" s="166">
        <f t="shared" si="162"/>
        <v>0.16010048070318417</v>
      </c>
      <c r="J143" s="166">
        <f t="shared" si="162"/>
        <v>0.21507779809554606</v>
      </c>
      <c r="K143" s="166">
        <f t="shared" si="162"/>
        <v>0.27737826799773474</v>
      </c>
      <c r="L143" s="166">
        <f t="shared" si="162"/>
        <v>0.34856949602627746</v>
      </c>
      <c r="M143" s="121"/>
      <c r="N143" s="121"/>
      <c r="O143" s="121"/>
      <c r="P143" s="121"/>
      <c r="Q143" s="121"/>
      <c r="AT143" s="154">
        <f t="shared" ref="AT143:BB149" si="163">IF(Z130&lt;$G$449,0,MIN($G$446,1+IFERROR(INT((Z130-$G$449)/$G$463),0)))</f>
        <v>0</v>
      </c>
      <c r="AU143" s="154">
        <f t="shared" si="163"/>
        <v>0</v>
      </c>
      <c r="AV143" s="154">
        <f t="shared" si="163"/>
        <v>0</v>
      </c>
      <c r="AW143" s="154">
        <f t="shared" si="163"/>
        <v>0</v>
      </c>
      <c r="AX143" s="154">
        <f t="shared" si="163"/>
        <v>0</v>
      </c>
      <c r="AY143" s="154">
        <f t="shared" si="163"/>
        <v>1</v>
      </c>
      <c r="AZ143" s="154">
        <f t="shared" si="163"/>
        <v>3</v>
      </c>
      <c r="BA143" s="154">
        <f t="shared" si="163"/>
        <v>5</v>
      </c>
      <c r="BB143" s="154">
        <f t="shared" si="163"/>
        <v>6</v>
      </c>
    </row>
    <row r="144" spans="1:54" ht="15" customHeight="1" x14ac:dyDescent="0.25">
      <c r="A144" s="121"/>
      <c r="B144" s="334"/>
      <c r="C144" s="158">
        <f>C145-$G$439</f>
        <v>0.2</v>
      </c>
      <c r="D144" s="166">
        <f t="shared" si="162"/>
        <v>1.3022671494927328E-3</v>
      </c>
      <c r="E144" s="166">
        <f t="shared" si="162"/>
        <v>3.2082720979824925E-2</v>
      </c>
      <c r="F144" s="166">
        <f t="shared" si="162"/>
        <v>6.5938965854207957E-2</v>
      </c>
      <c r="G144" s="166">
        <f t="shared" si="162"/>
        <v>0.10335627859659029</v>
      </c>
      <c r="H144" s="166">
        <f t="shared" si="162"/>
        <v>0.14492768757588675</v>
      </c>
      <c r="I144" s="166">
        <f t="shared" si="162"/>
        <v>0.19138563703363712</v>
      </c>
      <c r="J144" s="166">
        <f t="shared" si="162"/>
        <v>0.24364551466587564</v>
      </c>
      <c r="K144" s="166">
        <f t="shared" si="162"/>
        <v>0.30286657323960098</v>
      </c>
      <c r="L144" s="166">
        <f t="shared" si="162"/>
        <v>0.37053893416453276</v>
      </c>
      <c r="M144" s="121"/>
      <c r="N144" s="121"/>
      <c r="O144" s="121"/>
      <c r="P144" s="121"/>
      <c r="Q144" s="121"/>
      <c r="AT144" s="154">
        <f t="shared" si="163"/>
        <v>0</v>
      </c>
      <c r="AU144" s="154">
        <f t="shared" si="163"/>
        <v>0</v>
      </c>
      <c r="AV144" s="154">
        <f t="shared" si="163"/>
        <v>0</v>
      </c>
      <c r="AW144" s="154">
        <f t="shared" si="163"/>
        <v>0</v>
      </c>
      <c r="AX144" s="154">
        <f t="shared" si="163"/>
        <v>1</v>
      </c>
      <c r="AY144" s="154">
        <f t="shared" si="163"/>
        <v>2</v>
      </c>
      <c r="AZ144" s="154">
        <f t="shared" si="163"/>
        <v>4</v>
      </c>
      <c r="BA144" s="154">
        <f t="shared" si="163"/>
        <v>5</v>
      </c>
      <c r="BB144" s="154">
        <f t="shared" si="163"/>
        <v>7</v>
      </c>
    </row>
    <row r="145" spans="1:54" ht="15" customHeight="1" x14ac:dyDescent="0.25">
      <c r="A145" s="121"/>
      <c r="B145" s="334"/>
      <c r="C145" s="158">
        <f>C146-$G$439</f>
        <v>0.25</v>
      </c>
      <c r="D145" s="166">
        <f t="shared" si="162"/>
        <v>4.26498542809058E-2</v>
      </c>
      <c r="E145" s="166">
        <f t="shared" si="162"/>
        <v>7.1821846862043112E-2</v>
      </c>
      <c r="F145" s="166">
        <f t="shared" si="162"/>
        <v>0.10390890216489244</v>
      </c>
      <c r="G145" s="166">
        <f t="shared" si="162"/>
        <v>0.1393709384215259</v>
      </c>
      <c r="H145" s="166">
        <f t="shared" si="162"/>
        <v>0.17876999475176061</v>
      </c>
      <c r="I145" s="166">
        <f t="shared" si="162"/>
        <v>0.22280024084192096</v>
      </c>
      <c r="J145" s="166">
        <f t="shared" si="162"/>
        <v>0.27232922995242231</v>
      </c>
      <c r="K145" s="166">
        <f t="shared" si="162"/>
        <v>0.32845563701849873</v>
      </c>
      <c r="L145" s="166">
        <f t="shared" si="162"/>
        <v>0.39259171576938318</v>
      </c>
      <c r="M145" s="121"/>
      <c r="N145" s="121"/>
      <c r="O145" s="121"/>
      <c r="P145" s="121"/>
      <c r="Q145" s="121"/>
      <c r="AT145" s="154">
        <f t="shared" si="163"/>
        <v>0</v>
      </c>
      <c r="AU145" s="154">
        <f t="shared" si="163"/>
        <v>0</v>
      </c>
      <c r="AV145" s="154">
        <f t="shared" si="163"/>
        <v>0</v>
      </c>
      <c r="AW145" s="154">
        <f t="shared" si="163"/>
        <v>1</v>
      </c>
      <c r="AX145" s="154">
        <f t="shared" si="163"/>
        <v>2</v>
      </c>
      <c r="AY145" s="154">
        <f t="shared" si="163"/>
        <v>4</v>
      </c>
      <c r="AZ145" s="154">
        <f t="shared" si="163"/>
        <v>5</v>
      </c>
      <c r="BA145" s="154">
        <f t="shared" si="163"/>
        <v>6</v>
      </c>
      <c r="BB145" s="154">
        <f t="shared" si="163"/>
        <v>8</v>
      </c>
    </row>
    <row r="146" spans="1:54" ht="15" customHeight="1" x14ac:dyDescent="0.25">
      <c r="A146" s="121"/>
      <c r="B146" s="334"/>
      <c r="C146" s="158">
        <f>$G$438</f>
        <v>0.3</v>
      </c>
      <c r="D146" s="166">
        <f t="shared" si="162"/>
        <v>8.4177111855509579E-2</v>
      </c>
      <c r="E146" s="166">
        <f t="shared" si="162"/>
        <v>0.11173266401800881</v>
      </c>
      <c r="F146" s="166">
        <f t="shared" si="162"/>
        <v>0.1420417532473251</v>
      </c>
      <c r="G146" s="166">
        <f t="shared" si="162"/>
        <v>0.17553881338609462</v>
      </c>
      <c r="H146" s="167">
        <f t="shared" si="162"/>
        <v>0.21275474057521021</v>
      </c>
      <c r="I146" s="166">
        <f t="shared" si="162"/>
        <v>0.25434524007539117</v>
      </c>
      <c r="J146" s="166">
        <f t="shared" si="162"/>
        <v>0.30112979341689816</v>
      </c>
      <c r="K146" s="166">
        <f t="shared" si="162"/>
        <v>0.35414619719189988</v>
      </c>
      <c r="L146" s="166">
        <f t="shared" si="162"/>
        <v>0.41472845116727208</v>
      </c>
      <c r="M146" s="121"/>
      <c r="N146" s="121"/>
      <c r="O146" s="121"/>
      <c r="P146" s="121"/>
      <c r="Q146" s="121"/>
      <c r="AT146" s="154">
        <f t="shared" si="163"/>
        <v>0</v>
      </c>
      <c r="AU146" s="154">
        <f t="shared" si="163"/>
        <v>0</v>
      </c>
      <c r="AV146" s="154">
        <f t="shared" si="163"/>
        <v>2</v>
      </c>
      <c r="AW146" s="154">
        <f t="shared" si="163"/>
        <v>3</v>
      </c>
      <c r="AX146" s="154">
        <f t="shared" si="163"/>
        <v>4</v>
      </c>
      <c r="AY146" s="154">
        <f t="shared" si="163"/>
        <v>5</v>
      </c>
      <c r="AZ146" s="154">
        <f t="shared" si="163"/>
        <v>6</v>
      </c>
      <c r="BA146" s="154">
        <f t="shared" si="163"/>
        <v>7</v>
      </c>
      <c r="BB146" s="154">
        <f t="shared" si="163"/>
        <v>8</v>
      </c>
    </row>
    <row r="147" spans="1:54" ht="15" customHeight="1" x14ac:dyDescent="0.25">
      <c r="A147" s="121"/>
      <c r="B147" s="334"/>
      <c r="C147" s="158">
        <f>C146+$G$439</f>
        <v>0.35</v>
      </c>
      <c r="D147" s="166">
        <f t="shared" si="162"/>
        <v>0.12588535882435534</v>
      </c>
      <c r="E147" s="166">
        <f t="shared" si="162"/>
        <v>0.15181643282411944</v>
      </c>
      <c r="F147" s="166">
        <f t="shared" si="162"/>
        <v>0.18033871505007582</v>
      </c>
      <c r="G147" s="166">
        <f t="shared" si="162"/>
        <v>0.21186102823438926</v>
      </c>
      <c r="H147" s="166">
        <f t="shared" si="162"/>
        <v>0.24688297068067924</v>
      </c>
      <c r="I147" s="166">
        <f t="shared" si="162"/>
        <v>0.28602159195984511</v>
      </c>
      <c r="J147" s="166">
        <f t="shared" si="162"/>
        <v>0.33004806283548799</v>
      </c>
      <c r="K147" s="166">
        <f t="shared" si="162"/>
        <v>0.37993899883937277</v>
      </c>
      <c r="L147" s="166">
        <f t="shared" si="162"/>
        <v>0.4369497566584753</v>
      </c>
      <c r="M147" s="121"/>
      <c r="N147" s="121"/>
      <c r="O147" s="121"/>
      <c r="P147" s="121"/>
      <c r="Q147" s="121"/>
      <c r="AT147" s="154">
        <f t="shared" si="163"/>
        <v>1</v>
      </c>
      <c r="AU147" s="154">
        <f t="shared" si="163"/>
        <v>2</v>
      </c>
      <c r="AV147" s="154">
        <f t="shared" si="163"/>
        <v>3</v>
      </c>
      <c r="AW147" s="154">
        <f t="shared" si="163"/>
        <v>4</v>
      </c>
      <c r="AX147" s="154">
        <f t="shared" si="163"/>
        <v>5</v>
      </c>
      <c r="AY147" s="154">
        <f t="shared" si="163"/>
        <v>6</v>
      </c>
      <c r="AZ147" s="154">
        <f t="shared" si="163"/>
        <v>7</v>
      </c>
      <c r="BA147" s="154">
        <f t="shared" si="163"/>
        <v>8</v>
      </c>
      <c r="BB147" s="154">
        <f t="shared" si="163"/>
        <v>9</v>
      </c>
    </row>
    <row r="148" spans="1:54" ht="15" customHeight="1" x14ac:dyDescent="0.25">
      <c r="A148" s="121"/>
      <c r="B148" s="334"/>
      <c r="C148" s="158">
        <f>C147+$G$439</f>
        <v>0.39999999999999997</v>
      </c>
      <c r="D148" s="166">
        <f t="shared" si="162"/>
        <v>0.16777592707996003</v>
      </c>
      <c r="E148" s="166">
        <f t="shared" si="162"/>
        <v>0.19207442602350827</v>
      </c>
      <c r="F148" s="166">
        <f t="shared" si="162"/>
        <v>0.21880099525628652</v>
      </c>
      <c r="G148" s="166">
        <f t="shared" si="162"/>
        <v>0.24833871874642038</v>
      </c>
      <c r="H148" s="166">
        <f t="shared" si="162"/>
        <v>0.28115574096231211</v>
      </c>
      <c r="I148" s="166">
        <f t="shared" si="162"/>
        <v>0.31783026311331897</v>
      </c>
      <c r="J148" s="166">
        <f t="shared" si="162"/>
        <v>0.35908490440082236</v>
      </c>
      <c r="K148" s="166">
        <f t="shared" si="162"/>
        <v>0.40583479435115949</v>
      </c>
      <c r="L148" s="166">
        <f t="shared" si="162"/>
        <v>0.4592562545903674</v>
      </c>
      <c r="M148" s="121"/>
      <c r="N148" s="121"/>
      <c r="O148" s="121"/>
      <c r="P148" s="121"/>
      <c r="Q148" s="121"/>
      <c r="AT148" s="154">
        <f t="shared" si="163"/>
        <v>3</v>
      </c>
      <c r="AU148" s="154">
        <f t="shared" si="163"/>
        <v>4</v>
      </c>
      <c r="AV148" s="154">
        <f t="shared" si="163"/>
        <v>5</v>
      </c>
      <c r="AW148" s="154">
        <f t="shared" si="163"/>
        <v>6</v>
      </c>
      <c r="AX148" s="154">
        <f t="shared" si="163"/>
        <v>7</v>
      </c>
      <c r="AY148" s="154">
        <f t="shared" si="163"/>
        <v>7</v>
      </c>
      <c r="AZ148" s="154">
        <f t="shared" si="163"/>
        <v>8</v>
      </c>
      <c r="BA148" s="154">
        <f t="shared" si="163"/>
        <v>9</v>
      </c>
      <c r="BB148" s="154">
        <f t="shared" si="163"/>
        <v>10</v>
      </c>
    </row>
    <row r="149" spans="1:54" ht="15" customHeight="1" x14ac:dyDescent="0.25">
      <c r="A149" s="121"/>
      <c r="B149" s="335"/>
      <c r="C149" s="156">
        <f>C148+$G$439</f>
        <v>0.44999999999999996</v>
      </c>
      <c r="D149" s="165">
        <f t="shared" si="162"/>
        <v>0.20985016161542247</v>
      </c>
      <c r="E149" s="165">
        <f t="shared" si="162"/>
        <v>0.2325079288780928</v>
      </c>
      <c r="F149" s="165">
        <f t="shared" si="162"/>
        <v>0.25742981342794929</v>
      </c>
      <c r="G149" s="165">
        <f t="shared" si="162"/>
        <v>0.28497303187380602</v>
      </c>
      <c r="H149" s="165">
        <f t="shared" si="162"/>
        <v>0.31557411770009658</v>
      </c>
      <c r="I149" s="165">
        <f t="shared" si="162"/>
        <v>0.34977222966156785</v>
      </c>
      <c r="J149" s="165">
        <f t="shared" si="162"/>
        <v>0.38824119282545849</v>
      </c>
      <c r="K149" s="165">
        <f t="shared" si="162"/>
        <v>0.4318343435180626</v>
      </c>
      <c r="L149" s="165">
        <f t="shared" si="162"/>
        <v>0.48164857343177292</v>
      </c>
      <c r="M149" s="121"/>
      <c r="N149" s="121"/>
      <c r="O149" s="121"/>
      <c r="P149" s="121"/>
      <c r="Q149" s="121"/>
      <c r="AT149" s="154">
        <f t="shared" si="163"/>
        <v>6</v>
      </c>
      <c r="AU149" s="154">
        <f t="shared" si="163"/>
        <v>6</v>
      </c>
      <c r="AV149" s="154">
        <f t="shared" si="163"/>
        <v>7</v>
      </c>
      <c r="AW149" s="154">
        <f t="shared" si="163"/>
        <v>7</v>
      </c>
      <c r="AX149" s="154">
        <f t="shared" si="163"/>
        <v>8</v>
      </c>
      <c r="AY149" s="154">
        <f t="shared" si="163"/>
        <v>9</v>
      </c>
      <c r="AZ149" s="154">
        <f t="shared" si="163"/>
        <v>9</v>
      </c>
      <c r="BA149" s="154">
        <f t="shared" si="163"/>
        <v>10</v>
      </c>
      <c r="BB149" s="154">
        <f t="shared" si="163"/>
        <v>10</v>
      </c>
    </row>
    <row r="150" spans="1:54" ht="15" hidden="1" customHeight="1" outlineLevel="1" x14ac:dyDescent="0.25">
      <c r="A150" s="121"/>
      <c r="B150" s="153" t="s">
        <v>339</v>
      </c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</row>
    <row r="151" spans="1:54" ht="3.95" customHeight="1" collapsed="1" x14ac:dyDescent="0.25">
      <c r="A151" s="121"/>
      <c r="M151" s="121"/>
      <c r="N151" s="121"/>
      <c r="O151" s="121"/>
      <c r="P151" s="121"/>
      <c r="Q151" s="121"/>
    </row>
    <row r="152" spans="1:54" ht="15" customHeight="1" x14ac:dyDescent="0.25">
      <c r="A152" s="121"/>
      <c r="B152" s="164" t="s">
        <v>338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</row>
    <row r="153" spans="1:54" ht="2.1" customHeight="1" x14ac:dyDescent="0.25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</row>
    <row r="154" spans="1:54" ht="12.75" customHeight="1" x14ac:dyDescent="0.25">
      <c r="A154" s="121"/>
      <c r="B154" s="10"/>
      <c r="C154" s="10"/>
      <c r="D154" s="163" t="s">
        <v>337</v>
      </c>
      <c r="E154" s="163"/>
      <c r="F154" s="163"/>
      <c r="G154" s="163"/>
      <c r="H154" s="163"/>
      <c r="I154" s="163"/>
      <c r="J154" s="163"/>
      <c r="K154" s="163"/>
      <c r="L154" s="163"/>
      <c r="M154" s="121"/>
      <c r="N154" s="121"/>
      <c r="O154" s="121"/>
      <c r="P154" s="121"/>
      <c r="Q154" s="121"/>
    </row>
    <row r="155" spans="1:54" ht="12.75" customHeight="1" x14ac:dyDescent="0.25">
      <c r="A155" s="121"/>
      <c r="B155" s="10"/>
      <c r="C155" s="10"/>
      <c r="D155" s="183">
        <f>E155+$G$458</f>
        <v>64</v>
      </c>
      <c r="E155" s="183">
        <f>F155+$G$458</f>
        <v>60</v>
      </c>
      <c r="F155" s="183">
        <f>G155+$G$458</f>
        <v>56</v>
      </c>
      <c r="G155" s="183">
        <f>H155+$G$458</f>
        <v>52</v>
      </c>
      <c r="H155" s="183">
        <f>$G$457</f>
        <v>48</v>
      </c>
      <c r="I155" s="183">
        <f>H155-$G$458</f>
        <v>44</v>
      </c>
      <c r="J155" s="183">
        <f>I155-$G$458</f>
        <v>40</v>
      </c>
      <c r="K155" s="183">
        <f>J155-$G$458</f>
        <v>36</v>
      </c>
      <c r="L155" s="183">
        <f>K155-$G$458</f>
        <v>32</v>
      </c>
      <c r="M155" s="121"/>
      <c r="N155" s="121"/>
      <c r="O155" s="121"/>
      <c r="P155" s="121"/>
      <c r="Q155" s="121"/>
      <c r="AT155" s="161" t="s">
        <v>288</v>
      </c>
      <c r="AU155" s="160"/>
      <c r="AV155" s="160"/>
      <c r="AW155" s="160"/>
      <c r="AX155" s="160"/>
      <c r="AY155" s="160"/>
      <c r="AZ155" s="160"/>
      <c r="BA155" s="160"/>
      <c r="BB155" s="160"/>
    </row>
    <row r="156" spans="1:54" ht="15" customHeight="1" x14ac:dyDescent="0.25">
      <c r="A156" s="121"/>
      <c r="B156" s="333" t="s">
        <v>336</v>
      </c>
      <c r="C156" s="158">
        <f>C157-$G$439</f>
        <v>0.15000000000000002</v>
      </c>
      <c r="D156" s="157">
        <f t="shared" ref="D156:L162" si="164">D116-AJ$95</f>
        <v>3.2072081141904629E-2</v>
      </c>
      <c r="E156" s="157">
        <f t="shared" si="164"/>
        <v>3.9955354338814919E-2</v>
      </c>
      <c r="F156" s="157">
        <f t="shared" si="164"/>
        <v>4.8244753135764595E-2</v>
      </c>
      <c r="G156" s="157">
        <f t="shared" si="164"/>
        <v>5.6980374832366065E-2</v>
      </c>
      <c r="H156" s="157">
        <f t="shared" si="164"/>
        <v>6.620847850681022E-2</v>
      </c>
      <c r="I156" s="157">
        <f t="shared" si="164"/>
        <v>7.5982823768735219E-2</v>
      </c>
      <c r="J156" s="157">
        <f t="shared" si="164"/>
        <v>8.6366397596071787E-2</v>
      </c>
      <c r="K156" s="157">
        <f t="shared" si="164"/>
        <v>9.7433673809615762E-2</v>
      </c>
      <c r="L156" s="157">
        <f t="shared" si="164"/>
        <v>0.1092736172073987</v>
      </c>
      <c r="M156" s="121"/>
      <c r="N156" s="121"/>
      <c r="O156" s="121"/>
      <c r="P156" s="121"/>
      <c r="Q156" s="121"/>
      <c r="AT156" s="154">
        <f t="shared" ref="AT156:BB162" si="165">IF(Z130&lt;$G$449,0,MIN($G$446,1+IFERROR(INT((Z130-$G$449)/$G$463),0)))</f>
        <v>0</v>
      </c>
      <c r="AU156" s="154">
        <f t="shared" si="165"/>
        <v>0</v>
      </c>
      <c r="AV156" s="154">
        <f t="shared" si="165"/>
        <v>0</v>
      </c>
      <c r="AW156" s="154">
        <f t="shared" si="165"/>
        <v>0</v>
      </c>
      <c r="AX156" s="154">
        <f t="shared" si="165"/>
        <v>0</v>
      </c>
      <c r="AY156" s="154">
        <f t="shared" si="165"/>
        <v>1</v>
      </c>
      <c r="AZ156" s="154">
        <f t="shared" si="165"/>
        <v>3</v>
      </c>
      <c r="BA156" s="154">
        <f t="shared" si="165"/>
        <v>5</v>
      </c>
      <c r="BB156" s="154">
        <f t="shared" si="165"/>
        <v>6</v>
      </c>
    </row>
    <row r="157" spans="1:54" ht="15" customHeight="1" x14ac:dyDescent="0.25">
      <c r="A157" s="121"/>
      <c r="B157" s="334"/>
      <c r="C157" s="158">
        <f>C158-$G$439</f>
        <v>0.2</v>
      </c>
      <c r="D157" s="157">
        <f t="shared" si="164"/>
        <v>4.3730461611523497E-2</v>
      </c>
      <c r="E157" s="157">
        <f t="shared" si="164"/>
        <v>5.078876102609553E-2</v>
      </c>
      <c r="F157" s="157">
        <f t="shared" si="164"/>
        <v>5.823216799751374E-2</v>
      </c>
      <c r="G157" s="157">
        <f t="shared" si="164"/>
        <v>6.6099844128853391E-2</v>
      </c>
      <c r="H157" s="157">
        <f t="shared" si="164"/>
        <v>7.4437053802928643E-2</v>
      </c>
      <c r="I157" s="157">
        <f t="shared" si="164"/>
        <v>8.3296498096079974E-2</v>
      </c>
      <c r="J157" s="157">
        <f t="shared" si="164"/>
        <v>9.2740036284036931E-2</v>
      </c>
      <c r="K157" s="157">
        <f t="shared" si="164"/>
        <v>0.10284093943356654</v>
      </c>
      <c r="L157" s="157">
        <f t="shared" si="164"/>
        <v>0.11368688803333993</v>
      </c>
      <c r="M157" s="121"/>
      <c r="N157" s="121"/>
      <c r="O157" s="121"/>
      <c r="P157" s="121"/>
      <c r="Q157" s="121"/>
      <c r="AT157" s="154">
        <f t="shared" si="165"/>
        <v>0</v>
      </c>
      <c r="AU157" s="154">
        <f t="shared" si="165"/>
        <v>0</v>
      </c>
      <c r="AV157" s="154">
        <f t="shared" si="165"/>
        <v>0</v>
      </c>
      <c r="AW157" s="154">
        <f t="shared" si="165"/>
        <v>0</v>
      </c>
      <c r="AX157" s="154">
        <f t="shared" si="165"/>
        <v>1</v>
      </c>
      <c r="AY157" s="154">
        <f t="shared" si="165"/>
        <v>2</v>
      </c>
      <c r="AZ157" s="154">
        <f t="shared" si="165"/>
        <v>4</v>
      </c>
      <c r="BA157" s="154">
        <f t="shared" si="165"/>
        <v>5</v>
      </c>
      <c r="BB157" s="154">
        <f t="shared" si="165"/>
        <v>7</v>
      </c>
    </row>
    <row r="158" spans="1:54" ht="15" customHeight="1" x14ac:dyDescent="0.25">
      <c r="A158" s="121"/>
      <c r="B158" s="334"/>
      <c r="C158" s="158">
        <f>C159-$G$439</f>
        <v>0.25</v>
      </c>
      <c r="D158" s="157">
        <f t="shared" si="164"/>
        <v>5.5031049939527454E-2</v>
      </c>
      <c r="E158" s="157">
        <f t="shared" si="164"/>
        <v>6.1314224126444161E-2</v>
      </c>
      <c r="F158" s="157">
        <f t="shared" si="164"/>
        <v>6.7959125298272749E-2</v>
      </c>
      <c r="G158" s="157">
        <f t="shared" si="164"/>
        <v>7.5003676167339606E-2</v>
      </c>
      <c r="H158" s="157">
        <f t="shared" si="164"/>
        <v>8.2491808998196969E-2</v>
      </c>
      <c r="I158" s="157">
        <f t="shared" si="164"/>
        <v>9.0474790357455204E-2</v>
      </c>
      <c r="J158" s="157">
        <f t="shared" si="164"/>
        <v>9.9012932353380378E-2</v>
      </c>
      <c r="K158" s="157">
        <f t="shared" si="164"/>
        <v>0.10817783468191844</v>
      </c>
      <c r="L158" s="157">
        <f t="shared" si="164"/>
        <v>0.11805536924057303</v>
      </c>
      <c r="M158" s="121"/>
      <c r="N158" s="121"/>
      <c r="O158" s="121"/>
      <c r="P158" s="121"/>
      <c r="Q158" s="121"/>
      <c r="AT158" s="154">
        <f t="shared" si="165"/>
        <v>0</v>
      </c>
      <c r="AU158" s="154">
        <f t="shared" si="165"/>
        <v>0</v>
      </c>
      <c r="AV158" s="154">
        <f t="shared" si="165"/>
        <v>0</v>
      </c>
      <c r="AW158" s="154">
        <f t="shared" si="165"/>
        <v>1</v>
      </c>
      <c r="AX158" s="154">
        <f t="shared" si="165"/>
        <v>2</v>
      </c>
      <c r="AY158" s="154">
        <f t="shared" si="165"/>
        <v>4</v>
      </c>
      <c r="AZ158" s="154">
        <f t="shared" si="165"/>
        <v>5</v>
      </c>
      <c r="BA158" s="154">
        <f t="shared" si="165"/>
        <v>6</v>
      </c>
      <c r="BB158" s="154">
        <f t="shared" si="165"/>
        <v>8</v>
      </c>
    </row>
    <row r="159" spans="1:54" ht="15" customHeight="1" x14ac:dyDescent="0.25">
      <c r="A159" s="121"/>
      <c r="B159" s="334"/>
      <c r="C159" s="158">
        <f>$G$438</f>
        <v>0.3</v>
      </c>
      <c r="D159" s="157">
        <f t="shared" si="164"/>
        <v>6.5999919236808813E-2</v>
      </c>
      <c r="E159" s="157">
        <f t="shared" si="164"/>
        <v>7.1552741307817858E-2</v>
      </c>
      <c r="F159" s="157">
        <f t="shared" si="164"/>
        <v>7.7442113510935329E-2</v>
      </c>
      <c r="G159" s="157">
        <f t="shared" si="164"/>
        <v>8.3704425352274736E-2</v>
      </c>
      <c r="H159" s="159">
        <f t="shared" si="164"/>
        <v>9.0381942850864316E-2</v>
      </c>
      <c r="I159" s="157">
        <f t="shared" si="164"/>
        <v>9.7524118150498218E-2</v>
      </c>
      <c r="J159" s="157">
        <f t="shared" si="164"/>
        <v>0.10518928356686219</v>
      </c>
      <c r="K159" s="157">
        <f t="shared" si="164"/>
        <v>0.11344687388997543</v>
      </c>
      <c r="L159" s="157">
        <f t="shared" si="164"/>
        <v>0.12238038833023701</v>
      </c>
      <c r="M159" s="121"/>
      <c r="N159" s="121"/>
      <c r="O159" s="121"/>
      <c r="P159" s="121"/>
      <c r="Q159" s="121"/>
      <c r="AT159" s="154">
        <f t="shared" si="165"/>
        <v>0</v>
      </c>
      <c r="AU159" s="154">
        <f t="shared" si="165"/>
        <v>0</v>
      </c>
      <c r="AV159" s="154">
        <f t="shared" si="165"/>
        <v>2</v>
      </c>
      <c r="AW159" s="154">
        <f t="shared" si="165"/>
        <v>3</v>
      </c>
      <c r="AX159" s="154">
        <f t="shared" si="165"/>
        <v>4</v>
      </c>
      <c r="AY159" s="154">
        <f t="shared" si="165"/>
        <v>5</v>
      </c>
      <c r="AZ159" s="154">
        <f t="shared" si="165"/>
        <v>6</v>
      </c>
      <c r="BA159" s="154">
        <f t="shared" si="165"/>
        <v>7</v>
      </c>
      <c r="BB159" s="154">
        <f t="shared" si="165"/>
        <v>8</v>
      </c>
    </row>
    <row r="160" spans="1:54" ht="15" customHeight="1" x14ac:dyDescent="0.25">
      <c r="A160" s="121"/>
      <c r="B160" s="334"/>
      <c r="C160" s="158">
        <f>C159+$G$439</f>
        <v>0.35</v>
      </c>
      <c r="D160" s="157">
        <f t="shared" si="164"/>
        <v>7.6660339973239511E-2</v>
      </c>
      <c r="E160" s="157">
        <f t="shared" si="164"/>
        <v>8.1523196612389492E-2</v>
      </c>
      <c r="F160" s="157">
        <f t="shared" si="164"/>
        <v>8.669607958079717E-2</v>
      </c>
      <c r="G160" s="157">
        <f t="shared" si="164"/>
        <v>9.2213566897631383E-2</v>
      </c>
      <c r="H160" s="157">
        <f t="shared" si="164"/>
        <v>9.8115936172583629E-2</v>
      </c>
      <c r="I160" s="157">
        <f t="shared" si="164"/>
        <v>0.10445045165156852</v>
      </c>
      <c r="J160" s="157">
        <f t="shared" si="164"/>
        <v>0.1112730318828492</v>
      </c>
      <c r="K160" s="157">
        <f t="shared" si="164"/>
        <v>0.11865044147176351</v>
      </c>
      <c r="L160" s="157">
        <f t="shared" si="164"/>
        <v>0.12666321721427809</v>
      </c>
      <c r="M160" s="121"/>
      <c r="N160" s="121"/>
      <c r="O160" s="121"/>
      <c r="P160" s="121"/>
      <c r="Q160" s="121"/>
      <c r="AT160" s="154">
        <f t="shared" si="165"/>
        <v>1</v>
      </c>
      <c r="AU160" s="154">
        <f t="shared" si="165"/>
        <v>2</v>
      </c>
      <c r="AV160" s="154">
        <f t="shared" si="165"/>
        <v>3</v>
      </c>
      <c r="AW160" s="154">
        <f t="shared" si="165"/>
        <v>4</v>
      </c>
      <c r="AX160" s="154">
        <f t="shared" si="165"/>
        <v>5</v>
      </c>
      <c r="AY160" s="154">
        <f t="shared" si="165"/>
        <v>6</v>
      </c>
      <c r="AZ160" s="154">
        <f t="shared" si="165"/>
        <v>7</v>
      </c>
      <c r="BA160" s="154">
        <f t="shared" si="165"/>
        <v>8</v>
      </c>
      <c r="BB160" s="154">
        <f t="shared" si="165"/>
        <v>9</v>
      </c>
    </row>
    <row r="161" spans="1:54" ht="15" customHeight="1" x14ac:dyDescent="0.25">
      <c r="A161" s="121"/>
      <c r="B161" s="334"/>
      <c r="C161" s="158">
        <f>C160+$G$439</f>
        <v>0.39999999999999997</v>
      </c>
      <c r="D161" s="157">
        <f t="shared" si="164"/>
        <v>8.7033173695427291E-2</v>
      </c>
      <c r="E161" s="157">
        <f t="shared" si="164"/>
        <v>9.1242639267895553E-2</v>
      </c>
      <c r="F161" s="157">
        <f t="shared" si="164"/>
        <v>9.5734618286140494E-2</v>
      </c>
      <c r="G161" s="157">
        <f t="shared" si="164"/>
        <v>0.1005416190027153</v>
      </c>
      <c r="H161" s="157">
        <f t="shared" si="164"/>
        <v>0.10570162590227361</v>
      </c>
      <c r="I161" s="157">
        <f t="shared" si="164"/>
        <v>0.11125935499476047</v>
      </c>
      <c r="J161" s="157">
        <f t="shared" si="164"/>
        <v>0.11726788422691659</v>
      </c>
      <c r="K161" s="157">
        <f t="shared" si="164"/>
        <v>0.12379080092059502</v>
      </c>
      <c r="L161" s="157">
        <f t="shared" si="164"/>
        <v>0.13090507536801788</v>
      </c>
      <c r="M161" s="121"/>
      <c r="N161" s="121"/>
      <c r="O161" s="121"/>
      <c r="P161" s="121"/>
      <c r="Q161" s="121"/>
      <c r="AT161" s="154">
        <f t="shared" si="165"/>
        <v>3</v>
      </c>
      <c r="AU161" s="154">
        <f t="shared" si="165"/>
        <v>4</v>
      </c>
      <c r="AV161" s="154">
        <f t="shared" si="165"/>
        <v>5</v>
      </c>
      <c r="AW161" s="154">
        <f t="shared" si="165"/>
        <v>6</v>
      </c>
      <c r="AX161" s="154">
        <f t="shared" si="165"/>
        <v>7</v>
      </c>
      <c r="AY161" s="154">
        <f t="shared" si="165"/>
        <v>7</v>
      </c>
      <c r="AZ161" s="154">
        <f t="shared" si="165"/>
        <v>8</v>
      </c>
      <c r="BA161" s="154">
        <f t="shared" si="165"/>
        <v>9</v>
      </c>
      <c r="BB161" s="154">
        <f t="shared" si="165"/>
        <v>10</v>
      </c>
    </row>
    <row r="162" spans="1:54" ht="15" customHeight="1" x14ac:dyDescent="0.25">
      <c r="A162" s="121"/>
      <c r="B162" s="335"/>
      <c r="C162" s="156">
        <f>C161+$G$439</f>
        <v>0.44999999999999996</v>
      </c>
      <c r="D162" s="155">
        <f t="shared" si="164"/>
        <v>9.7137199410528563E-2</v>
      </c>
      <c r="E162" s="155">
        <f t="shared" si="164"/>
        <v>0.10072651752843398</v>
      </c>
      <c r="F162" s="155">
        <f t="shared" si="164"/>
        <v>0.10457013309311147</v>
      </c>
      <c r="G162" s="155">
        <f t="shared" si="164"/>
        <v>0.10869824815891715</v>
      </c>
      <c r="H162" s="155">
        <f t="shared" si="164"/>
        <v>0.11314626972767461</v>
      </c>
      <c r="I162" s="155">
        <f t="shared" si="164"/>
        <v>0.11795602294900287</v>
      </c>
      <c r="J162" s="155">
        <f t="shared" si="164"/>
        <v>0.12317733117975282</v>
      </c>
      <c r="K162" s="155">
        <f t="shared" si="164"/>
        <v>0.12887010303743351</v>
      </c>
      <c r="L162" s="155">
        <f t="shared" si="164"/>
        <v>0.13510713276094521</v>
      </c>
      <c r="M162" s="121"/>
      <c r="N162" s="121"/>
      <c r="O162" s="121"/>
      <c r="P162" s="121"/>
      <c r="Q162" s="121"/>
      <c r="AT162" s="154">
        <f t="shared" si="165"/>
        <v>6</v>
      </c>
      <c r="AU162" s="154">
        <f t="shared" si="165"/>
        <v>6</v>
      </c>
      <c r="AV162" s="154">
        <f t="shared" si="165"/>
        <v>7</v>
      </c>
      <c r="AW162" s="154">
        <f t="shared" si="165"/>
        <v>7</v>
      </c>
      <c r="AX162" s="154">
        <f t="shared" si="165"/>
        <v>8</v>
      </c>
      <c r="AY162" s="154">
        <f t="shared" si="165"/>
        <v>9</v>
      </c>
      <c r="AZ162" s="154">
        <f t="shared" si="165"/>
        <v>9</v>
      </c>
      <c r="BA162" s="154">
        <f t="shared" si="165"/>
        <v>10</v>
      </c>
      <c r="BB162" s="154">
        <f t="shared" si="165"/>
        <v>10</v>
      </c>
    </row>
    <row r="163" spans="1:54" ht="15" hidden="1" customHeight="1" outlineLevel="1" x14ac:dyDescent="0.25">
      <c r="A163" s="121"/>
      <c r="B163" s="153" t="s">
        <v>335</v>
      </c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</row>
    <row r="164" spans="1:54" ht="3.95" customHeight="1" collapsed="1" x14ac:dyDescent="0.25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</row>
    <row r="165" spans="1:54" ht="15" customHeight="1" x14ac:dyDescent="0.25">
      <c r="A165" s="121"/>
      <c r="B165" s="178" t="str">
        <f>"Ben's Return Profile Based on Partnering — Topkey Growth × Net Client Wins ("&amp;TEXT($G$436,"0%")&amp;" Rollover)"</f>
        <v>Ben's Return Profile Based on Partnering — Topkey Growth × Net Client Wins (30% Rollover)</v>
      </c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21"/>
      <c r="N165" s="121"/>
      <c r="O165" s="121"/>
      <c r="P165" s="121"/>
      <c r="Q165" s="121"/>
    </row>
    <row r="166" spans="1:54" ht="15" customHeight="1" x14ac:dyDescent="0.25">
      <c r="A166" s="121"/>
      <c r="B166" s="164" t="s">
        <v>334</v>
      </c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</row>
    <row r="167" spans="1:54" ht="2.1" customHeight="1" x14ac:dyDescent="0.25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</row>
    <row r="168" spans="1:54" ht="12.75" customHeight="1" x14ac:dyDescent="0.25">
      <c r="A168" s="121"/>
      <c r="B168" s="10"/>
      <c r="C168" s="10"/>
      <c r="D168" s="163" t="s">
        <v>287</v>
      </c>
      <c r="E168" s="163"/>
      <c r="F168" s="163"/>
      <c r="G168" s="163"/>
      <c r="H168" s="163"/>
      <c r="I168" s="163"/>
      <c r="J168" s="163"/>
      <c r="K168" s="163"/>
      <c r="L168" s="163"/>
      <c r="M168" s="121"/>
      <c r="N168" s="121"/>
      <c r="O168" s="121"/>
      <c r="P168" s="121"/>
      <c r="Q168" s="121"/>
      <c r="Z168" s="171" t="str">
        <f>"Helper: Unrounded Net Return — Growth × Net Client Wins ("&amp;TEXT($G$436,"0%")&amp;" Rollover)"</f>
        <v>Helper: Unrounded Net Return — Growth × Net Client Wins (30% Rollover)</v>
      </c>
      <c r="AA168" s="58"/>
      <c r="AB168" s="58"/>
      <c r="AC168" s="58"/>
      <c r="AD168" s="58"/>
      <c r="AE168" s="58"/>
      <c r="AF168" s="58"/>
      <c r="AG168" s="58"/>
      <c r="AH168" s="58"/>
      <c r="AJ168" s="176" t="s">
        <v>322</v>
      </c>
      <c r="AK168" s="176" t="s">
        <v>333</v>
      </c>
      <c r="AL168" s="176" t="s">
        <v>308</v>
      </c>
      <c r="AM168" s="176" t="s">
        <v>307</v>
      </c>
    </row>
    <row r="169" spans="1:54" ht="12.75" customHeight="1" x14ac:dyDescent="0.25">
      <c r="A169" s="121"/>
      <c r="B169" s="10"/>
      <c r="C169" s="10"/>
      <c r="D169" s="181">
        <f>E169-$G$441</f>
        <v>1.0219039595619215</v>
      </c>
      <c r="E169" s="181">
        <f>F169-$G$441</f>
        <v>1.2719039595619215</v>
      </c>
      <c r="F169" s="181">
        <f>G169-$G$441</f>
        <v>1.5219039595619215</v>
      </c>
      <c r="G169" s="181">
        <f>H169-$G$441</f>
        <v>1.7719039595619215</v>
      </c>
      <c r="H169" s="181">
        <f>$G$440</f>
        <v>2.0219039595619215</v>
      </c>
      <c r="I169" s="181">
        <f>H169+$G$441</f>
        <v>2.2719039595619215</v>
      </c>
      <c r="J169" s="181">
        <f>I169+$G$441</f>
        <v>2.5219039595619215</v>
      </c>
      <c r="K169" s="181">
        <f>J169+$G$441</f>
        <v>2.7719039595619215</v>
      </c>
      <c r="L169" s="181">
        <f>K169+$G$441</f>
        <v>3.0219039595619215</v>
      </c>
      <c r="M169" s="121"/>
      <c r="N169" s="121"/>
      <c r="O169" s="121"/>
      <c r="P169" s="121"/>
      <c r="Q169" s="121"/>
      <c r="Z169" s="182">
        <f t="shared" ref="Z169:AH169" si="166">D$169</f>
        <v>1.0219039595619215</v>
      </c>
      <c r="AA169" s="182">
        <f t="shared" si="166"/>
        <v>1.2719039595619215</v>
      </c>
      <c r="AB169" s="182">
        <f t="shared" si="166"/>
        <v>1.5219039595619215</v>
      </c>
      <c r="AC169" s="182">
        <f t="shared" si="166"/>
        <v>1.7719039595619215</v>
      </c>
      <c r="AD169" s="182">
        <f t="shared" si="166"/>
        <v>2.0219039595619215</v>
      </c>
      <c r="AE169" s="182">
        <f t="shared" si="166"/>
        <v>2.2719039595619215</v>
      </c>
      <c r="AF169" s="182">
        <f t="shared" si="166"/>
        <v>2.5219039595619215</v>
      </c>
      <c r="AG169" s="182">
        <f t="shared" si="166"/>
        <v>2.7719039595619215</v>
      </c>
      <c r="AH169" s="182">
        <f t="shared" si="166"/>
        <v>3.0219039595619215</v>
      </c>
      <c r="AJ169" s="58"/>
      <c r="AK169" s="58"/>
      <c r="AL169" s="58"/>
      <c r="AM169" s="58"/>
      <c r="AT169" s="161" t="s">
        <v>288</v>
      </c>
      <c r="AU169" s="160"/>
      <c r="AV169" s="160"/>
      <c r="AW169" s="160"/>
      <c r="AX169" s="160"/>
      <c r="AY169" s="160"/>
      <c r="AZ169" s="160"/>
      <c r="BA169" s="160"/>
      <c r="BB169" s="160"/>
    </row>
    <row r="170" spans="1:54" ht="15" customHeight="1" x14ac:dyDescent="0.25">
      <c r="A170" s="121"/>
      <c r="B170" s="333" t="s">
        <v>313</v>
      </c>
      <c r="C170" s="180">
        <f>C171+$G$458</f>
        <v>60</v>
      </c>
      <c r="D170" s="152">
        <f t="shared" ref="D170:L176" si="167">ROUND(Z170,$G$452)</f>
        <v>5400</v>
      </c>
      <c r="E170" s="152">
        <f t="shared" si="167"/>
        <v>5700</v>
      </c>
      <c r="F170" s="152">
        <f t="shared" si="167"/>
        <v>6000</v>
      </c>
      <c r="G170" s="152">
        <f t="shared" si="167"/>
        <v>6400</v>
      </c>
      <c r="H170" s="152">
        <f t="shared" si="167"/>
        <v>6700</v>
      </c>
      <c r="I170" s="152">
        <f t="shared" si="167"/>
        <v>7000</v>
      </c>
      <c r="J170" s="152">
        <f t="shared" si="167"/>
        <v>7400</v>
      </c>
      <c r="K170" s="152">
        <f t="shared" si="167"/>
        <v>7700</v>
      </c>
      <c r="L170" s="152">
        <f t="shared" si="167"/>
        <v>8000</v>
      </c>
      <c r="M170" s="121"/>
      <c r="N170" s="121"/>
      <c r="O170" s="121"/>
      <c r="P170" s="121"/>
      <c r="Q170" s="121"/>
      <c r="Z170" s="57">
        <f t="shared" ref="Z170:AH176" si="168">$O$18+$G$435+$N$18*$AK170+$R$18*($Q$18*(1+D$169)+$AK170*(1-$N$18))-$G$430</f>
        <v>5383.4703865884476</v>
      </c>
      <c r="AA170" s="57">
        <f t="shared" si="168"/>
        <v>5716.0766721864929</v>
      </c>
      <c r="AB170" s="57">
        <f t="shared" si="168"/>
        <v>6048.6829577845401</v>
      </c>
      <c r="AC170" s="57">
        <f t="shared" si="168"/>
        <v>6381.2892433825873</v>
      </c>
      <c r="AD170" s="57">
        <f t="shared" si="168"/>
        <v>6713.8955289806363</v>
      </c>
      <c r="AE170" s="57">
        <f t="shared" si="168"/>
        <v>7046.5018145786817</v>
      </c>
      <c r="AF170" s="57">
        <f t="shared" si="168"/>
        <v>7379.1081001767288</v>
      </c>
      <c r="AG170" s="57">
        <f t="shared" si="168"/>
        <v>7711.714385774776</v>
      </c>
      <c r="AH170" s="57">
        <f t="shared" si="168"/>
        <v>8044.3206713728232</v>
      </c>
      <c r="AJ170" s="57">
        <f t="shared" ref="AJ170:AJ176" si="169">$C170</f>
        <v>60</v>
      </c>
      <c r="AK170" s="57">
        <f t="shared" ref="AK170:AK176" si="170">($G$453+AJ170*$G$445*$G$454)*$G$455</f>
        <v>15975.965836610179</v>
      </c>
      <c r="AL170" s="57">
        <f t="shared" ref="AL170:AL176" si="171">($G$453+(AJ170-$G$459)*$G$445*$G$460)*$G$461*$G$462</f>
        <v>8737.6181733050907</v>
      </c>
      <c r="AM170" s="175">
        <f t="shared" ref="AM170:AM176" si="172">IFERROR((AL170/$G$430)^(1/$G$445)-1,0)</f>
        <v>0.2383812320355434</v>
      </c>
      <c r="AT170" s="154">
        <f t="shared" ref="AT170:BB176" si="173">IF(Z210&lt;$G$449,0,MIN($G$446,1+IFERROR(INT((Z210-$G$449)/$G$464),0)))</f>
        <v>0</v>
      </c>
      <c r="AU170" s="154">
        <f t="shared" si="173"/>
        <v>0</v>
      </c>
      <c r="AV170" s="154">
        <f t="shared" si="173"/>
        <v>0</v>
      </c>
      <c r="AW170" s="154">
        <f t="shared" si="173"/>
        <v>0</v>
      </c>
      <c r="AX170" s="154">
        <f t="shared" si="173"/>
        <v>0</v>
      </c>
      <c r="AY170" s="154">
        <f t="shared" si="173"/>
        <v>2</v>
      </c>
      <c r="AZ170" s="154">
        <f t="shared" si="173"/>
        <v>3</v>
      </c>
      <c r="BA170" s="154">
        <f t="shared" si="173"/>
        <v>4</v>
      </c>
      <c r="BB170" s="154">
        <f t="shared" si="173"/>
        <v>6</v>
      </c>
    </row>
    <row r="171" spans="1:54" ht="15" customHeight="1" x14ac:dyDescent="0.25">
      <c r="A171" s="121"/>
      <c r="B171" s="334"/>
      <c r="C171" s="180">
        <f>C172+$G$458</f>
        <v>56</v>
      </c>
      <c r="D171" s="168">
        <f t="shared" si="167"/>
        <v>5200</v>
      </c>
      <c r="E171" s="168">
        <f t="shared" si="167"/>
        <v>5500</v>
      </c>
      <c r="F171" s="168">
        <f t="shared" si="167"/>
        <v>5800</v>
      </c>
      <c r="G171" s="168">
        <f t="shared" si="167"/>
        <v>6200</v>
      </c>
      <c r="H171" s="168">
        <f t="shared" si="167"/>
        <v>6500</v>
      </c>
      <c r="I171" s="168">
        <f t="shared" si="167"/>
        <v>6800</v>
      </c>
      <c r="J171" s="168">
        <f t="shared" si="167"/>
        <v>7200</v>
      </c>
      <c r="K171" s="168">
        <f t="shared" si="167"/>
        <v>7500</v>
      </c>
      <c r="L171" s="168">
        <f t="shared" si="167"/>
        <v>7800</v>
      </c>
      <c r="M171" s="121"/>
      <c r="N171" s="121"/>
      <c r="O171" s="121"/>
      <c r="P171" s="121"/>
      <c r="Q171" s="121"/>
      <c r="Z171" s="57">
        <f t="shared" si="168"/>
        <v>5173.4537210160142</v>
      </c>
      <c r="AA171" s="57">
        <f t="shared" si="168"/>
        <v>5506.0600066140614</v>
      </c>
      <c r="AB171" s="57">
        <f t="shared" si="168"/>
        <v>5838.6662922121086</v>
      </c>
      <c r="AC171" s="57">
        <f t="shared" si="168"/>
        <v>6171.2725778101558</v>
      </c>
      <c r="AD171" s="57">
        <f t="shared" si="168"/>
        <v>6503.8788634082011</v>
      </c>
      <c r="AE171" s="57">
        <f t="shared" si="168"/>
        <v>6836.4851490062501</v>
      </c>
      <c r="AF171" s="57">
        <f t="shared" si="168"/>
        <v>7169.0914346042955</v>
      </c>
      <c r="AG171" s="57">
        <f t="shared" si="168"/>
        <v>7501.6977202023445</v>
      </c>
      <c r="AH171" s="57">
        <f t="shared" si="168"/>
        <v>7834.3040058003899</v>
      </c>
      <c r="AJ171" s="57">
        <f t="shared" si="169"/>
        <v>56</v>
      </c>
      <c r="AK171" s="57">
        <f t="shared" si="170"/>
        <v>15310.706916836167</v>
      </c>
      <c r="AL171" s="57">
        <f t="shared" si="171"/>
        <v>8321.8313484463324</v>
      </c>
      <c r="AM171" s="175">
        <f t="shared" si="172"/>
        <v>0.22636438906489698</v>
      </c>
      <c r="AT171" s="154">
        <f t="shared" si="173"/>
        <v>0</v>
      </c>
      <c r="AU171" s="154">
        <f t="shared" si="173"/>
        <v>0</v>
      </c>
      <c r="AV171" s="154">
        <f t="shared" si="173"/>
        <v>0</v>
      </c>
      <c r="AW171" s="154">
        <f t="shared" si="173"/>
        <v>0</v>
      </c>
      <c r="AX171" s="154">
        <f t="shared" si="173"/>
        <v>1</v>
      </c>
      <c r="AY171" s="154">
        <f t="shared" si="173"/>
        <v>3</v>
      </c>
      <c r="AZ171" s="154">
        <f t="shared" si="173"/>
        <v>4</v>
      </c>
      <c r="BA171" s="154">
        <f t="shared" si="173"/>
        <v>5</v>
      </c>
      <c r="BB171" s="154">
        <f t="shared" si="173"/>
        <v>6</v>
      </c>
    </row>
    <row r="172" spans="1:54" ht="15" customHeight="1" x14ac:dyDescent="0.25">
      <c r="A172" s="121"/>
      <c r="B172" s="334"/>
      <c r="C172" s="180">
        <f>C173+$G$458</f>
        <v>52</v>
      </c>
      <c r="D172" s="168">
        <f t="shared" si="167"/>
        <v>5000</v>
      </c>
      <c r="E172" s="168">
        <f t="shared" si="167"/>
        <v>5300</v>
      </c>
      <c r="F172" s="168">
        <f t="shared" si="167"/>
        <v>5600</v>
      </c>
      <c r="G172" s="168">
        <f t="shared" si="167"/>
        <v>6000</v>
      </c>
      <c r="H172" s="168">
        <f t="shared" si="167"/>
        <v>6300</v>
      </c>
      <c r="I172" s="168">
        <f t="shared" si="167"/>
        <v>6600</v>
      </c>
      <c r="J172" s="168">
        <f t="shared" si="167"/>
        <v>7000</v>
      </c>
      <c r="K172" s="168">
        <f t="shared" si="167"/>
        <v>7300</v>
      </c>
      <c r="L172" s="168">
        <f t="shared" si="167"/>
        <v>7600</v>
      </c>
      <c r="M172" s="121"/>
      <c r="N172" s="121"/>
      <c r="O172" s="121"/>
      <c r="P172" s="121"/>
      <c r="Q172" s="121"/>
      <c r="Z172" s="57">
        <f t="shared" si="168"/>
        <v>4963.4370554435809</v>
      </c>
      <c r="AA172" s="57">
        <f t="shared" si="168"/>
        <v>5296.0433410416281</v>
      </c>
      <c r="AB172" s="57">
        <f t="shared" si="168"/>
        <v>5628.6496266396753</v>
      </c>
      <c r="AC172" s="57">
        <f t="shared" si="168"/>
        <v>5961.2559122377224</v>
      </c>
      <c r="AD172" s="57">
        <f t="shared" si="168"/>
        <v>6293.8621978357696</v>
      </c>
      <c r="AE172" s="57">
        <f t="shared" si="168"/>
        <v>6626.4684834338168</v>
      </c>
      <c r="AF172" s="57">
        <f t="shared" si="168"/>
        <v>6959.074769031864</v>
      </c>
      <c r="AG172" s="57">
        <f t="shared" si="168"/>
        <v>7291.6810546299112</v>
      </c>
      <c r="AH172" s="57">
        <f t="shared" si="168"/>
        <v>7624.2873402279583</v>
      </c>
      <c r="AJ172" s="57">
        <f t="shared" si="169"/>
        <v>52</v>
      </c>
      <c r="AK172" s="57">
        <f t="shared" si="170"/>
        <v>14645.447997062158</v>
      </c>
      <c r="AL172" s="57">
        <f t="shared" si="171"/>
        <v>7906.044523587575</v>
      </c>
      <c r="AM172" s="175">
        <f t="shared" si="172"/>
        <v>0.21385720427347343</v>
      </c>
      <c r="AT172" s="154">
        <f t="shared" si="173"/>
        <v>0</v>
      </c>
      <c r="AU172" s="154">
        <f t="shared" si="173"/>
        <v>0</v>
      </c>
      <c r="AV172" s="154">
        <f t="shared" si="173"/>
        <v>0</v>
      </c>
      <c r="AW172" s="154">
        <f t="shared" si="173"/>
        <v>1</v>
      </c>
      <c r="AX172" s="154">
        <f t="shared" si="173"/>
        <v>2</v>
      </c>
      <c r="AY172" s="154">
        <f t="shared" si="173"/>
        <v>3</v>
      </c>
      <c r="AZ172" s="154">
        <f t="shared" si="173"/>
        <v>5</v>
      </c>
      <c r="BA172" s="154">
        <f t="shared" si="173"/>
        <v>6</v>
      </c>
      <c r="BB172" s="154">
        <f t="shared" si="173"/>
        <v>7</v>
      </c>
    </row>
    <row r="173" spans="1:54" ht="15" customHeight="1" x14ac:dyDescent="0.25">
      <c r="A173" s="121"/>
      <c r="B173" s="334"/>
      <c r="C173" s="180">
        <f>$G$457</f>
        <v>48</v>
      </c>
      <c r="D173" s="168">
        <f t="shared" si="167"/>
        <v>4800</v>
      </c>
      <c r="E173" s="168">
        <f t="shared" si="167"/>
        <v>5100</v>
      </c>
      <c r="F173" s="168">
        <f t="shared" si="167"/>
        <v>5400</v>
      </c>
      <c r="G173" s="168">
        <f t="shared" si="167"/>
        <v>5800</v>
      </c>
      <c r="H173" s="169">
        <f t="shared" si="167"/>
        <v>6100</v>
      </c>
      <c r="I173" s="168">
        <f t="shared" si="167"/>
        <v>6400</v>
      </c>
      <c r="J173" s="168">
        <f t="shared" si="167"/>
        <v>6700</v>
      </c>
      <c r="K173" s="168">
        <f t="shared" si="167"/>
        <v>7100</v>
      </c>
      <c r="L173" s="168">
        <f t="shared" si="167"/>
        <v>7400</v>
      </c>
      <c r="M173" s="121"/>
      <c r="N173" s="121"/>
      <c r="O173" s="121"/>
      <c r="P173" s="121"/>
      <c r="Q173" s="121"/>
      <c r="Z173" s="57">
        <f t="shared" si="168"/>
        <v>4753.4203898711494</v>
      </c>
      <c r="AA173" s="57">
        <f t="shared" si="168"/>
        <v>5086.0266754691947</v>
      </c>
      <c r="AB173" s="57">
        <f t="shared" si="168"/>
        <v>5418.6329610672419</v>
      </c>
      <c r="AC173" s="57">
        <f t="shared" si="168"/>
        <v>5751.2392466652891</v>
      </c>
      <c r="AD173" s="57">
        <f t="shared" si="168"/>
        <v>6083.8455322633381</v>
      </c>
      <c r="AE173" s="57">
        <f t="shared" si="168"/>
        <v>6416.4518178613835</v>
      </c>
      <c r="AF173" s="57">
        <f t="shared" si="168"/>
        <v>6749.0581034594325</v>
      </c>
      <c r="AG173" s="57">
        <f t="shared" si="168"/>
        <v>7081.6643890574778</v>
      </c>
      <c r="AH173" s="57">
        <f t="shared" si="168"/>
        <v>7414.2706746555268</v>
      </c>
      <c r="AJ173" s="57">
        <f t="shared" si="169"/>
        <v>48</v>
      </c>
      <c r="AK173" s="57">
        <f t="shared" si="170"/>
        <v>13980.189077288145</v>
      </c>
      <c r="AL173" s="57">
        <f t="shared" si="171"/>
        <v>7490.2576987288176</v>
      </c>
      <c r="AM173" s="175">
        <f t="shared" si="172"/>
        <v>0.20081222595661186</v>
      </c>
      <c r="AT173" s="154">
        <f t="shared" si="173"/>
        <v>0</v>
      </c>
      <c r="AU173" s="154">
        <f t="shared" si="173"/>
        <v>0</v>
      </c>
      <c r="AV173" s="154">
        <f t="shared" si="173"/>
        <v>0</v>
      </c>
      <c r="AW173" s="154">
        <f t="shared" si="173"/>
        <v>2</v>
      </c>
      <c r="AX173" s="154">
        <f t="shared" si="173"/>
        <v>3</v>
      </c>
      <c r="AY173" s="154">
        <f t="shared" si="173"/>
        <v>4</v>
      </c>
      <c r="AZ173" s="154">
        <f t="shared" si="173"/>
        <v>5</v>
      </c>
      <c r="BA173" s="154">
        <f t="shared" si="173"/>
        <v>7</v>
      </c>
      <c r="BB173" s="154">
        <f t="shared" si="173"/>
        <v>8</v>
      </c>
    </row>
    <row r="174" spans="1:54" ht="15" customHeight="1" x14ac:dyDescent="0.25">
      <c r="A174" s="121"/>
      <c r="B174" s="334"/>
      <c r="C174" s="180">
        <f>C173-$G$458</f>
        <v>44</v>
      </c>
      <c r="D174" s="168">
        <f t="shared" si="167"/>
        <v>4500</v>
      </c>
      <c r="E174" s="168">
        <f t="shared" si="167"/>
        <v>4900</v>
      </c>
      <c r="F174" s="168">
        <f t="shared" si="167"/>
        <v>5200</v>
      </c>
      <c r="G174" s="168">
        <f t="shared" si="167"/>
        <v>5500</v>
      </c>
      <c r="H174" s="168">
        <f t="shared" si="167"/>
        <v>5900</v>
      </c>
      <c r="I174" s="168">
        <f t="shared" si="167"/>
        <v>6200</v>
      </c>
      <c r="J174" s="168">
        <f t="shared" si="167"/>
        <v>6500</v>
      </c>
      <c r="K174" s="168">
        <f t="shared" si="167"/>
        <v>6900</v>
      </c>
      <c r="L174" s="168">
        <f t="shared" si="167"/>
        <v>7200</v>
      </c>
      <c r="M174" s="121"/>
      <c r="N174" s="121"/>
      <c r="O174" s="121"/>
      <c r="P174" s="121"/>
      <c r="Q174" s="121"/>
      <c r="Z174" s="57">
        <f t="shared" si="168"/>
        <v>4543.4037242987151</v>
      </c>
      <c r="AA174" s="57">
        <f t="shared" si="168"/>
        <v>4876.0100098967614</v>
      </c>
      <c r="AB174" s="57">
        <f t="shared" si="168"/>
        <v>5208.6162954948086</v>
      </c>
      <c r="AC174" s="57">
        <f t="shared" si="168"/>
        <v>5541.2225810928558</v>
      </c>
      <c r="AD174" s="57">
        <f t="shared" si="168"/>
        <v>5873.8288666909029</v>
      </c>
      <c r="AE174" s="57">
        <f t="shared" si="168"/>
        <v>6206.4351522889501</v>
      </c>
      <c r="AF174" s="57">
        <f t="shared" si="168"/>
        <v>6539.0414378869973</v>
      </c>
      <c r="AG174" s="57">
        <f t="shared" si="168"/>
        <v>6871.6477234850445</v>
      </c>
      <c r="AH174" s="57">
        <f t="shared" si="168"/>
        <v>7204.2540090830917</v>
      </c>
      <c r="AJ174" s="57">
        <f t="shared" si="169"/>
        <v>44</v>
      </c>
      <c r="AK174" s="57">
        <f t="shared" si="170"/>
        <v>13314.930157514133</v>
      </c>
      <c r="AL174" s="57">
        <f t="shared" si="171"/>
        <v>7074.4708738700601</v>
      </c>
      <c r="AM174" s="175">
        <f t="shared" si="172"/>
        <v>0.18717445096254903</v>
      </c>
      <c r="AT174" s="154">
        <f t="shared" si="173"/>
        <v>0</v>
      </c>
      <c r="AU174" s="154">
        <f t="shared" si="173"/>
        <v>0</v>
      </c>
      <c r="AV174" s="154">
        <f t="shared" si="173"/>
        <v>1</v>
      </c>
      <c r="AW174" s="154">
        <f t="shared" si="173"/>
        <v>2</v>
      </c>
      <c r="AX174" s="154">
        <f t="shared" si="173"/>
        <v>4</v>
      </c>
      <c r="AY174" s="154">
        <f t="shared" si="173"/>
        <v>5</v>
      </c>
      <c r="AZ174" s="154">
        <f t="shared" si="173"/>
        <v>6</v>
      </c>
      <c r="BA174" s="154">
        <f t="shared" si="173"/>
        <v>8</v>
      </c>
      <c r="BB174" s="154">
        <f t="shared" si="173"/>
        <v>9</v>
      </c>
    </row>
    <row r="175" spans="1:54" ht="15" customHeight="1" x14ac:dyDescent="0.25">
      <c r="A175" s="121"/>
      <c r="B175" s="334"/>
      <c r="C175" s="180">
        <f>C174-$G$458</f>
        <v>40</v>
      </c>
      <c r="D175" s="168">
        <f t="shared" si="167"/>
        <v>4300</v>
      </c>
      <c r="E175" s="168">
        <f t="shared" si="167"/>
        <v>4700</v>
      </c>
      <c r="F175" s="168">
        <f t="shared" si="167"/>
        <v>5000</v>
      </c>
      <c r="G175" s="168">
        <f t="shared" si="167"/>
        <v>5300</v>
      </c>
      <c r="H175" s="168">
        <f t="shared" si="167"/>
        <v>5700</v>
      </c>
      <c r="I175" s="168">
        <f t="shared" si="167"/>
        <v>6000</v>
      </c>
      <c r="J175" s="168">
        <f t="shared" si="167"/>
        <v>6300</v>
      </c>
      <c r="K175" s="168">
        <f t="shared" si="167"/>
        <v>6700</v>
      </c>
      <c r="L175" s="168">
        <f t="shared" si="167"/>
        <v>7000</v>
      </c>
      <c r="M175" s="121"/>
      <c r="N175" s="121"/>
      <c r="O175" s="121"/>
      <c r="P175" s="121"/>
      <c r="Q175" s="121"/>
      <c r="Z175" s="57">
        <f t="shared" si="168"/>
        <v>4333.3870587262827</v>
      </c>
      <c r="AA175" s="57">
        <f t="shared" si="168"/>
        <v>4665.9933443243299</v>
      </c>
      <c r="AB175" s="57">
        <f t="shared" si="168"/>
        <v>4998.5996299223771</v>
      </c>
      <c r="AC175" s="57">
        <f t="shared" si="168"/>
        <v>5331.2059155204242</v>
      </c>
      <c r="AD175" s="57">
        <f t="shared" si="168"/>
        <v>5663.8122011184714</v>
      </c>
      <c r="AE175" s="57">
        <f t="shared" si="168"/>
        <v>5996.4184867165168</v>
      </c>
      <c r="AF175" s="57">
        <f t="shared" si="168"/>
        <v>6329.0247723145658</v>
      </c>
      <c r="AG175" s="57">
        <f t="shared" si="168"/>
        <v>6661.6310579126111</v>
      </c>
      <c r="AH175" s="57">
        <f t="shared" si="168"/>
        <v>6994.2373435106601</v>
      </c>
      <c r="AJ175" s="57">
        <f t="shared" si="169"/>
        <v>40</v>
      </c>
      <c r="AK175" s="57">
        <f t="shared" si="170"/>
        <v>12649.67123774012</v>
      </c>
      <c r="AL175" s="57">
        <f t="shared" si="171"/>
        <v>6658.6840490113027</v>
      </c>
      <c r="AM175" s="175">
        <f t="shared" si="172"/>
        <v>0.17287959485981674</v>
      </c>
      <c r="AT175" s="154">
        <f t="shared" si="173"/>
        <v>0</v>
      </c>
      <c r="AU175" s="154">
        <f t="shared" si="173"/>
        <v>1</v>
      </c>
      <c r="AV175" s="154">
        <f t="shared" si="173"/>
        <v>2</v>
      </c>
      <c r="AW175" s="154">
        <f t="shared" si="173"/>
        <v>3</v>
      </c>
      <c r="AX175" s="154">
        <f t="shared" si="173"/>
        <v>4</v>
      </c>
      <c r="AY175" s="154">
        <f t="shared" si="173"/>
        <v>6</v>
      </c>
      <c r="AZ175" s="154">
        <f t="shared" si="173"/>
        <v>7</v>
      </c>
      <c r="BA175" s="154">
        <f t="shared" si="173"/>
        <v>8</v>
      </c>
      <c r="BB175" s="154">
        <f t="shared" si="173"/>
        <v>10</v>
      </c>
    </row>
    <row r="176" spans="1:54" ht="15" customHeight="1" x14ac:dyDescent="0.25">
      <c r="A176" s="121"/>
      <c r="B176" s="335"/>
      <c r="C176" s="179">
        <f>C175-$G$458</f>
        <v>36</v>
      </c>
      <c r="D176" s="149">
        <f t="shared" si="167"/>
        <v>4100</v>
      </c>
      <c r="E176" s="149">
        <f t="shared" si="167"/>
        <v>4500</v>
      </c>
      <c r="F176" s="149">
        <f t="shared" si="167"/>
        <v>4800</v>
      </c>
      <c r="G176" s="149">
        <f t="shared" si="167"/>
        <v>5100</v>
      </c>
      <c r="H176" s="149">
        <f t="shared" si="167"/>
        <v>5500</v>
      </c>
      <c r="I176" s="149">
        <f t="shared" si="167"/>
        <v>5800</v>
      </c>
      <c r="J176" s="149">
        <f t="shared" si="167"/>
        <v>6100</v>
      </c>
      <c r="K176" s="149">
        <f t="shared" si="167"/>
        <v>6500</v>
      </c>
      <c r="L176" s="149">
        <f t="shared" si="167"/>
        <v>6800</v>
      </c>
      <c r="M176" s="121"/>
      <c r="N176" s="121"/>
      <c r="O176" s="121"/>
      <c r="P176" s="121"/>
      <c r="Q176" s="121"/>
      <c r="Z176" s="57">
        <f t="shared" si="168"/>
        <v>4123.3703931538494</v>
      </c>
      <c r="AA176" s="57">
        <f t="shared" si="168"/>
        <v>4455.9766787518965</v>
      </c>
      <c r="AB176" s="57">
        <f t="shared" si="168"/>
        <v>4788.5829643499437</v>
      </c>
      <c r="AC176" s="57">
        <f t="shared" si="168"/>
        <v>5121.1892499479909</v>
      </c>
      <c r="AD176" s="57">
        <f t="shared" si="168"/>
        <v>5453.7955355460381</v>
      </c>
      <c r="AE176" s="57">
        <f t="shared" si="168"/>
        <v>5786.4018211440853</v>
      </c>
      <c r="AF176" s="57">
        <f t="shared" si="168"/>
        <v>6119.0081067421324</v>
      </c>
      <c r="AG176" s="57">
        <f t="shared" si="168"/>
        <v>6451.6143923401796</v>
      </c>
      <c r="AH176" s="57">
        <f t="shared" si="168"/>
        <v>6784.2206779382268</v>
      </c>
      <c r="AJ176" s="57">
        <f t="shared" si="169"/>
        <v>36</v>
      </c>
      <c r="AK176" s="57">
        <f t="shared" si="170"/>
        <v>11984.412317966107</v>
      </c>
      <c r="AL176" s="57">
        <f t="shared" si="171"/>
        <v>6242.8972241525462</v>
      </c>
      <c r="AM176" s="175">
        <f t="shared" si="172"/>
        <v>0.15785182924075625</v>
      </c>
      <c r="AT176" s="154">
        <f t="shared" si="173"/>
        <v>0</v>
      </c>
      <c r="AU176" s="154">
        <f t="shared" si="173"/>
        <v>1</v>
      </c>
      <c r="AV176" s="154">
        <f t="shared" si="173"/>
        <v>3</v>
      </c>
      <c r="AW176" s="154">
        <f t="shared" si="173"/>
        <v>4</v>
      </c>
      <c r="AX176" s="154">
        <f t="shared" si="173"/>
        <v>5</v>
      </c>
      <c r="AY176" s="154">
        <f t="shared" si="173"/>
        <v>7</v>
      </c>
      <c r="AZ176" s="154">
        <f t="shared" si="173"/>
        <v>8</v>
      </c>
      <c r="BA176" s="154">
        <f t="shared" si="173"/>
        <v>9</v>
      </c>
      <c r="BB176" s="154">
        <f t="shared" si="173"/>
        <v>10</v>
      </c>
    </row>
    <row r="177" spans="1:54" ht="15" hidden="1" customHeight="1" outlineLevel="1" x14ac:dyDescent="0.25">
      <c r="A177" s="121"/>
      <c r="B177" s="153" t="str">
        <f>"Ben's Yr 5 value (cash + earnout + retained stake + Topkey stock) less Keystone today (G430); rollover fixed at "&amp;TEXT($G$436,"0%")&amp;" (G436)"</f>
        <v>Ben's Yr 5 value (cash + earnout + retained stake + Topkey stock) less Keystone today (G430); rollover fixed at 30% (G436)</v>
      </c>
      <c r="C177" s="4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</row>
    <row r="178" spans="1:54" ht="3.95" customHeight="1" collapsed="1" x14ac:dyDescent="0.25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</row>
    <row r="179" spans="1:54" ht="15" customHeight="1" x14ac:dyDescent="0.25">
      <c r="A179" s="121"/>
      <c r="B179" s="164" t="s">
        <v>332</v>
      </c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</row>
    <row r="180" spans="1:54" ht="2.1" customHeight="1" x14ac:dyDescent="0.25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</row>
    <row r="181" spans="1:54" ht="12.75" customHeight="1" x14ac:dyDescent="0.25">
      <c r="A181" s="121"/>
      <c r="B181" s="10"/>
      <c r="C181" s="10"/>
      <c r="D181" s="163" t="s">
        <v>287</v>
      </c>
      <c r="E181" s="163"/>
      <c r="F181" s="163"/>
      <c r="G181" s="163"/>
      <c r="H181" s="163"/>
      <c r="I181" s="163"/>
      <c r="J181" s="163"/>
      <c r="K181" s="163"/>
      <c r="L181" s="163"/>
      <c r="M181" s="121"/>
      <c r="N181" s="121"/>
      <c r="O181" s="121"/>
      <c r="P181" s="121"/>
      <c r="Q181" s="121"/>
    </row>
    <row r="182" spans="1:54" ht="12.75" customHeight="1" x14ac:dyDescent="0.25">
      <c r="A182" s="121"/>
      <c r="B182" s="10"/>
      <c r="C182" s="10"/>
      <c r="D182" s="181">
        <f>E182-$G$441</f>
        <v>1.0219039595619215</v>
      </c>
      <c r="E182" s="181">
        <f>F182-$G$441</f>
        <v>1.2719039595619215</v>
      </c>
      <c r="F182" s="181">
        <f>G182-$G$441</f>
        <v>1.5219039595619215</v>
      </c>
      <c r="G182" s="181">
        <f>H182-$G$441</f>
        <v>1.7719039595619215</v>
      </c>
      <c r="H182" s="181">
        <f>$G$440</f>
        <v>2.0219039595619215</v>
      </c>
      <c r="I182" s="181">
        <f>H182+$G$441</f>
        <v>2.2719039595619215</v>
      </c>
      <c r="J182" s="181">
        <f>I182+$G$441</f>
        <v>2.5219039595619215</v>
      </c>
      <c r="K182" s="181">
        <f>J182+$G$441</f>
        <v>2.7719039595619215</v>
      </c>
      <c r="L182" s="181">
        <f>K182+$G$441</f>
        <v>3.0219039595619215</v>
      </c>
      <c r="M182" s="121"/>
      <c r="N182" s="121"/>
      <c r="O182" s="121"/>
      <c r="P182" s="121"/>
      <c r="Q182" s="121"/>
      <c r="AT182" s="161" t="s">
        <v>288</v>
      </c>
      <c r="AU182" s="160"/>
      <c r="AV182" s="160"/>
      <c r="AW182" s="160"/>
      <c r="AX182" s="160"/>
      <c r="AY182" s="160"/>
      <c r="AZ182" s="160"/>
      <c r="BA182" s="160"/>
      <c r="BB182" s="160"/>
    </row>
    <row r="183" spans="1:54" ht="15" customHeight="1" x14ac:dyDescent="0.25">
      <c r="A183" s="121"/>
      <c r="B183" s="333" t="s">
        <v>313</v>
      </c>
      <c r="C183" s="180">
        <f>C184+$G$458</f>
        <v>60</v>
      </c>
      <c r="D183" s="166">
        <f t="shared" ref="D183:L189" si="174">IFERROR(Z170/$G$430,0)</f>
        <v>1.7944901288628159</v>
      </c>
      <c r="E183" s="166">
        <f t="shared" si="174"/>
        <v>1.905358890728831</v>
      </c>
      <c r="F183" s="166">
        <f t="shared" si="174"/>
        <v>2.0162276525948468</v>
      </c>
      <c r="G183" s="166">
        <f t="shared" si="174"/>
        <v>2.1270964144608624</v>
      </c>
      <c r="H183" s="166">
        <f t="shared" si="174"/>
        <v>2.2379651763268789</v>
      </c>
      <c r="I183" s="166">
        <f t="shared" si="174"/>
        <v>2.348833938192894</v>
      </c>
      <c r="J183" s="166">
        <f t="shared" si="174"/>
        <v>2.4597027000589096</v>
      </c>
      <c r="K183" s="166">
        <f t="shared" si="174"/>
        <v>2.5705714619249251</v>
      </c>
      <c r="L183" s="166">
        <f t="shared" si="174"/>
        <v>2.6814402237909412</v>
      </c>
      <c r="M183" s="121"/>
      <c r="N183" s="121"/>
      <c r="O183" s="121"/>
      <c r="P183" s="121"/>
      <c r="Q183" s="121"/>
      <c r="AT183" s="154">
        <f t="shared" ref="AT183:BB189" si="175">IF(Z210&lt;$G$449,0,MIN($G$446,1+IFERROR(INT((Z210-$G$449)/$G$464),0)))</f>
        <v>0</v>
      </c>
      <c r="AU183" s="154">
        <f t="shared" si="175"/>
        <v>0</v>
      </c>
      <c r="AV183" s="154">
        <f t="shared" si="175"/>
        <v>0</v>
      </c>
      <c r="AW183" s="154">
        <f t="shared" si="175"/>
        <v>0</v>
      </c>
      <c r="AX183" s="154">
        <f t="shared" si="175"/>
        <v>0</v>
      </c>
      <c r="AY183" s="154">
        <f t="shared" si="175"/>
        <v>2</v>
      </c>
      <c r="AZ183" s="154">
        <f t="shared" si="175"/>
        <v>3</v>
      </c>
      <c r="BA183" s="154">
        <f t="shared" si="175"/>
        <v>4</v>
      </c>
      <c r="BB183" s="154">
        <f t="shared" si="175"/>
        <v>6</v>
      </c>
    </row>
    <row r="184" spans="1:54" ht="15" customHeight="1" x14ac:dyDescent="0.25">
      <c r="A184" s="121"/>
      <c r="B184" s="334"/>
      <c r="C184" s="180">
        <f>C185+$G$458</f>
        <v>56</v>
      </c>
      <c r="D184" s="166">
        <f t="shared" si="174"/>
        <v>1.7244845736720047</v>
      </c>
      <c r="E184" s="166">
        <f t="shared" si="174"/>
        <v>1.8353533355380205</v>
      </c>
      <c r="F184" s="166">
        <f t="shared" si="174"/>
        <v>1.9462220974040363</v>
      </c>
      <c r="G184" s="166">
        <f t="shared" si="174"/>
        <v>2.0570908592700521</v>
      </c>
      <c r="H184" s="166">
        <f t="shared" si="174"/>
        <v>2.1679596211360672</v>
      </c>
      <c r="I184" s="166">
        <f t="shared" si="174"/>
        <v>2.2788283830020832</v>
      </c>
      <c r="J184" s="166">
        <f t="shared" si="174"/>
        <v>2.3896971448680984</v>
      </c>
      <c r="K184" s="166">
        <f t="shared" si="174"/>
        <v>2.5005659067341148</v>
      </c>
      <c r="L184" s="166">
        <f t="shared" si="174"/>
        <v>2.61143466860013</v>
      </c>
      <c r="M184" s="121"/>
      <c r="N184" s="121"/>
      <c r="O184" s="121"/>
      <c r="P184" s="121"/>
      <c r="Q184" s="121"/>
      <c r="AT184" s="154">
        <f t="shared" si="175"/>
        <v>0</v>
      </c>
      <c r="AU184" s="154">
        <f t="shared" si="175"/>
        <v>0</v>
      </c>
      <c r="AV184" s="154">
        <f t="shared" si="175"/>
        <v>0</v>
      </c>
      <c r="AW184" s="154">
        <f t="shared" si="175"/>
        <v>0</v>
      </c>
      <c r="AX184" s="154">
        <f t="shared" si="175"/>
        <v>1</v>
      </c>
      <c r="AY184" s="154">
        <f t="shared" si="175"/>
        <v>3</v>
      </c>
      <c r="AZ184" s="154">
        <f t="shared" si="175"/>
        <v>4</v>
      </c>
      <c r="BA184" s="154">
        <f t="shared" si="175"/>
        <v>5</v>
      </c>
      <c r="BB184" s="154">
        <f t="shared" si="175"/>
        <v>6</v>
      </c>
    </row>
    <row r="185" spans="1:54" ht="15" customHeight="1" x14ac:dyDescent="0.25">
      <c r="A185" s="121"/>
      <c r="B185" s="334"/>
      <c r="C185" s="180">
        <f>C186+$G$458</f>
        <v>52</v>
      </c>
      <c r="D185" s="166">
        <f t="shared" si="174"/>
        <v>1.6544790184811937</v>
      </c>
      <c r="E185" s="166">
        <f t="shared" si="174"/>
        <v>1.7653477803472093</v>
      </c>
      <c r="F185" s="166">
        <f t="shared" si="174"/>
        <v>1.8762165422132251</v>
      </c>
      <c r="G185" s="166">
        <f t="shared" si="174"/>
        <v>1.9870853040792409</v>
      </c>
      <c r="H185" s="166">
        <f t="shared" si="174"/>
        <v>2.0979540659452565</v>
      </c>
      <c r="I185" s="166">
        <f t="shared" si="174"/>
        <v>2.2088228278112725</v>
      </c>
      <c r="J185" s="166">
        <f t="shared" si="174"/>
        <v>2.3196915896772881</v>
      </c>
      <c r="K185" s="166">
        <f t="shared" si="174"/>
        <v>2.4305603515433036</v>
      </c>
      <c r="L185" s="166">
        <f t="shared" si="174"/>
        <v>2.5414291134093197</v>
      </c>
      <c r="M185" s="121"/>
      <c r="N185" s="121"/>
      <c r="O185" s="121"/>
      <c r="P185" s="121"/>
      <c r="Q185" s="121"/>
      <c r="AT185" s="154">
        <f t="shared" si="175"/>
        <v>0</v>
      </c>
      <c r="AU185" s="154">
        <f t="shared" si="175"/>
        <v>0</v>
      </c>
      <c r="AV185" s="154">
        <f t="shared" si="175"/>
        <v>0</v>
      </c>
      <c r="AW185" s="154">
        <f t="shared" si="175"/>
        <v>1</v>
      </c>
      <c r="AX185" s="154">
        <f t="shared" si="175"/>
        <v>2</v>
      </c>
      <c r="AY185" s="154">
        <f t="shared" si="175"/>
        <v>3</v>
      </c>
      <c r="AZ185" s="154">
        <f t="shared" si="175"/>
        <v>5</v>
      </c>
      <c r="BA185" s="154">
        <f t="shared" si="175"/>
        <v>6</v>
      </c>
      <c r="BB185" s="154">
        <f t="shared" si="175"/>
        <v>7</v>
      </c>
    </row>
    <row r="186" spans="1:54" ht="15" customHeight="1" x14ac:dyDescent="0.25">
      <c r="A186" s="121"/>
      <c r="B186" s="334"/>
      <c r="C186" s="180">
        <f>$G$457</f>
        <v>48</v>
      </c>
      <c r="D186" s="166">
        <f t="shared" si="174"/>
        <v>1.5844734632903832</v>
      </c>
      <c r="E186" s="166">
        <f t="shared" si="174"/>
        <v>1.6953422251563983</v>
      </c>
      <c r="F186" s="166">
        <f t="shared" si="174"/>
        <v>1.8062109870224139</v>
      </c>
      <c r="G186" s="166">
        <f t="shared" si="174"/>
        <v>1.9170797488884297</v>
      </c>
      <c r="H186" s="167">
        <f t="shared" si="174"/>
        <v>2.0279485107544462</v>
      </c>
      <c r="I186" s="166">
        <f t="shared" si="174"/>
        <v>2.1388172726204613</v>
      </c>
      <c r="J186" s="166">
        <f t="shared" si="174"/>
        <v>2.2496860344864773</v>
      </c>
      <c r="K186" s="166">
        <f t="shared" si="174"/>
        <v>2.3605547963524924</v>
      </c>
      <c r="L186" s="166">
        <f t="shared" si="174"/>
        <v>2.4714235582185089</v>
      </c>
      <c r="M186" s="121"/>
      <c r="N186" s="121"/>
      <c r="O186" s="121"/>
      <c r="P186" s="121"/>
      <c r="Q186" s="121"/>
      <c r="AT186" s="154">
        <f t="shared" si="175"/>
        <v>0</v>
      </c>
      <c r="AU186" s="154">
        <f t="shared" si="175"/>
        <v>0</v>
      </c>
      <c r="AV186" s="154">
        <f t="shared" si="175"/>
        <v>0</v>
      </c>
      <c r="AW186" s="154">
        <f t="shared" si="175"/>
        <v>2</v>
      </c>
      <c r="AX186" s="154">
        <f t="shared" si="175"/>
        <v>3</v>
      </c>
      <c r="AY186" s="154">
        <f t="shared" si="175"/>
        <v>4</v>
      </c>
      <c r="AZ186" s="154">
        <f t="shared" si="175"/>
        <v>5</v>
      </c>
      <c r="BA186" s="154">
        <f t="shared" si="175"/>
        <v>7</v>
      </c>
      <c r="BB186" s="154">
        <f t="shared" si="175"/>
        <v>8</v>
      </c>
    </row>
    <row r="187" spans="1:54" ht="15" customHeight="1" x14ac:dyDescent="0.25">
      <c r="A187" s="121"/>
      <c r="B187" s="334"/>
      <c r="C187" s="180">
        <f>C186-$G$458</f>
        <v>44</v>
      </c>
      <c r="D187" s="166">
        <f t="shared" si="174"/>
        <v>1.5144679080995718</v>
      </c>
      <c r="E187" s="166">
        <f t="shared" si="174"/>
        <v>1.6253366699655871</v>
      </c>
      <c r="F187" s="166">
        <f t="shared" si="174"/>
        <v>1.7362054318316029</v>
      </c>
      <c r="G187" s="166">
        <f t="shared" si="174"/>
        <v>1.8470741936976185</v>
      </c>
      <c r="H187" s="166">
        <f t="shared" si="174"/>
        <v>1.9579429555636343</v>
      </c>
      <c r="I187" s="166">
        <f t="shared" si="174"/>
        <v>2.0688117174296501</v>
      </c>
      <c r="J187" s="166">
        <f t="shared" si="174"/>
        <v>2.1796804792956657</v>
      </c>
      <c r="K187" s="166">
        <f t="shared" si="174"/>
        <v>2.2905492411616817</v>
      </c>
      <c r="L187" s="166">
        <f t="shared" si="174"/>
        <v>2.4014180030276973</v>
      </c>
      <c r="M187" s="121"/>
      <c r="N187" s="121"/>
      <c r="O187" s="121"/>
      <c r="P187" s="121"/>
      <c r="Q187" s="121"/>
      <c r="AT187" s="154">
        <f t="shared" si="175"/>
        <v>0</v>
      </c>
      <c r="AU187" s="154">
        <f t="shared" si="175"/>
        <v>0</v>
      </c>
      <c r="AV187" s="154">
        <f t="shared" si="175"/>
        <v>1</v>
      </c>
      <c r="AW187" s="154">
        <f t="shared" si="175"/>
        <v>2</v>
      </c>
      <c r="AX187" s="154">
        <f t="shared" si="175"/>
        <v>4</v>
      </c>
      <c r="AY187" s="154">
        <f t="shared" si="175"/>
        <v>5</v>
      </c>
      <c r="AZ187" s="154">
        <f t="shared" si="175"/>
        <v>6</v>
      </c>
      <c r="BA187" s="154">
        <f t="shared" si="175"/>
        <v>8</v>
      </c>
      <c r="BB187" s="154">
        <f t="shared" si="175"/>
        <v>9</v>
      </c>
    </row>
    <row r="188" spans="1:54" ht="15" customHeight="1" x14ac:dyDescent="0.25">
      <c r="A188" s="121"/>
      <c r="B188" s="334"/>
      <c r="C188" s="180">
        <f>C187-$G$458</f>
        <v>40</v>
      </c>
      <c r="D188" s="166">
        <f t="shared" si="174"/>
        <v>1.4444623529087608</v>
      </c>
      <c r="E188" s="166">
        <f t="shared" si="174"/>
        <v>1.5553311147747766</v>
      </c>
      <c r="F188" s="166">
        <f t="shared" si="174"/>
        <v>1.6661998766407924</v>
      </c>
      <c r="G188" s="166">
        <f t="shared" si="174"/>
        <v>1.7770686385068082</v>
      </c>
      <c r="H188" s="166">
        <f t="shared" si="174"/>
        <v>1.8879374003728238</v>
      </c>
      <c r="I188" s="166">
        <f t="shared" si="174"/>
        <v>1.9988061622388389</v>
      </c>
      <c r="J188" s="166">
        <f t="shared" si="174"/>
        <v>2.1096749241048554</v>
      </c>
      <c r="K188" s="166">
        <f t="shared" si="174"/>
        <v>2.2205436859708705</v>
      </c>
      <c r="L188" s="166">
        <f t="shared" si="174"/>
        <v>2.3314124478368865</v>
      </c>
      <c r="M188" s="121"/>
      <c r="N188" s="121"/>
      <c r="O188" s="121"/>
      <c r="P188" s="121"/>
      <c r="Q188" s="121"/>
      <c r="AT188" s="154">
        <f t="shared" si="175"/>
        <v>0</v>
      </c>
      <c r="AU188" s="154">
        <f t="shared" si="175"/>
        <v>1</v>
      </c>
      <c r="AV188" s="154">
        <f t="shared" si="175"/>
        <v>2</v>
      </c>
      <c r="AW188" s="154">
        <f t="shared" si="175"/>
        <v>3</v>
      </c>
      <c r="AX188" s="154">
        <f t="shared" si="175"/>
        <v>4</v>
      </c>
      <c r="AY188" s="154">
        <f t="shared" si="175"/>
        <v>6</v>
      </c>
      <c r="AZ188" s="154">
        <f t="shared" si="175"/>
        <v>7</v>
      </c>
      <c r="BA188" s="154">
        <f t="shared" si="175"/>
        <v>8</v>
      </c>
      <c r="BB188" s="154">
        <f t="shared" si="175"/>
        <v>10</v>
      </c>
    </row>
    <row r="189" spans="1:54" ht="15" customHeight="1" x14ac:dyDescent="0.25">
      <c r="A189" s="121"/>
      <c r="B189" s="335"/>
      <c r="C189" s="179">
        <f>C188-$G$458</f>
        <v>36</v>
      </c>
      <c r="D189" s="165">
        <f t="shared" si="174"/>
        <v>1.3744567977179498</v>
      </c>
      <c r="E189" s="165">
        <f t="shared" si="174"/>
        <v>1.4853255595839656</v>
      </c>
      <c r="F189" s="165">
        <f t="shared" si="174"/>
        <v>1.5961943214499812</v>
      </c>
      <c r="G189" s="165">
        <f t="shared" si="174"/>
        <v>1.707063083315997</v>
      </c>
      <c r="H189" s="165">
        <f t="shared" si="174"/>
        <v>1.8179318451820128</v>
      </c>
      <c r="I189" s="165">
        <f t="shared" si="174"/>
        <v>1.9288006070480284</v>
      </c>
      <c r="J189" s="165">
        <f t="shared" si="174"/>
        <v>2.0396693689140442</v>
      </c>
      <c r="K189" s="165">
        <f t="shared" si="174"/>
        <v>2.1505381307800597</v>
      </c>
      <c r="L189" s="165">
        <f t="shared" si="174"/>
        <v>2.2614068926460758</v>
      </c>
      <c r="M189" s="121"/>
      <c r="N189" s="121"/>
      <c r="O189" s="121"/>
      <c r="P189" s="121"/>
      <c r="Q189" s="121"/>
      <c r="AT189" s="154">
        <f t="shared" si="175"/>
        <v>0</v>
      </c>
      <c r="AU189" s="154">
        <f t="shared" si="175"/>
        <v>1</v>
      </c>
      <c r="AV189" s="154">
        <f t="shared" si="175"/>
        <v>3</v>
      </c>
      <c r="AW189" s="154">
        <f t="shared" si="175"/>
        <v>4</v>
      </c>
      <c r="AX189" s="154">
        <f t="shared" si="175"/>
        <v>5</v>
      </c>
      <c r="AY189" s="154">
        <f t="shared" si="175"/>
        <v>7</v>
      </c>
      <c r="AZ189" s="154">
        <f t="shared" si="175"/>
        <v>8</v>
      </c>
      <c r="BA189" s="154">
        <f t="shared" si="175"/>
        <v>9</v>
      </c>
      <c r="BB189" s="154">
        <f t="shared" si="175"/>
        <v>10</v>
      </c>
    </row>
    <row r="190" spans="1:54" ht="15" hidden="1" customHeight="1" outlineLevel="1" x14ac:dyDescent="0.25">
      <c r="A190" s="121"/>
      <c r="B190" s="153" t="str">
        <f>"Ben's Year 5 total value ÷ Keystone value today (G430), less 1; rollover fixed at "&amp;TEXT($G$436,"0%")&amp;" (G436)"</f>
        <v>Ben's Year 5 total value ÷ Keystone value today (G430), less 1; rollover fixed at 30% (G436)</v>
      </c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</row>
    <row r="191" spans="1:54" ht="3.95" customHeight="1" collapsed="1" x14ac:dyDescent="0.25">
      <c r="A191" s="121"/>
      <c r="M191" s="121"/>
      <c r="N191" s="121"/>
      <c r="O191" s="121"/>
      <c r="P191" s="121"/>
      <c r="Q191" s="121"/>
    </row>
    <row r="192" spans="1:54" ht="15" customHeight="1" x14ac:dyDescent="0.25">
      <c r="A192" s="121"/>
      <c r="B192" s="164" t="s">
        <v>331</v>
      </c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</row>
    <row r="193" spans="1:109" ht="2.1" customHeight="1" x14ac:dyDescent="0.25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</row>
    <row r="194" spans="1:109" ht="12.75" customHeight="1" x14ac:dyDescent="0.25">
      <c r="A194" s="121"/>
      <c r="B194" s="10"/>
      <c r="C194" s="10"/>
      <c r="D194" s="163" t="s">
        <v>287</v>
      </c>
      <c r="E194" s="163"/>
      <c r="F194" s="163"/>
      <c r="G194" s="163"/>
      <c r="H194" s="163"/>
      <c r="I194" s="163"/>
      <c r="J194" s="163"/>
      <c r="K194" s="163"/>
      <c r="L194" s="163"/>
      <c r="M194" s="121"/>
      <c r="N194" s="121"/>
      <c r="O194" s="121"/>
      <c r="P194" s="121"/>
      <c r="Q194" s="121"/>
      <c r="BD194" s="161" t="s">
        <v>304</v>
      </c>
      <c r="BE194" s="161"/>
      <c r="BF194" s="161"/>
      <c r="BG194" s="161"/>
      <c r="BH194" s="161"/>
      <c r="BI194" s="161"/>
      <c r="BJ194" s="161" t="s">
        <v>303</v>
      </c>
      <c r="BK194" s="161"/>
      <c r="BL194" s="161"/>
      <c r="BM194" s="161"/>
      <c r="BN194" s="161"/>
      <c r="BO194" s="161"/>
      <c r="BP194" s="161" t="s">
        <v>302</v>
      </c>
      <c r="BQ194" s="161"/>
      <c r="BR194" s="161"/>
      <c r="BS194" s="161"/>
      <c r="BT194" s="161"/>
      <c r="BU194" s="161"/>
      <c r="BV194" s="161" t="s">
        <v>301</v>
      </c>
      <c r="BW194" s="161"/>
      <c r="BX194" s="161"/>
      <c r="BY194" s="161"/>
      <c r="BZ194" s="161"/>
      <c r="CA194" s="161"/>
      <c r="CB194" s="161" t="s">
        <v>300</v>
      </c>
      <c r="CC194" s="161"/>
      <c r="CD194" s="161"/>
      <c r="CE194" s="161"/>
      <c r="CF194" s="161"/>
      <c r="CG194" s="161"/>
      <c r="CH194" s="161" t="s">
        <v>299</v>
      </c>
      <c r="CI194" s="161"/>
      <c r="CJ194" s="161"/>
      <c r="CK194" s="161"/>
      <c r="CL194" s="161"/>
      <c r="CM194" s="161"/>
      <c r="CN194" s="161" t="s">
        <v>298</v>
      </c>
      <c r="CO194" s="161"/>
      <c r="CP194" s="161"/>
      <c r="CQ194" s="161"/>
      <c r="CR194" s="161"/>
      <c r="CS194" s="161"/>
      <c r="CT194" s="161" t="s">
        <v>297</v>
      </c>
      <c r="CU194" s="161"/>
      <c r="CV194" s="161"/>
      <c r="CW194" s="161"/>
      <c r="CX194" s="161"/>
      <c r="CY194" s="161"/>
      <c r="CZ194" s="161" t="s">
        <v>296</v>
      </c>
      <c r="DA194" s="161"/>
      <c r="DB194" s="161"/>
      <c r="DC194" s="161"/>
      <c r="DD194" s="161"/>
      <c r="DE194" s="161"/>
    </row>
    <row r="195" spans="1:109" ht="12.75" customHeight="1" x14ac:dyDescent="0.25">
      <c r="A195" s="121"/>
      <c r="B195" s="10"/>
      <c r="C195" s="10"/>
      <c r="D195" s="181">
        <f>E195-$G$441</f>
        <v>1.0219039595619215</v>
      </c>
      <c r="E195" s="181">
        <f>F195-$G$441</f>
        <v>1.2719039595619215</v>
      </c>
      <c r="F195" s="181">
        <f>G195-$G$441</f>
        <v>1.5219039595619215</v>
      </c>
      <c r="G195" s="181">
        <f>H195-$G$441</f>
        <v>1.7719039595619215</v>
      </c>
      <c r="H195" s="181">
        <f>$G$440</f>
        <v>2.0219039595619215</v>
      </c>
      <c r="I195" s="181">
        <f>H195+$G$441</f>
        <v>2.2719039595619215</v>
      </c>
      <c r="J195" s="181">
        <f>I195+$G$441</f>
        <v>2.5219039595619215</v>
      </c>
      <c r="K195" s="181">
        <f>J195+$G$441</f>
        <v>2.7719039595619215</v>
      </c>
      <c r="L195" s="181">
        <f>K195+$G$441</f>
        <v>3.0219039595619215</v>
      </c>
      <c r="M195" s="121"/>
      <c r="N195" s="121"/>
      <c r="O195" s="121"/>
      <c r="P195" s="121"/>
      <c r="Q195" s="121"/>
      <c r="AT195" s="161" t="s">
        <v>288</v>
      </c>
      <c r="AU195" s="160"/>
      <c r="AV195" s="160"/>
      <c r="AW195" s="160"/>
      <c r="AX195" s="160"/>
      <c r="AY195" s="160"/>
      <c r="AZ195" s="160"/>
      <c r="BA195" s="160"/>
      <c r="BB195" s="160"/>
      <c r="BD195" s="174">
        <f>$S$9</f>
        <v>0</v>
      </c>
      <c r="BE195" s="174">
        <f>$T$9</f>
        <v>1</v>
      </c>
      <c r="BF195" s="174">
        <f>$U$9</f>
        <v>2</v>
      </c>
      <c r="BG195" s="174">
        <f>$V$9</f>
        <v>3</v>
      </c>
      <c r="BH195" s="174">
        <f>$W$9</f>
        <v>4</v>
      </c>
      <c r="BI195" s="174">
        <f>$X$9</f>
        <v>5</v>
      </c>
      <c r="BJ195" s="174">
        <f>$S$9</f>
        <v>0</v>
      </c>
      <c r="BK195" s="174">
        <f>$T$9</f>
        <v>1</v>
      </c>
      <c r="BL195" s="174">
        <f>$U$9</f>
        <v>2</v>
      </c>
      <c r="BM195" s="174">
        <f>$V$9</f>
        <v>3</v>
      </c>
      <c r="BN195" s="174">
        <f>$W$9</f>
        <v>4</v>
      </c>
      <c r="BO195" s="174">
        <f>$X$9</f>
        <v>5</v>
      </c>
      <c r="BP195" s="174">
        <f>$S$9</f>
        <v>0</v>
      </c>
      <c r="BQ195" s="174">
        <f>$T$9</f>
        <v>1</v>
      </c>
      <c r="BR195" s="174">
        <f>$U$9</f>
        <v>2</v>
      </c>
      <c r="BS195" s="174">
        <f>$V$9</f>
        <v>3</v>
      </c>
      <c r="BT195" s="174">
        <f>$W$9</f>
        <v>4</v>
      </c>
      <c r="BU195" s="174">
        <f>$X$9</f>
        <v>5</v>
      </c>
      <c r="BV195" s="174">
        <f>$S$9</f>
        <v>0</v>
      </c>
      <c r="BW195" s="174">
        <f>$T$9</f>
        <v>1</v>
      </c>
      <c r="BX195" s="174">
        <f>$U$9</f>
        <v>2</v>
      </c>
      <c r="BY195" s="174">
        <f>$V$9</f>
        <v>3</v>
      </c>
      <c r="BZ195" s="174">
        <f>$W$9</f>
        <v>4</v>
      </c>
      <c r="CA195" s="174">
        <f>$X$9</f>
        <v>5</v>
      </c>
      <c r="CB195" s="174">
        <f>$S$9</f>
        <v>0</v>
      </c>
      <c r="CC195" s="174">
        <f>$T$9</f>
        <v>1</v>
      </c>
      <c r="CD195" s="174">
        <f>$U$9</f>
        <v>2</v>
      </c>
      <c r="CE195" s="174">
        <f>$V$9</f>
        <v>3</v>
      </c>
      <c r="CF195" s="174">
        <f>$W$9</f>
        <v>4</v>
      </c>
      <c r="CG195" s="174">
        <f>$X$9</f>
        <v>5</v>
      </c>
      <c r="CH195" s="174">
        <f>$S$9</f>
        <v>0</v>
      </c>
      <c r="CI195" s="174">
        <f>$T$9</f>
        <v>1</v>
      </c>
      <c r="CJ195" s="174">
        <f>$U$9</f>
        <v>2</v>
      </c>
      <c r="CK195" s="174">
        <f>$V$9</f>
        <v>3</v>
      </c>
      <c r="CL195" s="174">
        <f>$W$9</f>
        <v>4</v>
      </c>
      <c r="CM195" s="174">
        <f>$X$9</f>
        <v>5</v>
      </c>
      <c r="CN195" s="174">
        <f>$S$9</f>
        <v>0</v>
      </c>
      <c r="CO195" s="174">
        <f>$T$9</f>
        <v>1</v>
      </c>
      <c r="CP195" s="174">
        <f>$U$9</f>
        <v>2</v>
      </c>
      <c r="CQ195" s="174">
        <f>$V$9</f>
        <v>3</v>
      </c>
      <c r="CR195" s="174">
        <f>$W$9</f>
        <v>4</v>
      </c>
      <c r="CS195" s="174">
        <f>$X$9</f>
        <v>5</v>
      </c>
      <c r="CT195" s="174">
        <f>$S$9</f>
        <v>0</v>
      </c>
      <c r="CU195" s="174">
        <f>$T$9</f>
        <v>1</v>
      </c>
      <c r="CV195" s="174">
        <f>$U$9</f>
        <v>2</v>
      </c>
      <c r="CW195" s="174">
        <f>$V$9</f>
        <v>3</v>
      </c>
      <c r="CX195" s="174">
        <f>$W$9</f>
        <v>4</v>
      </c>
      <c r="CY195" s="174">
        <f>$X$9</f>
        <v>5</v>
      </c>
      <c r="CZ195" s="174">
        <f>$S$9</f>
        <v>0</v>
      </c>
      <c r="DA195" s="174">
        <f>$T$9</f>
        <v>1</v>
      </c>
      <c r="DB195" s="174">
        <f>$U$9</f>
        <v>2</v>
      </c>
      <c r="DC195" s="174">
        <f>$V$9</f>
        <v>3</v>
      </c>
      <c r="DD195" s="174">
        <f>$W$9</f>
        <v>4</v>
      </c>
      <c r="DE195" s="174">
        <f>$X$9</f>
        <v>5</v>
      </c>
    </row>
    <row r="196" spans="1:109" ht="15" customHeight="1" x14ac:dyDescent="0.25">
      <c r="A196" s="121"/>
      <c r="B196" s="333" t="s">
        <v>313</v>
      </c>
      <c r="C196" s="180">
        <f>C197+$G$458</f>
        <v>60</v>
      </c>
      <c r="D196" s="157">
        <f t="shared" ref="D196:D202" si="176">IFERROR(IRR(BD196:BI196),0)</f>
        <v>0.26899909658187915</v>
      </c>
      <c r="E196" s="157">
        <f t="shared" ref="E196:E202" si="177">IFERROR(IRR(BJ196:BO196),0)</f>
        <v>0.27973160809470476</v>
      </c>
      <c r="F196" s="157">
        <f t="shared" ref="F196:F202" si="178">IFERROR(IRR(BP196:BU196),0)</f>
        <v>0.29011571374629463</v>
      </c>
      <c r="G196" s="157">
        <f t="shared" ref="G196:G202" si="179">IFERROR(IRR(BV196:CA196),0)</f>
        <v>0.30017587279497504</v>
      </c>
      <c r="H196" s="157">
        <f t="shared" ref="H196:H202" si="180">IFERROR(IRR(CB196:CG196),0)</f>
        <v>0.30993397334336126</v>
      </c>
      <c r="I196" s="157">
        <f t="shared" ref="I196:I202" si="181">IFERROR(IRR(CH196:CM196),0)</f>
        <v>0.31940968586638752</v>
      </c>
      <c r="J196" s="157">
        <f t="shared" ref="J196:J202" si="182">IFERROR(IRR(CN196:CS196),0)</f>
        <v>0.32862075758670217</v>
      </c>
      <c r="K196" s="157">
        <f t="shared" ref="K196:K202" si="183">IFERROR(IRR(CT196:CY196),0)</f>
        <v>0.33758325906052811</v>
      </c>
      <c r="L196" s="157">
        <f t="shared" ref="L196:L202" si="184">IFERROR(IRR(CZ196:DE196),0)</f>
        <v>0.34631179216513774</v>
      </c>
      <c r="M196" s="121"/>
      <c r="N196" s="121"/>
      <c r="O196" s="121"/>
      <c r="P196" s="121"/>
      <c r="Q196" s="121"/>
      <c r="AT196" s="154">
        <f t="shared" ref="AT196:BB202" si="185">IF(Z210&lt;$G$449,0,MIN($G$446,1+IFERROR(INT((Z210-$G$449)/$G$464),0)))</f>
        <v>0</v>
      </c>
      <c r="AU196" s="154">
        <f t="shared" si="185"/>
        <v>0</v>
      </c>
      <c r="AV196" s="154">
        <f t="shared" si="185"/>
        <v>0</v>
      </c>
      <c r="AW196" s="154">
        <f t="shared" si="185"/>
        <v>0</v>
      </c>
      <c r="AX196" s="154">
        <f t="shared" si="185"/>
        <v>0</v>
      </c>
      <c r="AY196" s="154">
        <f t="shared" si="185"/>
        <v>2</v>
      </c>
      <c r="AZ196" s="154">
        <f t="shared" si="185"/>
        <v>3</v>
      </c>
      <c r="BA196" s="154">
        <f t="shared" si="185"/>
        <v>4</v>
      </c>
      <c r="BB196" s="154">
        <f t="shared" si="185"/>
        <v>6</v>
      </c>
      <c r="BD196" s="173">
        <f t="shared" ref="BD196:BD202" si="186">(BD$195=0)*($O$18-$G$430)+(BD$195=$G$444)*$G$435+(BD$195=$G$445)*(Z170+$G$430-$O$18-$G$435)</f>
        <v>-2350</v>
      </c>
      <c r="BE196" s="173">
        <f t="shared" ref="BE196:BE202" si="187">(BE$195=0)*($O$18-$G$430)+(BE$195=$G$444)*$G$435+(BE$195=$G$445)*(Z170+$G$430-$O$18-$G$435)</f>
        <v>0</v>
      </c>
      <c r="BF196" s="173">
        <f t="shared" ref="BF196:BF202" si="188">(BF$195=0)*($O$18-$G$430)+(BF$195=$G$444)*$G$435+(BF$195=$G$445)*(Z170+$G$430-$O$18-$G$435)</f>
        <v>0</v>
      </c>
      <c r="BG196" s="173">
        <f t="shared" ref="BG196:BG202" si="189">(BG$195=0)*($O$18-$G$430)+(BG$195=$G$444)*$G$435+(BG$195=$G$445)*(Z170+$G$430-$O$18-$G$435)</f>
        <v>0</v>
      </c>
      <c r="BH196" s="173">
        <f t="shared" ref="BH196:BH202" si="190">(BH$195=0)*($O$18-$G$430)+(BH$195=$G$444)*$G$435+(BH$195=$G$445)*(Z170+$G$430-$O$18-$G$435)</f>
        <v>0</v>
      </c>
      <c r="BI196" s="173">
        <f t="shared" ref="BI196:BJ202" si="191">(BI$195=0)*($O$18-$G$430)+(BI$195=$G$444)*$G$435+(BI$195=$G$445)*(Z170+$G$430-$O$18-$G$435)</f>
        <v>7733.4703865884476</v>
      </c>
      <c r="BJ196" s="173">
        <f t="shared" si="191"/>
        <v>-2350</v>
      </c>
      <c r="BK196" s="173">
        <f t="shared" ref="BK196:BK202" si="192">(BK$195=0)*($O$18-$G$430)+(BK$195=$G$444)*$G$435+(BK$195=$G$445)*(AA170+$G$430-$O$18-$G$435)</f>
        <v>0</v>
      </c>
      <c r="BL196" s="173">
        <f t="shared" ref="BL196:BL202" si="193">(BL$195=0)*($O$18-$G$430)+(BL$195=$G$444)*$G$435+(BL$195=$G$445)*(AA170+$G$430-$O$18-$G$435)</f>
        <v>0</v>
      </c>
      <c r="BM196" s="173">
        <f t="shared" ref="BM196:BM202" si="194">(BM$195=0)*($O$18-$G$430)+(BM$195=$G$444)*$G$435+(BM$195=$G$445)*(AA170+$G$430-$O$18-$G$435)</f>
        <v>0</v>
      </c>
      <c r="BN196" s="173">
        <f t="shared" ref="BN196:BN202" si="195">(BN$195=0)*($O$18-$G$430)+(BN$195=$G$444)*$G$435+(BN$195=$G$445)*(AA170+$G$430-$O$18-$G$435)</f>
        <v>0</v>
      </c>
      <c r="BO196" s="173">
        <f t="shared" ref="BO196:BP202" si="196">(BO$195=0)*($O$18-$G$430)+(BO$195=$G$444)*$G$435+(BO$195=$G$445)*(AA170+$G$430-$O$18-$G$435)</f>
        <v>8066.0766721864929</v>
      </c>
      <c r="BP196" s="173">
        <f t="shared" si="196"/>
        <v>-2350</v>
      </c>
      <c r="BQ196" s="173">
        <f t="shared" ref="BQ196:BQ202" si="197">(BQ$195=0)*($O$18-$G$430)+(BQ$195=$G$444)*$G$435+(BQ$195=$G$445)*(AB170+$G$430-$O$18-$G$435)</f>
        <v>0</v>
      </c>
      <c r="BR196" s="173">
        <f t="shared" ref="BR196:BR202" si="198">(BR$195=0)*($O$18-$G$430)+(BR$195=$G$444)*$G$435+(BR$195=$G$445)*(AB170+$G$430-$O$18-$G$435)</f>
        <v>0</v>
      </c>
      <c r="BS196" s="173">
        <f t="shared" ref="BS196:BS202" si="199">(BS$195=0)*($O$18-$G$430)+(BS$195=$G$444)*$G$435+(BS$195=$G$445)*(AB170+$G$430-$O$18-$G$435)</f>
        <v>0</v>
      </c>
      <c r="BT196" s="173">
        <f t="shared" ref="BT196:BT202" si="200">(BT$195=0)*($O$18-$G$430)+(BT$195=$G$444)*$G$435+(BT$195=$G$445)*(AB170+$G$430-$O$18-$G$435)</f>
        <v>0</v>
      </c>
      <c r="BU196" s="173">
        <f t="shared" ref="BU196:BV202" si="201">(BU$195=0)*($O$18-$G$430)+(BU$195=$G$444)*$G$435+(BU$195=$G$445)*(AB170+$G$430-$O$18-$G$435)</f>
        <v>8398.6829577845401</v>
      </c>
      <c r="BV196" s="173">
        <f t="shared" si="201"/>
        <v>-2350</v>
      </c>
      <c r="BW196" s="173">
        <f t="shared" ref="BW196:BW202" si="202">(BW$195=0)*($O$18-$G$430)+(BW$195=$G$444)*$G$435+(BW$195=$G$445)*(AC170+$G$430-$O$18-$G$435)</f>
        <v>0</v>
      </c>
      <c r="BX196" s="173">
        <f t="shared" ref="BX196:BX202" si="203">(BX$195=0)*($O$18-$G$430)+(BX$195=$G$444)*$G$435+(BX$195=$G$445)*(AC170+$G$430-$O$18-$G$435)</f>
        <v>0</v>
      </c>
      <c r="BY196" s="173">
        <f t="shared" ref="BY196:BY202" si="204">(BY$195=0)*($O$18-$G$430)+(BY$195=$G$444)*$G$435+(BY$195=$G$445)*(AC170+$G$430-$O$18-$G$435)</f>
        <v>0</v>
      </c>
      <c r="BZ196" s="173">
        <f t="shared" ref="BZ196:BZ202" si="205">(BZ$195=0)*($O$18-$G$430)+(BZ$195=$G$444)*$G$435+(BZ$195=$G$445)*(AC170+$G$430-$O$18-$G$435)</f>
        <v>0</v>
      </c>
      <c r="CA196" s="173">
        <f t="shared" ref="CA196:CB202" si="206">(CA$195=0)*($O$18-$G$430)+(CA$195=$G$444)*$G$435+(CA$195=$G$445)*(AC170+$G$430-$O$18-$G$435)</f>
        <v>8731.2892433825873</v>
      </c>
      <c r="CB196" s="173">
        <f t="shared" si="206"/>
        <v>-2350</v>
      </c>
      <c r="CC196" s="173">
        <f t="shared" ref="CC196:CC202" si="207">(CC$195=0)*($O$18-$G$430)+(CC$195=$G$444)*$G$435+(CC$195=$G$445)*(AD170+$G$430-$O$18-$G$435)</f>
        <v>0</v>
      </c>
      <c r="CD196" s="173">
        <f t="shared" ref="CD196:CD202" si="208">(CD$195=0)*($O$18-$G$430)+(CD$195=$G$444)*$G$435+(CD$195=$G$445)*(AD170+$G$430-$O$18-$G$435)</f>
        <v>0</v>
      </c>
      <c r="CE196" s="173">
        <f t="shared" ref="CE196:CE202" si="209">(CE$195=0)*($O$18-$G$430)+(CE$195=$G$444)*$G$435+(CE$195=$G$445)*(AD170+$G$430-$O$18-$G$435)</f>
        <v>0</v>
      </c>
      <c r="CF196" s="173">
        <f t="shared" ref="CF196:CF202" si="210">(CF$195=0)*($O$18-$G$430)+(CF$195=$G$444)*$G$435+(CF$195=$G$445)*(AD170+$G$430-$O$18-$G$435)</f>
        <v>0</v>
      </c>
      <c r="CG196" s="173">
        <f t="shared" ref="CG196:CH202" si="211">(CG$195=0)*($O$18-$G$430)+(CG$195=$G$444)*$G$435+(CG$195=$G$445)*(AD170+$G$430-$O$18-$G$435)</f>
        <v>9063.8955289806363</v>
      </c>
      <c r="CH196" s="173">
        <f t="shared" si="211"/>
        <v>-2350</v>
      </c>
      <c r="CI196" s="173">
        <f t="shared" ref="CI196:CI202" si="212">(CI$195=0)*($O$18-$G$430)+(CI$195=$G$444)*$G$435+(CI$195=$G$445)*(AE170+$G$430-$O$18-$G$435)</f>
        <v>0</v>
      </c>
      <c r="CJ196" s="173">
        <f t="shared" ref="CJ196:CJ202" si="213">(CJ$195=0)*($O$18-$G$430)+(CJ$195=$G$444)*$G$435+(CJ$195=$G$445)*(AE170+$G$430-$O$18-$G$435)</f>
        <v>0</v>
      </c>
      <c r="CK196" s="173">
        <f t="shared" ref="CK196:CK202" si="214">(CK$195=0)*($O$18-$G$430)+(CK$195=$G$444)*$G$435+(CK$195=$G$445)*(AE170+$G$430-$O$18-$G$435)</f>
        <v>0</v>
      </c>
      <c r="CL196" s="173">
        <f t="shared" ref="CL196:CL202" si="215">(CL$195=0)*($O$18-$G$430)+(CL$195=$G$444)*$G$435+(CL$195=$G$445)*(AE170+$G$430-$O$18-$G$435)</f>
        <v>0</v>
      </c>
      <c r="CM196" s="173">
        <f t="shared" ref="CM196:CN202" si="216">(CM$195=0)*($O$18-$G$430)+(CM$195=$G$444)*$G$435+(CM$195=$G$445)*(AE170+$G$430-$O$18-$G$435)</f>
        <v>9396.5018145786817</v>
      </c>
      <c r="CN196" s="173">
        <f t="shared" si="216"/>
        <v>-2350</v>
      </c>
      <c r="CO196" s="173">
        <f t="shared" ref="CO196:CO202" si="217">(CO$195=0)*($O$18-$G$430)+(CO$195=$G$444)*$G$435+(CO$195=$G$445)*(AF170+$G$430-$O$18-$G$435)</f>
        <v>0</v>
      </c>
      <c r="CP196" s="173">
        <f t="shared" ref="CP196:CP202" si="218">(CP$195=0)*($O$18-$G$430)+(CP$195=$G$444)*$G$435+(CP$195=$G$445)*(AF170+$G$430-$O$18-$G$435)</f>
        <v>0</v>
      </c>
      <c r="CQ196" s="173">
        <f t="shared" ref="CQ196:CQ202" si="219">(CQ$195=0)*($O$18-$G$430)+(CQ$195=$G$444)*$G$435+(CQ$195=$G$445)*(AF170+$G$430-$O$18-$G$435)</f>
        <v>0</v>
      </c>
      <c r="CR196" s="173">
        <f t="shared" ref="CR196:CR202" si="220">(CR$195=0)*($O$18-$G$430)+(CR$195=$G$444)*$G$435+(CR$195=$G$445)*(AF170+$G$430-$O$18-$G$435)</f>
        <v>0</v>
      </c>
      <c r="CS196" s="173">
        <f t="shared" ref="CS196:CT202" si="221">(CS$195=0)*($O$18-$G$430)+(CS$195=$G$444)*$G$435+(CS$195=$G$445)*(AF170+$G$430-$O$18-$G$435)</f>
        <v>9729.1081001767288</v>
      </c>
      <c r="CT196" s="173">
        <f t="shared" si="221"/>
        <v>-2350</v>
      </c>
      <c r="CU196" s="173">
        <f t="shared" ref="CU196:CU202" si="222">(CU$195=0)*($O$18-$G$430)+(CU$195=$G$444)*$G$435+(CU$195=$G$445)*(AG170+$G$430-$O$18-$G$435)</f>
        <v>0</v>
      </c>
      <c r="CV196" s="173">
        <f t="shared" ref="CV196:CV202" si="223">(CV$195=0)*($O$18-$G$430)+(CV$195=$G$444)*$G$435+(CV$195=$G$445)*(AG170+$G$430-$O$18-$G$435)</f>
        <v>0</v>
      </c>
      <c r="CW196" s="173">
        <f t="shared" ref="CW196:CW202" si="224">(CW$195=0)*($O$18-$G$430)+(CW$195=$G$444)*$G$435+(CW$195=$G$445)*(AG170+$G$430-$O$18-$G$435)</f>
        <v>0</v>
      </c>
      <c r="CX196" s="173">
        <f t="shared" ref="CX196:CX202" si="225">(CX$195=0)*($O$18-$G$430)+(CX$195=$G$444)*$G$435+(CX$195=$G$445)*(AG170+$G$430-$O$18-$G$435)</f>
        <v>0</v>
      </c>
      <c r="CY196" s="173">
        <f t="shared" ref="CY196:CZ202" si="226">(CY$195=0)*($O$18-$G$430)+(CY$195=$G$444)*$G$435+(CY$195=$G$445)*(AG170+$G$430-$O$18-$G$435)</f>
        <v>10061.714385774776</v>
      </c>
      <c r="CZ196" s="173">
        <f t="shared" si="226"/>
        <v>-2350</v>
      </c>
      <c r="DA196" s="173">
        <f t="shared" ref="DA196:DA202" si="227">(DA$195=0)*($O$18-$G$430)+(DA$195=$G$444)*$G$435+(DA$195=$G$445)*(AH170+$G$430-$O$18-$G$435)</f>
        <v>0</v>
      </c>
      <c r="DB196" s="173">
        <f t="shared" ref="DB196:DB202" si="228">(DB$195=0)*($O$18-$G$430)+(DB$195=$G$444)*$G$435+(DB$195=$G$445)*(AH170+$G$430-$O$18-$G$435)</f>
        <v>0</v>
      </c>
      <c r="DC196" s="173">
        <f t="shared" ref="DC196:DC202" si="229">(DC$195=0)*($O$18-$G$430)+(DC$195=$G$444)*$G$435+(DC$195=$G$445)*(AH170+$G$430-$O$18-$G$435)</f>
        <v>0</v>
      </c>
      <c r="DD196" s="173">
        <f t="shared" ref="DD196:DD202" si="230">(DD$195=0)*($O$18-$G$430)+(DD$195=$G$444)*$G$435+(DD$195=$G$445)*(AH170+$G$430-$O$18-$G$435)</f>
        <v>0</v>
      </c>
      <c r="DE196" s="173">
        <f t="shared" ref="DE196:DE202" si="231">(DE$195=0)*($O$18-$G$430)+(DE$195=$G$444)*$G$435+(DE$195=$G$445)*(AH170+$G$430-$O$18-$G$435)</f>
        <v>10394.320671372823</v>
      </c>
    </row>
    <row r="197" spans="1:109" ht="15" customHeight="1" x14ac:dyDescent="0.25">
      <c r="A197" s="121"/>
      <c r="B197" s="334"/>
      <c r="C197" s="180">
        <f>C198+$G$458</f>
        <v>56</v>
      </c>
      <c r="D197" s="157">
        <f t="shared" si="176"/>
        <v>0.26203057994008994</v>
      </c>
      <c r="E197" s="157">
        <f t="shared" si="177"/>
        <v>0.27299701693277245</v>
      </c>
      <c r="F197" s="157">
        <f t="shared" si="178"/>
        <v>0.28359808982204604</v>
      </c>
      <c r="G197" s="157">
        <f t="shared" si="179"/>
        <v>0.29386009632675747</v>
      </c>
      <c r="H197" s="157">
        <f t="shared" si="180"/>
        <v>0.3038065025758323</v>
      </c>
      <c r="I197" s="157">
        <f t="shared" si="181"/>
        <v>0.31345834158753183</v>
      </c>
      <c r="J197" s="157">
        <f t="shared" si="182"/>
        <v>0.32283454350091567</v>
      </c>
      <c r="K197" s="157">
        <f t="shared" si="183"/>
        <v>0.33195221108585504</v>
      </c>
      <c r="L197" s="157">
        <f t="shared" si="184"/>
        <v>0.34082685119426448</v>
      </c>
      <c r="M197" s="121"/>
      <c r="N197" s="121"/>
      <c r="O197" s="121"/>
      <c r="P197" s="121"/>
      <c r="Q197" s="121"/>
      <c r="AT197" s="154">
        <f t="shared" si="185"/>
        <v>0</v>
      </c>
      <c r="AU197" s="154">
        <f t="shared" si="185"/>
        <v>0</v>
      </c>
      <c r="AV197" s="154">
        <f t="shared" si="185"/>
        <v>0</v>
      </c>
      <c r="AW197" s="154">
        <f t="shared" si="185"/>
        <v>0</v>
      </c>
      <c r="AX197" s="154">
        <f t="shared" si="185"/>
        <v>1</v>
      </c>
      <c r="AY197" s="154">
        <f t="shared" si="185"/>
        <v>3</v>
      </c>
      <c r="AZ197" s="154">
        <f t="shared" si="185"/>
        <v>4</v>
      </c>
      <c r="BA197" s="154">
        <f t="shared" si="185"/>
        <v>5</v>
      </c>
      <c r="BB197" s="154">
        <f t="shared" si="185"/>
        <v>6</v>
      </c>
      <c r="BD197" s="173">
        <f t="shared" si="186"/>
        <v>-2350</v>
      </c>
      <c r="BE197" s="173">
        <f t="shared" si="187"/>
        <v>0</v>
      </c>
      <c r="BF197" s="173">
        <f t="shared" si="188"/>
        <v>0</v>
      </c>
      <c r="BG197" s="173">
        <f t="shared" si="189"/>
        <v>0</v>
      </c>
      <c r="BH197" s="173">
        <f t="shared" si="190"/>
        <v>0</v>
      </c>
      <c r="BI197" s="173">
        <f t="shared" si="191"/>
        <v>7523.4537210160142</v>
      </c>
      <c r="BJ197" s="173">
        <f t="shared" si="191"/>
        <v>-2350</v>
      </c>
      <c r="BK197" s="173">
        <f t="shared" si="192"/>
        <v>0</v>
      </c>
      <c r="BL197" s="173">
        <f t="shared" si="193"/>
        <v>0</v>
      </c>
      <c r="BM197" s="173">
        <f t="shared" si="194"/>
        <v>0</v>
      </c>
      <c r="BN197" s="173">
        <f t="shared" si="195"/>
        <v>0</v>
      </c>
      <c r="BO197" s="173">
        <f t="shared" si="196"/>
        <v>7856.0600066140614</v>
      </c>
      <c r="BP197" s="173">
        <f t="shared" si="196"/>
        <v>-2350</v>
      </c>
      <c r="BQ197" s="173">
        <f t="shared" si="197"/>
        <v>0</v>
      </c>
      <c r="BR197" s="173">
        <f t="shared" si="198"/>
        <v>0</v>
      </c>
      <c r="BS197" s="173">
        <f t="shared" si="199"/>
        <v>0</v>
      </c>
      <c r="BT197" s="173">
        <f t="shared" si="200"/>
        <v>0</v>
      </c>
      <c r="BU197" s="173">
        <f t="shared" si="201"/>
        <v>8188.6662922121086</v>
      </c>
      <c r="BV197" s="173">
        <f t="shared" si="201"/>
        <v>-2350</v>
      </c>
      <c r="BW197" s="173">
        <f t="shared" si="202"/>
        <v>0</v>
      </c>
      <c r="BX197" s="173">
        <f t="shared" si="203"/>
        <v>0</v>
      </c>
      <c r="BY197" s="173">
        <f t="shared" si="204"/>
        <v>0</v>
      </c>
      <c r="BZ197" s="173">
        <f t="shared" si="205"/>
        <v>0</v>
      </c>
      <c r="CA197" s="173">
        <f t="shared" si="206"/>
        <v>8521.2725778101558</v>
      </c>
      <c r="CB197" s="173">
        <f t="shared" si="206"/>
        <v>-2350</v>
      </c>
      <c r="CC197" s="173">
        <f t="shared" si="207"/>
        <v>0</v>
      </c>
      <c r="CD197" s="173">
        <f t="shared" si="208"/>
        <v>0</v>
      </c>
      <c r="CE197" s="173">
        <f t="shared" si="209"/>
        <v>0</v>
      </c>
      <c r="CF197" s="173">
        <f t="shared" si="210"/>
        <v>0</v>
      </c>
      <c r="CG197" s="173">
        <f t="shared" si="211"/>
        <v>8853.8788634082011</v>
      </c>
      <c r="CH197" s="173">
        <f t="shared" si="211"/>
        <v>-2350</v>
      </c>
      <c r="CI197" s="173">
        <f t="shared" si="212"/>
        <v>0</v>
      </c>
      <c r="CJ197" s="173">
        <f t="shared" si="213"/>
        <v>0</v>
      </c>
      <c r="CK197" s="173">
        <f t="shared" si="214"/>
        <v>0</v>
      </c>
      <c r="CL197" s="173">
        <f t="shared" si="215"/>
        <v>0</v>
      </c>
      <c r="CM197" s="173">
        <f t="shared" si="216"/>
        <v>9186.4851490062501</v>
      </c>
      <c r="CN197" s="173">
        <f t="shared" si="216"/>
        <v>-2350</v>
      </c>
      <c r="CO197" s="173">
        <f t="shared" si="217"/>
        <v>0</v>
      </c>
      <c r="CP197" s="173">
        <f t="shared" si="218"/>
        <v>0</v>
      </c>
      <c r="CQ197" s="173">
        <f t="shared" si="219"/>
        <v>0</v>
      </c>
      <c r="CR197" s="173">
        <f t="shared" si="220"/>
        <v>0</v>
      </c>
      <c r="CS197" s="173">
        <f t="shared" si="221"/>
        <v>9519.0914346042955</v>
      </c>
      <c r="CT197" s="173">
        <f t="shared" si="221"/>
        <v>-2350</v>
      </c>
      <c r="CU197" s="173">
        <f t="shared" si="222"/>
        <v>0</v>
      </c>
      <c r="CV197" s="173">
        <f t="shared" si="223"/>
        <v>0</v>
      </c>
      <c r="CW197" s="173">
        <f t="shared" si="224"/>
        <v>0</v>
      </c>
      <c r="CX197" s="173">
        <f t="shared" si="225"/>
        <v>0</v>
      </c>
      <c r="CY197" s="173">
        <f t="shared" si="226"/>
        <v>9851.6977202023445</v>
      </c>
      <c r="CZ197" s="173">
        <f t="shared" si="226"/>
        <v>-2350</v>
      </c>
      <c r="DA197" s="173">
        <f t="shared" si="227"/>
        <v>0</v>
      </c>
      <c r="DB197" s="173">
        <f t="shared" si="228"/>
        <v>0</v>
      </c>
      <c r="DC197" s="173">
        <f t="shared" si="229"/>
        <v>0</v>
      </c>
      <c r="DD197" s="173">
        <f t="shared" si="230"/>
        <v>0</v>
      </c>
      <c r="DE197" s="173">
        <f t="shared" si="231"/>
        <v>10184.30400580039</v>
      </c>
    </row>
    <row r="198" spans="1:109" ht="15" customHeight="1" x14ac:dyDescent="0.25">
      <c r="A198" s="121"/>
      <c r="B198" s="334"/>
      <c r="C198" s="180">
        <f>C199+$G$458</f>
        <v>52</v>
      </c>
      <c r="D198" s="157">
        <f t="shared" si="176"/>
        <v>0.2549046631807419</v>
      </c>
      <c r="E198" s="157">
        <f t="shared" si="177"/>
        <v>0.26611682096936806</v>
      </c>
      <c r="F198" s="157">
        <f t="shared" si="178"/>
        <v>0.27694533637841201</v>
      </c>
      <c r="G198" s="157">
        <f t="shared" si="179"/>
        <v>0.28741853836877418</v>
      </c>
      <c r="H198" s="157">
        <f t="shared" si="180"/>
        <v>0.29756162962574817</v>
      </c>
      <c r="I198" s="157">
        <f t="shared" si="181"/>
        <v>0.30739713710456584</v>
      </c>
      <c r="J198" s="157">
        <f t="shared" si="182"/>
        <v>0.31694528348699968</v>
      </c>
      <c r="K198" s="157">
        <f t="shared" si="183"/>
        <v>0.32622429587780966</v>
      </c>
      <c r="L198" s="157">
        <f t="shared" si="184"/>
        <v>0.33525066396395853</v>
      </c>
      <c r="M198" s="121"/>
      <c r="N198" s="121"/>
      <c r="O198" s="121"/>
      <c r="P198" s="121"/>
      <c r="Q198" s="121"/>
      <c r="AT198" s="154">
        <f t="shared" si="185"/>
        <v>0</v>
      </c>
      <c r="AU198" s="154">
        <f t="shared" si="185"/>
        <v>0</v>
      </c>
      <c r="AV198" s="154">
        <f t="shared" si="185"/>
        <v>0</v>
      </c>
      <c r="AW198" s="154">
        <f t="shared" si="185"/>
        <v>1</v>
      </c>
      <c r="AX198" s="154">
        <f t="shared" si="185"/>
        <v>2</v>
      </c>
      <c r="AY198" s="154">
        <f t="shared" si="185"/>
        <v>3</v>
      </c>
      <c r="AZ198" s="154">
        <f t="shared" si="185"/>
        <v>5</v>
      </c>
      <c r="BA198" s="154">
        <f t="shared" si="185"/>
        <v>6</v>
      </c>
      <c r="BB198" s="154">
        <f t="shared" si="185"/>
        <v>7</v>
      </c>
      <c r="BD198" s="173">
        <f t="shared" si="186"/>
        <v>-2350</v>
      </c>
      <c r="BE198" s="173">
        <f t="shared" si="187"/>
        <v>0</v>
      </c>
      <c r="BF198" s="173">
        <f t="shared" si="188"/>
        <v>0</v>
      </c>
      <c r="BG198" s="173">
        <f t="shared" si="189"/>
        <v>0</v>
      </c>
      <c r="BH198" s="173">
        <f t="shared" si="190"/>
        <v>0</v>
      </c>
      <c r="BI198" s="173">
        <f t="shared" si="191"/>
        <v>7313.4370554435809</v>
      </c>
      <c r="BJ198" s="173">
        <f t="shared" si="191"/>
        <v>-2350</v>
      </c>
      <c r="BK198" s="173">
        <f t="shared" si="192"/>
        <v>0</v>
      </c>
      <c r="BL198" s="173">
        <f t="shared" si="193"/>
        <v>0</v>
      </c>
      <c r="BM198" s="173">
        <f t="shared" si="194"/>
        <v>0</v>
      </c>
      <c r="BN198" s="173">
        <f t="shared" si="195"/>
        <v>0</v>
      </c>
      <c r="BO198" s="173">
        <f t="shared" si="196"/>
        <v>7646.0433410416281</v>
      </c>
      <c r="BP198" s="173">
        <f t="shared" si="196"/>
        <v>-2350</v>
      </c>
      <c r="BQ198" s="173">
        <f t="shared" si="197"/>
        <v>0</v>
      </c>
      <c r="BR198" s="173">
        <f t="shared" si="198"/>
        <v>0</v>
      </c>
      <c r="BS198" s="173">
        <f t="shared" si="199"/>
        <v>0</v>
      </c>
      <c r="BT198" s="173">
        <f t="shared" si="200"/>
        <v>0</v>
      </c>
      <c r="BU198" s="173">
        <f t="shared" si="201"/>
        <v>7978.6496266396753</v>
      </c>
      <c r="BV198" s="173">
        <f t="shared" si="201"/>
        <v>-2350</v>
      </c>
      <c r="BW198" s="173">
        <f t="shared" si="202"/>
        <v>0</v>
      </c>
      <c r="BX198" s="173">
        <f t="shared" si="203"/>
        <v>0</v>
      </c>
      <c r="BY198" s="173">
        <f t="shared" si="204"/>
        <v>0</v>
      </c>
      <c r="BZ198" s="173">
        <f t="shared" si="205"/>
        <v>0</v>
      </c>
      <c r="CA198" s="173">
        <f t="shared" si="206"/>
        <v>8311.2559122377224</v>
      </c>
      <c r="CB198" s="173">
        <f t="shared" si="206"/>
        <v>-2350</v>
      </c>
      <c r="CC198" s="173">
        <f t="shared" si="207"/>
        <v>0</v>
      </c>
      <c r="CD198" s="173">
        <f t="shared" si="208"/>
        <v>0</v>
      </c>
      <c r="CE198" s="173">
        <f t="shared" si="209"/>
        <v>0</v>
      </c>
      <c r="CF198" s="173">
        <f t="shared" si="210"/>
        <v>0</v>
      </c>
      <c r="CG198" s="173">
        <f t="shared" si="211"/>
        <v>8643.8621978357696</v>
      </c>
      <c r="CH198" s="173">
        <f t="shared" si="211"/>
        <v>-2350</v>
      </c>
      <c r="CI198" s="173">
        <f t="shared" si="212"/>
        <v>0</v>
      </c>
      <c r="CJ198" s="173">
        <f t="shared" si="213"/>
        <v>0</v>
      </c>
      <c r="CK198" s="173">
        <f t="shared" si="214"/>
        <v>0</v>
      </c>
      <c r="CL198" s="173">
        <f t="shared" si="215"/>
        <v>0</v>
      </c>
      <c r="CM198" s="173">
        <f t="shared" si="216"/>
        <v>8976.4684834338168</v>
      </c>
      <c r="CN198" s="173">
        <f t="shared" si="216"/>
        <v>-2350</v>
      </c>
      <c r="CO198" s="173">
        <f t="shared" si="217"/>
        <v>0</v>
      </c>
      <c r="CP198" s="173">
        <f t="shared" si="218"/>
        <v>0</v>
      </c>
      <c r="CQ198" s="173">
        <f t="shared" si="219"/>
        <v>0</v>
      </c>
      <c r="CR198" s="173">
        <f t="shared" si="220"/>
        <v>0</v>
      </c>
      <c r="CS198" s="173">
        <f t="shared" si="221"/>
        <v>9309.074769031864</v>
      </c>
      <c r="CT198" s="173">
        <f t="shared" si="221"/>
        <v>-2350</v>
      </c>
      <c r="CU198" s="173">
        <f t="shared" si="222"/>
        <v>0</v>
      </c>
      <c r="CV198" s="173">
        <f t="shared" si="223"/>
        <v>0</v>
      </c>
      <c r="CW198" s="173">
        <f t="shared" si="224"/>
        <v>0</v>
      </c>
      <c r="CX198" s="173">
        <f t="shared" si="225"/>
        <v>0</v>
      </c>
      <c r="CY198" s="173">
        <f t="shared" si="226"/>
        <v>9641.6810546299112</v>
      </c>
      <c r="CZ198" s="173">
        <f t="shared" si="226"/>
        <v>-2350</v>
      </c>
      <c r="DA198" s="173">
        <f t="shared" si="227"/>
        <v>0</v>
      </c>
      <c r="DB198" s="173">
        <f t="shared" si="228"/>
        <v>0</v>
      </c>
      <c r="DC198" s="173">
        <f t="shared" si="229"/>
        <v>0</v>
      </c>
      <c r="DD198" s="173">
        <f t="shared" si="230"/>
        <v>0</v>
      </c>
      <c r="DE198" s="173">
        <f t="shared" si="231"/>
        <v>9974.2873402279583</v>
      </c>
    </row>
    <row r="199" spans="1:109" ht="15" customHeight="1" x14ac:dyDescent="0.25">
      <c r="A199" s="121"/>
      <c r="B199" s="334"/>
      <c r="C199" s="180">
        <f>$G$457</f>
        <v>48</v>
      </c>
      <c r="D199" s="157">
        <f t="shared" si="176"/>
        <v>0.24761311388791962</v>
      </c>
      <c r="E199" s="157">
        <f t="shared" si="177"/>
        <v>0.25908373981303301</v>
      </c>
      <c r="F199" s="157">
        <f t="shared" si="178"/>
        <v>0.27015098157094575</v>
      </c>
      <c r="G199" s="157">
        <f t="shared" si="179"/>
        <v>0.28084541841584931</v>
      </c>
      <c r="H199" s="159">
        <f t="shared" si="180"/>
        <v>0.29119416880747617</v>
      </c>
      <c r="I199" s="157">
        <f t="shared" si="181"/>
        <v>0.30122140139452713</v>
      </c>
      <c r="J199" s="157">
        <f t="shared" si="182"/>
        <v>0.31094875427053492</v>
      </c>
      <c r="K199" s="157">
        <f t="shared" si="183"/>
        <v>0.32039568158616216</v>
      </c>
      <c r="L199" s="157">
        <f t="shared" si="184"/>
        <v>0.32957974239339749</v>
      </c>
      <c r="M199" s="121"/>
      <c r="N199" s="121"/>
      <c r="O199" s="121"/>
      <c r="P199" s="121"/>
      <c r="Q199" s="121"/>
      <c r="AT199" s="154">
        <f t="shared" si="185"/>
        <v>0</v>
      </c>
      <c r="AU199" s="154">
        <f t="shared" si="185"/>
        <v>0</v>
      </c>
      <c r="AV199" s="154">
        <f t="shared" si="185"/>
        <v>0</v>
      </c>
      <c r="AW199" s="154">
        <f t="shared" si="185"/>
        <v>2</v>
      </c>
      <c r="AX199" s="154">
        <f t="shared" si="185"/>
        <v>3</v>
      </c>
      <c r="AY199" s="154">
        <f t="shared" si="185"/>
        <v>4</v>
      </c>
      <c r="AZ199" s="154">
        <f t="shared" si="185"/>
        <v>5</v>
      </c>
      <c r="BA199" s="154">
        <f t="shared" si="185"/>
        <v>7</v>
      </c>
      <c r="BB199" s="154">
        <f t="shared" si="185"/>
        <v>8</v>
      </c>
      <c r="BD199" s="173">
        <f t="shared" si="186"/>
        <v>-2350</v>
      </c>
      <c r="BE199" s="173">
        <f t="shared" si="187"/>
        <v>0</v>
      </c>
      <c r="BF199" s="173">
        <f t="shared" si="188"/>
        <v>0</v>
      </c>
      <c r="BG199" s="173">
        <f t="shared" si="189"/>
        <v>0</v>
      </c>
      <c r="BH199" s="173">
        <f t="shared" si="190"/>
        <v>0</v>
      </c>
      <c r="BI199" s="173">
        <f t="shared" si="191"/>
        <v>7103.4203898711494</v>
      </c>
      <c r="BJ199" s="173">
        <f t="shared" si="191"/>
        <v>-2350</v>
      </c>
      <c r="BK199" s="173">
        <f t="shared" si="192"/>
        <v>0</v>
      </c>
      <c r="BL199" s="173">
        <f t="shared" si="193"/>
        <v>0</v>
      </c>
      <c r="BM199" s="173">
        <f t="shared" si="194"/>
        <v>0</v>
      </c>
      <c r="BN199" s="173">
        <f t="shared" si="195"/>
        <v>0</v>
      </c>
      <c r="BO199" s="173">
        <f t="shared" si="196"/>
        <v>7436.0266754691947</v>
      </c>
      <c r="BP199" s="173">
        <f t="shared" si="196"/>
        <v>-2350</v>
      </c>
      <c r="BQ199" s="173">
        <f t="shared" si="197"/>
        <v>0</v>
      </c>
      <c r="BR199" s="173">
        <f t="shared" si="198"/>
        <v>0</v>
      </c>
      <c r="BS199" s="173">
        <f t="shared" si="199"/>
        <v>0</v>
      </c>
      <c r="BT199" s="173">
        <f t="shared" si="200"/>
        <v>0</v>
      </c>
      <c r="BU199" s="173">
        <f t="shared" si="201"/>
        <v>7768.6329610672419</v>
      </c>
      <c r="BV199" s="173">
        <f t="shared" si="201"/>
        <v>-2350</v>
      </c>
      <c r="BW199" s="173">
        <f t="shared" si="202"/>
        <v>0</v>
      </c>
      <c r="BX199" s="173">
        <f t="shared" si="203"/>
        <v>0</v>
      </c>
      <c r="BY199" s="173">
        <f t="shared" si="204"/>
        <v>0</v>
      </c>
      <c r="BZ199" s="173">
        <f t="shared" si="205"/>
        <v>0</v>
      </c>
      <c r="CA199" s="173">
        <f t="shared" si="206"/>
        <v>8101.2392466652891</v>
      </c>
      <c r="CB199" s="173">
        <f t="shared" si="206"/>
        <v>-2350</v>
      </c>
      <c r="CC199" s="173">
        <f t="shared" si="207"/>
        <v>0</v>
      </c>
      <c r="CD199" s="173">
        <f t="shared" si="208"/>
        <v>0</v>
      </c>
      <c r="CE199" s="173">
        <f t="shared" si="209"/>
        <v>0</v>
      </c>
      <c r="CF199" s="173">
        <f t="shared" si="210"/>
        <v>0</v>
      </c>
      <c r="CG199" s="173">
        <f t="shared" si="211"/>
        <v>8433.8455322633381</v>
      </c>
      <c r="CH199" s="173">
        <f t="shared" si="211"/>
        <v>-2350</v>
      </c>
      <c r="CI199" s="173">
        <f t="shared" si="212"/>
        <v>0</v>
      </c>
      <c r="CJ199" s="173">
        <f t="shared" si="213"/>
        <v>0</v>
      </c>
      <c r="CK199" s="173">
        <f t="shared" si="214"/>
        <v>0</v>
      </c>
      <c r="CL199" s="173">
        <f t="shared" si="215"/>
        <v>0</v>
      </c>
      <c r="CM199" s="173">
        <f t="shared" si="216"/>
        <v>8766.4518178613835</v>
      </c>
      <c r="CN199" s="173">
        <f t="shared" si="216"/>
        <v>-2350</v>
      </c>
      <c r="CO199" s="173">
        <f t="shared" si="217"/>
        <v>0</v>
      </c>
      <c r="CP199" s="173">
        <f t="shared" si="218"/>
        <v>0</v>
      </c>
      <c r="CQ199" s="173">
        <f t="shared" si="219"/>
        <v>0</v>
      </c>
      <c r="CR199" s="173">
        <f t="shared" si="220"/>
        <v>0</v>
      </c>
      <c r="CS199" s="173">
        <f t="shared" si="221"/>
        <v>9099.0581034594325</v>
      </c>
      <c r="CT199" s="173">
        <f t="shared" si="221"/>
        <v>-2350</v>
      </c>
      <c r="CU199" s="173">
        <f t="shared" si="222"/>
        <v>0</v>
      </c>
      <c r="CV199" s="173">
        <f t="shared" si="223"/>
        <v>0</v>
      </c>
      <c r="CW199" s="173">
        <f t="shared" si="224"/>
        <v>0</v>
      </c>
      <c r="CX199" s="173">
        <f t="shared" si="225"/>
        <v>0</v>
      </c>
      <c r="CY199" s="173">
        <f t="shared" si="226"/>
        <v>9431.6643890574778</v>
      </c>
      <c r="CZ199" s="173">
        <f t="shared" si="226"/>
        <v>-2350</v>
      </c>
      <c r="DA199" s="173">
        <f t="shared" si="227"/>
        <v>0</v>
      </c>
      <c r="DB199" s="173">
        <f t="shared" si="228"/>
        <v>0</v>
      </c>
      <c r="DC199" s="173">
        <f t="shared" si="229"/>
        <v>0</v>
      </c>
      <c r="DD199" s="173">
        <f t="shared" si="230"/>
        <v>0</v>
      </c>
      <c r="DE199" s="173">
        <f t="shared" si="231"/>
        <v>9764.2706746555268</v>
      </c>
    </row>
    <row r="200" spans="1:109" ht="15" customHeight="1" x14ac:dyDescent="0.25">
      <c r="A200" s="121"/>
      <c r="B200" s="334"/>
      <c r="C200" s="180">
        <f>C199-$G$458</f>
        <v>44</v>
      </c>
      <c r="D200" s="157">
        <f t="shared" si="176"/>
        <v>0.24014700975511794</v>
      </c>
      <c r="E200" s="157">
        <f t="shared" si="177"/>
        <v>0.25188991058091892</v>
      </c>
      <c r="F200" s="157">
        <f t="shared" si="178"/>
        <v>0.26320805817795923</v>
      </c>
      <c r="G200" s="157">
        <f t="shared" si="179"/>
        <v>0.27413453186827819</v>
      </c>
      <c r="H200" s="157">
        <f t="shared" si="180"/>
        <v>0.28469856911304725</v>
      </c>
      <c r="I200" s="157">
        <f t="shared" si="181"/>
        <v>0.29492614704008768</v>
      </c>
      <c r="J200" s="157">
        <f t="shared" si="182"/>
        <v>0.30484045704025942</v>
      </c>
      <c r="K200" s="157">
        <f t="shared" si="183"/>
        <v>0.31446229526005998</v>
      </c>
      <c r="L200" s="157">
        <f t="shared" si="184"/>
        <v>0.32381038647462579</v>
      </c>
      <c r="M200" s="121"/>
      <c r="N200" s="121"/>
      <c r="O200" s="121"/>
      <c r="P200" s="121"/>
      <c r="Q200" s="121"/>
      <c r="AT200" s="154">
        <f t="shared" si="185"/>
        <v>0</v>
      </c>
      <c r="AU200" s="154">
        <f t="shared" si="185"/>
        <v>0</v>
      </c>
      <c r="AV200" s="154">
        <f t="shared" si="185"/>
        <v>1</v>
      </c>
      <c r="AW200" s="154">
        <f t="shared" si="185"/>
        <v>2</v>
      </c>
      <c r="AX200" s="154">
        <f t="shared" si="185"/>
        <v>4</v>
      </c>
      <c r="AY200" s="154">
        <f t="shared" si="185"/>
        <v>5</v>
      </c>
      <c r="AZ200" s="154">
        <f t="shared" si="185"/>
        <v>6</v>
      </c>
      <c r="BA200" s="154">
        <f t="shared" si="185"/>
        <v>8</v>
      </c>
      <c r="BB200" s="154">
        <f t="shared" si="185"/>
        <v>9</v>
      </c>
      <c r="BD200" s="173">
        <f t="shared" si="186"/>
        <v>-2350</v>
      </c>
      <c r="BE200" s="173">
        <f t="shared" si="187"/>
        <v>0</v>
      </c>
      <c r="BF200" s="173">
        <f t="shared" si="188"/>
        <v>0</v>
      </c>
      <c r="BG200" s="173">
        <f t="shared" si="189"/>
        <v>0</v>
      </c>
      <c r="BH200" s="173">
        <f t="shared" si="190"/>
        <v>0</v>
      </c>
      <c r="BI200" s="173">
        <f t="shared" si="191"/>
        <v>6893.4037242987151</v>
      </c>
      <c r="BJ200" s="173">
        <f t="shared" si="191"/>
        <v>-2350</v>
      </c>
      <c r="BK200" s="173">
        <f t="shared" si="192"/>
        <v>0</v>
      </c>
      <c r="BL200" s="173">
        <f t="shared" si="193"/>
        <v>0</v>
      </c>
      <c r="BM200" s="173">
        <f t="shared" si="194"/>
        <v>0</v>
      </c>
      <c r="BN200" s="173">
        <f t="shared" si="195"/>
        <v>0</v>
      </c>
      <c r="BO200" s="173">
        <f t="shared" si="196"/>
        <v>7226.0100098967614</v>
      </c>
      <c r="BP200" s="173">
        <f t="shared" si="196"/>
        <v>-2350</v>
      </c>
      <c r="BQ200" s="173">
        <f t="shared" si="197"/>
        <v>0</v>
      </c>
      <c r="BR200" s="173">
        <f t="shared" si="198"/>
        <v>0</v>
      </c>
      <c r="BS200" s="173">
        <f t="shared" si="199"/>
        <v>0</v>
      </c>
      <c r="BT200" s="173">
        <f t="shared" si="200"/>
        <v>0</v>
      </c>
      <c r="BU200" s="173">
        <f t="shared" si="201"/>
        <v>7558.6162954948086</v>
      </c>
      <c r="BV200" s="173">
        <f t="shared" si="201"/>
        <v>-2350</v>
      </c>
      <c r="BW200" s="173">
        <f t="shared" si="202"/>
        <v>0</v>
      </c>
      <c r="BX200" s="173">
        <f t="shared" si="203"/>
        <v>0</v>
      </c>
      <c r="BY200" s="173">
        <f t="shared" si="204"/>
        <v>0</v>
      </c>
      <c r="BZ200" s="173">
        <f t="shared" si="205"/>
        <v>0</v>
      </c>
      <c r="CA200" s="173">
        <f t="shared" si="206"/>
        <v>7891.2225810928558</v>
      </c>
      <c r="CB200" s="173">
        <f t="shared" si="206"/>
        <v>-2350</v>
      </c>
      <c r="CC200" s="173">
        <f t="shared" si="207"/>
        <v>0</v>
      </c>
      <c r="CD200" s="173">
        <f t="shared" si="208"/>
        <v>0</v>
      </c>
      <c r="CE200" s="173">
        <f t="shared" si="209"/>
        <v>0</v>
      </c>
      <c r="CF200" s="173">
        <f t="shared" si="210"/>
        <v>0</v>
      </c>
      <c r="CG200" s="173">
        <f t="shared" si="211"/>
        <v>8223.8288666909029</v>
      </c>
      <c r="CH200" s="173">
        <f t="shared" si="211"/>
        <v>-2350</v>
      </c>
      <c r="CI200" s="173">
        <f t="shared" si="212"/>
        <v>0</v>
      </c>
      <c r="CJ200" s="173">
        <f t="shared" si="213"/>
        <v>0</v>
      </c>
      <c r="CK200" s="173">
        <f t="shared" si="214"/>
        <v>0</v>
      </c>
      <c r="CL200" s="173">
        <f t="shared" si="215"/>
        <v>0</v>
      </c>
      <c r="CM200" s="173">
        <f t="shared" si="216"/>
        <v>8556.4351522889501</v>
      </c>
      <c r="CN200" s="173">
        <f t="shared" si="216"/>
        <v>-2350</v>
      </c>
      <c r="CO200" s="173">
        <f t="shared" si="217"/>
        <v>0</v>
      </c>
      <c r="CP200" s="173">
        <f t="shared" si="218"/>
        <v>0</v>
      </c>
      <c r="CQ200" s="173">
        <f t="shared" si="219"/>
        <v>0</v>
      </c>
      <c r="CR200" s="173">
        <f t="shared" si="220"/>
        <v>0</v>
      </c>
      <c r="CS200" s="173">
        <f t="shared" si="221"/>
        <v>8889.0414378869973</v>
      </c>
      <c r="CT200" s="173">
        <f t="shared" si="221"/>
        <v>-2350</v>
      </c>
      <c r="CU200" s="173">
        <f t="shared" si="222"/>
        <v>0</v>
      </c>
      <c r="CV200" s="173">
        <f t="shared" si="223"/>
        <v>0</v>
      </c>
      <c r="CW200" s="173">
        <f t="shared" si="224"/>
        <v>0</v>
      </c>
      <c r="CX200" s="173">
        <f t="shared" si="225"/>
        <v>0</v>
      </c>
      <c r="CY200" s="173">
        <f t="shared" si="226"/>
        <v>9221.6477234850445</v>
      </c>
      <c r="CZ200" s="173">
        <f t="shared" si="226"/>
        <v>-2350</v>
      </c>
      <c r="DA200" s="173">
        <f t="shared" si="227"/>
        <v>0</v>
      </c>
      <c r="DB200" s="173">
        <f t="shared" si="228"/>
        <v>0</v>
      </c>
      <c r="DC200" s="173">
        <f t="shared" si="229"/>
        <v>0</v>
      </c>
      <c r="DD200" s="173">
        <f t="shared" si="230"/>
        <v>0</v>
      </c>
      <c r="DE200" s="173">
        <f t="shared" si="231"/>
        <v>9554.2540090830917</v>
      </c>
    </row>
    <row r="201" spans="1:109" ht="15" customHeight="1" x14ac:dyDescent="0.25">
      <c r="A201" s="121"/>
      <c r="B201" s="334"/>
      <c r="C201" s="180">
        <f>C200-$G$458</f>
        <v>40</v>
      </c>
      <c r="D201" s="157">
        <f t="shared" si="176"/>
        <v>0.23249665769493277</v>
      </c>
      <c r="E201" s="157">
        <f t="shared" si="177"/>
        <v>0.24452682278430005</v>
      </c>
      <c r="F201" s="157">
        <f t="shared" si="178"/>
        <v>0.25610905069013246</v>
      </c>
      <c r="G201" s="157">
        <f t="shared" si="179"/>
        <v>0.26727920666608385</v>
      </c>
      <c r="H201" s="157">
        <f t="shared" si="180"/>
        <v>0.27806887842667893</v>
      </c>
      <c r="I201" s="157">
        <f t="shared" si="181"/>
        <v>0.28850604034302929</v>
      </c>
      <c r="J201" s="157">
        <f t="shared" si="182"/>
        <v>0.29861559245991032</v>
      </c>
      <c r="K201" s="157">
        <f t="shared" si="183"/>
        <v>0.30841980178566075</v>
      </c>
      <c r="L201" s="157">
        <f t="shared" si="184"/>
        <v>0.31793866640928337</v>
      </c>
      <c r="M201" s="121"/>
      <c r="N201" s="121"/>
      <c r="O201" s="121"/>
      <c r="P201" s="121"/>
      <c r="Q201" s="121"/>
      <c r="AT201" s="154">
        <f t="shared" si="185"/>
        <v>0</v>
      </c>
      <c r="AU201" s="154">
        <f t="shared" si="185"/>
        <v>1</v>
      </c>
      <c r="AV201" s="154">
        <f t="shared" si="185"/>
        <v>2</v>
      </c>
      <c r="AW201" s="154">
        <f t="shared" si="185"/>
        <v>3</v>
      </c>
      <c r="AX201" s="154">
        <f t="shared" si="185"/>
        <v>4</v>
      </c>
      <c r="AY201" s="154">
        <f t="shared" si="185"/>
        <v>6</v>
      </c>
      <c r="AZ201" s="154">
        <f t="shared" si="185"/>
        <v>7</v>
      </c>
      <c r="BA201" s="154">
        <f t="shared" si="185"/>
        <v>8</v>
      </c>
      <c r="BB201" s="154">
        <f t="shared" si="185"/>
        <v>10</v>
      </c>
      <c r="BD201" s="173">
        <f t="shared" si="186"/>
        <v>-2350</v>
      </c>
      <c r="BE201" s="173">
        <f t="shared" si="187"/>
        <v>0</v>
      </c>
      <c r="BF201" s="173">
        <f t="shared" si="188"/>
        <v>0</v>
      </c>
      <c r="BG201" s="173">
        <f t="shared" si="189"/>
        <v>0</v>
      </c>
      <c r="BH201" s="173">
        <f t="shared" si="190"/>
        <v>0</v>
      </c>
      <c r="BI201" s="173">
        <f t="shared" si="191"/>
        <v>6683.3870587262827</v>
      </c>
      <c r="BJ201" s="173">
        <f t="shared" si="191"/>
        <v>-2350</v>
      </c>
      <c r="BK201" s="173">
        <f t="shared" si="192"/>
        <v>0</v>
      </c>
      <c r="BL201" s="173">
        <f t="shared" si="193"/>
        <v>0</v>
      </c>
      <c r="BM201" s="173">
        <f t="shared" si="194"/>
        <v>0</v>
      </c>
      <c r="BN201" s="173">
        <f t="shared" si="195"/>
        <v>0</v>
      </c>
      <c r="BO201" s="173">
        <f t="shared" si="196"/>
        <v>7015.9933443243299</v>
      </c>
      <c r="BP201" s="173">
        <f t="shared" si="196"/>
        <v>-2350</v>
      </c>
      <c r="BQ201" s="173">
        <f t="shared" si="197"/>
        <v>0</v>
      </c>
      <c r="BR201" s="173">
        <f t="shared" si="198"/>
        <v>0</v>
      </c>
      <c r="BS201" s="173">
        <f t="shared" si="199"/>
        <v>0</v>
      </c>
      <c r="BT201" s="173">
        <f t="shared" si="200"/>
        <v>0</v>
      </c>
      <c r="BU201" s="173">
        <f t="shared" si="201"/>
        <v>7348.5996299223771</v>
      </c>
      <c r="BV201" s="173">
        <f t="shared" si="201"/>
        <v>-2350</v>
      </c>
      <c r="BW201" s="173">
        <f t="shared" si="202"/>
        <v>0</v>
      </c>
      <c r="BX201" s="173">
        <f t="shared" si="203"/>
        <v>0</v>
      </c>
      <c r="BY201" s="173">
        <f t="shared" si="204"/>
        <v>0</v>
      </c>
      <c r="BZ201" s="173">
        <f t="shared" si="205"/>
        <v>0</v>
      </c>
      <c r="CA201" s="173">
        <f t="shared" si="206"/>
        <v>7681.2059155204242</v>
      </c>
      <c r="CB201" s="173">
        <f t="shared" si="206"/>
        <v>-2350</v>
      </c>
      <c r="CC201" s="173">
        <f t="shared" si="207"/>
        <v>0</v>
      </c>
      <c r="CD201" s="173">
        <f t="shared" si="208"/>
        <v>0</v>
      </c>
      <c r="CE201" s="173">
        <f t="shared" si="209"/>
        <v>0</v>
      </c>
      <c r="CF201" s="173">
        <f t="shared" si="210"/>
        <v>0</v>
      </c>
      <c r="CG201" s="173">
        <f t="shared" si="211"/>
        <v>8013.8122011184714</v>
      </c>
      <c r="CH201" s="173">
        <f t="shared" si="211"/>
        <v>-2350</v>
      </c>
      <c r="CI201" s="173">
        <f t="shared" si="212"/>
        <v>0</v>
      </c>
      <c r="CJ201" s="173">
        <f t="shared" si="213"/>
        <v>0</v>
      </c>
      <c r="CK201" s="173">
        <f t="shared" si="214"/>
        <v>0</v>
      </c>
      <c r="CL201" s="173">
        <f t="shared" si="215"/>
        <v>0</v>
      </c>
      <c r="CM201" s="173">
        <f t="shared" si="216"/>
        <v>8346.4184867165168</v>
      </c>
      <c r="CN201" s="173">
        <f t="shared" si="216"/>
        <v>-2350</v>
      </c>
      <c r="CO201" s="173">
        <f t="shared" si="217"/>
        <v>0</v>
      </c>
      <c r="CP201" s="173">
        <f t="shared" si="218"/>
        <v>0</v>
      </c>
      <c r="CQ201" s="173">
        <f t="shared" si="219"/>
        <v>0</v>
      </c>
      <c r="CR201" s="173">
        <f t="shared" si="220"/>
        <v>0</v>
      </c>
      <c r="CS201" s="173">
        <f t="shared" si="221"/>
        <v>8679.0247723145658</v>
      </c>
      <c r="CT201" s="173">
        <f t="shared" si="221"/>
        <v>-2350</v>
      </c>
      <c r="CU201" s="173">
        <f t="shared" si="222"/>
        <v>0</v>
      </c>
      <c r="CV201" s="173">
        <f t="shared" si="223"/>
        <v>0</v>
      </c>
      <c r="CW201" s="173">
        <f t="shared" si="224"/>
        <v>0</v>
      </c>
      <c r="CX201" s="173">
        <f t="shared" si="225"/>
        <v>0</v>
      </c>
      <c r="CY201" s="173">
        <f t="shared" si="226"/>
        <v>9011.6310579126111</v>
      </c>
      <c r="CZ201" s="173">
        <f t="shared" si="226"/>
        <v>-2350</v>
      </c>
      <c r="DA201" s="173">
        <f t="shared" si="227"/>
        <v>0</v>
      </c>
      <c r="DB201" s="173">
        <f t="shared" si="228"/>
        <v>0</v>
      </c>
      <c r="DC201" s="173">
        <f t="shared" si="229"/>
        <v>0</v>
      </c>
      <c r="DD201" s="173">
        <f t="shared" si="230"/>
        <v>0</v>
      </c>
      <c r="DE201" s="173">
        <f t="shared" si="231"/>
        <v>9344.2373435106601</v>
      </c>
    </row>
    <row r="202" spans="1:109" ht="15" customHeight="1" x14ac:dyDescent="0.25">
      <c r="A202" s="121"/>
      <c r="B202" s="335"/>
      <c r="C202" s="179">
        <f>C201-$G$458</f>
        <v>36</v>
      </c>
      <c r="D202" s="155">
        <f t="shared" si="176"/>
        <v>0.22465150058569217</v>
      </c>
      <c r="E202" s="155">
        <f t="shared" si="177"/>
        <v>0.23698524374013186</v>
      </c>
      <c r="F202" s="155">
        <f t="shared" si="178"/>
        <v>0.24884583505459945</v>
      </c>
      <c r="G202" s="155">
        <f t="shared" si="179"/>
        <v>0.26027225416661315</v>
      </c>
      <c r="H202" s="155">
        <f t="shared" si="180"/>
        <v>0.27129870313073168</v>
      </c>
      <c r="I202" s="155">
        <f t="shared" si="181"/>
        <v>0.28195536792588594</v>
      </c>
      <c r="J202" s="155">
        <f t="shared" si="182"/>
        <v>0.29226903279131777</v>
      </c>
      <c r="K202" s="155">
        <f t="shared" si="183"/>
        <v>0.30226358043414159</v>
      </c>
      <c r="L202" s="155">
        <f t="shared" si="184"/>
        <v>0.31196040280016057</v>
      </c>
      <c r="M202" s="121"/>
      <c r="N202" s="121"/>
      <c r="O202" s="121"/>
      <c r="P202" s="121"/>
      <c r="Q202" s="121"/>
      <c r="AT202" s="154">
        <f t="shared" si="185"/>
        <v>0</v>
      </c>
      <c r="AU202" s="154">
        <f t="shared" si="185"/>
        <v>1</v>
      </c>
      <c r="AV202" s="154">
        <f t="shared" si="185"/>
        <v>3</v>
      </c>
      <c r="AW202" s="154">
        <f t="shared" si="185"/>
        <v>4</v>
      </c>
      <c r="AX202" s="154">
        <f t="shared" si="185"/>
        <v>5</v>
      </c>
      <c r="AY202" s="154">
        <f t="shared" si="185"/>
        <v>7</v>
      </c>
      <c r="AZ202" s="154">
        <f t="shared" si="185"/>
        <v>8</v>
      </c>
      <c r="BA202" s="154">
        <f t="shared" si="185"/>
        <v>9</v>
      </c>
      <c r="BB202" s="154">
        <f t="shared" si="185"/>
        <v>10</v>
      </c>
      <c r="BD202" s="173">
        <f t="shared" si="186"/>
        <v>-2350</v>
      </c>
      <c r="BE202" s="173">
        <f t="shared" si="187"/>
        <v>0</v>
      </c>
      <c r="BF202" s="173">
        <f t="shared" si="188"/>
        <v>0</v>
      </c>
      <c r="BG202" s="173">
        <f t="shared" si="189"/>
        <v>0</v>
      </c>
      <c r="BH202" s="173">
        <f t="shared" si="190"/>
        <v>0</v>
      </c>
      <c r="BI202" s="173">
        <f t="shared" si="191"/>
        <v>6473.3703931538494</v>
      </c>
      <c r="BJ202" s="173">
        <f t="shared" si="191"/>
        <v>-2350</v>
      </c>
      <c r="BK202" s="173">
        <f t="shared" si="192"/>
        <v>0</v>
      </c>
      <c r="BL202" s="173">
        <f t="shared" si="193"/>
        <v>0</v>
      </c>
      <c r="BM202" s="173">
        <f t="shared" si="194"/>
        <v>0</v>
      </c>
      <c r="BN202" s="173">
        <f t="shared" si="195"/>
        <v>0</v>
      </c>
      <c r="BO202" s="173">
        <f t="shared" si="196"/>
        <v>6805.9766787518965</v>
      </c>
      <c r="BP202" s="173">
        <f t="shared" si="196"/>
        <v>-2350</v>
      </c>
      <c r="BQ202" s="173">
        <f t="shared" si="197"/>
        <v>0</v>
      </c>
      <c r="BR202" s="173">
        <f t="shared" si="198"/>
        <v>0</v>
      </c>
      <c r="BS202" s="173">
        <f t="shared" si="199"/>
        <v>0</v>
      </c>
      <c r="BT202" s="173">
        <f t="shared" si="200"/>
        <v>0</v>
      </c>
      <c r="BU202" s="173">
        <f t="shared" si="201"/>
        <v>7138.5829643499437</v>
      </c>
      <c r="BV202" s="173">
        <f t="shared" si="201"/>
        <v>-2350</v>
      </c>
      <c r="BW202" s="173">
        <f t="shared" si="202"/>
        <v>0</v>
      </c>
      <c r="BX202" s="173">
        <f t="shared" si="203"/>
        <v>0</v>
      </c>
      <c r="BY202" s="173">
        <f t="shared" si="204"/>
        <v>0</v>
      </c>
      <c r="BZ202" s="173">
        <f t="shared" si="205"/>
        <v>0</v>
      </c>
      <c r="CA202" s="173">
        <f t="shared" si="206"/>
        <v>7471.1892499479909</v>
      </c>
      <c r="CB202" s="173">
        <f t="shared" si="206"/>
        <v>-2350</v>
      </c>
      <c r="CC202" s="173">
        <f t="shared" si="207"/>
        <v>0</v>
      </c>
      <c r="CD202" s="173">
        <f t="shared" si="208"/>
        <v>0</v>
      </c>
      <c r="CE202" s="173">
        <f t="shared" si="209"/>
        <v>0</v>
      </c>
      <c r="CF202" s="173">
        <f t="shared" si="210"/>
        <v>0</v>
      </c>
      <c r="CG202" s="173">
        <f t="shared" si="211"/>
        <v>7803.7955355460381</v>
      </c>
      <c r="CH202" s="173">
        <f t="shared" si="211"/>
        <v>-2350</v>
      </c>
      <c r="CI202" s="173">
        <f t="shared" si="212"/>
        <v>0</v>
      </c>
      <c r="CJ202" s="173">
        <f t="shared" si="213"/>
        <v>0</v>
      </c>
      <c r="CK202" s="173">
        <f t="shared" si="214"/>
        <v>0</v>
      </c>
      <c r="CL202" s="173">
        <f t="shared" si="215"/>
        <v>0</v>
      </c>
      <c r="CM202" s="173">
        <f t="shared" si="216"/>
        <v>8136.4018211440853</v>
      </c>
      <c r="CN202" s="173">
        <f t="shared" si="216"/>
        <v>-2350</v>
      </c>
      <c r="CO202" s="173">
        <f t="shared" si="217"/>
        <v>0</v>
      </c>
      <c r="CP202" s="173">
        <f t="shared" si="218"/>
        <v>0</v>
      </c>
      <c r="CQ202" s="173">
        <f t="shared" si="219"/>
        <v>0</v>
      </c>
      <c r="CR202" s="173">
        <f t="shared" si="220"/>
        <v>0</v>
      </c>
      <c r="CS202" s="173">
        <f t="shared" si="221"/>
        <v>8469.0081067421324</v>
      </c>
      <c r="CT202" s="173">
        <f t="shared" si="221"/>
        <v>-2350</v>
      </c>
      <c r="CU202" s="173">
        <f t="shared" si="222"/>
        <v>0</v>
      </c>
      <c r="CV202" s="173">
        <f t="shared" si="223"/>
        <v>0</v>
      </c>
      <c r="CW202" s="173">
        <f t="shared" si="224"/>
        <v>0</v>
      </c>
      <c r="CX202" s="173">
        <f t="shared" si="225"/>
        <v>0</v>
      </c>
      <c r="CY202" s="173">
        <f t="shared" si="226"/>
        <v>8801.6143923401796</v>
      </c>
      <c r="CZ202" s="173">
        <f t="shared" si="226"/>
        <v>-2350</v>
      </c>
      <c r="DA202" s="173">
        <f t="shared" si="227"/>
        <v>0</v>
      </c>
      <c r="DB202" s="173">
        <f t="shared" si="228"/>
        <v>0</v>
      </c>
      <c r="DC202" s="173">
        <f t="shared" si="229"/>
        <v>0</v>
      </c>
      <c r="DD202" s="173">
        <f t="shared" si="230"/>
        <v>0</v>
      </c>
      <c r="DE202" s="173">
        <f t="shared" si="231"/>
        <v>9134.2206779382268</v>
      </c>
    </row>
    <row r="203" spans="1:109" ht="15" hidden="1" customHeight="1" outlineLevel="1" x14ac:dyDescent="0.25">
      <c r="A203" s="121"/>
      <c r="B203" s="153" t="str">
        <f>"IRR: Yr 0 = cash at close less Keystone today; earnout Yr "&amp;$G$444&amp;"; Yr 5 = stake value; rollover fixed at "&amp;TEXT($G$436,"0%")</f>
        <v>IRR: Yr 0 = cash at close less Keystone today; earnout Yr 3; Yr 5 = stake value; rollover fixed at 30%</v>
      </c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</row>
    <row r="204" spans="1:109" ht="3.95" customHeight="1" collapsed="1" x14ac:dyDescent="0.25">
      <c r="A204" s="121"/>
      <c r="B204" s="153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</row>
    <row r="205" spans="1:109" ht="15" customHeight="1" x14ac:dyDescent="0.25">
      <c r="A205" s="121"/>
      <c r="B205" s="172" t="str">
        <f>"Ben's Return Profile Based on Partnering — Topkey Growth × Net Client Wins ("&amp;TEXT($G$436,"0%")&amp;" Rollover) — Less Standalone"</f>
        <v>Ben's Return Profile Based on Partnering — Topkey Growth × Net Client Wins (30% Rollover) — Less Standalone</v>
      </c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21"/>
      <c r="N205" s="121"/>
      <c r="O205" s="121"/>
      <c r="P205" s="121"/>
      <c r="Q205" s="121"/>
    </row>
    <row r="206" spans="1:109" ht="15" customHeight="1" x14ac:dyDescent="0.25">
      <c r="A206" s="121"/>
      <c r="B206" s="164" t="s">
        <v>330</v>
      </c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</row>
    <row r="207" spans="1:109" ht="2.1" customHeight="1" x14ac:dyDescent="0.25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</row>
    <row r="208" spans="1:109" ht="12.75" customHeight="1" x14ac:dyDescent="0.25">
      <c r="A208" s="121"/>
      <c r="B208" s="10"/>
      <c r="C208" s="10"/>
      <c r="D208" s="163" t="s">
        <v>287</v>
      </c>
      <c r="E208" s="163"/>
      <c r="F208" s="163"/>
      <c r="G208" s="163"/>
      <c r="H208" s="163"/>
      <c r="I208" s="163"/>
      <c r="J208" s="163"/>
      <c r="K208" s="163"/>
      <c r="L208" s="163"/>
      <c r="M208" s="121"/>
      <c r="N208" s="121"/>
      <c r="O208" s="121"/>
      <c r="P208" s="121"/>
      <c r="Q208" s="121"/>
      <c r="Z208" s="171" t="s">
        <v>329</v>
      </c>
      <c r="AA208" s="58"/>
      <c r="AB208" s="58"/>
      <c r="AC208" s="58"/>
      <c r="AD208" s="58"/>
      <c r="AE208" s="58"/>
      <c r="AF208" s="58"/>
      <c r="AG208" s="58"/>
      <c r="AH208" s="58"/>
    </row>
    <row r="209" spans="1:54" ht="12.75" customHeight="1" x14ac:dyDescent="0.25">
      <c r="A209" s="121"/>
      <c r="B209" s="10"/>
      <c r="C209" s="10"/>
      <c r="D209" s="181">
        <f>E209-$G$441</f>
        <v>1.0219039595619215</v>
      </c>
      <c r="E209" s="181">
        <f>F209-$G$441</f>
        <v>1.2719039595619215</v>
      </c>
      <c r="F209" s="181">
        <f>G209-$G$441</f>
        <v>1.5219039595619215</v>
      </c>
      <c r="G209" s="181">
        <f>H209-$G$441</f>
        <v>1.7719039595619215</v>
      </c>
      <c r="H209" s="181">
        <f>$G$440</f>
        <v>2.0219039595619215</v>
      </c>
      <c r="I209" s="181">
        <f>H209+$G$441</f>
        <v>2.2719039595619215</v>
      </c>
      <c r="J209" s="181">
        <f>I209+$G$441</f>
        <v>2.5219039595619215</v>
      </c>
      <c r="K209" s="181">
        <f>J209+$G$441</f>
        <v>2.7719039595619215</v>
      </c>
      <c r="L209" s="181">
        <f>K209+$G$441</f>
        <v>3.0219039595619215</v>
      </c>
      <c r="M209" s="121"/>
      <c r="N209" s="121"/>
      <c r="O209" s="121"/>
      <c r="P209" s="121"/>
      <c r="Q209" s="121"/>
      <c r="Z209" s="182">
        <f t="shared" ref="Z209:AH209" si="232">D$209</f>
        <v>1.0219039595619215</v>
      </c>
      <c r="AA209" s="182">
        <f t="shared" si="232"/>
        <v>1.2719039595619215</v>
      </c>
      <c r="AB209" s="182">
        <f t="shared" si="232"/>
        <v>1.5219039595619215</v>
      </c>
      <c r="AC209" s="182">
        <f t="shared" si="232"/>
        <v>1.7719039595619215</v>
      </c>
      <c r="AD209" s="182">
        <f t="shared" si="232"/>
        <v>2.0219039595619215</v>
      </c>
      <c r="AE209" s="182">
        <f t="shared" si="232"/>
        <v>2.2719039595619215</v>
      </c>
      <c r="AF209" s="182">
        <f t="shared" si="232"/>
        <v>2.5219039595619215</v>
      </c>
      <c r="AG209" s="182">
        <f t="shared" si="232"/>
        <v>2.7719039595619215</v>
      </c>
      <c r="AH209" s="182">
        <f t="shared" si="232"/>
        <v>3.0219039595619215</v>
      </c>
      <c r="AT209" s="161" t="s">
        <v>288</v>
      </c>
      <c r="AU209" s="160"/>
      <c r="AV209" s="160"/>
      <c r="AW209" s="160"/>
      <c r="AX209" s="160"/>
      <c r="AY209" s="160"/>
      <c r="AZ209" s="160"/>
      <c r="BA209" s="160"/>
      <c r="BB209" s="160"/>
    </row>
    <row r="210" spans="1:54" ht="15" customHeight="1" x14ac:dyDescent="0.25">
      <c r="A210" s="121"/>
      <c r="B210" s="333" t="s">
        <v>313</v>
      </c>
      <c r="C210" s="180">
        <f>C211+$G$458</f>
        <v>60</v>
      </c>
      <c r="D210" s="152">
        <f t="shared" ref="D210:L216" si="233">ROUND(Z210,$G$452)</f>
        <v>-400</v>
      </c>
      <c r="E210" s="152">
        <f t="shared" si="233"/>
        <v>0</v>
      </c>
      <c r="F210" s="152">
        <f t="shared" si="233"/>
        <v>300</v>
      </c>
      <c r="G210" s="152">
        <f t="shared" si="233"/>
        <v>600</v>
      </c>
      <c r="H210" s="152">
        <f t="shared" si="233"/>
        <v>1000</v>
      </c>
      <c r="I210" s="152">
        <f t="shared" si="233"/>
        <v>1300</v>
      </c>
      <c r="J210" s="152">
        <f t="shared" si="233"/>
        <v>1600</v>
      </c>
      <c r="K210" s="152">
        <f t="shared" si="233"/>
        <v>2000</v>
      </c>
      <c r="L210" s="152">
        <f t="shared" si="233"/>
        <v>2300</v>
      </c>
      <c r="M210" s="121"/>
      <c r="N210" s="121"/>
      <c r="O210" s="121"/>
      <c r="P210" s="121"/>
      <c r="Q210" s="121"/>
      <c r="Z210" s="57">
        <f t="shared" ref="Z210:AH210" si="234">Z170+$G$430-$AL170</f>
        <v>-354.14778671664317</v>
      </c>
      <c r="AA210" s="57">
        <f t="shared" si="234"/>
        <v>-21.541501118597807</v>
      </c>
      <c r="AB210" s="57">
        <f t="shared" si="234"/>
        <v>311.06478447944937</v>
      </c>
      <c r="AC210" s="57">
        <f t="shared" si="234"/>
        <v>643.67107007749655</v>
      </c>
      <c r="AD210" s="57">
        <f t="shared" si="234"/>
        <v>976.27735567554555</v>
      </c>
      <c r="AE210" s="57">
        <f t="shared" si="234"/>
        <v>1308.8836412735909</v>
      </c>
      <c r="AF210" s="57">
        <f t="shared" si="234"/>
        <v>1641.4899268716381</v>
      </c>
      <c r="AG210" s="57">
        <f t="shared" si="234"/>
        <v>1974.0962124696853</v>
      </c>
      <c r="AH210" s="57">
        <f t="shared" si="234"/>
        <v>2306.7024980677324</v>
      </c>
      <c r="AT210" s="154">
        <f t="shared" ref="AT210:BB216" si="235">IF(Z210&lt;$G$449,0,MIN($G$446,1+IFERROR(INT((Z210-$G$449)/$G$464),0)))</f>
        <v>0</v>
      </c>
      <c r="AU210" s="154">
        <f t="shared" si="235"/>
        <v>0</v>
      </c>
      <c r="AV210" s="154">
        <f t="shared" si="235"/>
        <v>0</v>
      </c>
      <c r="AW210" s="154">
        <f t="shared" si="235"/>
        <v>0</v>
      </c>
      <c r="AX210" s="154">
        <f t="shared" si="235"/>
        <v>0</v>
      </c>
      <c r="AY210" s="154">
        <f t="shared" si="235"/>
        <v>2</v>
      </c>
      <c r="AZ210" s="154">
        <f t="shared" si="235"/>
        <v>3</v>
      </c>
      <c r="BA210" s="154">
        <f t="shared" si="235"/>
        <v>4</v>
      </c>
      <c r="BB210" s="154">
        <f t="shared" si="235"/>
        <v>6</v>
      </c>
    </row>
    <row r="211" spans="1:54" ht="15" customHeight="1" x14ac:dyDescent="0.25">
      <c r="A211" s="121"/>
      <c r="B211" s="334"/>
      <c r="C211" s="180">
        <f>C212+$G$458</f>
        <v>56</v>
      </c>
      <c r="D211" s="168">
        <f t="shared" si="233"/>
        <v>-100</v>
      </c>
      <c r="E211" s="168">
        <f t="shared" si="233"/>
        <v>200</v>
      </c>
      <c r="F211" s="168">
        <f t="shared" si="233"/>
        <v>500</v>
      </c>
      <c r="G211" s="168">
        <f t="shared" si="233"/>
        <v>800</v>
      </c>
      <c r="H211" s="168">
        <f t="shared" si="233"/>
        <v>1200</v>
      </c>
      <c r="I211" s="168">
        <f t="shared" si="233"/>
        <v>1500</v>
      </c>
      <c r="J211" s="168">
        <f t="shared" si="233"/>
        <v>1800</v>
      </c>
      <c r="K211" s="168">
        <f t="shared" si="233"/>
        <v>2200</v>
      </c>
      <c r="L211" s="168">
        <f t="shared" si="233"/>
        <v>2500</v>
      </c>
      <c r="M211" s="121"/>
      <c r="N211" s="121"/>
      <c r="O211" s="121"/>
      <c r="P211" s="121"/>
      <c r="Q211" s="121"/>
      <c r="Z211" s="57">
        <f t="shared" ref="Z211:AH211" si="236">Z171+$G$430-$AL171</f>
        <v>-148.37762743031817</v>
      </c>
      <c r="AA211" s="57">
        <f t="shared" si="236"/>
        <v>184.22865816772901</v>
      </c>
      <c r="AB211" s="57">
        <f t="shared" si="236"/>
        <v>516.83494376577619</v>
      </c>
      <c r="AC211" s="57">
        <f t="shared" si="236"/>
        <v>849.44122936382337</v>
      </c>
      <c r="AD211" s="57">
        <f t="shared" si="236"/>
        <v>1182.0475149618687</v>
      </c>
      <c r="AE211" s="57">
        <f t="shared" si="236"/>
        <v>1514.6538005599177</v>
      </c>
      <c r="AF211" s="57">
        <f t="shared" si="236"/>
        <v>1847.2600861579631</v>
      </c>
      <c r="AG211" s="57">
        <f t="shared" si="236"/>
        <v>2179.8663717560121</v>
      </c>
      <c r="AH211" s="57">
        <f t="shared" si="236"/>
        <v>2512.4726573540574</v>
      </c>
      <c r="AT211" s="154">
        <f t="shared" si="235"/>
        <v>0</v>
      </c>
      <c r="AU211" s="154">
        <f t="shared" si="235"/>
        <v>0</v>
      </c>
      <c r="AV211" s="154">
        <f t="shared" si="235"/>
        <v>0</v>
      </c>
      <c r="AW211" s="154">
        <f t="shared" si="235"/>
        <v>0</v>
      </c>
      <c r="AX211" s="154">
        <f t="shared" si="235"/>
        <v>1</v>
      </c>
      <c r="AY211" s="154">
        <f t="shared" si="235"/>
        <v>3</v>
      </c>
      <c r="AZ211" s="154">
        <f t="shared" si="235"/>
        <v>4</v>
      </c>
      <c r="BA211" s="154">
        <f t="shared" si="235"/>
        <v>5</v>
      </c>
      <c r="BB211" s="154">
        <f t="shared" si="235"/>
        <v>6</v>
      </c>
    </row>
    <row r="212" spans="1:54" ht="15" customHeight="1" x14ac:dyDescent="0.25">
      <c r="A212" s="121"/>
      <c r="B212" s="334"/>
      <c r="C212" s="180">
        <f>C213+$G$458</f>
        <v>52</v>
      </c>
      <c r="D212" s="168">
        <f t="shared" si="233"/>
        <v>100</v>
      </c>
      <c r="E212" s="168">
        <f t="shared" si="233"/>
        <v>400</v>
      </c>
      <c r="F212" s="168">
        <f t="shared" si="233"/>
        <v>700</v>
      </c>
      <c r="G212" s="168">
        <f t="shared" si="233"/>
        <v>1100</v>
      </c>
      <c r="H212" s="168">
        <f t="shared" si="233"/>
        <v>1400</v>
      </c>
      <c r="I212" s="168">
        <f t="shared" si="233"/>
        <v>1700</v>
      </c>
      <c r="J212" s="168">
        <f t="shared" si="233"/>
        <v>2100</v>
      </c>
      <c r="K212" s="168">
        <f t="shared" si="233"/>
        <v>2400</v>
      </c>
      <c r="L212" s="168">
        <f t="shared" si="233"/>
        <v>2700</v>
      </c>
      <c r="M212" s="121"/>
      <c r="N212" s="121"/>
      <c r="O212" s="121"/>
      <c r="P212" s="121"/>
      <c r="Q212" s="121"/>
      <c r="Z212" s="57">
        <f t="shared" ref="Z212:AH212" si="237">Z172+$G$430-$AL172</f>
        <v>57.392531856005917</v>
      </c>
      <c r="AA212" s="57">
        <f t="shared" si="237"/>
        <v>389.9988174540531</v>
      </c>
      <c r="AB212" s="57">
        <f t="shared" si="237"/>
        <v>722.60510305210028</v>
      </c>
      <c r="AC212" s="57">
        <f t="shared" si="237"/>
        <v>1055.2113886501475</v>
      </c>
      <c r="AD212" s="57">
        <f t="shared" si="237"/>
        <v>1387.8176742481946</v>
      </c>
      <c r="AE212" s="57">
        <f t="shared" si="237"/>
        <v>1720.4239598462418</v>
      </c>
      <c r="AF212" s="57">
        <f t="shared" si="237"/>
        <v>2053.030245444289</v>
      </c>
      <c r="AG212" s="57">
        <f t="shared" si="237"/>
        <v>2385.6365310423362</v>
      </c>
      <c r="AH212" s="57">
        <f t="shared" si="237"/>
        <v>2718.2428166403834</v>
      </c>
      <c r="AT212" s="154">
        <f t="shared" si="235"/>
        <v>0</v>
      </c>
      <c r="AU212" s="154">
        <f t="shared" si="235"/>
        <v>0</v>
      </c>
      <c r="AV212" s="154">
        <f t="shared" si="235"/>
        <v>0</v>
      </c>
      <c r="AW212" s="154">
        <f t="shared" si="235"/>
        <v>1</v>
      </c>
      <c r="AX212" s="154">
        <f t="shared" si="235"/>
        <v>2</v>
      </c>
      <c r="AY212" s="154">
        <f t="shared" si="235"/>
        <v>3</v>
      </c>
      <c r="AZ212" s="154">
        <f t="shared" si="235"/>
        <v>5</v>
      </c>
      <c r="BA212" s="154">
        <f t="shared" si="235"/>
        <v>6</v>
      </c>
      <c r="BB212" s="154">
        <f t="shared" si="235"/>
        <v>7</v>
      </c>
    </row>
    <row r="213" spans="1:54" ht="15" customHeight="1" x14ac:dyDescent="0.25">
      <c r="A213" s="121"/>
      <c r="B213" s="334"/>
      <c r="C213" s="180">
        <f>$G$457</f>
        <v>48</v>
      </c>
      <c r="D213" s="168">
        <f t="shared" si="233"/>
        <v>300</v>
      </c>
      <c r="E213" s="168">
        <f t="shared" si="233"/>
        <v>600</v>
      </c>
      <c r="F213" s="168">
        <f t="shared" si="233"/>
        <v>900</v>
      </c>
      <c r="G213" s="168">
        <f t="shared" si="233"/>
        <v>1300</v>
      </c>
      <c r="H213" s="169">
        <f t="shared" si="233"/>
        <v>1600</v>
      </c>
      <c r="I213" s="168">
        <f t="shared" si="233"/>
        <v>1900</v>
      </c>
      <c r="J213" s="168">
        <f t="shared" si="233"/>
        <v>2300</v>
      </c>
      <c r="K213" s="168">
        <f t="shared" si="233"/>
        <v>2600</v>
      </c>
      <c r="L213" s="168">
        <f t="shared" si="233"/>
        <v>2900</v>
      </c>
      <c r="M213" s="121"/>
      <c r="N213" s="121"/>
      <c r="O213" s="121"/>
      <c r="P213" s="121"/>
      <c r="Q213" s="121"/>
      <c r="Z213" s="57">
        <f t="shared" ref="Z213:AH213" si="238">Z173+$G$430-$AL173</f>
        <v>263.16269114233182</v>
      </c>
      <c r="AA213" s="57">
        <f t="shared" si="238"/>
        <v>595.76897674037718</v>
      </c>
      <c r="AB213" s="57">
        <f t="shared" si="238"/>
        <v>928.37526233842436</v>
      </c>
      <c r="AC213" s="57">
        <f t="shared" si="238"/>
        <v>1260.9815479364715</v>
      </c>
      <c r="AD213" s="57">
        <f t="shared" si="238"/>
        <v>1593.5878335345205</v>
      </c>
      <c r="AE213" s="57">
        <f t="shared" si="238"/>
        <v>1926.1941191325659</v>
      </c>
      <c r="AF213" s="57">
        <f t="shared" si="238"/>
        <v>2258.8004047306149</v>
      </c>
      <c r="AG213" s="57">
        <f t="shared" si="238"/>
        <v>2591.4066903286603</v>
      </c>
      <c r="AH213" s="57">
        <f t="shared" si="238"/>
        <v>2924.0129759267093</v>
      </c>
      <c r="AT213" s="154">
        <f t="shared" si="235"/>
        <v>0</v>
      </c>
      <c r="AU213" s="154">
        <f t="shared" si="235"/>
        <v>0</v>
      </c>
      <c r="AV213" s="154">
        <f t="shared" si="235"/>
        <v>0</v>
      </c>
      <c r="AW213" s="154">
        <f t="shared" si="235"/>
        <v>2</v>
      </c>
      <c r="AX213" s="154">
        <f t="shared" si="235"/>
        <v>3</v>
      </c>
      <c r="AY213" s="154">
        <f t="shared" si="235"/>
        <v>4</v>
      </c>
      <c r="AZ213" s="154">
        <f t="shared" si="235"/>
        <v>5</v>
      </c>
      <c r="BA213" s="154">
        <f t="shared" si="235"/>
        <v>7</v>
      </c>
      <c r="BB213" s="154">
        <f t="shared" si="235"/>
        <v>8</v>
      </c>
    </row>
    <row r="214" spans="1:54" ht="15" customHeight="1" x14ac:dyDescent="0.25">
      <c r="A214" s="121"/>
      <c r="B214" s="334"/>
      <c r="C214" s="180">
        <f>C213-$G$458</f>
        <v>44</v>
      </c>
      <c r="D214" s="168">
        <f t="shared" si="233"/>
        <v>500</v>
      </c>
      <c r="E214" s="168">
        <f t="shared" si="233"/>
        <v>800</v>
      </c>
      <c r="F214" s="168">
        <f t="shared" si="233"/>
        <v>1100</v>
      </c>
      <c r="G214" s="168">
        <f t="shared" si="233"/>
        <v>1500</v>
      </c>
      <c r="H214" s="168">
        <f t="shared" si="233"/>
        <v>1800</v>
      </c>
      <c r="I214" s="168">
        <f t="shared" si="233"/>
        <v>2100</v>
      </c>
      <c r="J214" s="168">
        <f t="shared" si="233"/>
        <v>2500</v>
      </c>
      <c r="K214" s="168">
        <f t="shared" si="233"/>
        <v>2800</v>
      </c>
      <c r="L214" s="168">
        <f t="shared" si="233"/>
        <v>3100</v>
      </c>
      <c r="M214" s="121"/>
      <c r="N214" s="121"/>
      <c r="O214" s="121"/>
      <c r="P214" s="121"/>
      <c r="Q214" s="121"/>
      <c r="Z214" s="57">
        <f t="shared" ref="Z214:AH214" si="239">Z174+$G$430-$AL174</f>
        <v>468.932850428655</v>
      </c>
      <c r="AA214" s="57">
        <f t="shared" si="239"/>
        <v>801.53913602670127</v>
      </c>
      <c r="AB214" s="57">
        <f t="shared" si="239"/>
        <v>1134.1454216247485</v>
      </c>
      <c r="AC214" s="57">
        <f t="shared" si="239"/>
        <v>1466.7517072227956</v>
      </c>
      <c r="AD214" s="57">
        <f t="shared" si="239"/>
        <v>1799.3579928208428</v>
      </c>
      <c r="AE214" s="57">
        <f t="shared" si="239"/>
        <v>2131.96427841889</v>
      </c>
      <c r="AF214" s="57">
        <f t="shared" si="239"/>
        <v>2464.5705640169372</v>
      </c>
      <c r="AG214" s="57">
        <f t="shared" si="239"/>
        <v>2797.1768496149843</v>
      </c>
      <c r="AH214" s="57">
        <f t="shared" si="239"/>
        <v>3129.7831352130315</v>
      </c>
      <c r="AT214" s="154">
        <f t="shared" si="235"/>
        <v>0</v>
      </c>
      <c r="AU214" s="154">
        <f t="shared" si="235"/>
        <v>0</v>
      </c>
      <c r="AV214" s="154">
        <f t="shared" si="235"/>
        <v>1</v>
      </c>
      <c r="AW214" s="154">
        <f t="shared" si="235"/>
        <v>2</v>
      </c>
      <c r="AX214" s="154">
        <f t="shared" si="235"/>
        <v>4</v>
      </c>
      <c r="AY214" s="154">
        <f t="shared" si="235"/>
        <v>5</v>
      </c>
      <c r="AZ214" s="154">
        <f t="shared" si="235"/>
        <v>6</v>
      </c>
      <c r="BA214" s="154">
        <f t="shared" si="235"/>
        <v>8</v>
      </c>
      <c r="BB214" s="154">
        <f t="shared" si="235"/>
        <v>9</v>
      </c>
    </row>
    <row r="215" spans="1:54" ht="15" customHeight="1" x14ac:dyDescent="0.25">
      <c r="A215" s="121"/>
      <c r="B215" s="334"/>
      <c r="C215" s="180">
        <f>C214-$G$458</f>
        <v>40</v>
      </c>
      <c r="D215" s="168">
        <f t="shared" si="233"/>
        <v>700</v>
      </c>
      <c r="E215" s="168">
        <f t="shared" si="233"/>
        <v>1000</v>
      </c>
      <c r="F215" s="168">
        <f t="shared" si="233"/>
        <v>1300</v>
      </c>
      <c r="G215" s="168">
        <f t="shared" si="233"/>
        <v>1700</v>
      </c>
      <c r="H215" s="168">
        <f t="shared" si="233"/>
        <v>2000</v>
      </c>
      <c r="I215" s="168">
        <f t="shared" si="233"/>
        <v>2300</v>
      </c>
      <c r="J215" s="168">
        <f t="shared" si="233"/>
        <v>2700</v>
      </c>
      <c r="K215" s="168">
        <f t="shared" si="233"/>
        <v>3000</v>
      </c>
      <c r="L215" s="168">
        <f t="shared" si="233"/>
        <v>3300</v>
      </c>
      <c r="M215" s="121"/>
      <c r="N215" s="121"/>
      <c r="O215" s="121"/>
      <c r="P215" s="121"/>
      <c r="Q215" s="121"/>
      <c r="Z215" s="57">
        <f t="shared" ref="Z215:AH215" si="240">Z175+$G$430-$AL175</f>
        <v>674.70300971498</v>
      </c>
      <c r="AA215" s="57">
        <f t="shared" si="240"/>
        <v>1007.3092953130272</v>
      </c>
      <c r="AB215" s="57">
        <f t="shared" si="240"/>
        <v>1339.9155809110744</v>
      </c>
      <c r="AC215" s="57">
        <f t="shared" si="240"/>
        <v>1672.5218665091215</v>
      </c>
      <c r="AD215" s="57">
        <f t="shared" si="240"/>
        <v>2005.1281521071687</v>
      </c>
      <c r="AE215" s="57">
        <f t="shared" si="240"/>
        <v>2337.7344377052141</v>
      </c>
      <c r="AF215" s="57">
        <f t="shared" si="240"/>
        <v>2670.3407233032631</v>
      </c>
      <c r="AG215" s="57">
        <f t="shared" si="240"/>
        <v>3002.9470089013084</v>
      </c>
      <c r="AH215" s="57">
        <f t="shared" si="240"/>
        <v>3335.5532944993574</v>
      </c>
      <c r="AT215" s="154">
        <f t="shared" si="235"/>
        <v>0</v>
      </c>
      <c r="AU215" s="154">
        <f t="shared" si="235"/>
        <v>1</v>
      </c>
      <c r="AV215" s="154">
        <f t="shared" si="235"/>
        <v>2</v>
      </c>
      <c r="AW215" s="154">
        <f t="shared" si="235"/>
        <v>3</v>
      </c>
      <c r="AX215" s="154">
        <f t="shared" si="235"/>
        <v>4</v>
      </c>
      <c r="AY215" s="154">
        <f t="shared" si="235"/>
        <v>6</v>
      </c>
      <c r="AZ215" s="154">
        <f t="shared" si="235"/>
        <v>7</v>
      </c>
      <c r="BA215" s="154">
        <f t="shared" si="235"/>
        <v>8</v>
      </c>
      <c r="BB215" s="154">
        <f t="shared" si="235"/>
        <v>10</v>
      </c>
    </row>
    <row r="216" spans="1:54" ht="15" customHeight="1" x14ac:dyDescent="0.25">
      <c r="A216" s="121"/>
      <c r="B216" s="335"/>
      <c r="C216" s="179">
        <f>C215-$G$458</f>
        <v>36</v>
      </c>
      <c r="D216" s="149">
        <f t="shared" si="233"/>
        <v>900</v>
      </c>
      <c r="E216" s="149">
        <f t="shared" si="233"/>
        <v>1200</v>
      </c>
      <c r="F216" s="149">
        <f t="shared" si="233"/>
        <v>1500</v>
      </c>
      <c r="G216" s="149">
        <f t="shared" si="233"/>
        <v>1900</v>
      </c>
      <c r="H216" s="149">
        <f t="shared" si="233"/>
        <v>2200</v>
      </c>
      <c r="I216" s="149">
        <f t="shared" si="233"/>
        <v>2500</v>
      </c>
      <c r="J216" s="149">
        <f t="shared" si="233"/>
        <v>2900</v>
      </c>
      <c r="K216" s="149">
        <f t="shared" si="233"/>
        <v>3200</v>
      </c>
      <c r="L216" s="149">
        <f t="shared" si="233"/>
        <v>3500</v>
      </c>
      <c r="M216" s="121"/>
      <c r="N216" s="121"/>
      <c r="O216" s="121"/>
      <c r="P216" s="121"/>
      <c r="Q216" s="121"/>
      <c r="Z216" s="57">
        <f t="shared" ref="Z216:AH216" si="241">Z176+$G$430-$AL176</f>
        <v>880.47316900130318</v>
      </c>
      <c r="AA216" s="57">
        <f t="shared" si="241"/>
        <v>1213.0794545993504</v>
      </c>
      <c r="AB216" s="57">
        <f t="shared" si="241"/>
        <v>1545.6857401973975</v>
      </c>
      <c r="AC216" s="57">
        <f t="shared" si="241"/>
        <v>1878.2920257954447</v>
      </c>
      <c r="AD216" s="57">
        <f t="shared" si="241"/>
        <v>2210.8983113934919</v>
      </c>
      <c r="AE216" s="57">
        <f t="shared" si="241"/>
        <v>2543.5045969915391</v>
      </c>
      <c r="AF216" s="57">
        <f t="shared" si="241"/>
        <v>2876.1108825895863</v>
      </c>
      <c r="AG216" s="57">
        <f t="shared" si="241"/>
        <v>3208.7171681876334</v>
      </c>
      <c r="AH216" s="57">
        <f t="shared" si="241"/>
        <v>3541.3234537856806</v>
      </c>
      <c r="AT216" s="154">
        <f t="shared" si="235"/>
        <v>0</v>
      </c>
      <c r="AU216" s="154">
        <f t="shared" si="235"/>
        <v>1</v>
      </c>
      <c r="AV216" s="154">
        <f t="shared" si="235"/>
        <v>3</v>
      </c>
      <c r="AW216" s="154">
        <f t="shared" si="235"/>
        <v>4</v>
      </c>
      <c r="AX216" s="154">
        <f t="shared" si="235"/>
        <v>5</v>
      </c>
      <c r="AY216" s="154">
        <f t="shared" si="235"/>
        <v>7</v>
      </c>
      <c r="AZ216" s="154">
        <f t="shared" si="235"/>
        <v>8</v>
      </c>
      <c r="BA216" s="154">
        <f t="shared" si="235"/>
        <v>9</v>
      </c>
      <c r="BB216" s="154">
        <f t="shared" si="235"/>
        <v>10</v>
      </c>
    </row>
    <row r="217" spans="1:54" ht="15" hidden="1" customHeight="1" outlineLevel="1" x14ac:dyDescent="0.25">
      <c r="A217" s="121"/>
      <c r="B217" s="153" t="s">
        <v>328</v>
      </c>
      <c r="C217" s="4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</row>
    <row r="218" spans="1:54" ht="3.95" customHeight="1" collapsed="1" x14ac:dyDescent="0.25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</row>
    <row r="219" spans="1:54" ht="15" customHeight="1" x14ac:dyDescent="0.25">
      <c r="A219" s="121"/>
      <c r="B219" s="164" t="s">
        <v>327</v>
      </c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</row>
    <row r="220" spans="1:54" ht="2.1" customHeight="1" x14ac:dyDescent="0.25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</row>
    <row r="221" spans="1:54" ht="12.75" customHeight="1" x14ac:dyDescent="0.25">
      <c r="A221" s="121"/>
      <c r="B221" s="10"/>
      <c r="C221" s="10"/>
      <c r="D221" s="163" t="s">
        <v>287</v>
      </c>
      <c r="E221" s="163"/>
      <c r="F221" s="163"/>
      <c r="G221" s="163"/>
      <c r="H221" s="163"/>
      <c r="I221" s="163"/>
      <c r="J221" s="163"/>
      <c r="K221" s="163"/>
      <c r="L221" s="163"/>
      <c r="M221" s="121"/>
      <c r="N221" s="121"/>
      <c r="O221" s="121"/>
      <c r="P221" s="121"/>
      <c r="Q221" s="121"/>
    </row>
    <row r="222" spans="1:54" ht="12.75" customHeight="1" x14ac:dyDescent="0.25">
      <c r="A222" s="121"/>
      <c r="B222" s="10"/>
      <c r="C222" s="10"/>
      <c r="D222" s="181">
        <f>E222-$G$441</f>
        <v>1.0219039595619215</v>
      </c>
      <c r="E222" s="181">
        <f>F222-$G$441</f>
        <v>1.2719039595619215</v>
      </c>
      <c r="F222" s="181">
        <f>G222-$G$441</f>
        <v>1.5219039595619215</v>
      </c>
      <c r="G222" s="181">
        <f>H222-$G$441</f>
        <v>1.7719039595619215</v>
      </c>
      <c r="H222" s="181">
        <f>$G$440</f>
        <v>2.0219039595619215</v>
      </c>
      <c r="I222" s="181">
        <f>H222+$G$441</f>
        <v>2.2719039595619215</v>
      </c>
      <c r="J222" s="181">
        <f>I222+$G$441</f>
        <v>2.5219039595619215</v>
      </c>
      <c r="K222" s="181">
        <f>J222+$G$441</f>
        <v>2.7719039595619215</v>
      </c>
      <c r="L222" s="181">
        <f>K222+$G$441</f>
        <v>3.0219039595619215</v>
      </c>
      <c r="M222" s="121"/>
      <c r="N222" s="121"/>
      <c r="O222" s="121"/>
      <c r="P222" s="121"/>
      <c r="Q222" s="121"/>
      <c r="AT222" s="161" t="s">
        <v>288</v>
      </c>
      <c r="AU222" s="160"/>
      <c r="AV222" s="160"/>
      <c r="AW222" s="160"/>
      <c r="AX222" s="160"/>
      <c r="AY222" s="160"/>
      <c r="AZ222" s="160"/>
      <c r="BA222" s="160"/>
      <c r="BB222" s="160"/>
    </row>
    <row r="223" spans="1:54" ht="15" customHeight="1" x14ac:dyDescent="0.25">
      <c r="A223" s="121"/>
      <c r="B223" s="333" t="s">
        <v>313</v>
      </c>
      <c r="C223" s="180">
        <f>C224+$G$458</f>
        <v>60</v>
      </c>
      <c r="D223" s="166">
        <f t="shared" ref="D223:L229" si="242">IFERROR(Z210/$AL170,0)</f>
        <v>-4.0531387352061785E-2</v>
      </c>
      <c r="E223" s="166">
        <f t="shared" si="242"/>
        <v>-2.4653745095443466E-3</v>
      </c>
      <c r="F223" s="166">
        <f t="shared" si="242"/>
        <v>3.5600638332973299E-2</v>
      </c>
      <c r="G223" s="166">
        <f t="shared" si="242"/>
        <v>7.3666651175490955E-2</v>
      </c>
      <c r="H223" s="166">
        <f t="shared" si="242"/>
        <v>0.11173266401800881</v>
      </c>
      <c r="I223" s="166">
        <f t="shared" si="242"/>
        <v>0.14979867686052625</v>
      </c>
      <c r="J223" s="166">
        <f t="shared" si="242"/>
        <v>0.1878646897030439</v>
      </c>
      <c r="K223" s="166">
        <f t="shared" si="242"/>
        <v>0.22593070254556155</v>
      </c>
      <c r="L223" s="166">
        <f t="shared" si="242"/>
        <v>0.26399671538807917</v>
      </c>
      <c r="M223" s="121"/>
      <c r="N223" s="121"/>
      <c r="O223" s="121"/>
      <c r="P223" s="121"/>
      <c r="Q223" s="121"/>
      <c r="AT223" s="154">
        <f t="shared" ref="AT223:BB229" si="243">IF(Z210&lt;$G$449,0,MIN($G$446,1+IFERROR(INT((Z210-$G$449)/$G$464),0)))</f>
        <v>0</v>
      </c>
      <c r="AU223" s="154">
        <f t="shared" si="243"/>
        <v>0</v>
      </c>
      <c r="AV223" s="154">
        <f t="shared" si="243"/>
        <v>0</v>
      </c>
      <c r="AW223" s="154">
        <f t="shared" si="243"/>
        <v>0</v>
      </c>
      <c r="AX223" s="154">
        <f t="shared" si="243"/>
        <v>0</v>
      </c>
      <c r="AY223" s="154">
        <f t="shared" si="243"/>
        <v>2</v>
      </c>
      <c r="AZ223" s="154">
        <f t="shared" si="243"/>
        <v>3</v>
      </c>
      <c r="BA223" s="154">
        <f t="shared" si="243"/>
        <v>4</v>
      </c>
      <c r="BB223" s="154">
        <f t="shared" si="243"/>
        <v>6</v>
      </c>
    </row>
    <row r="224" spans="1:54" ht="15" customHeight="1" x14ac:dyDescent="0.25">
      <c r="A224" s="121"/>
      <c r="B224" s="334"/>
      <c r="C224" s="180">
        <f>C225+$G$458</f>
        <v>56</v>
      </c>
      <c r="D224" s="166">
        <f t="shared" si="242"/>
        <v>-1.7829924834756469E-2</v>
      </c>
      <c r="E224" s="166">
        <f t="shared" si="242"/>
        <v>2.2137994685763981E-2</v>
      </c>
      <c r="F224" s="166">
        <f t="shared" si="242"/>
        <v>6.2105914206284432E-2</v>
      </c>
      <c r="G224" s="166">
        <f t="shared" si="242"/>
        <v>0.10207383372680488</v>
      </c>
      <c r="H224" s="166">
        <f t="shared" si="242"/>
        <v>0.1420417532473251</v>
      </c>
      <c r="I224" s="166">
        <f t="shared" si="242"/>
        <v>0.18200967276784577</v>
      </c>
      <c r="J224" s="166">
        <f t="shared" si="242"/>
        <v>0.221977592288366</v>
      </c>
      <c r="K224" s="166">
        <f t="shared" si="242"/>
        <v>0.2619455118088867</v>
      </c>
      <c r="L224" s="166">
        <f t="shared" si="242"/>
        <v>0.3019134313294069</v>
      </c>
      <c r="M224" s="121"/>
      <c r="N224" s="121"/>
      <c r="O224" s="121"/>
      <c r="P224" s="121"/>
      <c r="Q224" s="121"/>
      <c r="AT224" s="154">
        <f t="shared" si="243"/>
        <v>0</v>
      </c>
      <c r="AU224" s="154">
        <f t="shared" si="243"/>
        <v>0</v>
      </c>
      <c r="AV224" s="154">
        <f t="shared" si="243"/>
        <v>0</v>
      </c>
      <c r="AW224" s="154">
        <f t="shared" si="243"/>
        <v>0</v>
      </c>
      <c r="AX224" s="154">
        <f t="shared" si="243"/>
        <v>1</v>
      </c>
      <c r="AY224" s="154">
        <f t="shared" si="243"/>
        <v>3</v>
      </c>
      <c r="AZ224" s="154">
        <f t="shared" si="243"/>
        <v>4</v>
      </c>
      <c r="BA224" s="154">
        <f t="shared" si="243"/>
        <v>5</v>
      </c>
      <c r="BB224" s="154">
        <f t="shared" si="243"/>
        <v>6</v>
      </c>
    </row>
    <row r="225" spans="1:54" ht="15" customHeight="1" x14ac:dyDescent="0.25">
      <c r="A225" s="121"/>
      <c r="B225" s="334"/>
      <c r="C225" s="180">
        <f>C226+$G$458</f>
        <v>52</v>
      </c>
      <c r="D225" s="166">
        <f t="shared" si="242"/>
        <v>7.2593231273585784E-3</v>
      </c>
      <c r="E225" s="166">
        <f t="shared" si="242"/>
        <v>4.9329195692042589E-2</v>
      </c>
      <c r="F225" s="166">
        <f t="shared" si="242"/>
        <v>9.1399068256726598E-2</v>
      </c>
      <c r="G225" s="166">
        <f t="shared" si="242"/>
        <v>0.13346894082141061</v>
      </c>
      <c r="H225" s="166">
        <f t="shared" si="242"/>
        <v>0.17553881338609462</v>
      </c>
      <c r="I225" s="166">
        <f t="shared" si="242"/>
        <v>0.21760868595077862</v>
      </c>
      <c r="J225" s="166">
        <f t="shared" si="242"/>
        <v>0.25967855851546262</v>
      </c>
      <c r="K225" s="166">
        <f t="shared" si="242"/>
        <v>0.30174843108014665</v>
      </c>
      <c r="L225" s="166">
        <f t="shared" si="242"/>
        <v>0.34381830364483063</v>
      </c>
      <c r="M225" s="121"/>
      <c r="N225" s="121"/>
      <c r="O225" s="121"/>
      <c r="P225" s="121"/>
      <c r="Q225" s="121"/>
      <c r="AT225" s="154">
        <f t="shared" si="243"/>
        <v>0</v>
      </c>
      <c r="AU225" s="154">
        <f t="shared" si="243"/>
        <v>0</v>
      </c>
      <c r="AV225" s="154">
        <f t="shared" si="243"/>
        <v>0</v>
      </c>
      <c r="AW225" s="154">
        <f t="shared" si="243"/>
        <v>1</v>
      </c>
      <c r="AX225" s="154">
        <f t="shared" si="243"/>
        <v>2</v>
      </c>
      <c r="AY225" s="154">
        <f t="shared" si="243"/>
        <v>3</v>
      </c>
      <c r="AZ225" s="154">
        <f t="shared" si="243"/>
        <v>5</v>
      </c>
      <c r="BA225" s="154">
        <f t="shared" si="243"/>
        <v>6</v>
      </c>
      <c r="BB225" s="154">
        <f t="shared" si="243"/>
        <v>7</v>
      </c>
    </row>
    <row r="226" spans="1:54" ht="15" customHeight="1" x14ac:dyDescent="0.25">
      <c r="A226" s="121"/>
      <c r="B226" s="334"/>
      <c r="C226" s="180">
        <f>$G$457</f>
        <v>48</v>
      </c>
      <c r="D226" s="166">
        <f t="shared" si="242"/>
        <v>3.5133996950064021E-2</v>
      </c>
      <c r="E226" s="166">
        <f t="shared" si="242"/>
        <v>7.9539182856350324E-2</v>
      </c>
      <c r="F226" s="166">
        <f t="shared" si="242"/>
        <v>0.12394436876263687</v>
      </c>
      <c r="G226" s="166">
        <f t="shared" si="242"/>
        <v>0.1683495546689234</v>
      </c>
      <c r="H226" s="167">
        <f t="shared" si="242"/>
        <v>0.21275474057521021</v>
      </c>
      <c r="I226" s="166">
        <f t="shared" si="242"/>
        <v>0.25715992648149649</v>
      </c>
      <c r="J226" s="166">
        <f t="shared" si="242"/>
        <v>0.30156511238778327</v>
      </c>
      <c r="K226" s="166">
        <f t="shared" si="242"/>
        <v>0.34597029829406961</v>
      </c>
      <c r="L226" s="166">
        <f t="shared" si="242"/>
        <v>0.39037548420035639</v>
      </c>
      <c r="M226" s="121"/>
      <c r="N226" s="121"/>
      <c r="O226" s="121"/>
      <c r="P226" s="121"/>
      <c r="Q226" s="121"/>
      <c r="AT226" s="154">
        <f t="shared" si="243"/>
        <v>0</v>
      </c>
      <c r="AU226" s="154">
        <f t="shared" si="243"/>
        <v>0</v>
      </c>
      <c r="AV226" s="154">
        <f t="shared" si="243"/>
        <v>0</v>
      </c>
      <c r="AW226" s="154">
        <f t="shared" si="243"/>
        <v>2</v>
      </c>
      <c r="AX226" s="154">
        <f t="shared" si="243"/>
        <v>3</v>
      </c>
      <c r="AY226" s="154">
        <f t="shared" si="243"/>
        <v>4</v>
      </c>
      <c r="AZ226" s="154">
        <f t="shared" si="243"/>
        <v>5</v>
      </c>
      <c r="BA226" s="154">
        <f t="shared" si="243"/>
        <v>7</v>
      </c>
      <c r="BB226" s="154">
        <f t="shared" si="243"/>
        <v>8</v>
      </c>
    </row>
    <row r="227" spans="1:54" ht="15" customHeight="1" x14ac:dyDescent="0.25">
      <c r="A227" s="121"/>
      <c r="B227" s="334"/>
      <c r="C227" s="180">
        <f>C226-$G$458</f>
        <v>44</v>
      </c>
      <c r="D227" s="166">
        <f t="shared" si="242"/>
        <v>6.6285218893286257E-2</v>
      </c>
      <c r="E227" s="166">
        <f t="shared" si="242"/>
        <v>0.11330022418881239</v>
      </c>
      <c r="F227" s="166">
        <f t="shared" si="242"/>
        <v>0.16031522948433866</v>
      </c>
      <c r="G227" s="166">
        <f t="shared" si="242"/>
        <v>0.2073302347798649</v>
      </c>
      <c r="H227" s="166">
        <f t="shared" si="242"/>
        <v>0.25434524007539117</v>
      </c>
      <c r="I227" s="166">
        <f t="shared" si="242"/>
        <v>0.30136024537091743</v>
      </c>
      <c r="J227" s="166">
        <f t="shared" si="242"/>
        <v>0.3483752506664437</v>
      </c>
      <c r="K227" s="166">
        <f t="shared" si="242"/>
        <v>0.39539025596196997</v>
      </c>
      <c r="L227" s="166">
        <f t="shared" si="242"/>
        <v>0.44240526125749624</v>
      </c>
      <c r="M227" s="121"/>
      <c r="N227" s="121"/>
      <c r="O227" s="121"/>
      <c r="P227" s="121"/>
      <c r="Q227" s="121"/>
      <c r="AT227" s="154">
        <f t="shared" si="243"/>
        <v>0</v>
      </c>
      <c r="AU227" s="154">
        <f t="shared" si="243"/>
        <v>0</v>
      </c>
      <c r="AV227" s="154">
        <f t="shared" si="243"/>
        <v>1</v>
      </c>
      <c r="AW227" s="154">
        <f t="shared" si="243"/>
        <v>2</v>
      </c>
      <c r="AX227" s="154">
        <f t="shared" si="243"/>
        <v>4</v>
      </c>
      <c r="AY227" s="154">
        <f t="shared" si="243"/>
        <v>5</v>
      </c>
      <c r="AZ227" s="154">
        <f t="shared" si="243"/>
        <v>6</v>
      </c>
      <c r="BA227" s="154">
        <f t="shared" si="243"/>
        <v>8</v>
      </c>
      <c r="BB227" s="154">
        <f t="shared" si="243"/>
        <v>9</v>
      </c>
    </row>
    <row r="228" spans="1:54" ht="15" customHeight="1" x14ac:dyDescent="0.25">
      <c r="A228" s="121"/>
      <c r="B228" s="334"/>
      <c r="C228" s="180">
        <f>C227-$G$458</f>
        <v>40</v>
      </c>
      <c r="D228" s="166">
        <f t="shared" si="242"/>
        <v>0.10132677939797452</v>
      </c>
      <c r="E228" s="166">
        <f t="shared" si="242"/>
        <v>0.15127753290270543</v>
      </c>
      <c r="F228" s="166">
        <f t="shared" si="242"/>
        <v>0.20122828640743634</v>
      </c>
      <c r="G228" s="166">
        <f t="shared" si="242"/>
        <v>0.25117903991216728</v>
      </c>
      <c r="H228" s="166">
        <f t="shared" si="242"/>
        <v>0.30112979341689816</v>
      </c>
      <c r="I228" s="166">
        <f t="shared" si="242"/>
        <v>0.35108054692162882</v>
      </c>
      <c r="J228" s="166">
        <f t="shared" si="242"/>
        <v>0.40103130042636004</v>
      </c>
      <c r="K228" s="166">
        <f t="shared" si="242"/>
        <v>0.45098205393109064</v>
      </c>
      <c r="L228" s="166">
        <f t="shared" si="242"/>
        <v>0.5009328074358218</v>
      </c>
      <c r="M228" s="121"/>
      <c r="N228" s="121"/>
      <c r="O228" s="121"/>
      <c r="P228" s="121"/>
      <c r="Q228" s="121"/>
      <c r="AT228" s="154">
        <f t="shared" si="243"/>
        <v>0</v>
      </c>
      <c r="AU228" s="154">
        <f t="shared" si="243"/>
        <v>1</v>
      </c>
      <c r="AV228" s="154">
        <f t="shared" si="243"/>
        <v>2</v>
      </c>
      <c r="AW228" s="154">
        <f t="shared" si="243"/>
        <v>3</v>
      </c>
      <c r="AX228" s="154">
        <f t="shared" si="243"/>
        <v>4</v>
      </c>
      <c r="AY228" s="154">
        <f t="shared" si="243"/>
        <v>6</v>
      </c>
      <c r="AZ228" s="154">
        <f t="shared" si="243"/>
        <v>7</v>
      </c>
      <c r="BA228" s="154">
        <f t="shared" si="243"/>
        <v>8</v>
      </c>
      <c r="BB228" s="154">
        <f t="shared" si="243"/>
        <v>10</v>
      </c>
    </row>
    <row r="229" spans="1:54" ht="15" customHeight="1" x14ac:dyDescent="0.25">
      <c r="A229" s="121"/>
      <c r="B229" s="335"/>
      <c r="C229" s="179">
        <f>C228-$G$458</f>
        <v>36</v>
      </c>
      <c r="D229" s="165">
        <f t="shared" si="242"/>
        <v>0.14103598656004218</v>
      </c>
      <c r="E229" s="165">
        <f t="shared" si="242"/>
        <v>0.19431353921800659</v>
      </c>
      <c r="F229" s="165">
        <f t="shared" si="242"/>
        <v>0.24759109187597103</v>
      </c>
      <c r="G229" s="165">
        <f t="shared" si="242"/>
        <v>0.30086864453393547</v>
      </c>
      <c r="H229" s="165">
        <f t="shared" si="242"/>
        <v>0.35414619719189988</v>
      </c>
      <c r="I229" s="165">
        <f t="shared" si="242"/>
        <v>0.40742374984986429</v>
      </c>
      <c r="J229" s="165">
        <f t="shared" si="242"/>
        <v>0.4607013025078287</v>
      </c>
      <c r="K229" s="165">
        <f t="shared" si="242"/>
        <v>0.51397885516579311</v>
      </c>
      <c r="L229" s="165">
        <f t="shared" si="242"/>
        <v>0.56725640782375752</v>
      </c>
      <c r="M229" s="121"/>
      <c r="N229" s="121"/>
      <c r="O229" s="121"/>
      <c r="P229" s="121"/>
      <c r="Q229" s="121"/>
      <c r="AT229" s="154">
        <f t="shared" si="243"/>
        <v>0</v>
      </c>
      <c r="AU229" s="154">
        <f t="shared" si="243"/>
        <v>1</v>
      </c>
      <c r="AV229" s="154">
        <f t="shared" si="243"/>
        <v>3</v>
      </c>
      <c r="AW229" s="154">
        <f t="shared" si="243"/>
        <v>4</v>
      </c>
      <c r="AX229" s="154">
        <f t="shared" si="243"/>
        <v>5</v>
      </c>
      <c r="AY229" s="154">
        <f t="shared" si="243"/>
        <v>7</v>
      </c>
      <c r="AZ229" s="154">
        <f t="shared" si="243"/>
        <v>8</v>
      </c>
      <c r="BA229" s="154">
        <f t="shared" si="243"/>
        <v>9</v>
      </c>
      <c r="BB229" s="154">
        <f t="shared" si="243"/>
        <v>10</v>
      </c>
    </row>
    <row r="230" spans="1:54" ht="15" hidden="1" customHeight="1" outlineLevel="1" x14ac:dyDescent="0.25">
      <c r="A230" s="121"/>
      <c r="B230" s="153" t="s">
        <v>326</v>
      </c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</row>
    <row r="231" spans="1:54" ht="3.95" customHeight="1" collapsed="1" x14ac:dyDescent="0.25">
      <c r="A231" s="121"/>
      <c r="M231" s="121"/>
      <c r="N231" s="121"/>
      <c r="O231" s="121"/>
      <c r="P231" s="121"/>
      <c r="Q231" s="121"/>
    </row>
    <row r="232" spans="1:54" ht="15" customHeight="1" x14ac:dyDescent="0.25">
      <c r="A232" s="121"/>
      <c r="B232" s="164" t="s">
        <v>325</v>
      </c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</row>
    <row r="233" spans="1:54" ht="2.1" customHeight="1" x14ac:dyDescent="0.25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</row>
    <row r="234" spans="1:54" ht="12.75" customHeight="1" x14ac:dyDescent="0.25">
      <c r="A234" s="121"/>
      <c r="B234" s="10"/>
      <c r="C234" s="10"/>
      <c r="D234" s="163" t="s">
        <v>287</v>
      </c>
      <c r="E234" s="163"/>
      <c r="F234" s="163"/>
      <c r="G234" s="163"/>
      <c r="H234" s="163"/>
      <c r="I234" s="163"/>
      <c r="J234" s="163"/>
      <c r="K234" s="163"/>
      <c r="L234" s="163"/>
      <c r="M234" s="121"/>
      <c r="N234" s="121"/>
      <c r="O234" s="121"/>
      <c r="P234" s="121"/>
      <c r="Q234" s="121"/>
    </row>
    <row r="235" spans="1:54" ht="12.75" customHeight="1" x14ac:dyDescent="0.25">
      <c r="A235" s="121"/>
      <c r="B235" s="10"/>
      <c r="C235" s="10"/>
      <c r="D235" s="181">
        <f>E235-$G$441</f>
        <v>1.0219039595619215</v>
      </c>
      <c r="E235" s="181">
        <f>F235-$G$441</f>
        <v>1.2719039595619215</v>
      </c>
      <c r="F235" s="181">
        <f>G235-$G$441</f>
        <v>1.5219039595619215</v>
      </c>
      <c r="G235" s="181">
        <f>H235-$G$441</f>
        <v>1.7719039595619215</v>
      </c>
      <c r="H235" s="181">
        <f>$G$440</f>
        <v>2.0219039595619215</v>
      </c>
      <c r="I235" s="181">
        <f>H235+$G$441</f>
        <v>2.2719039595619215</v>
      </c>
      <c r="J235" s="181">
        <f>I235+$G$441</f>
        <v>2.5219039595619215</v>
      </c>
      <c r="K235" s="181">
        <f>J235+$G$441</f>
        <v>2.7719039595619215</v>
      </c>
      <c r="L235" s="181">
        <f>K235+$G$441</f>
        <v>3.0219039595619215</v>
      </c>
      <c r="M235" s="121"/>
      <c r="N235" s="121"/>
      <c r="O235" s="121"/>
      <c r="P235" s="121"/>
      <c r="Q235" s="121"/>
      <c r="AT235" s="161" t="s">
        <v>288</v>
      </c>
      <c r="AU235" s="160"/>
      <c r="AV235" s="160"/>
      <c r="AW235" s="160"/>
      <c r="AX235" s="160"/>
      <c r="AY235" s="160"/>
      <c r="AZ235" s="160"/>
      <c r="BA235" s="160"/>
      <c r="BB235" s="160"/>
    </row>
    <row r="236" spans="1:54" ht="15" customHeight="1" x14ac:dyDescent="0.25">
      <c r="A236" s="121"/>
      <c r="B236" s="333" t="s">
        <v>313</v>
      </c>
      <c r="C236" s="180">
        <f>C237+$G$458</f>
        <v>60</v>
      </c>
      <c r="D236" s="157">
        <f t="shared" ref="D236:L236" si="244">D196-$AM170</f>
        <v>3.0617864546335749E-2</v>
      </c>
      <c r="E236" s="157">
        <f t="shared" si="244"/>
        <v>4.1350376059161364E-2</v>
      </c>
      <c r="F236" s="157">
        <f t="shared" si="244"/>
        <v>5.1734481710751234E-2</v>
      </c>
      <c r="G236" s="157">
        <f t="shared" si="244"/>
        <v>6.179464075943164E-2</v>
      </c>
      <c r="H236" s="157">
        <f t="shared" si="244"/>
        <v>7.1552741307817858E-2</v>
      </c>
      <c r="I236" s="157">
        <f t="shared" si="244"/>
        <v>8.1028453830844116E-2</v>
      </c>
      <c r="J236" s="157">
        <f t="shared" si="244"/>
        <v>9.0239525551158772E-2</v>
      </c>
      <c r="K236" s="157">
        <f t="shared" si="244"/>
        <v>9.9202027024984707E-2</v>
      </c>
      <c r="L236" s="157">
        <f t="shared" si="244"/>
        <v>0.10793056012959434</v>
      </c>
      <c r="M236" s="121"/>
      <c r="N236" s="121"/>
      <c r="O236" s="121"/>
      <c r="P236" s="121"/>
      <c r="Q236" s="121"/>
      <c r="AT236" s="154">
        <f t="shared" ref="AT236:BB242" si="245">IF(Z210&lt;$G$449,0,MIN($G$446,1+IFERROR(INT((Z210-$G$449)/$G$464),0)))</f>
        <v>0</v>
      </c>
      <c r="AU236" s="154">
        <f t="shared" si="245"/>
        <v>0</v>
      </c>
      <c r="AV236" s="154">
        <f t="shared" si="245"/>
        <v>0</v>
      </c>
      <c r="AW236" s="154">
        <f t="shared" si="245"/>
        <v>0</v>
      </c>
      <c r="AX236" s="154">
        <f t="shared" si="245"/>
        <v>0</v>
      </c>
      <c r="AY236" s="154">
        <f t="shared" si="245"/>
        <v>2</v>
      </c>
      <c r="AZ236" s="154">
        <f t="shared" si="245"/>
        <v>3</v>
      </c>
      <c r="BA236" s="154">
        <f t="shared" si="245"/>
        <v>4</v>
      </c>
      <c r="BB236" s="154">
        <f t="shared" si="245"/>
        <v>6</v>
      </c>
    </row>
    <row r="237" spans="1:54" ht="15" customHeight="1" x14ac:dyDescent="0.25">
      <c r="A237" s="121"/>
      <c r="B237" s="334"/>
      <c r="C237" s="180">
        <f>C238+$G$458</f>
        <v>56</v>
      </c>
      <c r="D237" s="157">
        <f t="shared" ref="D237:L237" si="246">D197-$AM171</f>
        <v>3.566619087519296E-2</v>
      </c>
      <c r="E237" s="157">
        <f t="shared" si="246"/>
        <v>4.6632627867875476E-2</v>
      </c>
      <c r="F237" s="157">
        <f t="shared" si="246"/>
        <v>5.7233700757149064E-2</v>
      </c>
      <c r="G237" s="157">
        <f t="shared" si="246"/>
        <v>6.7495707261860494E-2</v>
      </c>
      <c r="H237" s="157">
        <f t="shared" si="246"/>
        <v>7.7442113510935329E-2</v>
      </c>
      <c r="I237" s="157">
        <f t="shared" si="246"/>
        <v>8.7093952522634854E-2</v>
      </c>
      <c r="J237" s="157">
        <f t="shared" si="246"/>
        <v>9.6470154436018696E-2</v>
      </c>
      <c r="K237" s="157">
        <f t="shared" si="246"/>
        <v>0.10558782202095807</v>
      </c>
      <c r="L237" s="157">
        <f t="shared" si="246"/>
        <v>0.1144624621293675</v>
      </c>
      <c r="M237" s="121"/>
      <c r="N237" s="121"/>
      <c r="O237" s="121"/>
      <c r="P237" s="121"/>
      <c r="Q237" s="121"/>
      <c r="AT237" s="154">
        <f t="shared" si="245"/>
        <v>0</v>
      </c>
      <c r="AU237" s="154">
        <f t="shared" si="245"/>
        <v>0</v>
      </c>
      <c r="AV237" s="154">
        <f t="shared" si="245"/>
        <v>0</v>
      </c>
      <c r="AW237" s="154">
        <f t="shared" si="245"/>
        <v>0</v>
      </c>
      <c r="AX237" s="154">
        <f t="shared" si="245"/>
        <v>1</v>
      </c>
      <c r="AY237" s="154">
        <f t="shared" si="245"/>
        <v>3</v>
      </c>
      <c r="AZ237" s="154">
        <f t="shared" si="245"/>
        <v>4</v>
      </c>
      <c r="BA237" s="154">
        <f t="shared" si="245"/>
        <v>5</v>
      </c>
      <c r="BB237" s="154">
        <f t="shared" si="245"/>
        <v>6</v>
      </c>
    </row>
    <row r="238" spans="1:54" ht="15" customHeight="1" x14ac:dyDescent="0.25">
      <c r="A238" s="121"/>
      <c r="B238" s="334"/>
      <c r="C238" s="180">
        <f>C239+$G$458</f>
        <v>52</v>
      </c>
      <c r="D238" s="157">
        <f t="shared" ref="D238:L238" si="247">D198-$AM172</f>
        <v>4.1047458907268464E-2</v>
      </c>
      <c r="E238" s="157">
        <f t="shared" si="247"/>
        <v>5.2259616695894628E-2</v>
      </c>
      <c r="F238" s="157">
        <f t="shared" si="247"/>
        <v>6.3088132104938577E-2</v>
      </c>
      <c r="G238" s="157">
        <f t="shared" si="247"/>
        <v>7.3561334095300746E-2</v>
      </c>
      <c r="H238" s="157">
        <f t="shared" si="247"/>
        <v>8.3704425352274736E-2</v>
      </c>
      <c r="I238" s="157">
        <f t="shared" si="247"/>
        <v>9.3539932831092409E-2</v>
      </c>
      <c r="J238" s="157">
        <f t="shared" si="247"/>
        <v>0.10308807921352625</v>
      </c>
      <c r="K238" s="157">
        <f t="shared" si="247"/>
        <v>0.11236709160433622</v>
      </c>
      <c r="L238" s="157">
        <f t="shared" si="247"/>
        <v>0.12139345969048509</v>
      </c>
      <c r="M238" s="121"/>
      <c r="N238" s="121"/>
      <c r="O238" s="121"/>
      <c r="P238" s="121"/>
      <c r="Q238" s="121"/>
      <c r="AT238" s="154">
        <f t="shared" si="245"/>
        <v>0</v>
      </c>
      <c r="AU238" s="154">
        <f t="shared" si="245"/>
        <v>0</v>
      </c>
      <c r="AV238" s="154">
        <f t="shared" si="245"/>
        <v>0</v>
      </c>
      <c r="AW238" s="154">
        <f t="shared" si="245"/>
        <v>1</v>
      </c>
      <c r="AX238" s="154">
        <f t="shared" si="245"/>
        <v>2</v>
      </c>
      <c r="AY238" s="154">
        <f t="shared" si="245"/>
        <v>3</v>
      </c>
      <c r="AZ238" s="154">
        <f t="shared" si="245"/>
        <v>5</v>
      </c>
      <c r="BA238" s="154">
        <f t="shared" si="245"/>
        <v>6</v>
      </c>
      <c r="BB238" s="154">
        <f t="shared" si="245"/>
        <v>7</v>
      </c>
    </row>
    <row r="239" spans="1:54" ht="15" customHeight="1" x14ac:dyDescent="0.25">
      <c r="A239" s="121"/>
      <c r="B239" s="334"/>
      <c r="C239" s="180">
        <f>$G$457</f>
        <v>48</v>
      </c>
      <c r="D239" s="157">
        <f t="shared" ref="D239:L239" si="248">D199-$AM173</f>
        <v>4.6800887931307766E-2</v>
      </c>
      <c r="E239" s="157">
        <f t="shared" si="248"/>
        <v>5.8271513856421153E-2</v>
      </c>
      <c r="F239" s="157">
        <f t="shared" si="248"/>
        <v>6.9338755614333891E-2</v>
      </c>
      <c r="G239" s="157">
        <f t="shared" si="248"/>
        <v>8.0033192459237457E-2</v>
      </c>
      <c r="H239" s="159">
        <f t="shared" si="248"/>
        <v>9.0381942850864316E-2</v>
      </c>
      <c r="I239" s="157">
        <f t="shared" si="248"/>
        <v>0.10040917543791528</v>
      </c>
      <c r="J239" s="157">
        <f t="shared" si="248"/>
        <v>0.11013652831392307</v>
      </c>
      <c r="K239" s="157">
        <f t="shared" si="248"/>
        <v>0.11958345562955031</v>
      </c>
      <c r="L239" s="157">
        <f t="shared" si="248"/>
        <v>0.12876751643678563</v>
      </c>
      <c r="M239" s="121"/>
      <c r="N239" s="121"/>
      <c r="O239" s="121"/>
      <c r="P239" s="121"/>
      <c r="Q239" s="121"/>
      <c r="AT239" s="154">
        <f t="shared" si="245"/>
        <v>0</v>
      </c>
      <c r="AU239" s="154">
        <f t="shared" si="245"/>
        <v>0</v>
      </c>
      <c r="AV239" s="154">
        <f t="shared" si="245"/>
        <v>0</v>
      </c>
      <c r="AW239" s="154">
        <f t="shared" si="245"/>
        <v>2</v>
      </c>
      <c r="AX239" s="154">
        <f t="shared" si="245"/>
        <v>3</v>
      </c>
      <c r="AY239" s="154">
        <f t="shared" si="245"/>
        <v>4</v>
      </c>
      <c r="AZ239" s="154">
        <f t="shared" si="245"/>
        <v>5</v>
      </c>
      <c r="BA239" s="154">
        <f t="shared" si="245"/>
        <v>7</v>
      </c>
      <c r="BB239" s="154">
        <f t="shared" si="245"/>
        <v>8</v>
      </c>
    </row>
    <row r="240" spans="1:54" ht="15" customHeight="1" x14ac:dyDescent="0.25">
      <c r="A240" s="121"/>
      <c r="B240" s="334"/>
      <c r="C240" s="180">
        <f>C239-$G$458</f>
        <v>44</v>
      </c>
      <c r="D240" s="157">
        <f t="shared" ref="D240:L240" si="249">D200-$AM174</f>
        <v>5.2972558792568902E-2</v>
      </c>
      <c r="E240" s="157">
        <f t="shared" si="249"/>
        <v>6.4715459618369886E-2</v>
      </c>
      <c r="F240" s="157">
        <f t="shared" si="249"/>
        <v>7.6033607215410193E-2</v>
      </c>
      <c r="G240" s="157">
        <f t="shared" si="249"/>
        <v>8.6960080905729153E-2</v>
      </c>
      <c r="H240" s="157">
        <f t="shared" si="249"/>
        <v>9.7524118150498218E-2</v>
      </c>
      <c r="I240" s="157">
        <f t="shared" si="249"/>
        <v>0.10775169607753865</v>
      </c>
      <c r="J240" s="157">
        <f t="shared" si="249"/>
        <v>0.11766600607771038</v>
      </c>
      <c r="K240" s="157">
        <f t="shared" si="249"/>
        <v>0.12728784429751094</v>
      </c>
      <c r="L240" s="157">
        <f t="shared" si="249"/>
        <v>0.13663593551207676</v>
      </c>
      <c r="M240" s="121"/>
      <c r="N240" s="121"/>
      <c r="O240" s="121"/>
      <c r="P240" s="121"/>
      <c r="Q240" s="121"/>
      <c r="AT240" s="154">
        <f t="shared" si="245"/>
        <v>0</v>
      </c>
      <c r="AU240" s="154">
        <f t="shared" si="245"/>
        <v>0</v>
      </c>
      <c r="AV240" s="154">
        <f t="shared" si="245"/>
        <v>1</v>
      </c>
      <c r="AW240" s="154">
        <f t="shared" si="245"/>
        <v>2</v>
      </c>
      <c r="AX240" s="154">
        <f t="shared" si="245"/>
        <v>4</v>
      </c>
      <c r="AY240" s="154">
        <f t="shared" si="245"/>
        <v>5</v>
      </c>
      <c r="AZ240" s="154">
        <f t="shared" si="245"/>
        <v>6</v>
      </c>
      <c r="BA240" s="154">
        <f t="shared" si="245"/>
        <v>8</v>
      </c>
      <c r="BB240" s="154">
        <f t="shared" si="245"/>
        <v>9</v>
      </c>
    </row>
    <row r="241" spans="1:54" ht="15" customHeight="1" x14ac:dyDescent="0.25">
      <c r="A241" s="121"/>
      <c r="B241" s="334"/>
      <c r="C241" s="180">
        <f>C240-$G$458</f>
        <v>40</v>
      </c>
      <c r="D241" s="157">
        <f t="shared" ref="D241:L241" si="250">D201-$AM175</f>
        <v>5.961706283511603E-2</v>
      </c>
      <c r="E241" s="157">
        <f t="shared" si="250"/>
        <v>7.1647227924483303E-2</v>
      </c>
      <c r="F241" s="157">
        <f t="shared" si="250"/>
        <v>8.3229455830315713E-2</v>
      </c>
      <c r="G241" s="157">
        <f t="shared" si="250"/>
        <v>9.4399611806267103E-2</v>
      </c>
      <c r="H241" s="157">
        <f t="shared" si="250"/>
        <v>0.10518928356686219</v>
      </c>
      <c r="I241" s="157">
        <f t="shared" si="250"/>
        <v>0.11562644548321255</v>
      </c>
      <c r="J241" s="157">
        <f t="shared" si="250"/>
        <v>0.12573599760009357</v>
      </c>
      <c r="K241" s="157">
        <f t="shared" si="250"/>
        <v>0.13554020692584401</v>
      </c>
      <c r="L241" s="157">
        <f t="shared" si="250"/>
        <v>0.14505907154946662</v>
      </c>
      <c r="M241" s="121"/>
      <c r="N241" s="121"/>
      <c r="O241" s="121"/>
      <c r="P241" s="121"/>
      <c r="Q241" s="121"/>
      <c r="AT241" s="154">
        <f t="shared" si="245"/>
        <v>0</v>
      </c>
      <c r="AU241" s="154">
        <f t="shared" si="245"/>
        <v>1</v>
      </c>
      <c r="AV241" s="154">
        <f t="shared" si="245"/>
        <v>2</v>
      </c>
      <c r="AW241" s="154">
        <f t="shared" si="245"/>
        <v>3</v>
      </c>
      <c r="AX241" s="154">
        <f t="shared" si="245"/>
        <v>4</v>
      </c>
      <c r="AY241" s="154">
        <f t="shared" si="245"/>
        <v>6</v>
      </c>
      <c r="AZ241" s="154">
        <f t="shared" si="245"/>
        <v>7</v>
      </c>
      <c r="BA241" s="154">
        <f t="shared" si="245"/>
        <v>8</v>
      </c>
      <c r="BB241" s="154">
        <f t="shared" si="245"/>
        <v>10</v>
      </c>
    </row>
    <row r="242" spans="1:54" ht="15" customHeight="1" x14ac:dyDescent="0.25">
      <c r="A242" s="121"/>
      <c r="B242" s="335"/>
      <c r="C242" s="179">
        <f>C241-$G$458</f>
        <v>36</v>
      </c>
      <c r="D242" s="155">
        <f t="shared" ref="D242:L242" si="251">D202-$AM176</f>
        <v>6.6799671344935918E-2</v>
      </c>
      <c r="E242" s="155">
        <f t="shared" si="251"/>
        <v>7.9133414499375609E-2</v>
      </c>
      <c r="F242" s="155">
        <f t="shared" si="251"/>
        <v>9.0994005813843204E-2</v>
      </c>
      <c r="G242" s="155">
        <f t="shared" si="251"/>
        <v>0.1024204249258569</v>
      </c>
      <c r="H242" s="155">
        <f t="shared" si="251"/>
        <v>0.11344687388997543</v>
      </c>
      <c r="I242" s="155">
        <f t="shared" si="251"/>
        <v>0.12410353868512969</v>
      </c>
      <c r="J242" s="155">
        <f t="shared" si="251"/>
        <v>0.13441720355056153</v>
      </c>
      <c r="K242" s="155">
        <f t="shared" si="251"/>
        <v>0.14441175119338534</v>
      </c>
      <c r="L242" s="155">
        <f t="shared" si="251"/>
        <v>0.15410857355940433</v>
      </c>
      <c r="M242" s="121"/>
      <c r="N242" s="121"/>
      <c r="O242" s="121"/>
      <c r="P242" s="121"/>
      <c r="Q242" s="121"/>
      <c r="AT242" s="154">
        <f t="shared" si="245"/>
        <v>0</v>
      </c>
      <c r="AU242" s="154">
        <f t="shared" si="245"/>
        <v>1</v>
      </c>
      <c r="AV242" s="154">
        <f t="shared" si="245"/>
        <v>3</v>
      </c>
      <c r="AW242" s="154">
        <f t="shared" si="245"/>
        <v>4</v>
      </c>
      <c r="AX242" s="154">
        <f t="shared" si="245"/>
        <v>5</v>
      </c>
      <c r="AY242" s="154">
        <f t="shared" si="245"/>
        <v>7</v>
      </c>
      <c r="AZ242" s="154">
        <f t="shared" si="245"/>
        <v>8</v>
      </c>
      <c r="BA242" s="154">
        <f t="shared" si="245"/>
        <v>9</v>
      </c>
      <c r="BB242" s="154">
        <f t="shared" si="245"/>
        <v>10</v>
      </c>
    </row>
    <row r="243" spans="1:54" ht="15" hidden="1" customHeight="1" outlineLevel="1" x14ac:dyDescent="0.25">
      <c r="A243" s="121"/>
      <c r="B243" s="153" t="s">
        <v>324</v>
      </c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</row>
    <row r="244" spans="1:54" ht="3.95" customHeight="1" collapsed="1" x14ac:dyDescent="0.25">
      <c r="A244" s="121"/>
      <c r="M244" s="121"/>
    </row>
    <row r="245" spans="1:54" ht="15" customHeight="1" x14ac:dyDescent="0.25">
      <c r="A245" s="121"/>
      <c r="B245" s="178" t="str">
        <f>"Ben's Return Profile Based on Partnering — Keystone Multiple × Net Client Wins ("&amp;TEXT($G$436,"0%")&amp;" Rollover)"</f>
        <v>Ben's Return Profile Based on Partnering — Keystone Multiple × Net Client Wins (30% Rollover)</v>
      </c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21"/>
      <c r="N245" s="121"/>
      <c r="O245" s="121"/>
      <c r="P245" s="121"/>
      <c r="Q245" s="121"/>
    </row>
    <row r="246" spans="1:54" ht="15" customHeight="1" x14ac:dyDescent="0.25">
      <c r="A246" s="121"/>
      <c r="B246" s="164" t="s">
        <v>323</v>
      </c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</row>
    <row r="247" spans="1:54" ht="2.1" customHeight="1" x14ac:dyDescent="0.25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</row>
    <row r="248" spans="1:54" ht="12.75" customHeight="1" x14ac:dyDescent="0.25">
      <c r="A248" s="121"/>
      <c r="B248" s="10"/>
      <c r="C248" s="10"/>
      <c r="D248" s="163" t="s">
        <v>289</v>
      </c>
      <c r="E248" s="163"/>
      <c r="F248" s="163"/>
      <c r="G248" s="163"/>
      <c r="H248" s="163"/>
      <c r="I248" s="163"/>
      <c r="J248" s="163"/>
      <c r="K248" s="163"/>
      <c r="L248" s="163"/>
      <c r="M248" s="121"/>
      <c r="N248" s="121"/>
      <c r="O248" s="121"/>
      <c r="P248" s="121"/>
      <c r="Q248" s="121"/>
      <c r="Z248" s="171" t="str">
        <f>"Helper: Unrounded Net Return — Multiple × Net Client Wins ("&amp;TEXT($G$436,"0%")&amp;" Rollover)"</f>
        <v>Helper: Unrounded Net Return — Multiple × Net Client Wins (30% Rollover)</v>
      </c>
      <c r="AA248" s="58"/>
      <c r="AB248" s="58"/>
      <c r="AC248" s="58"/>
      <c r="AD248" s="58"/>
      <c r="AE248" s="58"/>
      <c r="AF248" s="58"/>
      <c r="AG248" s="58"/>
      <c r="AH248" s="58"/>
      <c r="AJ248" s="176" t="s">
        <v>322</v>
      </c>
      <c r="AK248" s="176" t="s">
        <v>309</v>
      </c>
      <c r="AL248" s="176" t="s">
        <v>308</v>
      </c>
      <c r="AM248" s="176" t="s">
        <v>307</v>
      </c>
    </row>
    <row r="249" spans="1:54" ht="12.75" customHeight="1" x14ac:dyDescent="0.25">
      <c r="A249" s="121"/>
      <c r="B249" s="10"/>
      <c r="C249" s="10"/>
      <c r="D249" s="162">
        <f>E249-$G$466</f>
        <v>1</v>
      </c>
      <c r="E249" s="162">
        <f>F249-$G$466</f>
        <v>1.25</v>
      </c>
      <c r="F249" s="162">
        <f>G249-$G$466</f>
        <v>1.5</v>
      </c>
      <c r="G249" s="162">
        <f>H249-$G$466</f>
        <v>1.75</v>
      </c>
      <c r="H249" s="162">
        <f>$G$465</f>
        <v>2</v>
      </c>
      <c r="I249" s="162">
        <f>H249+$G$466</f>
        <v>2.25</v>
      </c>
      <c r="J249" s="162">
        <f>I249+$G$466</f>
        <v>2.5</v>
      </c>
      <c r="K249" s="162">
        <f>J249+$G$466</f>
        <v>2.75</v>
      </c>
      <c r="L249" s="162">
        <f>K249+$G$466</f>
        <v>3</v>
      </c>
      <c r="M249" s="121"/>
      <c r="N249" s="121"/>
      <c r="O249" s="121"/>
      <c r="P249" s="121"/>
      <c r="Q249" s="121"/>
      <c r="Z249" s="170">
        <f t="shared" ref="Z249:AH249" si="252">D$249</f>
        <v>1</v>
      </c>
      <c r="AA249" s="170">
        <f t="shared" si="252"/>
        <v>1.25</v>
      </c>
      <c r="AB249" s="170">
        <f t="shared" si="252"/>
        <v>1.5</v>
      </c>
      <c r="AC249" s="170">
        <f t="shared" si="252"/>
        <v>1.75</v>
      </c>
      <c r="AD249" s="170">
        <f t="shared" si="252"/>
        <v>2</v>
      </c>
      <c r="AE249" s="170">
        <f t="shared" si="252"/>
        <v>2.25</v>
      </c>
      <c r="AF249" s="170">
        <f t="shared" si="252"/>
        <v>2.5</v>
      </c>
      <c r="AG249" s="170">
        <f t="shared" si="252"/>
        <v>2.75</v>
      </c>
      <c r="AH249" s="170">
        <f t="shared" si="252"/>
        <v>3</v>
      </c>
      <c r="AJ249" s="58"/>
      <c r="AK249" s="58"/>
      <c r="AL249" s="58"/>
      <c r="AM249" s="58"/>
      <c r="AT249" s="161" t="s">
        <v>288</v>
      </c>
      <c r="AU249" s="160"/>
      <c r="AV249" s="160"/>
      <c r="AW249" s="160"/>
      <c r="AX249" s="160"/>
      <c r="AY249" s="160"/>
      <c r="AZ249" s="160"/>
      <c r="BA249" s="160"/>
      <c r="BB249" s="160"/>
    </row>
    <row r="250" spans="1:54" ht="15" customHeight="1" x14ac:dyDescent="0.25">
      <c r="A250" s="121"/>
      <c r="B250" s="333" t="s">
        <v>313</v>
      </c>
      <c r="C250" s="180">
        <f>C251+$G$458</f>
        <v>60</v>
      </c>
      <c r="D250" s="152">
        <f t="shared" ref="D250:L256" si="253">ROUND(Z250,$G$452)</f>
        <v>4200</v>
      </c>
      <c r="E250" s="152">
        <f t="shared" si="253"/>
        <v>4800</v>
      </c>
      <c r="F250" s="152">
        <f t="shared" si="253"/>
        <v>5500</v>
      </c>
      <c r="G250" s="152">
        <f t="shared" si="253"/>
        <v>6100</v>
      </c>
      <c r="H250" s="152">
        <f t="shared" si="253"/>
        <v>6700</v>
      </c>
      <c r="I250" s="152">
        <f t="shared" si="253"/>
        <v>7300</v>
      </c>
      <c r="J250" s="152">
        <f t="shared" si="253"/>
        <v>8000</v>
      </c>
      <c r="K250" s="152">
        <f t="shared" si="253"/>
        <v>8600</v>
      </c>
      <c r="L250" s="152">
        <f t="shared" si="253"/>
        <v>9200</v>
      </c>
      <c r="M250" s="121"/>
      <c r="N250" s="121"/>
      <c r="O250" s="121"/>
      <c r="P250" s="121"/>
      <c r="Q250" s="121"/>
      <c r="Z250" s="57">
        <f t="shared" ref="Z250:AH256" si="254">$O$18+$G$435+$N$18*$AK250*Z$249+$R$18*($Q$18*(1+$G$437)+$AK250*Z$249*(1-$N$18))-$G$430</f>
        <v>4192.1562673381613</v>
      </c>
      <c r="AA250" s="57">
        <f t="shared" si="254"/>
        <v>4822.5910827487805</v>
      </c>
      <c r="AB250" s="57">
        <f t="shared" si="254"/>
        <v>5453.0258981593979</v>
      </c>
      <c r="AC250" s="57">
        <f t="shared" si="254"/>
        <v>6083.4607135700171</v>
      </c>
      <c r="AD250" s="57">
        <f t="shared" si="254"/>
        <v>6713.8955289806363</v>
      </c>
      <c r="AE250" s="57">
        <f t="shared" si="254"/>
        <v>7344.3303443912519</v>
      </c>
      <c r="AF250" s="57">
        <f t="shared" si="254"/>
        <v>7974.7651598018711</v>
      </c>
      <c r="AG250" s="57">
        <f t="shared" si="254"/>
        <v>8605.1999752124902</v>
      </c>
      <c r="AH250" s="57">
        <f t="shared" si="254"/>
        <v>9235.6347906231094</v>
      </c>
      <c r="AJ250" s="57">
        <f t="shared" ref="AJ250:AJ256" si="255">$C250</f>
        <v>60</v>
      </c>
      <c r="AK250" s="57">
        <f t="shared" ref="AK250:AK256" si="256">$G$453+AJ250*$G$445*$G$454</f>
        <v>7987.9829183050897</v>
      </c>
      <c r="AL250" s="57">
        <f t="shared" ref="AL250:AL256" si="257">($G$453+(AJ250-$G$459)*$G$445*$G$460)*$G$461*$G$462</f>
        <v>8737.6181733050907</v>
      </c>
      <c r="AM250" s="175">
        <f t="shared" ref="AM250:AM256" si="258">IFERROR((AL250/$G$430)^(1/$G$445)-1,0)</f>
        <v>0.2383812320355434</v>
      </c>
      <c r="AT250" s="154">
        <f t="shared" ref="AT250:BB256" si="259">IF(Z290&lt;$G$449,0,MIN($G$446,1+IFERROR(INT((Z290-$G$449)/$G$467),0)))</f>
        <v>0</v>
      </c>
      <c r="AU250" s="154">
        <f t="shared" si="259"/>
        <v>0</v>
      </c>
      <c r="AV250" s="154">
        <f t="shared" si="259"/>
        <v>0</v>
      </c>
      <c r="AW250" s="154">
        <f t="shared" si="259"/>
        <v>0</v>
      </c>
      <c r="AX250" s="154">
        <f t="shared" si="259"/>
        <v>0</v>
      </c>
      <c r="AY250" s="154">
        <f t="shared" si="259"/>
        <v>2</v>
      </c>
      <c r="AZ250" s="154">
        <f t="shared" si="259"/>
        <v>4</v>
      </c>
      <c r="BA250" s="154">
        <f t="shared" si="259"/>
        <v>7</v>
      </c>
      <c r="BB250" s="154">
        <f t="shared" si="259"/>
        <v>9</v>
      </c>
    </row>
    <row r="251" spans="1:54" ht="15" customHeight="1" x14ac:dyDescent="0.25">
      <c r="A251" s="121"/>
      <c r="B251" s="334"/>
      <c r="C251" s="180">
        <f>C252+$G$458</f>
        <v>56</v>
      </c>
      <c r="D251" s="168">
        <f t="shared" si="253"/>
        <v>4100</v>
      </c>
      <c r="E251" s="168">
        <f t="shared" si="253"/>
        <v>4700</v>
      </c>
      <c r="F251" s="168">
        <f t="shared" si="253"/>
        <v>5300</v>
      </c>
      <c r="G251" s="168">
        <f t="shared" si="253"/>
        <v>5900</v>
      </c>
      <c r="H251" s="168">
        <f t="shared" si="253"/>
        <v>6500</v>
      </c>
      <c r="I251" s="168">
        <f t="shared" si="253"/>
        <v>7100</v>
      </c>
      <c r="J251" s="168">
        <f t="shared" si="253"/>
        <v>7700</v>
      </c>
      <c r="K251" s="168">
        <f t="shared" si="253"/>
        <v>8300</v>
      </c>
      <c r="L251" s="168">
        <f t="shared" si="253"/>
        <v>8900</v>
      </c>
      <c r="M251" s="121"/>
      <c r="N251" s="121"/>
      <c r="O251" s="121"/>
      <c r="P251" s="121"/>
      <c r="Q251" s="121"/>
      <c r="Z251" s="57">
        <f t="shared" si="254"/>
        <v>4087.1479345519456</v>
      </c>
      <c r="AA251" s="57">
        <f t="shared" si="254"/>
        <v>4691.3306667660099</v>
      </c>
      <c r="AB251" s="57">
        <f t="shared" si="254"/>
        <v>5295.5133989800743</v>
      </c>
      <c r="AC251" s="57">
        <f t="shared" si="254"/>
        <v>5899.6961311941377</v>
      </c>
      <c r="AD251" s="57">
        <f t="shared" si="254"/>
        <v>6503.8788634082011</v>
      </c>
      <c r="AE251" s="57">
        <f t="shared" si="254"/>
        <v>7108.0615956222664</v>
      </c>
      <c r="AF251" s="57">
        <f t="shared" si="254"/>
        <v>7712.2443278363316</v>
      </c>
      <c r="AG251" s="57">
        <f t="shared" si="254"/>
        <v>8316.4270600503951</v>
      </c>
      <c r="AH251" s="57">
        <f t="shared" si="254"/>
        <v>8920.6097922644585</v>
      </c>
      <c r="AJ251" s="57">
        <f t="shared" si="255"/>
        <v>56</v>
      </c>
      <c r="AK251" s="57">
        <f t="shared" si="256"/>
        <v>7655.3534584180834</v>
      </c>
      <c r="AL251" s="57">
        <f t="shared" si="257"/>
        <v>8321.8313484463324</v>
      </c>
      <c r="AM251" s="175">
        <f t="shared" si="258"/>
        <v>0.22636438906489698</v>
      </c>
      <c r="AT251" s="154">
        <f t="shared" si="259"/>
        <v>0</v>
      </c>
      <c r="AU251" s="154">
        <f t="shared" si="259"/>
        <v>0</v>
      </c>
      <c r="AV251" s="154">
        <f t="shared" si="259"/>
        <v>0</v>
      </c>
      <c r="AW251" s="154">
        <f t="shared" si="259"/>
        <v>0</v>
      </c>
      <c r="AX251" s="154">
        <f t="shared" si="259"/>
        <v>1</v>
      </c>
      <c r="AY251" s="154">
        <f t="shared" si="259"/>
        <v>3</v>
      </c>
      <c r="AZ251" s="154">
        <f t="shared" si="259"/>
        <v>5</v>
      </c>
      <c r="BA251" s="154">
        <f t="shared" si="259"/>
        <v>7</v>
      </c>
      <c r="BB251" s="154">
        <f t="shared" si="259"/>
        <v>9</v>
      </c>
    </row>
    <row r="252" spans="1:54" ht="15" customHeight="1" x14ac:dyDescent="0.25">
      <c r="A252" s="121"/>
      <c r="B252" s="334"/>
      <c r="C252" s="180">
        <f>C253+$G$458</f>
        <v>52</v>
      </c>
      <c r="D252" s="168">
        <f t="shared" si="253"/>
        <v>4000</v>
      </c>
      <c r="E252" s="168">
        <f t="shared" si="253"/>
        <v>4600</v>
      </c>
      <c r="F252" s="168">
        <f t="shared" si="253"/>
        <v>5100</v>
      </c>
      <c r="G252" s="168">
        <f t="shared" si="253"/>
        <v>5700</v>
      </c>
      <c r="H252" s="168">
        <f t="shared" si="253"/>
        <v>6300</v>
      </c>
      <c r="I252" s="168">
        <f t="shared" si="253"/>
        <v>6900</v>
      </c>
      <c r="J252" s="168">
        <f t="shared" si="253"/>
        <v>7400</v>
      </c>
      <c r="K252" s="168">
        <f t="shared" si="253"/>
        <v>8000</v>
      </c>
      <c r="L252" s="168">
        <f t="shared" si="253"/>
        <v>8600</v>
      </c>
      <c r="M252" s="121"/>
      <c r="N252" s="121"/>
      <c r="O252" s="121"/>
      <c r="P252" s="121"/>
      <c r="Q252" s="121"/>
      <c r="Z252" s="57">
        <f t="shared" si="254"/>
        <v>3982.1396017657298</v>
      </c>
      <c r="AA252" s="57">
        <f t="shared" si="254"/>
        <v>4560.0702507832393</v>
      </c>
      <c r="AB252" s="57">
        <f t="shared" si="254"/>
        <v>5138.0008998007488</v>
      </c>
      <c r="AC252" s="57">
        <f t="shared" si="254"/>
        <v>5715.9315488182583</v>
      </c>
      <c r="AD252" s="57">
        <f t="shared" si="254"/>
        <v>6293.8621978357696</v>
      </c>
      <c r="AE252" s="57">
        <f t="shared" si="254"/>
        <v>6871.7928468532791</v>
      </c>
      <c r="AF252" s="57">
        <f t="shared" si="254"/>
        <v>7449.7234958707904</v>
      </c>
      <c r="AG252" s="57">
        <f t="shared" si="254"/>
        <v>8027.6541448882999</v>
      </c>
      <c r="AH252" s="57">
        <f t="shared" si="254"/>
        <v>8605.5847939058112</v>
      </c>
      <c r="AJ252" s="57">
        <f t="shared" si="255"/>
        <v>52</v>
      </c>
      <c r="AK252" s="57">
        <f t="shared" si="256"/>
        <v>7322.7239985310789</v>
      </c>
      <c r="AL252" s="57">
        <f t="shared" si="257"/>
        <v>7906.044523587575</v>
      </c>
      <c r="AM252" s="175">
        <f t="shared" si="258"/>
        <v>0.21385720427347343</v>
      </c>
      <c r="AT252" s="154">
        <f t="shared" si="259"/>
        <v>0</v>
      </c>
      <c r="AU252" s="154">
        <f t="shared" si="259"/>
        <v>0</v>
      </c>
      <c r="AV252" s="154">
        <f t="shared" si="259"/>
        <v>0</v>
      </c>
      <c r="AW252" s="154">
        <f t="shared" si="259"/>
        <v>0</v>
      </c>
      <c r="AX252" s="154">
        <f t="shared" si="259"/>
        <v>2</v>
      </c>
      <c r="AY252" s="154">
        <f t="shared" si="259"/>
        <v>4</v>
      </c>
      <c r="AZ252" s="154">
        <f t="shared" si="259"/>
        <v>5</v>
      </c>
      <c r="BA252" s="154">
        <f t="shared" si="259"/>
        <v>7</v>
      </c>
      <c r="BB252" s="154">
        <f t="shared" si="259"/>
        <v>9</v>
      </c>
    </row>
    <row r="253" spans="1:54" ht="15" customHeight="1" x14ac:dyDescent="0.25">
      <c r="A253" s="121"/>
      <c r="B253" s="334"/>
      <c r="C253" s="180">
        <f>$G$457</f>
        <v>48</v>
      </c>
      <c r="D253" s="168">
        <f t="shared" si="253"/>
        <v>3900</v>
      </c>
      <c r="E253" s="168">
        <f t="shared" si="253"/>
        <v>4400</v>
      </c>
      <c r="F253" s="168">
        <f t="shared" si="253"/>
        <v>5000</v>
      </c>
      <c r="G253" s="168">
        <f t="shared" si="253"/>
        <v>5500</v>
      </c>
      <c r="H253" s="169">
        <f t="shared" si="253"/>
        <v>6100</v>
      </c>
      <c r="I253" s="168">
        <f t="shared" si="253"/>
        <v>6600</v>
      </c>
      <c r="J253" s="168">
        <f t="shared" si="253"/>
        <v>7200</v>
      </c>
      <c r="K253" s="168">
        <f t="shared" si="253"/>
        <v>7700</v>
      </c>
      <c r="L253" s="168">
        <f t="shared" si="253"/>
        <v>8300</v>
      </c>
      <c r="M253" s="121"/>
      <c r="N253" s="121"/>
      <c r="O253" s="121"/>
      <c r="P253" s="121"/>
      <c r="Q253" s="121"/>
      <c r="Z253" s="57">
        <f t="shared" si="254"/>
        <v>3877.1312689795122</v>
      </c>
      <c r="AA253" s="57">
        <f t="shared" si="254"/>
        <v>4428.8098348004687</v>
      </c>
      <c r="AB253" s="57">
        <f t="shared" si="254"/>
        <v>4980.4884006214243</v>
      </c>
      <c r="AC253" s="57">
        <f t="shared" si="254"/>
        <v>5532.1669664423807</v>
      </c>
      <c r="AD253" s="57">
        <f t="shared" si="254"/>
        <v>6083.8455322633381</v>
      </c>
      <c r="AE253" s="57">
        <f t="shared" si="254"/>
        <v>6635.5240980842937</v>
      </c>
      <c r="AF253" s="57">
        <f t="shared" si="254"/>
        <v>7187.2026639052492</v>
      </c>
      <c r="AG253" s="57">
        <f t="shared" si="254"/>
        <v>7738.8812297262048</v>
      </c>
      <c r="AH253" s="57">
        <f t="shared" si="254"/>
        <v>8290.5597955471603</v>
      </c>
      <c r="AJ253" s="57">
        <f t="shared" si="255"/>
        <v>48</v>
      </c>
      <c r="AK253" s="57">
        <f t="shared" si="256"/>
        <v>6990.0945386440726</v>
      </c>
      <c r="AL253" s="57">
        <f t="shared" si="257"/>
        <v>7490.2576987288176</v>
      </c>
      <c r="AM253" s="175">
        <f t="shared" si="258"/>
        <v>0.20081222595661186</v>
      </c>
      <c r="AT253" s="154">
        <f t="shared" si="259"/>
        <v>0</v>
      </c>
      <c r="AU253" s="154">
        <f t="shared" si="259"/>
        <v>0</v>
      </c>
      <c r="AV253" s="154">
        <f t="shared" si="259"/>
        <v>0</v>
      </c>
      <c r="AW253" s="154">
        <f t="shared" si="259"/>
        <v>1</v>
      </c>
      <c r="AX253" s="154">
        <f t="shared" si="259"/>
        <v>2</v>
      </c>
      <c r="AY253" s="154">
        <f t="shared" si="259"/>
        <v>4</v>
      </c>
      <c r="AZ253" s="154">
        <f t="shared" si="259"/>
        <v>6</v>
      </c>
      <c r="BA253" s="154">
        <f t="shared" si="259"/>
        <v>8</v>
      </c>
      <c r="BB253" s="154">
        <f t="shared" si="259"/>
        <v>10</v>
      </c>
    </row>
    <row r="254" spans="1:54" ht="15" customHeight="1" x14ac:dyDescent="0.25">
      <c r="A254" s="121"/>
      <c r="B254" s="334"/>
      <c r="C254" s="180">
        <f>C253-$G$458</f>
        <v>44</v>
      </c>
      <c r="D254" s="168">
        <f t="shared" si="253"/>
        <v>3800</v>
      </c>
      <c r="E254" s="168">
        <f t="shared" si="253"/>
        <v>4300</v>
      </c>
      <c r="F254" s="168">
        <f t="shared" si="253"/>
        <v>4800</v>
      </c>
      <c r="G254" s="168">
        <f t="shared" si="253"/>
        <v>5300</v>
      </c>
      <c r="H254" s="168">
        <f t="shared" si="253"/>
        <v>5900</v>
      </c>
      <c r="I254" s="168">
        <f t="shared" si="253"/>
        <v>6400</v>
      </c>
      <c r="J254" s="168">
        <f t="shared" si="253"/>
        <v>6900</v>
      </c>
      <c r="K254" s="168">
        <f t="shared" si="253"/>
        <v>7500</v>
      </c>
      <c r="L254" s="168">
        <f t="shared" si="253"/>
        <v>8000</v>
      </c>
      <c r="M254" s="121"/>
      <c r="N254" s="121"/>
      <c r="O254" s="121"/>
      <c r="P254" s="121"/>
      <c r="Q254" s="121"/>
      <c r="Z254" s="57">
        <f t="shared" si="254"/>
        <v>3772.1229361932956</v>
      </c>
      <c r="AA254" s="57">
        <f t="shared" si="254"/>
        <v>4297.5494188176981</v>
      </c>
      <c r="AB254" s="57">
        <f t="shared" si="254"/>
        <v>4822.9759014420997</v>
      </c>
      <c r="AC254" s="57">
        <f t="shared" si="254"/>
        <v>5348.4023840665013</v>
      </c>
      <c r="AD254" s="57">
        <f t="shared" si="254"/>
        <v>5873.8288666909029</v>
      </c>
      <c r="AE254" s="57">
        <f t="shared" si="254"/>
        <v>6399.2553493153064</v>
      </c>
      <c r="AF254" s="57">
        <f t="shared" si="254"/>
        <v>6924.681831939708</v>
      </c>
      <c r="AG254" s="57">
        <f t="shared" si="254"/>
        <v>7450.1083145641096</v>
      </c>
      <c r="AH254" s="57">
        <f t="shared" si="254"/>
        <v>7975.534797188513</v>
      </c>
      <c r="AJ254" s="57">
        <f t="shared" si="255"/>
        <v>44</v>
      </c>
      <c r="AK254" s="57">
        <f t="shared" si="256"/>
        <v>6657.4650787570663</v>
      </c>
      <c r="AL254" s="57">
        <f t="shared" si="257"/>
        <v>7074.4708738700601</v>
      </c>
      <c r="AM254" s="175">
        <f t="shared" si="258"/>
        <v>0.18717445096254903</v>
      </c>
      <c r="AT254" s="154">
        <f t="shared" si="259"/>
        <v>0</v>
      </c>
      <c r="AU254" s="154">
        <f t="shared" si="259"/>
        <v>0</v>
      </c>
      <c r="AV254" s="154">
        <f t="shared" si="259"/>
        <v>0</v>
      </c>
      <c r="AW254" s="154">
        <f t="shared" si="259"/>
        <v>1</v>
      </c>
      <c r="AX254" s="154">
        <f t="shared" si="259"/>
        <v>3</v>
      </c>
      <c r="AY254" s="154">
        <f t="shared" si="259"/>
        <v>5</v>
      </c>
      <c r="AZ254" s="154">
        <f t="shared" si="259"/>
        <v>6</v>
      </c>
      <c r="BA254" s="154">
        <f t="shared" si="259"/>
        <v>8</v>
      </c>
      <c r="BB254" s="154">
        <f t="shared" si="259"/>
        <v>10</v>
      </c>
    </row>
    <row r="255" spans="1:54" ht="15" customHeight="1" x14ac:dyDescent="0.25">
      <c r="A255" s="121"/>
      <c r="B255" s="334"/>
      <c r="C255" s="180">
        <f>C254-$G$458</f>
        <v>40</v>
      </c>
      <c r="D255" s="168">
        <f t="shared" si="253"/>
        <v>3700</v>
      </c>
      <c r="E255" s="168">
        <f t="shared" si="253"/>
        <v>4200</v>
      </c>
      <c r="F255" s="168">
        <f t="shared" si="253"/>
        <v>4700</v>
      </c>
      <c r="G255" s="168">
        <f t="shared" si="253"/>
        <v>5200</v>
      </c>
      <c r="H255" s="168">
        <f t="shared" si="253"/>
        <v>5700</v>
      </c>
      <c r="I255" s="168">
        <f t="shared" si="253"/>
        <v>6200</v>
      </c>
      <c r="J255" s="168">
        <f t="shared" si="253"/>
        <v>6700</v>
      </c>
      <c r="K255" s="168">
        <f t="shared" si="253"/>
        <v>7200</v>
      </c>
      <c r="L255" s="168">
        <f t="shared" si="253"/>
        <v>7700</v>
      </c>
      <c r="M255" s="121"/>
      <c r="N255" s="121"/>
      <c r="O255" s="121"/>
      <c r="P255" s="121"/>
      <c r="Q255" s="121"/>
      <c r="Z255" s="57">
        <f t="shared" si="254"/>
        <v>3667.1146034070798</v>
      </c>
      <c r="AA255" s="57">
        <f t="shared" si="254"/>
        <v>4166.2890028349275</v>
      </c>
      <c r="AB255" s="57">
        <f t="shared" si="254"/>
        <v>4665.4634022627743</v>
      </c>
      <c r="AC255" s="57">
        <f t="shared" si="254"/>
        <v>5164.6378016906228</v>
      </c>
      <c r="AD255" s="57">
        <f t="shared" si="254"/>
        <v>5663.8122011184714</v>
      </c>
      <c r="AE255" s="57">
        <f t="shared" si="254"/>
        <v>6162.9866005463191</v>
      </c>
      <c r="AF255" s="57">
        <f t="shared" si="254"/>
        <v>6662.1609999741668</v>
      </c>
      <c r="AG255" s="57">
        <f t="shared" si="254"/>
        <v>7161.3353994020144</v>
      </c>
      <c r="AH255" s="57">
        <f t="shared" si="254"/>
        <v>7660.5097988298621</v>
      </c>
      <c r="AJ255" s="57">
        <f t="shared" si="255"/>
        <v>40</v>
      </c>
      <c r="AK255" s="57">
        <f t="shared" si="256"/>
        <v>6324.83561887006</v>
      </c>
      <c r="AL255" s="57">
        <f t="shared" si="257"/>
        <v>6658.6840490113027</v>
      </c>
      <c r="AM255" s="175">
        <f t="shared" si="258"/>
        <v>0.17287959485981674</v>
      </c>
      <c r="AT255" s="154">
        <f t="shared" si="259"/>
        <v>0</v>
      </c>
      <c r="AU255" s="154">
        <f t="shared" si="259"/>
        <v>0</v>
      </c>
      <c r="AV255" s="154">
        <f t="shared" si="259"/>
        <v>1</v>
      </c>
      <c r="AW255" s="154">
        <f t="shared" si="259"/>
        <v>2</v>
      </c>
      <c r="AX255" s="154">
        <f t="shared" si="259"/>
        <v>4</v>
      </c>
      <c r="AY255" s="154">
        <f t="shared" si="259"/>
        <v>5</v>
      </c>
      <c r="AZ255" s="154">
        <f t="shared" si="259"/>
        <v>7</v>
      </c>
      <c r="BA255" s="154">
        <f t="shared" si="259"/>
        <v>9</v>
      </c>
      <c r="BB255" s="154">
        <f t="shared" si="259"/>
        <v>10</v>
      </c>
    </row>
    <row r="256" spans="1:54" ht="15" customHeight="1" x14ac:dyDescent="0.25">
      <c r="A256" s="121"/>
      <c r="B256" s="335"/>
      <c r="C256" s="179">
        <f>C255-$G$458</f>
        <v>36</v>
      </c>
      <c r="D256" s="149">
        <f t="shared" si="253"/>
        <v>3600</v>
      </c>
      <c r="E256" s="149">
        <f t="shared" si="253"/>
        <v>4000</v>
      </c>
      <c r="F256" s="149">
        <f t="shared" si="253"/>
        <v>4500</v>
      </c>
      <c r="G256" s="149">
        <f t="shared" si="253"/>
        <v>5000</v>
      </c>
      <c r="H256" s="149">
        <f t="shared" si="253"/>
        <v>5500</v>
      </c>
      <c r="I256" s="149">
        <f t="shared" si="253"/>
        <v>5900</v>
      </c>
      <c r="J256" s="149">
        <f t="shared" si="253"/>
        <v>6400</v>
      </c>
      <c r="K256" s="149">
        <f t="shared" si="253"/>
        <v>6900</v>
      </c>
      <c r="L256" s="149">
        <f t="shared" si="253"/>
        <v>7300</v>
      </c>
      <c r="M256" s="121"/>
      <c r="N256" s="121"/>
      <c r="O256" s="121"/>
      <c r="P256" s="121"/>
      <c r="Q256" s="121"/>
      <c r="Z256" s="57">
        <f t="shared" si="254"/>
        <v>3562.1062706208631</v>
      </c>
      <c r="AA256" s="57">
        <f t="shared" si="254"/>
        <v>4035.0285868521569</v>
      </c>
      <c r="AB256" s="57">
        <f t="shared" si="254"/>
        <v>4507.9509030834506</v>
      </c>
      <c r="AC256" s="57">
        <f t="shared" si="254"/>
        <v>4980.8732193147443</v>
      </c>
      <c r="AD256" s="57">
        <f t="shared" si="254"/>
        <v>5453.7955355460381</v>
      </c>
      <c r="AE256" s="57">
        <f t="shared" si="254"/>
        <v>5926.7178517773318</v>
      </c>
      <c r="AF256" s="57">
        <f t="shared" si="254"/>
        <v>6399.6401680086237</v>
      </c>
      <c r="AG256" s="57">
        <f t="shared" si="254"/>
        <v>6872.5624842399193</v>
      </c>
      <c r="AH256" s="57">
        <f t="shared" si="254"/>
        <v>7345.484800471213</v>
      </c>
      <c r="AJ256" s="57">
        <f t="shared" si="255"/>
        <v>36</v>
      </c>
      <c r="AK256" s="57">
        <f t="shared" si="256"/>
        <v>5992.2061589830537</v>
      </c>
      <c r="AL256" s="57">
        <f t="shared" si="257"/>
        <v>6242.8972241525462</v>
      </c>
      <c r="AM256" s="175">
        <f t="shared" si="258"/>
        <v>0.15785182924075625</v>
      </c>
      <c r="AT256" s="154">
        <f t="shared" si="259"/>
        <v>0</v>
      </c>
      <c r="AU256" s="154">
        <f t="shared" si="259"/>
        <v>0</v>
      </c>
      <c r="AV256" s="154">
        <f t="shared" si="259"/>
        <v>1</v>
      </c>
      <c r="AW256" s="154">
        <f t="shared" si="259"/>
        <v>3</v>
      </c>
      <c r="AX256" s="154">
        <f t="shared" si="259"/>
        <v>4</v>
      </c>
      <c r="AY256" s="154">
        <f t="shared" si="259"/>
        <v>6</v>
      </c>
      <c r="AZ256" s="154">
        <f t="shared" si="259"/>
        <v>7</v>
      </c>
      <c r="BA256" s="154">
        <f t="shared" si="259"/>
        <v>9</v>
      </c>
      <c r="BB256" s="154">
        <f t="shared" si="259"/>
        <v>10</v>
      </c>
    </row>
    <row r="257" spans="1:54" ht="3.95" hidden="1" customHeight="1" x14ac:dyDescent="0.25">
      <c r="A257" s="121"/>
      <c r="B257" s="153" t="str">
        <f>"Ben's Yr 5 value less Keystone today (G430); Keystone Yr 5 value = Yr 5 revenue (helper AK) × column multiple; Topkey growth held at model (G437); rollover fixed at "&amp;TEXT($G$436,"0%")</f>
        <v>Ben's Yr 5 value less Keystone today (G430); Keystone Yr 5 value = Yr 5 revenue (helper AK) × column multiple; Topkey growth held at model (G437); rollover fixed at 30%</v>
      </c>
      <c r="C257" s="4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</row>
    <row r="258" spans="1:54" ht="3.95" customHeight="1" x14ac:dyDescent="0.25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</row>
    <row r="259" spans="1:54" ht="15" customHeight="1" x14ac:dyDescent="0.25">
      <c r="A259" s="121"/>
      <c r="B259" s="164" t="s">
        <v>321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</row>
    <row r="260" spans="1:54" ht="2.1" customHeight="1" x14ac:dyDescent="0.25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</row>
    <row r="261" spans="1:54" ht="12.75" customHeight="1" x14ac:dyDescent="0.25">
      <c r="A261" s="121"/>
      <c r="B261" s="10"/>
      <c r="C261" s="10"/>
      <c r="D261" s="163" t="s">
        <v>289</v>
      </c>
      <c r="E261" s="163"/>
      <c r="F261" s="163"/>
      <c r="G261" s="163"/>
      <c r="H261" s="163"/>
      <c r="I261" s="163"/>
      <c r="J261" s="163"/>
      <c r="K261" s="163"/>
      <c r="L261" s="163"/>
      <c r="M261" s="121"/>
      <c r="N261" s="121"/>
      <c r="O261" s="121"/>
      <c r="P261" s="121"/>
      <c r="Q261" s="121"/>
    </row>
    <row r="262" spans="1:54" ht="12.75" customHeight="1" x14ac:dyDescent="0.25">
      <c r="A262" s="121"/>
      <c r="B262" s="10"/>
      <c r="C262" s="10"/>
      <c r="D262" s="162">
        <f>E262-$G$466</f>
        <v>1</v>
      </c>
      <c r="E262" s="162">
        <f>F262-$G$466</f>
        <v>1.25</v>
      </c>
      <c r="F262" s="162">
        <f>G262-$G$466</f>
        <v>1.5</v>
      </c>
      <c r="G262" s="162">
        <f>H262-$G$466</f>
        <v>1.75</v>
      </c>
      <c r="H262" s="162">
        <f>$G$465</f>
        <v>2</v>
      </c>
      <c r="I262" s="162">
        <f>H262+$G$466</f>
        <v>2.25</v>
      </c>
      <c r="J262" s="162">
        <f>I262+$G$466</f>
        <v>2.5</v>
      </c>
      <c r="K262" s="162">
        <f>J262+$G$466</f>
        <v>2.75</v>
      </c>
      <c r="L262" s="162">
        <f>K262+$G$466</f>
        <v>3</v>
      </c>
      <c r="M262" s="121"/>
      <c r="N262" s="121"/>
      <c r="O262" s="121"/>
      <c r="P262" s="121"/>
      <c r="Q262" s="121"/>
      <c r="AT262" s="161" t="s">
        <v>288</v>
      </c>
      <c r="AU262" s="160"/>
      <c r="AV262" s="160"/>
      <c r="AW262" s="160"/>
      <c r="AX262" s="160"/>
      <c r="AY262" s="160"/>
      <c r="AZ262" s="160"/>
      <c r="BA262" s="160"/>
      <c r="BB262" s="160"/>
    </row>
    <row r="263" spans="1:54" ht="15" customHeight="1" x14ac:dyDescent="0.25">
      <c r="A263" s="121"/>
      <c r="B263" s="333" t="s">
        <v>313</v>
      </c>
      <c r="C263" s="180">
        <f>C264+$G$458</f>
        <v>60</v>
      </c>
      <c r="D263" s="166">
        <f t="shared" ref="D263:L269" si="260">IFERROR(Z250/$G$430,0)</f>
        <v>1.3973854224460538</v>
      </c>
      <c r="E263" s="166">
        <f t="shared" si="260"/>
        <v>1.6075303609162601</v>
      </c>
      <c r="F263" s="166">
        <f t="shared" si="260"/>
        <v>1.817675299386466</v>
      </c>
      <c r="G263" s="166">
        <f t="shared" si="260"/>
        <v>2.0278202378566723</v>
      </c>
      <c r="H263" s="166">
        <f t="shared" si="260"/>
        <v>2.2379651763268789</v>
      </c>
      <c r="I263" s="166">
        <f t="shared" si="260"/>
        <v>2.4481101147970841</v>
      </c>
      <c r="J263" s="166">
        <f t="shared" si="260"/>
        <v>2.6582550532672902</v>
      </c>
      <c r="K263" s="166">
        <f t="shared" si="260"/>
        <v>2.8683999917374967</v>
      </c>
      <c r="L263" s="166">
        <f t="shared" si="260"/>
        <v>3.0785449302077033</v>
      </c>
      <c r="M263" s="121"/>
      <c r="N263" s="121"/>
      <c r="O263" s="121"/>
      <c r="P263" s="121"/>
      <c r="Q263" s="121"/>
      <c r="AT263" s="154">
        <f t="shared" ref="AT263:BB269" si="261">IF(Z290&lt;$G$449,0,MIN($G$446,1+IFERROR(INT((Z290-$G$449)/$G$467),0)))</f>
        <v>0</v>
      </c>
      <c r="AU263" s="154">
        <f t="shared" si="261"/>
        <v>0</v>
      </c>
      <c r="AV263" s="154">
        <f t="shared" si="261"/>
        <v>0</v>
      </c>
      <c r="AW263" s="154">
        <f t="shared" si="261"/>
        <v>0</v>
      </c>
      <c r="AX263" s="154">
        <f t="shared" si="261"/>
        <v>0</v>
      </c>
      <c r="AY263" s="154">
        <f t="shared" si="261"/>
        <v>2</v>
      </c>
      <c r="AZ263" s="154">
        <f t="shared" si="261"/>
        <v>4</v>
      </c>
      <c r="BA263" s="154">
        <f t="shared" si="261"/>
        <v>7</v>
      </c>
      <c r="BB263" s="154">
        <f t="shared" si="261"/>
        <v>9</v>
      </c>
    </row>
    <row r="264" spans="1:54" ht="15" customHeight="1" x14ac:dyDescent="0.25">
      <c r="A264" s="121"/>
      <c r="B264" s="334"/>
      <c r="C264" s="180">
        <f>C265+$G$458</f>
        <v>56</v>
      </c>
      <c r="D264" s="166">
        <f t="shared" si="260"/>
        <v>1.3623826448506484</v>
      </c>
      <c r="E264" s="166">
        <f t="shared" si="260"/>
        <v>1.5637768889220034</v>
      </c>
      <c r="F264" s="166">
        <f t="shared" si="260"/>
        <v>1.7651711329933581</v>
      </c>
      <c r="G264" s="166">
        <f t="shared" si="260"/>
        <v>1.9665653770647125</v>
      </c>
      <c r="H264" s="166">
        <f t="shared" si="260"/>
        <v>2.1679596211360672</v>
      </c>
      <c r="I264" s="166">
        <f t="shared" si="260"/>
        <v>2.369353865207422</v>
      </c>
      <c r="J264" s="166">
        <f t="shared" si="260"/>
        <v>2.5707481092787772</v>
      </c>
      <c r="K264" s="166">
        <f t="shared" si="260"/>
        <v>2.7721423533501315</v>
      </c>
      <c r="L264" s="166">
        <f t="shared" si="260"/>
        <v>2.9735365974214862</v>
      </c>
      <c r="M264" s="121"/>
      <c r="N264" s="121"/>
      <c r="O264" s="121"/>
      <c r="P264" s="121"/>
      <c r="Q264" s="121"/>
      <c r="AT264" s="154">
        <f t="shared" si="261"/>
        <v>0</v>
      </c>
      <c r="AU264" s="154">
        <f t="shared" si="261"/>
        <v>0</v>
      </c>
      <c r="AV264" s="154">
        <f t="shared" si="261"/>
        <v>0</v>
      </c>
      <c r="AW264" s="154">
        <f t="shared" si="261"/>
        <v>0</v>
      </c>
      <c r="AX264" s="154">
        <f t="shared" si="261"/>
        <v>1</v>
      </c>
      <c r="AY264" s="154">
        <f t="shared" si="261"/>
        <v>3</v>
      </c>
      <c r="AZ264" s="154">
        <f t="shared" si="261"/>
        <v>5</v>
      </c>
      <c r="BA264" s="154">
        <f t="shared" si="261"/>
        <v>7</v>
      </c>
      <c r="BB264" s="154">
        <f t="shared" si="261"/>
        <v>9</v>
      </c>
    </row>
    <row r="265" spans="1:54" ht="15" customHeight="1" x14ac:dyDescent="0.25">
      <c r="A265" s="121"/>
      <c r="B265" s="334"/>
      <c r="C265" s="180">
        <f>C266+$G$458</f>
        <v>52</v>
      </c>
      <c r="D265" s="166">
        <f t="shared" si="260"/>
        <v>1.3273798672552433</v>
      </c>
      <c r="E265" s="166">
        <f t="shared" si="260"/>
        <v>1.5200234169277465</v>
      </c>
      <c r="F265" s="166">
        <f t="shared" si="260"/>
        <v>1.7126669666002496</v>
      </c>
      <c r="G265" s="166">
        <f t="shared" si="260"/>
        <v>1.9053105162727528</v>
      </c>
      <c r="H265" s="166">
        <f t="shared" si="260"/>
        <v>2.0979540659452565</v>
      </c>
      <c r="I265" s="166">
        <f t="shared" si="260"/>
        <v>2.2905976156177599</v>
      </c>
      <c r="J265" s="166">
        <f t="shared" si="260"/>
        <v>2.4832411652902633</v>
      </c>
      <c r="K265" s="166">
        <f t="shared" si="260"/>
        <v>2.6758847149627667</v>
      </c>
      <c r="L265" s="166">
        <f t="shared" si="260"/>
        <v>2.8685282646352706</v>
      </c>
      <c r="M265" s="121"/>
      <c r="N265" s="121"/>
      <c r="O265" s="121"/>
      <c r="P265" s="121"/>
      <c r="Q265" s="121"/>
      <c r="AT265" s="154">
        <f t="shared" si="261"/>
        <v>0</v>
      </c>
      <c r="AU265" s="154">
        <f t="shared" si="261"/>
        <v>0</v>
      </c>
      <c r="AV265" s="154">
        <f t="shared" si="261"/>
        <v>0</v>
      </c>
      <c r="AW265" s="154">
        <f t="shared" si="261"/>
        <v>0</v>
      </c>
      <c r="AX265" s="154">
        <f t="shared" si="261"/>
        <v>2</v>
      </c>
      <c r="AY265" s="154">
        <f t="shared" si="261"/>
        <v>4</v>
      </c>
      <c r="AZ265" s="154">
        <f t="shared" si="261"/>
        <v>5</v>
      </c>
      <c r="BA265" s="154">
        <f t="shared" si="261"/>
        <v>7</v>
      </c>
      <c r="BB265" s="154">
        <f t="shared" si="261"/>
        <v>9</v>
      </c>
    </row>
    <row r="266" spans="1:54" ht="15" customHeight="1" x14ac:dyDescent="0.25">
      <c r="A266" s="121"/>
      <c r="B266" s="334"/>
      <c r="C266" s="180">
        <f>$G$457</f>
        <v>48</v>
      </c>
      <c r="D266" s="166">
        <f t="shared" si="260"/>
        <v>1.2923770896598374</v>
      </c>
      <c r="E266" s="166">
        <f t="shared" si="260"/>
        <v>1.4762699449334895</v>
      </c>
      <c r="F266" s="166">
        <f t="shared" si="260"/>
        <v>1.6601628002071414</v>
      </c>
      <c r="G266" s="166">
        <f t="shared" si="260"/>
        <v>1.8440556554807936</v>
      </c>
      <c r="H266" s="167">
        <f t="shared" si="260"/>
        <v>2.0279485107544462</v>
      </c>
      <c r="I266" s="166">
        <f t="shared" si="260"/>
        <v>2.2118413660280978</v>
      </c>
      <c r="J266" s="166">
        <f t="shared" si="260"/>
        <v>2.3957342213017498</v>
      </c>
      <c r="K266" s="166">
        <f t="shared" si="260"/>
        <v>2.5796270765754015</v>
      </c>
      <c r="L266" s="166">
        <f t="shared" si="260"/>
        <v>2.7635199318490535</v>
      </c>
      <c r="M266" s="121"/>
      <c r="N266" s="121"/>
      <c r="O266" s="121"/>
      <c r="P266" s="121"/>
      <c r="Q266" s="121"/>
      <c r="AT266" s="154">
        <f t="shared" si="261"/>
        <v>0</v>
      </c>
      <c r="AU266" s="154">
        <f t="shared" si="261"/>
        <v>0</v>
      </c>
      <c r="AV266" s="154">
        <f t="shared" si="261"/>
        <v>0</v>
      </c>
      <c r="AW266" s="154">
        <f t="shared" si="261"/>
        <v>1</v>
      </c>
      <c r="AX266" s="154">
        <f t="shared" si="261"/>
        <v>2</v>
      </c>
      <c r="AY266" s="154">
        <f t="shared" si="261"/>
        <v>4</v>
      </c>
      <c r="AZ266" s="154">
        <f t="shared" si="261"/>
        <v>6</v>
      </c>
      <c r="BA266" s="154">
        <f t="shared" si="261"/>
        <v>8</v>
      </c>
      <c r="BB266" s="154">
        <f t="shared" si="261"/>
        <v>10</v>
      </c>
    </row>
    <row r="267" spans="1:54" ht="15" customHeight="1" x14ac:dyDescent="0.25">
      <c r="A267" s="121"/>
      <c r="B267" s="334"/>
      <c r="C267" s="180">
        <f>C266-$G$458</f>
        <v>44</v>
      </c>
      <c r="D267" s="166">
        <f t="shared" si="260"/>
        <v>1.2573743120644318</v>
      </c>
      <c r="E267" s="166">
        <f t="shared" si="260"/>
        <v>1.4325164729392328</v>
      </c>
      <c r="F267" s="166">
        <f t="shared" si="260"/>
        <v>1.6076586338140333</v>
      </c>
      <c r="G267" s="166">
        <f t="shared" si="260"/>
        <v>1.7828007946888338</v>
      </c>
      <c r="H267" s="166">
        <f t="shared" si="260"/>
        <v>1.9579429555636343</v>
      </c>
      <c r="I267" s="166">
        <f t="shared" si="260"/>
        <v>2.1330851164384357</v>
      </c>
      <c r="J267" s="166">
        <f t="shared" si="260"/>
        <v>2.308227277313236</v>
      </c>
      <c r="K267" s="166">
        <f t="shared" si="260"/>
        <v>2.4833694381880367</v>
      </c>
      <c r="L267" s="166">
        <f t="shared" si="260"/>
        <v>2.6585115990628378</v>
      </c>
      <c r="M267" s="121"/>
      <c r="N267" s="121"/>
      <c r="O267" s="121"/>
      <c r="P267" s="121"/>
      <c r="Q267" s="121"/>
      <c r="AT267" s="154">
        <f t="shared" si="261"/>
        <v>0</v>
      </c>
      <c r="AU267" s="154">
        <f t="shared" si="261"/>
        <v>0</v>
      </c>
      <c r="AV267" s="154">
        <f t="shared" si="261"/>
        <v>0</v>
      </c>
      <c r="AW267" s="154">
        <f t="shared" si="261"/>
        <v>1</v>
      </c>
      <c r="AX267" s="154">
        <f t="shared" si="261"/>
        <v>3</v>
      </c>
      <c r="AY267" s="154">
        <f t="shared" si="261"/>
        <v>5</v>
      </c>
      <c r="AZ267" s="154">
        <f t="shared" si="261"/>
        <v>6</v>
      </c>
      <c r="BA267" s="154">
        <f t="shared" si="261"/>
        <v>8</v>
      </c>
      <c r="BB267" s="154">
        <f t="shared" si="261"/>
        <v>10</v>
      </c>
    </row>
    <row r="268" spans="1:54" ht="15" customHeight="1" x14ac:dyDescent="0.25">
      <c r="A268" s="121"/>
      <c r="B268" s="334"/>
      <c r="C268" s="180">
        <f>C267-$G$458</f>
        <v>40</v>
      </c>
      <c r="D268" s="166">
        <f t="shared" si="260"/>
        <v>1.2223715344690267</v>
      </c>
      <c r="E268" s="166">
        <f t="shared" si="260"/>
        <v>1.3887630009449758</v>
      </c>
      <c r="F268" s="166">
        <f t="shared" si="260"/>
        <v>1.5551544674209248</v>
      </c>
      <c r="G268" s="166">
        <f t="shared" si="260"/>
        <v>1.7215459338968744</v>
      </c>
      <c r="H268" s="166">
        <f t="shared" si="260"/>
        <v>1.8879374003728238</v>
      </c>
      <c r="I268" s="166">
        <f t="shared" si="260"/>
        <v>2.0543288668487731</v>
      </c>
      <c r="J268" s="166">
        <f t="shared" si="260"/>
        <v>2.2207203333247221</v>
      </c>
      <c r="K268" s="166">
        <f t="shared" si="260"/>
        <v>2.3871117998006715</v>
      </c>
      <c r="L268" s="166">
        <f t="shared" si="260"/>
        <v>2.5535032662766208</v>
      </c>
      <c r="M268" s="121"/>
      <c r="N268" s="121"/>
      <c r="O268" s="121"/>
      <c r="P268" s="121"/>
      <c r="Q268" s="121"/>
      <c r="AT268" s="154">
        <f t="shared" si="261"/>
        <v>0</v>
      </c>
      <c r="AU268" s="154">
        <f t="shared" si="261"/>
        <v>0</v>
      </c>
      <c r="AV268" s="154">
        <f t="shared" si="261"/>
        <v>1</v>
      </c>
      <c r="AW268" s="154">
        <f t="shared" si="261"/>
        <v>2</v>
      </c>
      <c r="AX268" s="154">
        <f t="shared" si="261"/>
        <v>4</v>
      </c>
      <c r="AY268" s="154">
        <f t="shared" si="261"/>
        <v>5</v>
      </c>
      <c r="AZ268" s="154">
        <f t="shared" si="261"/>
        <v>7</v>
      </c>
      <c r="BA268" s="154">
        <f t="shared" si="261"/>
        <v>9</v>
      </c>
      <c r="BB268" s="154">
        <f t="shared" si="261"/>
        <v>10</v>
      </c>
    </row>
    <row r="269" spans="1:54" ht="15" customHeight="1" x14ac:dyDescent="0.25">
      <c r="A269" s="121"/>
      <c r="B269" s="335"/>
      <c r="C269" s="179">
        <f>C268-$G$458</f>
        <v>36</v>
      </c>
      <c r="D269" s="165">
        <f t="shared" si="260"/>
        <v>1.1873687568736211</v>
      </c>
      <c r="E269" s="165">
        <f t="shared" si="260"/>
        <v>1.3450095289507189</v>
      </c>
      <c r="F269" s="165">
        <f t="shared" si="260"/>
        <v>1.5026503010278169</v>
      </c>
      <c r="G269" s="165">
        <f t="shared" si="260"/>
        <v>1.6602910731049147</v>
      </c>
      <c r="H269" s="165">
        <f t="shared" si="260"/>
        <v>1.8179318451820128</v>
      </c>
      <c r="I269" s="165">
        <f t="shared" si="260"/>
        <v>1.9755726172591106</v>
      </c>
      <c r="J269" s="165">
        <f t="shared" si="260"/>
        <v>2.1332133893362077</v>
      </c>
      <c r="K269" s="165">
        <f t="shared" si="260"/>
        <v>2.2908541614133062</v>
      </c>
      <c r="L269" s="165">
        <f t="shared" si="260"/>
        <v>2.4484949334904043</v>
      </c>
      <c r="M269" s="121"/>
      <c r="N269" s="121"/>
      <c r="O269" s="121"/>
      <c r="P269" s="121"/>
      <c r="Q269" s="121"/>
      <c r="AT269" s="154">
        <f t="shared" si="261"/>
        <v>0</v>
      </c>
      <c r="AU269" s="154">
        <f t="shared" si="261"/>
        <v>0</v>
      </c>
      <c r="AV269" s="154">
        <f t="shared" si="261"/>
        <v>1</v>
      </c>
      <c r="AW269" s="154">
        <f t="shared" si="261"/>
        <v>3</v>
      </c>
      <c r="AX269" s="154">
        <f t="shared" si="261"/>
        <v>4</v>
      </c>
      <c r="AY269" s="154">
        <f t="shared" si="261"/>
        <v>6</v>
      </c>
      <c r="AZ269" s="154">
        <f t="shared" si="261"/>
        <v>7</v>
      </c>
      <c r="BA269" s="154">
        <f t="shared" si="261"/>
        <v>9</v>
      </c>
      <c r="BB269" s="154">
        <f t="shared" si="261"/>
        <v>10</v>
      </c>
    </row>
    <row r="270" spans="1:54" ht="3.95" hidden="1" customHeight="1" x14ac:dyDescent="0.25">
      <c r="A270" s="121"/>
      <c r="B270" s="153" t="str">
        <f>"Ben's Year 5 total value ÷ Keystone value today (G430), less 1; Topkey growth held at model (G437); rollover fixed at "&amp;TEXT($G$436,"0%")</f>
        <v>Ben's Year 5 total value ÷ Keystone value today (G430), less 1; Topkey growth held at model (G437); rollover fixed at 30%</v>
      </c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</row>
    <row r="271" spans="1:54" ht="3.95" customHeight="1" x14ac:dyDescent="0.25">
      <c r="A271" s="121"/>
      <c r="M271" s="121"/>
      <c r="N271" s="121"/>
      <c r="O271" s="121"/>
      <c r="P271" s="121"/>
      <c r="Q271" s="121"/>
    </row>
    <row r="272" spans="1:54" ht="15" customHeight="1" x14ac:dyDescent="0.25">
      <c r="A272" s="121"/>
      <c r="B272" s="164" t="s">
        <v>320</v>
      </c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</row>
    <row r="273" spans="1:109" ht="2.1" customHeight="1" x14ac:dyDescent="0.25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</row>
    <row r="274" spans="1:109" ht="12.75" customHeight="1" x14ac:dyDescent="0.25">
      <c r="A274" s="121"/>
      <c r="B274" s="10"/>
      <c r="C274" s="10"/>
      <c r="D274" s="163" t="s">
        <v>289</v>
      </c>
      <c r="E274" s="163"/>
      <c r="F274" s="163"/>
      <c r="G274" s="163"/>
      <c r="H274" s="163"/>
      <c r="I274" s="163"/>
      <c r="J274" s="163"/>
      <c r="K274" s="163"/>
      <c r="L274" s="163"/>
      <c r="M274" s="121"/>
      <c r="N274" s="121"/>
      <c r="O274" s="121"/>
      <c r="P274" s="121"/>
      <c r="Q274" s="121"/>
      <c r="BD274" s="161" t="s">
        <v>304</v>
      </c>
      <c r="BE274" s="161"/>
      <c r="BF274" s="161"/>
      <c r="BG274" s="161"/>
      <c r="BH274" s="161"/>
      <c r="BI274" s="161"/>
      <c r="BJ274" s="161" t="s">
        <v>303</v>
      </c>
      <c r="BK274" s="161"/>
      <c r="BL274" s="161"/>
      <c r="BM274" s="161"/>
      <c r="BN274" s="161"/>
      <c r="BO274" s="161"/>
      <c r="BP274" s="161" t="s">
        <v>302</v>
      </c>
      <c r="BQ274" s="161"/>
      <c r="BR274" s="161"/>
      <c r="BS274" s="161"/>
      <c r="BT274" s="161"/>
      <c r="BU274" s="161"/>
      <c r="BV274" s="161" t="s">
        <v>301</v>
      </c>
      <c r="BW274" s="161"/>
      <c r="BX274" s="161"/>
      <c r="BY274" s="161"/>
      <c r="BZ274" s="161"/>
      <c r="CA274" s="161"/>
      <c r="CB274" s="161" t="s">
        <v>300</v>
      </c>
      <c r="CC274" s="161"/>
      <c r="CD274" s="161"/>
      <c r="CE274" s="161"/>
      <c r="CF274" s="161"/>
      <c r="CG274" s="161"/>
      <c r="CH274" s="161" t="s">
        <v>299</v>
      </c>
      <c r="CI274" s="161"/>
      <c r="CJ274" s="161"/>
      <c r="CK274" s="161"/>
      <c r="CL274" s="161"/>
      <c r="CM274" s="161"/>
      <c r="CN274" s="161" t="s">
        <v>298</v>
      </c>
      <c r="CO274" s="161"/>
      <c r="CP274" s="161"/>
      <c r="CQ274" s="161"/>
      <c r="CR274" s="161"/>
      <c r="CS274" s="161"/>
      <c r="CT274" s="161" t="s">
        <v>297</v>
      </c>
      <c r="CU274" s="161"/>
      <c r="CV274" s="161"/>
      <c r="CW274" s="161"/>
      <c r="CX274" s="161"/>
      <c r="CY274" s="161"/>
      <c r="CZ274" s="161" t="s">
        <v>296</v>
      </c>
      <c r="DA274" s="161"/>
      <c r="DB274" s="161"/>
      <c r="DC274" s="161"/>
      <c r="DD274" s="161"/>
      <c r="DE274" s="161"/>
    </row>
    <row r="275" spans="1:109" ht="12.75" customHeight="1" x14ac:dyDescent="0.25">
      <c r="A275" s="121"/>
      <c r="B275" s="10"/>
      <c r="C275" s="10"/>
      <c r="D275" s="162">
        <f>E275-$G$466</f>
        <v>1</v>
      </c>
      <c r="E275" s="162">
        <f>F275-$G$466</f>
        <v>1.25</v>
      </c>
      <c r="F275" s="162">
        <f>G275-$G$466</f>
        <v>1.5</v>
      </c>
      <c r="G275" s="162">
        <f>H275-$G$466</f>
        <v>1.75</v>
      </c>
      <c r="H275" s="162">
        <f>$G$465</f>
        <v>2</v>
      </c>
      <c r="I275" s="162">
        <f>H275+$G$466</f>
        <v>2.25</v>
      </c>
      <c r="J275" s="162">
        <f>I275+$G$466</f>
        <v>2.5</v>
      </c>
      <c r="K275" s="162">
        <f>J275+$G$466</f>
        <v>2.75</v>
      </c>
      <c r="L275" s="162">
        <f>K275+$G$466</f>
        <v>3</v>
      </c>
      <c r="M275" s="121"/>
      <c r="N275" s="121"/>
      <c r="O275" s="121"/>
      <c r="P275" s="121"/>
      <c r="Q275" s="121"/>
      <c r="AT275" s="161" t="s">
        <v>288</v>
      </c>
      <c r="AU275" s="160"/>
      <c r="AV275" s="160"/>
      <c r="AW275" s="160"/>
      <c r="AX275" s="160"/>
      <c r="AY275" s="160"/>
      <c r="AZ275" s="160"/>
      <c r="BA275" s="160"/>
      <c r="BB275" s="160"/>
      <c r="BD275" s="174">
        <f>$S$9</f>
        <v>0</v>
      </c>
      <c r="BE275" s="174">
        <f>$T$9</f>
        <v>1</v>
      </c>
      <c r="BF275" s="174">
        <f>$U$9</f>
        <v>2</v>
      </c>
      <c r="BG275" s="174">
        <f>$V$9</f>
        <v>3</v>
      </c>
      <c r="BH275" s="174">
        <f>$W$9</f>
        <v>4</v>
      </c>
      <c r="BI275" s="174">
        <f>$X$9</f>
        <v>5</v>
      </c>
      <c r="BJ275" s="174">
        <f>$S$9</f>
        <v>0</v>
      </c>
      <c r="BK275" s="174">
        <f>$T$9</f>
        <v>1</v>
      </c>
      <c r="BL275" s="174">
        <f>$U$9</f>
        <v>2</v>
      </c>
      <c r="BM275" s="174">
        <f>$V$9</f>
        <v>3</v>
      </c>
      <c r="BN275" s="174">
        <f>$W$9</f>
        <v>4</v>
      </c>
      <c r="BO275" s="174">
        <f>$X$9</f>
        <v>5</v>
      </c>
      <c r="BP275" s="174">
        <f>$S$9</f>
        <v>0</v>
      </c>
      <c r="BQ275" s="174">
        <f>$T$9</f>
        <v>1</v>
      </c>
      <c r="BR275" s="174">
        <f>$U$9</f>
        <v>2</v>
      </c>
      <c r="BS275" s="174">
        <f>$V$9</f>
        <v>3</v>
      </c>
      <c r="BT275" s="174">
        <f>$W$9</f>
        <v>4</v>
      </c>
      <c r="BU275" s="174">
        <f>$X$9</f>
        <v>5</v>
      </c>
      <c r="BV275" s="174">
        <f>$S$9</f>
        <v>0</v>
      </c>
      <c r="BW275" s="174">
        <f>$T$9</f>
        <v>1</v>
      </c>
      <c r="BX275" s="174">
        <f>$U$9</f>
        <v>2</v>
      </c>
      <c r="BY275" s="174">
        <f>$V$9</f>
        <v>3</v>
      </c>
      <c r="BZ275" s="174">
        <f>$W$9</f>
        <v>4</v>
      </c>
      <c r="CA275" s="174">
        <f>$X$9</f>
        <v>5</v>
      </c>
      <c r="CB275" s="174">
        <f>$S$9</f>
        <v>0</v>
      </c>
      <c r="CC275" s="174">
        <f>$T$9</f>
        <v>1</v>
      </c>
      <c r="CD275" s="174">
        <f>$U$9</f>
        <v>2</v>
      </c>
      <c r="CE275" s="174">
        <f>$V$9</f>
        <v>3</v>
      </c>
      <c r="CF275" s="174">
        <f>$W$9</f>
        <v>4</v>
      </c>
      <c r="CG275" s="174">
        <f>$X$9</f>
        <v>5</v>
      </c>
      <c r="CH275" s="174">
        <f>$S$9</f>
        <v>0</v>
      </c>
      <c r="CI275" s="174">
        <f>$T$9</f>
        <v>1</v>
      </c>
      <c r="CJ275" s="174">
        <f>$U$9</f>
        <v>2</v>
      </c>
      <c r="CK275" s="174">
        <f>$V$9</f>
        <v>3</v>
      </c>
      <c r="CL275" s="174">
        <f>$W$9</f>
        <v>4</v>
      </c>
      <c r="CM275" s="174">
        <f>$X$9</f>
        <v>5</v>
      </c>
      <c r="CN275" s="174">
        <f>$S$9</f>
        <v>0</v>
      </c>
      <c r="CO275" s="174">
        <f>$T$9</f>
        <v>1</v>
      </c>
      <c r="CP275" s="174">
        <f>$U$9</f>
        <v>2</v>
      </c>
      <c r="CQ275" s="174">
        <f>$V$9</f>
        <v>3</v>
      </c>
      <c r="CR275" s="174">
        <f>$W$9</f>
        <v>4</v>
      </c>
      <c r="CS275" s="174">
        <f>$X$9</f>
        <v>5</v>
      </c>
      <c r="CT275" s="174">
        <f>$S$9</f>
        <v>0</v>
      </c>
      <c r="CU275" s="174">
        <f>$T$9</f>
        <v>1</v>
      </c>
      <c r="CV275" s="174">
        <f>$U$9</f>
        <v>2</v>
      </c>
      <c r="CW275" s="174">
        <f>$V$9</f>
        <v>3</v>
      </c>
      <c r="CX275" s="174">
        <f>$W$9</f>
        <v>4</v>
      </c>
      <c r="CY275" s="174">
        <f>$X$9</f>
        <v>5</v>
      </c>
      <c r="CZ275" s="174">
        <f>$S$9</f>
        <v>0</v>
      </c>
      <c r="DA275" s="174">
        <f>$T$9</f>
        <v>1</v>
      </c>
      <c r="DB275" s="174">
        <f>$U$9</f>
        <v>2</v>
      </c>
      <c r="DC275" s="174">
        <f>$V$9</f>
        <v>3</v>
      </c>
      <c r="DD275" s="174">
        <f>$W$9</f>
        <v>4</v>
      </c>
      <c r="DE275" s="174">
        <f>$X$9</f>
        <v>5</v>
      </c>
    </row>
    <row r="276" spans="1:109" ht="15" customHeight="1" x14ac:dyDescent="0.25">
      <c r="A276" s="121"/>
      <c r="B276" s="333" t="s">
        <v>313</v>
      </c>
      <c r="C276" s="180">
        <f>C277+$G$458</f>
        <v>60</v>
      </c>
      <c r="D276" s="157">
        <f t="shared" ref="D276:D282" si="262">IFERROR(IRR(BD276:BI276),0)</f>
        <v>0.2272431317583532</v>
      </c>
      <c r="E276" s="157">
        <f t="shared" ref="E276:E282" si="263">IFERROR(IRR(BJ276:BO276),0)</f>
        <v>0.25003347118558983</v>
      </c>
      <c r="F276" s="157">
        <f t="shared" ref="F276:F282" si="264">IFERROR(IRR(BP276:BU276),0)</f>
        <v>0.27127362616380934</v>
      </c>
      <c r="G276" s="157">
        <f t="shared" ref="G276:G282" si="265">IFERROR(IRR(BV276:CA276),0)</f>
        <v>0.29118238569573696</v>
      </c>
      <c r="H276" s="157">
        <f t="shared" ref="H276:H282" si="266">IFERROR(IRR(CB276:CG276),0)</f>
        <v>0.30993397334336126</v>
      </c>
      <c r="I276" s="157">
        <f t="shared" ref="I276:I282" si="267">IFERROR(IRR(CH276:CM276),0)</f>
        <v>0.32766953661537501</v>
      </c>
      <c r="J276" s="157">
        <f t="shared" ref="J276:J282" si="268">IFERROR(IRR(CN276:CS276),0)</f>
        <v>0.34450513115557646</v>
      </c>
      <c r="K276" s="157">
        <f t="shared" ref="K276:K282" si="269">IFERROR(IRR(CT276:CY276),0)</f>
        <v>0.36053741501549896</v>
      </c>
      <c r="L276" s="157">
        <f t="shared" ref="L276:L282" si="270">IFERROR(IRR(CZ276:DE276),0)</f>
        <v>0.37584780213806335</v>
      </c>
      <c r="M276" s="121"/>
      <c r="N276" s="121"/>
      <c r="O276" s="121"/>
      <c r="P276" s="121"/>
      <c r="Q276" s="121"/>
      <c r="AT276" s="154">
        <f t="shared" ref="AT276:BB282" si="271">IF(Z290&lt;$G$449,0,MIN($G$446,1+IFERROR(INT((Z290-$G$449)/$G$467),0)))</f>
        <v>0</v>
      </c>
      <c r="AU276" s="154">
        <f t="shared" si="271"/>
        <v>0</v>
      </c>
      <c r="AV276" s="154">
        <f t="shared" si="271"/>
        <v>0</v>
      </c>
      <c r="AW276" s="154">
        <f t="shared" si="271"/>
        <v>0</v>
      </c>
      <c r="AX276" s="154">
        <f t="shared" si="271"/>
        <v>0</v>
      </c>
      <c r="AY276" s="154">
        <f t="shared" si="271"/>
        <v>2</v>
      </c>
      <c r="AZ276" s="154">
        <f t="shared" si="271"/>
        <v>4</v>
      </c>
      <c r="BA276" s="154">
        <f t="shared" si="271"/>
        <v>7</v>
      </c>
      <c r="BB276" s="154">
        <f t="shared" si="271"/>
        <v>9</v>
      </c>
      <c r="BD276" s="173">
        <f t="shared" ref="BD276:BD282" si="272">(BD$275=0)*($O$18-$G$430)+(BD$275=$G$444)*$G$435+(BD$275=$G$445)*(Z250+$G$430-$O$18-$G$435)</f>
        <v>-2350</v>
      </c>
      <c r="BE276" s="173">
        <f t="shared" ref="BE276:BE282" si="273">(BE$275=0)*($O$18-$G$430)+(BE$275=$G$444)*$G$435+(BE$275=$G$445)*(Z250+$G$430-$O$18-$G$435)</f>
        <v>0</v>
      </c>
      <c r="BF276" s="173">
        <f t="shared" ref="BF276:BF282" si="274">(BF$275=0)*($O$18-$G$430)+(BF$275=$G$444)*$G$435+(BF$275=$G$445)*(Z250+$G$430-$O$18-$G$435)</f>
        <v>0</v>
      </c>
      <c r="BG276" s="173">
        <f t="shared" ref="BG276:BG282" si="275">(BG$275=0)*($O$18-$G$430)+(BG$275=$G$444)*$G$435+(BG$275=$G$445)*(Z250+$G$430-$O$18-$G$435)</f>
        <v>0</v>
      </c>
      <c r="BH276" s="173">
        <f t="shared" ref="BH276:BH282" si="276">(BH$275=0)*($O$18-$G$430)+(BH$275=$G$444)*$G$435+(BH$275=$G$445)*(Z250+$G$430-$O$18-$G$435)</f>
        <v>0</v>
      </c>
      <c r="BI276" s="173">
        <f t="shared" ref="BI276:BJ282" si="277">(BI$275=0)*($O$18-$G$430)+(BI$275=$G$444)*$G$435+(BI$275=$G$445)*(Z250+$G$430-$O$18-$G$435)</f>
        <v>6542.1562673381613</v>
      </c>
      <c r="BJ276" s="173">
        <f t="shared" si="277"/>
        <v>-2350</v>
      </c>
      <c r="BK276" s="173">
        <f t="shared" ref="BK276:BK282" si="278">(BK$275=0)*($O$18-$G$430)+(BK$275=$G$444)*$G$435+(BK$275=$G$445)*(AA250+$G$430-$O$18-$G$435)</f>
        <v>0</v>
      </c>
      <c r="BL276" s="173">
        <f t="shared" ref="BL276:BL282" si="279">(BL$275=0)*($O$18-$G$430)+(BL$275=$G$444)*$G$435+(BL$275=$G$445)*(AA250+$G$430-$O$18-$G$435)</f>
        <v>0</v>
      </c>
      <c r="BM276" s="173">
        <f t="shared" ref="BM276:BM282" si="280">(BM$275=0)*($O$18-$G$430)+(BM$275=$G$444)*$G$435+(BM$275=$G$445)*(AA250+$G$430-$O$18-$G$435)</f>
        <v>0</v>
      </c>
      <c r="BN276" s="173">
        <f t="shared" ref="BN276:BN282" si="281">(BN$275=0)*($O$18-$G$430)+(BN$275=$G$444)*$G$435+(BN$275=$G$445)*(AA250+$G$430-$O$18-$G$435)</f>
        <v>0</v>
      </c>
      <c r="BO276" s="173">
        <f t="shared" ref="BO276:BP282" si="282">(BO$275=0)*($O$18-$G$430)+(BO$275=$G$444)*$G$435+(BO$275=$G$445)*(AA250+$G$430-$O$18-$G$435)</f>
        <v>7172.5910827487805</v>
      </c>
      <c r="BP276" s="173">
        <f t="shared" si="282"/>
        <v>-2350</v>
      </c>
      <c r="BQ276" s="173">
        <f t="shared" ref="BQ276:BQ282" si="283">(BQ$275=0)*($O$18-$G$430)+(BQ$275=$G$444)*$G$435+(BQ$275=$G$445)*(AB250+$G$430-$O$18-$G$435)</f>
        <v>0</v>
      </c>
      <c r="BR276" s="173">
        <f t="shared" ref="BR276:BR282" si="284">(BR$275=0)*($O$18-$G$430)+(BR$275=$G$444)*$G$435+(BR$275=$G$445)*(AB250+$G$430-$O$18-$G$435)</f>
        <v>0</v>
      </c>
      <c r="BS276" s="173">
        <f t="shared" ref="BS276:BS282" si="285">(BS$275=0)*($O$18-$G$430)+(BS$275=$G$444)*$G$435+(BS$275=$G$445)*(AB250+$G$430-$O$18-$G$435)</f>
        <v>0</v>
      </c>
      <c r="BT276" s="173">
        <f t="shared" ref="BT276:BT282" si="286">(BT$275=0)*($O$18-$G$430)+(BT$275=$G$444)*$G$435+(BT$275=$G$445)*(AB250+$G$430-$O$18-$G$435)</f>
        <v>0</v>
      </c>
      <c r="BU276" s="173">
        <f t="shared" ref="BU276:BV282" si="287">(BU$275=0)*($O$18-$G$430)+(BU$275=$G$444)*$G$435+(BU$275=$G$445)*(AB250+$G$430-$O$18-$G$435)</f>
        <v>7803.0258981593979</v>
      </c>
      <c r="BV276" s="173">
        <f t="shared" si="287"/>
        <v>-2350</v>
      </c>
      <c r="BW276" s="173">
        <f t="shared" ref="BW276:BW282" si="288">(BW$275=0)*($O$18-$G$430)+(BW$275=$G$444)*$G$435+(BW$275=$G$445)*(AC250+$G$430-$O$18-$G$435)</f>
        <v>0</v>
      </c>
      <c r="BX276" s="173">
        <f t="shared" ref="BX276:BX282" si="289">(BX$275=0)*($O$18-$G$430)+(BX$275=$G$444)*$G$435+(BX$275=$G$445)*(AC250+$G$430-$O$18-$G$435)</f>
        <v>0</v>
      </c>
      <c r="BY276" s="173">
        <f t="shared" ref="BY276:BY282" si="290">(BY$275=0)*($O$18-$G$430)+(BY$275=$G$444)*$G$435+(BY$275=$G$445)*(AC250+$G$430-$O$18-$G$435)</f>
        <v>0</v>
      </c>
      <c r="BZ276" s="173">
        <f t="shared" ref="BZ276:BZ282" si="291">(BZ$275=0)*($O$18-$G$430)+(BZ$275=$G$444)*$G$435+(BZ$275=$G$445)*(AC250+$G$430-$O$18-$G$435)</f>
        <v>0</v>
      </c>
      <c r="CA276" s="173">
        <f t="shared" ref="CA276:CB282" si="292">(CA$275=0)*($O$18-$G$430)+(CA$275=$G$444)*$G$435+(CA$275=$G$445)*(AC250+$G$430-$O$18-$G$435)</f>
        <v>8433.4607135700171</v>
      </c>
      <c r="CB276" s="173">
        <f t="shared" si="292"/>
        <v>-2350</v>
      </c>
      <c r="CC276" s="173">
        <f t="shared" ref="CC276:CC282" si="293">(CC$275=0)*($O$18-$G$430)+(CC$275=$G$444)*$G$435+(CC$275=$G$445)*(AD250+$G$430-$O$18-$G$435)</f>
        <v>0</v>
      </c>
      <c r="CD276" s="173">
        <f t="shared" ref="CD276:CD282" si="294">(CD$275=0)*($O$18-$G$430)+(CD$275=$G$444)*$G$435+(CD$275=$G$445)*(AD250+$G$430-$O$18-$G$435)</f>
        <v>0</v>
      </c>
      <c r="CE276" s="173">
        <f t="shared" ref="CE276:CE282" si="295">(CE$275=0)*($O$18-$G$430)+(CE$275=$G$444)*$G$435+(CE$275=$G$445)*(AD250+$G$430-$O$18-$G$435)</f>
        <v>0</v>
      </c>
      <c r="CF276" s="173">
        <f t="shared" ref="CF276:CF282" si="296">(CF$275=0)*($O$18-$G$430)+(CF$275=$G$444)*$G$435+(CF$275=$G$445)*(AD250+$G$430-$O$18-$G$435)</f>
        <v>0</v>
      </c>
      <c r="CG276" s="173">
        <f t="shared" ref="CG276:CH282" si="297">(CG$275=0)*($O$18-$G$430)+(CG$275=$G$444)*$G$435+(CG$275=$G$445)*(AD250+$G$430-$O$18-$G$435)</f>
        <v>9063.8955289806363</v>
      </c>
      <c r="CH276" s="173">
        <f t="shared" si="297"/>
        <v>-2350</v>
      </c>
      <c r="CI276" s="173">
        <f t="shared" ref="CI276:CI282" si="298">(CI$275=0)*($O$18-$G$430)+(CI$275=$G$444)*$G$435+(CI$275=$G$445)*(AE250+$G$430-$O$18-$G$435)</f>
        <v>0</v>
      </c>
      <c r="CJ276" s="173">
        <f t="shared" ref="CJ276:CJ282" si="299">(CJ$275=0)*($O$18-$G$430)+(CJ$275=$G$444)*$G$435+(CJ$275=$G$445)*(AE250+$G$430-$O$18-$G$435)</f>
        <v>0</v>
      </c>
      <c r="CK276" s="173">
        <f t="shared" ref="CK276:CK282" si="300">(CK$275=0)*($O$18-$G$430)+(CK$275=$G$444)*$G$435+(CK$275=$G$445)*(AE250+$G$430-$O$18-$G$435)</f>
        <v>0</v>
      </c>
      <c r="CL276" s="173">
        <f t="shared" ref="CL276:CL282" si="301">(CL$275=0)*($O$18-$G$430)+(CL$275=$G$444)*$G$435+(CL$275=$G$445)*(AE250+$G$430-$O$18-$G$435)</f>
        <v>0</v>
      </c>
      <c r="CM276" s="173">
        <f t="shared" ref="CM276:CN282" si="302">(CM$275=0)*($O$18-$G$430)+(CM$275=$G$444)*$G$435+(CM$275=$G$445)*(AE250+$G$430-$O$18-$G$435)</f>
        <v>9694.3303443912519</v>
      </c>
      <c r="CN276" s="173">
        <f t="shared" si="302"/>
        <v>-2350</v>
      </c>
      <c r="CO276" s="173">
        <f t="shared" ref="CO276:CO282" si="303">(CO$275=0)*($O$18-$G$430)+(CO$275=$G$444)*$G$435+(CO$275=$G$445)*(AF250+$G$430-$O$18-$G$435)</f>
        <v>0</v>
      </c>
      <c r="CP276" s="173">
        <f t="shared" ref="CP276:CP282" si="304">(CP$275=0)*($O$18-$G$430)+(CP$275=$G$444)*$G$435+(CP$275=$G$445)*(AF250+$G$430-$O$18-$G$435)</f>
        <v>0</v>
      </c>
      <c r="CQ276" s="173">
        <f t="shared" ref="CQ276:CQ282" si="305">(CQ$275=0)*($O$18-$G$430)+(CQ$275=$G$444)*$G$435+(CQ$275=$G$445)*(AF250+$G$430-$O$18-$G$435)</f>
        <v>0</v>
      </c>
      <c r="CR276" s="173">
        <f t="shared" ref="CR276:CR282" si="306">(CR$275=0)*($O$18-$G$430)+(CR$275=$G$444)*$G$435+(CR$275=$G$445)*(AF250+$G$430-$O$18-$G$435)</f>
        <v>0</v>
      </c>
      <c r="CS276" s="173">
        <f t="shared" ref="CS276:CT282" si="307">(CS$275=0)*($O$18-$G$430)+(CS$275=$G$444)*$G$435+(CS$275=$G$445)*(AF250+$G$430-$O$18-$G$435)</f>
        <v>10324.765159801871</v>
      </c>
      <c r="CT276" s="173">
        <f t="shared" si="307"/>
        <v>-2350</v>
      </c>
      <c r="CU276" s="173">
        <f t="shared" ref="CU276:CU282" si="308">(CU$275=0)*($O$18-$G$430)+(CU$275=$G$444)*$G$435+(CU$275=$G$445)*(AG250+$G$430-$O$18-$G$435)</f>
        <v>0</v>
      </c>
      <c r="CV276" s="173">
        <f t="shared" ref="CV276:CV282" si="309">(CV$275=0)*($O$18-$G$430)+(CV$275=$G$444)*$G$435+(CV$275=$G$445)*(AG250+$G$430-$O$18-$G$435)</f>
        <v>0</v>
      </c>
      <c r="CW276" s="173">
        <f t="shared" ref="CW276:CW282" si="310">(CW$275=0)*($O$18-$G$430)+(CW$275=$G$444)*$G$435+(CW$275=$G$445)*(AG250+$G$430-$O$18-$G$435)</f>
        <v>0</v>
      </c>
      <c r="CX276" s="173">
        <f t="shared" ref="CX276:CX282" si="311">(CX$275=0)*($O$18-$G$430)+(CX$275=$G$444)*$G$435+(CX$275=$G$445)*(AG250+$G$430-$O$18-$G$435)</f>
        <v>0</v>
      </c>
      <c r="CY276" s="173">
        <f t="shared" ref="CY276:CZ282" si="312">(CY$275=0)*($O$18-$G$430)+(CY$275=$G$444)*$G$435+(CY$275=$G$445)*(AG250+$G$430-$O$18-$G$435)</f>
        <v>10955.19997521249</v>
      </c>
      <c r="CZ276" s="173">
        <f t="shared" si="312"/>
        <v>-2350</v>
      </c>
      <c r="DA276" s="173">
        <f t="shared" ref="DA276:DA282" si="313">(DA$275=0)*($O$18-$G$430)+(DA$275=$G$444)*$G$435+(DA$275=$G$445)*(AH250+$G$430-$O$18-$G$435)</f>
        <v>0</v>
      </c>
      <c r="DB276" s="173">
        <f t="shared" ref="DB276:DB282" si="314">(DB$275=0)*($O$18-$G$430)+(DB$275=$G$444)*$G$435+(DB$275=$G$445)*(AH250+$G$430-$O$18-$G$435)</f>
        <v>0</v>
      </c>
      <c r="DC276" s="173">
        <f t="shared" ref="DC276:DC282" si="315">(DC$275=0)*($O$18-$G$430)+(DC$275=$G$444)*$G$435+(DC$275=$G$445)*(AH250+$G$430-$O$18-$G$435)</f>
        <v>0</v>
      </c>
      <c r="DD276" s="173">
        <f t="shared" ref="DD276:DD282" si="316">(DD$275=0)*($O$18-$G$430)+(DD$275=$G$444)*$G$435+(DD$275=$G$445)*(AH250+$G$430-$O$18-$G$435)</f>
        <v>0</v>
      </c>
      <c r="DE276" s="173">
        <f t="shared" ref="DE276:DE282" si="317">(DE$275=0)*($O$18-$G$430)+(DE$275=$G$444)*$G$435+(DE$275=$G$445)*(AH250+$G$430-$O$18-$G$435)</f>
        <v>11585.634790623109</v>
      </c>
    </row>
    <row r="277" spans="1:109" ht="15" customHeight="1" x14ac:dyDescent="0.25">
      <c r="A277" s="121"/>
      <c r="B277" s="334"/>
      <c r="C277" s="180">
        <f>C278+$G$458</f>
        <v>56</v>
      </c>
      <c r="D277" s="157">
        <f t="shared" si="262"/>
        <v>0.22327788812416216</v>
      </c>
      <c r="E277" s="157">
        <f t="shared" si="263"/>
        <v>0.24542441556835093</v>
      </c>
      <c r="F277" s="157">
        <f t="shared" si="264"/>
        <v>0.26609926974369902</v>
      </c>
      <c r="G277" s="157">
        <f t="shared" si="265"/>
        <v>0.28550573342027974</v>
      </c>
      <c r="H277" s="157">
        <f t="shared" si="266"/>
        <v>0.3038065025758323</v>
      </c>
      <c r="I277" s="157">
        <f t="shared" si="267"/>
        <v>0.32113395642542963</v>
      </c>
      <c r="J277" s="157">
        <f t="shared" si="268"/>
        <v>0.33759734864147739</v>
      </c>
      <c r="K277" s="157">
        <f t="shared" si="269"/>
        <v>0.35328796978522514</v>
      </c>
      <c r="L277" s="157">
        <f t="shared" si="270"/>
        <v>0.36828293438950288</v>
      </c>
      <c r="M277" s="121"/>
      <c r="N277" s="121"/>
      <c r="O277" s="121"/>
      <c r="P277" s="121"/>
      <c r="Q277" s="121"/>
      <c r="AT277" s="154">
        <f t="shared" si="271"/>
        <v>0</v>
      </c>
      <c r="AU277" s="154">
        <f t="shared" si="271"/>
        <v>0</v>
      </c>
      <c r="AV277" s="154">
        <f t="shared" si="271"/>
        <v>0</v>
      </c>
      <c r="AW277" s="154">
        <f t="shared" si="271"/>
        <v>0</v>
      </c>
      <c r="AX277" s="154">
        <f t="shared" si="271"/>
        <v>1</v>
      </c>
      <c r="AY277" s="154">
        <f t="shared" si="271"/>
        <v>3</v>
      </c>
      <c r="AZ277" s="154">
        <f t="shared" si="271"/>
        <v>5</v>
      </c>
      <c r="BA277" s="154">
        <f t="shared" si="271"/>
        <v>7</v>
      </c>
      <c r="BB277" s="154">
        <f t="shared" si="271"/>
        <v>9</v>
      </c>
      <c r="BD277" s="173">
        <f t="shared" si="272"/>
        <v>-2350</v>
      </c>
      <c r="BE277" s="173">
        <f t="shared" si="273"/>
        <v>0</v>
      </c>
      <c r="BF277" s="173">
        <f t="shared" si="274"/>
        <v>0</v>
      </c>
      <c r="BG277" s="173">
        <f t="shared" si="275"/>
        <v>0</v>
      </c>
      <c r="BH277" s="173">
        <f t="shared" si="276"/>
        <v>0</v>
      </c>
      <c r="BI277" s="173">
        <f t="shared" si="277"/>
        <v>6437.1479345519456</v>
      </c>
      <c r="BJ277" s="173">
        <f t="shared" si="277"/>
        <v>-2350</v>
      </c>
      <c r="BK277" s="173">
        <f t="shared" si="278"/>
        <v>0</v>
      </c>
      <c r="BL277" s="173">
        <f t="shared" si="279"/>
        <v>0</v>
      </c>
      <c r="BM277" s="173">
        <f t="shared" si="280"/>
        <v>0</v>
      </c>
      <c r="BN277" s="173">
        <f t="shared" si="281"/>
        <v>0</v>
      </c>
      <c r="BO277" s="173">
        <f t="shared" si="282"/>
        <v>7041.3306667660099</v>
      </c>
      <c r="BP277" s="173">
        <f t="shared" si="282"/>
        <v>-2350</v>
      </c>
      <c r="BQ277" s="173">
        <f t="shared" si="283"/>
        <v>0</v>
      </c>
      <c r="BR277" s="173">
        <f t="shared" si="284"/>
        <v>0</v>
      </c>
      <c r="BS277" s="173">
        <f t="shared" si="285"/>
        <v>0</v>
      </c>
      <c r="BT277" s="173">
        <f t="shared" si="286"/>
        <v>0</v>
      </c>
      <c r="BU277" s="173">
        <f t="shared" si="287"/>
        <v>7645.5133989800743</v>
      </c>
      <c r="BV277" s="173">
        <f t="shared" si="287"/>
        <v>-2350</v>
      </c>
      <c r="BW277" s="173">
        <f t="shared" si="288"/>
        <v>0</v>
      </c>
      <c r="BX277" s="173">
        <f t="shared" si="289"/>
        <v>0</v>
      </c>
      <c r="BY277" s="173">
        <f t="shared" si="290"/>
        <v>0</v>
      </c>
      <c r="BZ277" s="173">
        <f t="shared" si="291"/>
        <v>0</v>
      </c>
      <c r="CA277" s="173">
        <f t="shared" si="292"/>
        <v>8249.6961311941377</v>
      </c>
      <c r="CB277" s="173">
        <f t="shared" si="292"/>
        <v>-2350</v>
      </c>
      <c r="CC277" s="173">
        <f t="shared" si="293"/>
        <v>0</v>
      </c>
      <c r="CD277" s="173">
        <f t="shared" si="294"/>
        <v>0</v>
      </c>
      <c r="CE277" s="173">
        <f t="shared" si="295"/>
        <v>0</v>
      </c>
      <c r="CF277" s="173">
        <f t="shared" si="296"/>
        <v>0</v>
      </c>
      <c r="CG277" s="173">
        <f t="shared" si="297"/>
        <v>8853.8788634082011</v>
      </c>
      <c r="CH277" s="173">
        <f t="shared" si="297"/>
        <v>-2350</v>
      </c>
      <c r="CI277" s="173">
        <f t="shared" si="298"/>
        <v>0</v>
      </c>
      <c r="CJ277" s="173">
        <f t="shared" si="299"/>
        <v>0</v>
      </c>
      <c r="CK277" s="173">
        <f t="shared" si="300"/>
        <v>0</v>
      </c>
      <c r="CL277" s="173">
        <f t="shared" si="301"/>
        <v>0</v>
      </c>
      <c r="CM277" s="173">
        <f t="shared" si="302"/>
        <v>9458.0615956222664</v>
      </c>
      <c r="CN277" s="173">
        <f t="shared" si="302"/>
        <v>-2350</v>
      </c>
      <c r="CO277" s="173">
        <f t="shared" si="303"/>
        <v>0</v>
      </c>
      <c r="CP277" s="173">
        <f t="shared" si="304"/>
        <v>0</v>
      </c>
      <c r="CQ277" s="173">
        <f t="shared" si="305"/>
        <v>0</v>
      </c>
      <c r="CR277" s="173">
        <f t="shared" si="306"/>
        <v>0</v>
      </c>
      <c r="CS277" s="173">
        <f t="shared" si="307"/>
        <v>10062.244327836332</v>
      </c>
      <c r="CT277" s="173">
        <f t="shared" si="307"/>
        <v>-2350</v>
      </c>
      <c r="CU277" s="173">
        <f t="shared" si="308"/>
        <v>0</v>
      </c>
      <c r="CV277" s="173">
        <f t="shared" si="309"/>
        <v>0</v>
      </c>
      <c r="CW277" s="173">
        <f t="shared" si="310"/>
        <v>0</v>
      </c>
      <c r="CX277" s="173">
        <f t="shared" si="311"/>
        <v>0</v>
      </c>
      <c r="CY277" s="173">
        <f t="shared" si="312"/>
        <v>10666.427060050395</v>
      </c>
      <c r="CZ277" s="173">
        <f t="shared" si="312"/>
        <v>-2350</v>
      </c>
      <c r="DA277" s="173">
        <f t="shared" si="313"/>
        <v>0</v>
      </c>
      <c r="DB277" s="173">
        <f t="shared" si="314"/>
        <v>0</v>
      </c>
      <c r="DC277" s="173">
        <f t="shared" si="315"/>
        <v>0</v>
      </c>
      <c r="DD277" s="173">
        <f t="shared" si="316"/>
        <v>0</v>
      </c>
      <c r="DE277" s="173">
        <f t="shared" si="317"/>
        <v>11270.609792264459</v>
      </c>
    </row>
    <row r="278" spans="1:109" ht="15" customHeight="1" x14ac:dyDescent="0.25">
      <c r="A278" s="121"/>
      <c r="B278" s="334"/>
      <c r="C278" s="180">
        <f>C279+$G$458</f>
        <v>52</v>
      </c>
      <c r="D278" s="157">
        <f t="shared" si="262"/>
        <v>0.21926055450893123</v>
      </c>
      <c r="E278" s="157">
        <f t="shared" si="263"/>
        <v>0.2407461037244325</v>
      </c>
      <c r="F278" s="157">
        <f t="shared" si="264"/>
        <v>0.26083891659883873</v>
      </c>
      <c r="G278" s="157">
        <f t="shared" si="265"/>
        <v>0.27972700312241128</v>
      </c>
      <c r="H278" s="157">
        <f t="shared" si="266"/>
        <v>0.29756162962574817</v>
      </c>
      <c r="I278" s="157">
        <f t="shared" si="267"/>
        <v>0.3144664324381572</v>
      </c>
      <c r="J278" s="157">
        <f t="shared" si="268"/>
        <v>0.33054385007423126</v>
      </c>
      <c r="K278" s="157">
        <f t="shared" si="269"/>
        <v>0.34587977266138825</v>
      </c>
      <c r="L278" s="157">
        <f t="shared" si="270"/>
        <v>0.36054697308609995</v>
      </c>
      <c r="M278" s="121"/>
      <c r="N278" s="121"/>
      <c r="O278" s="121"/>
      <c r="P278" s="121"/>
      <c r="Q278" s="121"/>
      <c r="AT278" s="154">
        <f t="shared" si="271"/>
        <v>0</v>
      </c>
      <c r="AU278" s="154">
        <f t="shared" si="271"/>
        <v>0</v>
      </c>
      <c r="AV278" s="154">
        <f t="shared" si="271"/>
        <v>0</v>
      </c>
      <c r="AW278" s="154">
        <f t="shared" si="271"/>
        <v>0</v>
      </c>
      <c r="AX278" s="154">
        <f t="shared" si="271"/>
        <v>2</v>
      </c>
      <c r="AY278" s="154">
        <f t="shared" si="271"/>
        <v>4</v>
      </c>
      <c r="AZ278" s="154">
        <f t="shared" si="271"/>
        <v>5</v>
      </c>
      <c r="BA278" s="154">
        <f t="shared" si="271"/>
        <v>7</v>
      </c>
      <c r="BB278" s="154">
        <f t="shared" si="271"/>
        <v>9</v>
      </c>
      <c r="BD278" s="173">
        <f t="shared" si="272"/>
        <v>-2350</v>
      </c>
      <c r="BE278" s="173">
        <f t="shared" si="273"/>
        <v>0</v>
      </c>
      <c r="BF278" s="173">
        <f t="shared" si="274"/>
        <v>0</v>
      </c>
      <c r="BG278" s="173">
        <f t="shared" si="275"/>
        <v>0</v>
      </c>
      <c r="BH278" s="173">
        <f t="shared" si="276"/>
        <v>0</v>
      </c>
      <c r="BI278" s="173">
        <f t="shared" si="277"/>
        <v>6332.1396017657298</v>
      </c>
      <c r="BJ278" s="173">
        <f t="shared" si="277"/>
        <v>-2350</v>
      </c>
      <c r="BK278" s="173">
        <f t="shared" si="278"/>
        <v>0</v>
      </c>
      <c r="BL278" s="173">
        <f t="shared" si="279"/>
        <v>0</v>
      </c>
      <c r="BM278" s="173">
        <f t="shared" si="280"/>
        <v>0</v>
      </c>
      <c r="BN278" s="173">
        <f t="shared" si="281"/>
        <v>0</v>
      </c>
      <c r="BO278" s="173">
        <f t="shared" si="282"/>
        <v>6910.0702507832393</v>
      </c>
      <c r="BP278" s="173">
        <f t="shared" si="282"/>
        <v>-2350</v>
      </c>
      <c r="BQ278" s="173">
        <f t="shared" si="283"/>
        <v>0</v>
      </c>
      <c r="BR278" s="173">
        <f t="shared" si="284"/>
        <v>0</v>
      </c>
      <c r="BS278" s="173">
        <f t="shared" si="285"/>
        <v>0</v>
      </c>
      <c r="BT278" s="173">
        <f t="shared" si="286"/>
        <v>0</v>
      </c>
      <c r="BU278" s="173">
        <f t="shared" si="287"/>
        <v>7488.0008998007488</v>
      </c>
      <c r="BV278" s="173">
        <f t="shared" si="287"/>
        <v>-2350</v>
      </c>
      <c r="BW278" s="173">
        <f t="shared" si="288"/>
        <v>0</v>
      </c>
      <c r="BX278" s="173">
        <f t="shared" si="289"/>
        <v>0</v>
      </c>
      <c r="BY278" s="173">
        <f t="shared" si="290"/>
        <v>0</v>
      </c>
      <c r="BZ278" s="173">
        <f t="shared" si="291"/>
        <v>0</v>
      </c>
      <c r="CA278" s="173">
        <f t="shared" si="292"/>
        <v>8065.9315488182583</v>
      </c>
      <c r="CB278" s="173">
        <f t="shared" si="292"/>
        <v>-2350</v>
      </c>
      <c r="CC278" s="173">
        <f t="shared" si="293"/>
        <v>0</v>
      </c>
      <c r="CD278" s="173">
        <f t="shared" si="294"/>
        <v>0</v>
      </c>
      <c r="CE278" s="173">
        <f t="shared" si="295"/>
        <v>0</v>
      </c>
      <c r="CF278" s="173">
        <f t="shared" si="296"/>
        <v>0</v>
      </c>
      <c r="CG278" s="173">
        <f t="shared" si="297"/>
        <v>8643.8621978357696</v>
      </c>
      <c r="CH278" s="173">
        <f t="shared" si="297"/>
        <v>-2350</v>
      </c>
      <c r="CI278" s="173">
        <f t="shared" si="298"/>
        <v>0</v>
      </c>
      <c r="CJ278" s="173">
        <f t="shared" si="299"/>
        <v>0</v>
      </c>
      <c r="CK278" s="173">
        <f t="shared" si="300"/>
        <v>0</v>
      </c>
      <c r="CL278" s="173">
        <f t="shared" si="301"/>
        <v>0</v>
      </c>
      <c r="CM278" s="173">
        <f t="shared" si="302"/>
        <v>9221.7928468532791</v>
      </c>
      <c r="CN278" s="173">
        <f t="shared" si="302"/>
        <v>-2350</v>
      </c>
      <c r="CO278" s="173">
        <f t="shared" si="303"/>
        <v>0</v>
      </c>
      <c r="CP278" s="173">
        <f t="shared" si="304"/>
        <v>0</v>
      </c>
      <c r="CQ278" s="173">
        <f t="shared" si="305"/>
        <v>0</v>
      </c>
      <c r="CR278" s="173">
        <f t="shared" si="306"/>
        <v>0</v>
      </c>
      <c r="CS278" s="173">
        <f t="shared" si="307"/>
        <v>9799.7234958707904</v>
      </c>
      <c r="CT278" s="173">
        <f t="shared" si="307"/>
        <v>-2350</v>
      </c>
      <c r="CU278" s="173">
        <f t="shared" si="308"/>
        <v>0</v>
      </c>
      <c r="CV278" s="173">
        <f t="shared" si="309"/>
        <v>0</v>
      </c>
      <c r="CW278" s="173">
        <f t="shared" si="310"/>
        <v>0</v>
      </c>
      <c r="CX278" s="173">
        <f t="shared" si="311"/>
        <v>0</v>
      </c>
      <c r="CY278" s="173">
        <f t="shared" si="312"/>
        <v>10377.6541448883</v>
      </c>
      <c r="CZ278" s="173">
        <f t="shared" si="312"/>
        <v>-2350</v>
      </c>
      <c r="DA278" s="173">
        <f t="shared" si="313"/>
        <v>0</v>
      </c>
      <c r="DB278" s="173">
        <f t="shared" si="314"/>
        <v>0</v>
      </c>
      <c r="DC278" s="173">
        <f t="shared" si="315"/>
        <v>0</v>
      </c>
      <c r="DD278" s="173">
        <f t="shared" si="316"/>
        <v>0</v>
      </c>
      <c r="DE278" s="173">
        <f t="shared" si="317"/>
        <v>10955.584793905811</v>
      </c>
    </row>
    <row r="279" spans="1:109" ht="15" customHeight="1" x14ac:dyDescent="0.25">
      <c r="A279" s="121"/>
      <c r="B279" s="334"/>
      <c r="C279" s="180">
        <f>$G$457</f>
        <v>48</v>
      </c>
      <c r="D279" s="157">
        <f t="shared" si="262"/>
        <v>0.21518956551814106</v>
      </c>
      <c r="E279" s="157">
        <f t="shared" si="263"/>
        <v>0.23599614927760104</v>
      </c>
      <c r="F279" s="157">
        <f t="shared" si="264"/>
        <v>0.25548928254937642</v>
      </c>
      <c r="G279" s="157">
        <f t="shared" si="265"/>
        <v>0.27384196956646312</v>
      </c>
      <c r="H279" s="159">
        <f t="shared" si="266"/>
        <v>0.29119416880747617</v>
      </c>
      <c r="I279" s="157">
        <f t="shared" si="267"/>
        <v>0.30766081563496583</v>
      </c>
      <c r="J279" s="157">
        <f t="shared" si="268"/>
        <v>0.32333753157222067</v>
      </c>
      <c r="K279" s="157">
        <f t="shared" si="269"/>
        <v>0.33830478091013427</v>
      </c>
      <c r="L279" s="157">
        <f t="shared" si="270"/>
        <v>0.35263095756566987</v>
      </c>
      <c r="M279" s="121"/>
      <c r="N279" s="121"/>
      <c r="O279" s="121"/>
      <c r="P279" s="121"/>
      <c r="Q279" s="121"/>
      <c r="AT279" s="154">
        <f t="shared" si="271"/>
        <v>0</v>
      </c>
      <c r="AU279" s="154">
        <f t="shared" si="271"/>
        <v>0</v>
      </c>
      <c r="AV279" s="154">
        <f t="shared" si="271"/>
        <v>0</v>
      </c>
      <c r="AW279" s="154">
        <f t="shared" si="271"/>
        <v>1</v>
      </c>
      <c r="AX279" s="154">
        <f t="shared" si="271"/>
        <v>2</v>
      </c>
      <c r="AY279" s="154">
        <f t="shared" si="271"/>
        <v>4</v>
      </c>
      <c r="AZ279" s="154">
        <f t="shared" si="271"/>
        <v>6</v>
      </c>
      <c r="BA279" s="154">
        <f t="shared" si="271"/>
        <v>8</v>
      </c>
      <c r="BB279" s="154">
        <f t="shared" si="271"/>
        <v>10</v>
      </c>
      <c r="BD279" s="173">
        <f t="shared" si="272"/>
        <v>-2350</v>
      </c>
      <c r="BE279" s="173">
        <f t="shared" si="273"/>
        <v>0</v>
      </c>
      <c r="BF279" s="173">
        <f t="shared" si="274"/>
        <v>0</v>
      </c>
      <c r="BG279" s="173">
        <f t="shared" si="275"/>
        <v>0</v>
      </c>
      <c r="BH279" s="173">
        <f t="shared" si="276"/>
        <v>0</v>
      </c>
      <c r="BI279" s="173">
        <f t="shared" si="277"/>
        <v>6227.1312689795122</v>
      </c>
      <c r="BJ279" s="173">
        <f t="shared" si="277"/>
        <v>-2350</v>
      </c>
      <c r="BK279" s="173">
        <f t="shared" si="278"/>
        <v>0</v>
      </c>
      <c r="BL279" s="173">
        <f t="shared" si="279"/>
        <v>0</v>
      </c>
      <c r="BM279" s="173">
        <f t="shared" si="280"/>
        <v>0</v>
      </c>
      <c r="BN279" s="173">
        <f t="shared" si="281"/>
        <v>0</v>
      </c>
      <c r="BO279" s="173">
        <f t="shared" si="282"/>
        <v>6778.8098348004687</v>
      </c>
      <c r="BP279" s="173">
        <f t="shared" si="282"/>
        <v>-2350</v>
      </c>
      <c r="BQ279" s="173">
        <f t="shared" si="283"/>
        <v>0</v>
      </c>
      <c r="BR279" s="173">
        <f t="shared" si="284"/>
        <v>0</v>
      </c>
      <c r="BS279" s="173">
        <f t="shared" si="285"/>
        <v>0</v>
      </c>
      <c r="BT279" s="173">
        <f t="shared" si="286"/>
        <v>0</v>
      </c>
      <c r="BU279" s="173">
        <f t="shared" si="287"/>
        <v>7330.4884006214243</v>
      </c>
      <c r="BV279" s="173">
        <f t="shared" si="287"/>
        <v>-2350</v>
      </c>
      <c r="BW279" s="173">
        <f t="shared" si="288"/>
        <v>0</v>
      </c>
      <c r="BX279" s="173">
        <f t="shared" si="289"/>
        <v>0</v>
      </c>
      <c r="BY279" s="173">
        <f t="shared" si="290"/>
        <v>0</v>
      </c>
      <c r="BZ279" s="173">
        <f t="shared" si="291"/>
        <v>0</v>
      </c>
      <c r="CA279" s="173">
        <f t="shared" si="292"/>
        <v>7882.1669664423807</v>
      </c>
      <c r="CB279" s="173">
        <f t="shared" si="292"/>
        <v>-2350</v>
      </c>
      <c r="CC279" s="173">
        <f t="shared" si="293"/>
        <v>0</v>
      </c>
      <c r="CD279" s="173">
        <f t="shared" si="294"/>
        <v>0</v>
      </c>
      <c r="CE279" s="173">
        <f t="shared" si="295"/>
        <v>0</v>
      </c>
      <c r="CF279" s="173">
        <f t="shared" si="296"/>
        <v>0</v>
      </c>
      <c r="CG279" s="173">
        <f t="shared" si="297"/>
        <v>8433.8455322633381</v>
      </c>
      <c r="CH279" s="173">
        <f t="shared" si="297"/>
        <v>-2350</v>
      </c>
      <c r="CI279" s="173">
        <f t="shared" si="298"/>
        <v>0</v>
      </c>
      <c r="CJ279" s="173">
        <f t="shared" si="299"/>
        <v>0</v>
      </c>
      <c r="CK279" s="173">
        <f t="shared" si="300"/>
        <v>0</v>
      </c>
      <c r="CL279" s="173">
        <f t="shared" si="301"/>
        <v>0</v>
      </c>
      <c r="CM279" s="173">
        <f t="shared" si="302"/>
        <v>8985.5240980842937</v>
      </c>
      <c r="CN279" s="173">
        <f t="shared" si="302"/>
        <v>-2350</v>
      </c>
      <c r="CO279" s="173">
        <f t="shared" si="303"/>
        <v>0</v>
      </c>
      <c r="CP279" s="173">
        <f t="shared" si="304"/>
        <v>0</v>
      </c>
      <c r="CQ279" s="173">
        <f t="shared" si="305"/>
        <v>0</v>
      </c>
      <c r="CR279" s="173">
        <f t="shared" si="306"/>
        <v>0</v>
      </c>
      <c r="CS279" s="173">
        <f t="shared" si="307"/>
        <v>9537.2026639052492</v>
      </c>
      <c r="CT279" s="173">
        <f t="shared" si="307"/>
        <v>-2350</v>
      </c>
      <c r="CU279" s="173">
        <f t="shared" si="308"/>
        <v>0</v>
      </c>
      <c r="CV279" s="173">
        <f t="shared" si="309"/>
        <v>0</v>
      </c>
      <c r="CW279" s="173">
        <f t="shared" si="310"/>
        <v>0</v>
      </c>
      <c r="CX279" s="173">
        <f t="shared" si="311"/>
        <v>0</v>
      </c>
      <c r="CY279" s="173">
        <f t="shared" si="312"/>
        <v>10088.881229726205</v>
      </c>
      <c r="CZ279" s="173">
        <f t="shared" si="312"/>
        <v>-2350</v>
      </c>
      <c r="DA279" s="173">
        <f t="shared" si="313"/>
        <v>0</v>
      </c>
      <c r="DB279" s="173">
        <f t="shared" si="314"/>
        <v>0</v>
      </c>
      <c r="DC279" s="173">
        <f t="shared" si="315"/>
        <v>0</v>
      </c>
      <c r="DD279" s="173">
        <f t="shared" si="316"/>
        <v>0</v>
      </c>
      <c r="DE279" s="173">
        <f t="shared" si="317"/>
        <v>10640.55979554716</v>
      </c>
    </row>
    <row r="280" spans="1:109" ht="15" customHeight="1" x14ac:dyDescent="0.25">
      <c r="A280" s="121"/>
      <c r="B280" s="334"/>
      <c r="C280" s="180">
        <f>C279-$G$458</f>
        <v>44</v>
      </c>
      <c r="D280" s="157">
        <f t="shared" si="262"/>
        <v>0.21106328133491958</v>
      </c>
      <c r="E280" s="157">
        <f t="shared" si="263"/>
        <v>0.23117203544028975</v>
      </c>
      <c r="F280" s="157">
        <f t="shared" si="264"/>
        <v>0.25004688407692788</v>
      </c>
      <c r="G280" s="157">
        <f t="shared" si="265"/>
        <v>0.26784612904389893</v>
      </c>
      <c r="H280" s="157">
        <f t="shared" si="266"/>
        <v>0.28469856911304725</v>
      </c>
      <c r="I280" s="157">
        <f t="shared" si="267"/>
        <v>0.30071049934041238</v>
      </c>
      <c r="J280" s="157">
        <f t="shared" si="268"/>
        <v>0.31597073548571664</v>
      </c>
      <c r="K280" s="157">
        <f t="shared" si="269"/>
        <v>0.33055429955484694</v>
      </c>
      <c r="L280" s="157">
        <f t="shared" si="270"/>
        <v>0.34452517520590842</v>
      </c>
      <c r="M280" s="121"/>
      <c r="N280" s="121"/>
      <c r="O280" s="121"/>
      <c r="P280" s="121"/>
      <c r="Q280" s="121"/>
      <c r="AT280" s="154">
        <f t="shared" si="271"/>
        <v>0</v>
      </c>
      <c r="AU280" s="154">
        <f t="shared" si="271"/>
        <v>0</v>
      </c>
      <c r="AV280" s="154">
        <f t="shared" si="271"/>
        <v>0</v>
      </c>
      <c r="AW280" s="154">
        <f t="shared" si="271"/>
        <v>1</v>
      </c>
      <c r="AX280" s="154">
        <f t="shared" si="271"/>
        <v>3</v>
      </c>
      <c r="AY280" s="154">
        <f t="shared" si="271"/>
        <v>5</v>
      </c>
      <c r="AZ280" s="154">
        <f t="shared" si="271"/>
        <v>6</v>
      </c>
      <c r="BA280" s="154">
        <f t="shared" si="271"/>
        <v>8</v>
      </c>
      <c r="BB280" s="154">
        <f t="shared" si="271"/>
        <v>10</v>
      </c>
      <c r="BD280" s="173">
        <f t="shared" si="272"/>
        <v>-2350</v>
      </c>
      <c r="BE280" s="173">
        <f t="shared" si="273"/>
        <v>0</v>
      </c>
      <c r="BF280" s="173">
        <f t="shared" si="274"/>
        <v>0</v>
      </c>
      <c r="BG280" s="173">
        <f t="shared" si="275"/>
        <v>0</v>
      </c>
      <c r="BH280" s="173">
        <f t="shared" si="276"/>
        <v>0</v>
      </c>
      <c r="BI280" s="173">
        <f t="shared" si="277"/>
        <v>6122.1229361932956</v>
      </c>
      <c r="BJ280" s="173">
        <f t="shared" si="277"/>
        <v>-2350</v>
      </c>
      <c r="BK280" s="173">
        <f t="shared" si="278"/>
        <v>0</v>
      </c>
      <c r="BL280" s="173">
        <f t="shared" si="279"/>
        <v>0</v>
      </c>
      <c r="BM280" s="173">
        <f t="shared" si="280"/>
        <v>0</v>
      </c>
      <c r="BN280" s="173">
        <f t="shared" si="281"/>
        <v>0</v>
      </c>
      <c r="BO280" s="173">
        <f t="shared" si="282"/>
        <v>6647.5494188176981</v>
      </c>
      <c r="BP280" s="173">
        <f t="shared" si="282"/>
        <v>-2350</v>
      </c>
      <c r="BQ280" s="173">
        <f t="shared" si="283"/>
        <v>0</v>
      </c>
      <c r="BR280" s="173">
        <f t="shared" si="284"/>
        <v>0</v>
      </c>
      <c r="BS280" s="173">
        <f t="shared" si="285"/>
        <v>0</v>
      </c>
      <c r="BT280" s="173">
        <f t="shared" si="286"/>
        <v>0</v>
      </c>
      <c r="BU280" s="173">
        <f t="shared" si="287"/>
        <v>7172.9759014420997</v>
      </c>
      <c r="BV280" s="173">
        <f t="shared" si="287"/>
        <v>-2350</v>
      </c>
      <c r="BW280" s="173">
        <f t="shared" si="288"/>
        <v>0</v>
      </c>
      <c r="BX280" s="173">
        <f t="shared" si="289"/>
        <v>0</v>
      </c>
      <c r="BY280" s="173">
        <f t="shared" si="290"/>
        <v>0</v>
      </c>
      <c r="BZ280" s="173">
        <f t="shared" si="291"/>
        <v>0</v>
      </c>
      <c r="CA280" s="173">
        <f t="shared" si="292"/>
        <v>7698.4023840665013</v>
      </c>
      <c r="CB280" s="173">
        <f t="shared" si="292"/>
        <v>-2350</v>
      </c>
      <c r="CC280" s="173">
        <f t="shared" si="293"/>
        <v>0</v>
      </c>
      <c r="CD280" s="173">
        <f t="shared" si="294"/>
        <v>0</v>
      </c>
      <c r="CE280" s="173">
        <f t="shared" si="295"/>
        <v>0</v>
      </c>
      <c r="CF280" s="173">
        <f t="shared" si="296"/>
        <v>0</v>
      </c>
      <c r="CG280" s="173">
        <f t="shared" si="297"/>
        <v>8223.8288666909029</v>
      </c>
      <c r="CH280" s="173">
        <f t="shared" si="297"/>
        <v>-2350</v>
      </c>
      <c r="CI280" s="173">
        <f t="shared" si="298"/>
        <v>0</v>
      </c>
      <c r="CJ280" s="173">
        <f t="shared" si="299"/>
        <v>0</v>
      </c>
      <c r="CK280" s="173">
        <f t="shared" si="300"/>
        <v>0</v>
      </c>
      <c r="CL280" s="173">
        <f t="shared" si="301"/>
        <v>0</v>
      </c>
      <c r="CM280" s="173">
        <f t="shared" si="302"/>
        <v>8749.2553493153064</v>
      </c>
      <c r="CN280" s="173">
        <f t="shared" si="302"/>
        <v>-2350</v>
      </c>
      <c r="CO280" s="173">
        <f t="shared" si="303"/>
        <v>0</v>
      </c>
      <c r="CP280" s="173">
        <f t="shared" si="304"/>
        <v>0</v>
      </c>
      <c r="CQ280" s="173">
        <f t="shared" si="305"/>
        <v>0</v>
      </c>
      <c r="CR280" s="173">
        <f t="shared" si="306"/>
        <v>0</v>
      </c>
      <c r="CS280" s="173">
        <f t="shared" si="307"/>
        <v>9274.681831939708</v>
      </c>
      <c r="CT280" s="173">
        <f t="shared" si="307"/>
        <v>-2350</v>
      </c>
      <c r="CU280" s="173">
        <f t="shared" si="308"/>
        <v>0</v>
      </c>
      <c r="CV280" s="173">
        <f t="shared" si="309"/>
        <v>0</v>
      </c>
      <c r="CW280" s="173">
        <f t="shared" si="310"/>
        <v>0</v>
      </c>
      <c r="CX280" s="173">
        <f t="shared" si="311"/>
        <v>0</v>
      </c>
      <c r="CY280" s="173">
        <f t="shared" si="312"/>
        <v>9800.1083145641096</v>
      </c>
      <c r="CZ280" s="173">
        <f t="shared" si="312"/>
        <v>-2350</v>
      </c>
      <c r="DA280" s="173">
        <f t="shared" si="313"/>
        <v>0</v>
      </c>
      <c r="DB280" s="173">
        <f t="shared" si="314"/>
        <v>0</v>
      </c>
      <c r="DC280" s="173">
        <f t="shared" si="315"/>
        <v>0</v>
      </c>
      <c r="DD280" s="173">
        <f t="shared" si="316"/>
        <v>0</v>
      </c>
      <c r="DE280" s="173">
        <f t="shared" si="317"/>
        <v>10325.534797188513</v>
      </c>
    </row>
    <row r="281" spans="1:109" ht="15" customHeight="1" x14ac:dyDescent="0.25">
      <c r="A281" s="121"/>
      <c r="B281" s="334"/>
      <c r="C281" s="180">
        <f>C280-$G$458</f>
        <v>40</v>
      </c>
      <c r="D281" s="157">
        <f t="shared" si="262"/>
        <v>0.20687998283510511</v>
      </c>
      <c r="E281" s="157">
        <f t="shared" si="263"/>
        <v>0.22627110514865811</v>
      </c>
      <c r="F281" s="157">
        <f t="shared" si="264"/>
        <v>0.24450802153962425</v>
      </c>
      <c r="G281" s="157">
        <f t="shared" si="265"/>
        <v>0.26173467386335725</v>
      </c>
      <c r="H281" s="157">
        <f t="shared" si="266"/>
        <v>0.27806887842667893</v>
      </c>
      <c r="I281" s="157">
        <f t="shared" si="267"/>
        <v>0.29360837177229548</v>
      </c>
      <c r="J281" s="157">
        <f t="shared" si="268"/>
        <v>0.30843519012930298</v>
      </c>
      <c r="K281" s="157">
        <f t="shared" si="269"/>
        <v>0.32261890744229094</v>
      </c>
      <c r="L281" s="157">
        <f t="shared" si="270"/>
        <v>0.33621907313030253</v>
      </c>
      <c r="M281" s="121"/>
      <c r="N281" s="121"/>
      <c r="O281" s="121"/>
      <c r="P281" s="121"/>
      <c r="Q281" s="121"/>
      <c r="AT281" s="154">
        <f t="shared" si="271"/>
        <v>0</v>
      </c>
      <c r="AU281" s="154">
        <f t="shared" si="271"/>
        <v>0</v>
      </c>
      <c r="AV281" s="154">
        <f t="shared" si="271"/>
        <v>1</v>
      </c>
      <c r="AW281" s="154">
        <f t="shared" si="271"/>
        <v>2</v>
      </c>
      <c r="AX281" s="154">
        <f t="shared" si="271"/>
        <v>4</v>
      </c>
      <c r="AY281" s="154">
        <f t="shared" si="271"/>
        <v>5</v>
      </c>
      <c r="AZ281" s="154">
        <f t="shared" si="271"/>
        <v>7</v>
      </c>
      <c r="BA281" s="154">
        <f t="shared" si="271"/>
        <v>9</v>
      </c>
      <c r="BB281" s="154">
        <f t="shared" si="271"/>
        <v>10</v>
      </c>
      <c r="BD281" s="173">
        <f t="shared" si="272"/>
        <v>-2350</v>
      </c>
      <c r="BE281" s="173">
        <f t="shared" si="273"/>
        <v>0</v>
      </c>
      <c r="BF281" s="173">
        <f t="shared" si="274"/>
        <v>0</v>
      </c>
      <c r="BG281" s="173">
        <f t="shared" si="275"/>
        <v>0</v>
      </c>
      <c r="BH281" s="173">
        <f t="shared" si="276"/>
        <v>0</v>
      </c>
      <c r="BI281" s="173">
        <f t="shared" si="277"/>
        <v>6017.1146034070798</v>
      </c>
      <c r="BJ281" s="173">
        <f t="shared" si="277"/>
        <v>-2350</v>
      </c>
      <c r="BK281" s="173">
        <f t="shared" si="278"/>
        <v>0</v>
      </c>
      <c r="BL281" s="173">
        <f t="shared" si="279"/>
        <v>0</v>
      </c>
      <c r="BM281" s="173">
        <f t="shared" si="280"/>
        <v>0</v>
      </c>
      <c r="BN281" s="173">
        <f t="shared" si="281"/>
        <v>0</v>
      </c>
      <c r="BO281" s="173">
        <f t="shared" si="282"/>
        <v>6516.2890028349275</v>
      </c>
      <c r="BP281" s="173">
        <f t="shared" si="282"/>
        <v>-2350</v>
      </c>
      <c r="BQ281" s="173">
        <f t="shared" si="283"/>
        <v>0</v>
      </c>
      <c r="BR281" s="173">
        <f t="shared" si="284"/>
        <v>0</v>
      </c>
      <c r="BS281" s="173">
        <f t="shared" si="285"/>
        <v>0</v>
      </c>
      <c r="BT281" s="173">
        <f t="shared" si="286"/>
        <v>0</v>
      </c>
      <c r="BU281" s="173">
        <f t="shared" si="287"/>
        <v>7015.4634022627743</v>
      </c>
      <c r="BV281" s="173">
        <f t="shared" si="287"/>
        <v>-2350</v>
      </c>
      <c r="BW281" s="173">
        <f t="shared" si="288"/>
        <v>0</v>
      </c>
      <c r="BX281" s="173">
        <f t="shared" si="289"/>
        <v>0</v>
      </c>
      <c r="BY281" s="173">
        <f t="shared" si="290"/>
        <v>0</v>
      </c>
      <c r="BZ281" s="173">
        <f t="shared" si="291"/>
        <v>0</v>
      </c>
      <c r="CA281" s="173">
        <f t="shared" si="292"/>
        <v>7514.6378016906228</v>
      </c>
      <c r="CB281" s="173">
        <f t="shared" si="292"/>
        <v>-2350</v>
      </c>
      <c r="CC281" s="173">
        <f t="shared" si="293"/>
        <v>0</v>
      </c>
      <c r="CD281" s="173">
        <f t="shared" si="294"/>
        <v>0</v>
      </c>
      <c r="CE281" s="173">
        <f t="shared" si="295"/>
        <v>0</v>
      </c>
      <c r="CF281" s="173">
        <f t="shared" si="296"/>
        <v>0</v>
      </c>
      <c r="CG281" s="173">
        <f t="shared" si="297"/>
        <v>8013.8122011184714</v>
      </c>
      <c r="CH281" s="173">
        <f t="shared" si="297"/>
        <v>-2350</v>
      </c>
      <c r="CI281" s="173">
        <f t="shared" si="298"/>
        <v>0</v>
      </c>
      <c r="CJ281" s="173">
        <f t="shared" si="299"/>
        <v>0</v>
      </c>
      <c r="CK281" s="173">
        <f t="shared" si="300"/>
        <v>0</v>
      </c>
      <c r="CL281" s="173">
        <f t="shared" si="301"/>
        <v>0</v>
      </c>
      <c r="CM281" s="173">
        <f t="shared" si="302"/>
        <v>8512.9866005463191</v>
      </c>
      <c r="CN281" s="173">
        <f t="shared" si="302"/>
        <v>-2350</v>
      </c>
      <c r="CO281" s="173">
        <f t="shared" si="303"/>
        <v>0</v>
      </c>
      <c r="CP281" s="173">
        <f t="shared" si="304"/>
        <v>0</v>
      </c>
      <c r="CQ281" s="173">
        <f t="shared" si="305"/>
        <v>0</v>
      </c>
      <c r="CR281" s="173">
        <f t="shared" si="306"/>
        <v>0</v>
      </c>
      <c r="CS281" s="173">
        <f t="shared" si="307"/>
        <v>9012.1609999741668</v>
      </c>
      <c r="CT281" s="173">
        <f t="shared" si="307"/>
        <v>-2350</v>
      </c>
      <c r="CU281" s="173">
        <f t="shared" si="308"/>
        <v>0</v>
      </c>
      <c r="CV281" s="173">
        <f t="shared" si="309"/>
        <v>0</v>
      </c>
      <c r="CW281" s="173">
        <f t="shared" si="310"/>
        <v>0</v>
      </c>
      <c r="CX281" s="173">
        <f t="shared" si="311"/>
        <v>0</v>
      </c>
      <c r="CY281" s="173">
        <f t="shared" si="312"/>
        <v>9511.3353994020144</v>
      </c>
      <c r="CZ281" s="173">
        <f t="shared" si="312"/>
        <v>-2350</v>
      </c>
      <c r="DA281" s="173">
        <f t="shared" si="313"/>
        <v>0</v>
      </c>
      <c r="DB281" s="173">
        <f t="shared" si="314"/>
        <v>0</v>
      </c>
      <c r="DC281" s="173">
        <f t="shared" si="315"/>
        <v>0</v>
      </c>
      <c r="DD281" s="173">
        <f t="shared" si="316"/>
        <v>0</v>
      </c>
      <c r="DE281" s="173">
        <f t="shared" si="317"/>
        <v>10010.509798829862</v>
      </c>
    </row>
    <row r="282" spans="1:109" ht="15" customHeight="1" x14ac:dyDescent="0.25">
      <c r="A282" s="121"/>
      <c r="B282" s="335"/>
      <c r="C282" s="179">
        <f>C281-$G$458</f>
        <v>36</v>
      </c>
      <c r="D282" s="155">
        <f t="shared" si="262"/>
        <v>0.20263786629016378</v>
      </c>
      <c r="E282" s="155">
        <f t="shared" si="263"/>
        <v>0.22129055023585487</v>
      </c>
      <c r="F282" s="155">
        <f t="shared" si="264"/>
        <v>0.23886876056131934</v>
      </c>
      <c r="G282" s="155">
        <f t="shared" si="265"/>
        <v>0.25550246381572816</v>
      </c>
      <c r="H282" s="155">
        <f t="shared" si="266"/>
        <v>0.27129870313073168</v>
      </c>
      <c r="I282" s="155">
        <f t="shared" si="267"/>
        <v>0.28634676207929655</v>
      </c>
      <c r="J282" s="155">
        <f t="shared" si="268"/>
        <v>0.30072194097489513</v>
      </c>
      <c r="K282" s="155">
        <f t="shared" si="269"/>
        <v>0.31448837239615934</v>
      </c>
      <c r="L282" s="155">
        <f t="shared" si="270"/>
        <v>0.32770115639948982</v>
      </c>
      <c r="M282" s="121"/>
      <c r="N282" s="121"/>
      <c r="O282" s="121"/>
      <c r="P282" s="121"/>
      <c r="Q282" s="121"/>
      <c r="AT282" s="154">
        <f t="shared" si="271"/>
        <v>0</v>
      </c>
      <c r="AU282" s="154">
        <f t="shared" si="271"/>
        <v>0</v>
      </c>
      <c r="AV282" s="154">
        <f t="shared" si="271"/>
        <v>1</v>
      </c>
      <c r="AW282" s="154">
        <f t="shared" si="271"/>
        <v>3</v>
      </c>
      <c r="AX282" s="154">
        <f t="shared" si="271"/>
        <v>4</v>
      </c>
      <c r="AY282" s="154">
        <f t="shared" si="271"/>
        <v>6</v>
      </c>
      <c r="AZ282" s="154">
        <f t="shared" si="271"/>
        <v>7</v>
      </c>
      <c r="BA282" s="154">
        <f t="shared" si="271"/>
        <v>9</v>
      </c>
      <c r="BB282" s="154">
        <f t="shared" si="271"/>
        <v>10</v>
      </c>
      <c r="BD282" s="173">
        <f t="shared" si="272"/>
        <v>-2350</v>
      </c>
      <c r="BE282" s="173">
        <f t="shared" si="273"/>
        <v>0</v>
      </c>
      <c r="BF282" s="173">
        <f t="shared" si="274"/>
        <v>0</v>
      </c>
      <c r="BG282" s="173">
        <f t="shared" si="275"/>
        <v>0</v>
      </c>
      <c r="BH282" s="173">
        <f t="shared" si="276"/>
        <v>0</v>
      </c>
      <c r="BI282" s="173">
        <f t="shared" si="277"/>
        <v>5912.1062706208631</v>
      </c>
      <c r="BJ282" s="173">
        <f t="shared" si="277"/>
        <v>-2350</v>
      </c>
      <c r="BK282" s="173">
        <f t="shared" si="278"/>
        <v>0</v>
      </c>
      <c r="BL282" s="173">
        <f t="shared" si="279"/>
        <v>0</v>
      </c>
      <c r="BM282" s="173">
        <f t="shared" si="280"/>
        <v>0</v>
      </c>
      <c r="BN282" s="173">
        <f t="shared" si="281"/>
        <v>0</v>
      </c>
      <c r="BO282" s="173">
        <f t="shared" si="282"/>
        <v>6385.0285868521569</v>
      </c>
      <c r="BP282" s="173">
        <f t="shared" si="282"/>
        <v>-2350</v>
      </c>
      <c r="BQ282" s="173">
        <f t="shared" si="283"/>
        <v>0</v>
      </c>
      <c r="BR282" s="173">
        <f t="shared" si="284"/>
        <v>0</v>
      </c>
      <c r="BS282" s="173">
        <f t="shared" si="285"/>
        <v>0</v>
      </c>
      <c r="BT282" s="173">
        <f t="shared" si="286"/>
        <v>0</v>
      </c>
      <c r="BU282" s="173">
        <f t="shared" si="287"/>
        <v>6857.9509030834506</v>
      </c>
      <c r="BV282" s="173">
        <f t="shared" si="287"/>
        <v>-2350</v>
      </c>
      <c r="BW282" s="173">
        <f t="shared" si="288"/>
        <v>0</v>
      </c>
      <c r="BX282" s="173">
        <f t="shared" si="289"/>
        <v>0</v>
      </c>
      <c r="BY282" s="173">
        <f t="shared" si="290"/>
        <v>0</v>
      </c>
      <c r="BZ282" s="173">
        <f t="shared" si="291"/>
        <v>0</v>
      </c>
      <c r="CA282" s="173">
        <f t="shared" si="292"/>
        <v>7330.8732193147443</v>
      </c>
      <c r="CB282" s="173">
        <f t="shared" si="292"/>
        <v>-2350</v>
      </c>
      <c r="CC282" s="173">
        <f t="shared" si="293"/>
        <v>0</v>
      </c>
      <c r="CD282" s="173">
        <f t="shared" si="294"/>
        <v>0</v>
      </c>
      <c r="CE282" s="173">
        <f t="shared" si="295"/>
        <v>0</v>
      </c>
      <c r="CF282" s="173">
        <f t="shared" si="296"/>
        <v>0</v>
      </c>
      <c r="CG282" s="173">
        <f t="shared" si="297"/>
        <v>7803.7955355460381</v>
      </c>
      <c r="CH282" s="173">
        <f t="shared" si="297"/>
        <v>-2350</v>
      </c>
      <c r="CI282" s="173">
        <f t="shared" si="298"/>
        <v>0</v>
      </c>
      <c r="CJ282" s="173">
        <f t="shared" si="299"/>
        <v>0</v>
      </c>
      <c r="CK282" s="173">
        <f t="shared" si="300"/>
        <v>0</v>
      </c>
      <c r="CL282" s="173">
        <f t="shared" si="301"/>
        <v>0</v>
      </c>
      <c r="CM282" s="173">
        <f t="shared" si="302"/>
        <v>8276.7178517773318</v>
      </c>
      <c r="CN282" s="173">
        <f t="shared" si="302"/>
        <v>-2350</v>
      </c>
      <c r="CO282" s="173">
        <f t="shared" si="303"/>
        <v>0</v>
      </c>
      <c r="CP282" s="173">
        <f t="shared" si="304"/>
        <v>0</v>
      </c>
      <c r="CQ282" s="173">
        <f t="shared" si="305"/>
        <v>0</v>
      </c>
      <c r="CR282" s="173">
        <f t="shared" si="306"/>
        <v>0</v>
      </c>
      <c r="CS282" s="173">
        <f t="shared" si="307"/>
        <v>8749.6401680086237</v>
      </c>
      <c r="CT282" s="173">
        <f t="shared" si="307"/>
        <v>-2350</v>
      </c>
      <c r="CU282" s="173">
        <f t="shared" si="308"/>
        <v>0</v>
      </c>
      <c r="CV282" s="173">
        <f t="shared" si="309"/>
        <v>0</v>
      </c>
      <c r="CW282" s="173">
        <f t="shared" si="310"/>
        <v>0</v>
      </c>
      <c r="CX282" s="173">
        <f t="shared" si="311"/>
        <v>0</v>
      </c>
      <c r="CY282" s="173">
        <f t="shared" si="312"/>
        <v>9222.5624842399193</v>
      </c>
      <c r="CZ282" s="173">
        <f t="shared" si="312"/>
        <v>-2350</v>
      </c>
      <c r="DA282" s="173">
        <f t="shared" si="313"/>
        <v>0</v>
      </c>
      <c r="DB282" s="173">
        <f t="shared" si="314"/>
        <v>0</v>
      </c>
      <c r="DC282" s="173">
        <f t="shared" si="315"/>
        <v>0</v>
      </c>
      <c r="DD282" s="173">
        <f t="shared" si="316"/>
        <v>0</v>
      </c>
      <c r="DE282" s="173">
        <f t="shared" si="317"/>
        <v>9695.484800471213</v>
      </c>
    </row>
    <row r="283" spans="1:109" ht="3.95" hidden="1" customHeight="1" x14ac:dyDescent="0.25">
      <c r="A283" s="121"/>
      <c r="B283" s="153" t="str">
        <f>"IRR: Yr 0 = cash at close less Keystone today; earnout Yr "&amp;$G$444&amp;"; Yr 5 = stake value; Topkey growth held at model (G437); rollover fixed at "&amp;TEXT($G$436,"0%")</f>
        <v>IRR: Yr 0 = cash at close less Keystone today; earnout Yr 3; Yr 5 = stake value; Topkey growth held at model (G437); rollover fixed at 30%</v>
      </c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</row>
    <row r="284" spans="1:109" ht="3.95" customHeight="1" x14ac:dyDescent="0.25">
      <c r="A284" s="121"/>
      <c r="B284" s="153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</row>
    <row r="285" spans="1:109" ht="15" customHeight="1" x14ac:dyDescent="0.25">
      <c r="A285" s="121"/>
      <c r="B285" s="172" t="str">
        <f>"Ben's Return Profile Based on Partnering — Keystone Multiple × Net Client Wins ("&amp;TEXT($G$436,"0%")&amp;" Rollover) — Less Standalone"</f>
        <v>Ben's Return Profile Based on Partnering — Keystone Multiple × Net Client Wins (30% Rollover) — Less Standalone</v>
      </c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21"/>
      <c r="N285" s="121"/>
      <c r="O285" s="121"/>
      <c r="P285" s="121"/>
      <c r="Q285" s="121"/>
    </row>
    <row r="286" spans="1:109" ht="15" customHeight="1" x14ac:dyDescent="0.25">
      <c r="A286" s="121"/>
      <c r="B286" s="164" t="s">
        <v>319</v>
      </c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</row>
    <row r="287" spans="1:109" ht="2.1" customHeight="1" x14ac:dyDescent="0.25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</row>
    <row r="288" spans="1:109" ht="12.75" customHeight="1" x14ac:dyDescent="0.25">
      <c r="A288" s="121"/>
      <c r="B288" s="10"/>
      <c r="C288" s="10"/>
      <c r="D288" s="163" t="s">
        <v>289</v>
      </c>
      <c r="E288" s="163"/>
      <c r="F288" s="163"/>
      <c r="G288" s="163"/>
      <c r="H288" s="163"/>
      <c r="I288" s="163"/>
      <c r="J288" s="163"/>
      <c r="K288" s="163"/>
      <c r="L288" s="163"/>
      <c r="M288" s="121"/>
      <c r="N288" s="121"/>
      <c r="O288" s="121"/>
      <c r="P288" s="121"/>
      <c r="Q288" s="121"/>
      <c r="Z288" s="171" t="s">
        <v>318</v>
      </c>
      <c r="AA288" s="58"/>
      <c r="AB288" s="58"/>
      <c r="AC288" s="58"/>
      <c r="AD288" s="58"/>
      <c r="AE288" s="58"/>
      <c r="AF288" s="58"/>
      <c r="AG288" s="58"/>
      <c r="AH288" s="58"/>
    </row>
    <row r="289" spans="1:54" ht="12.75" customHeight="1" x14ac:dyDescent="0.25">
      <c r="A289" s="121"/>
      <c r="B289" s="10"/>
      <c r="C289" s="10"/>
      <c r="D289" s="162">
        <f>E289-$G$466</f>
        <v>1</v>
      </c>
      <c r="E289" s="162">
        <f>F289-$G$466</f>
        <v>1.25</v>
      </c>
      <c r="F289" s="162">
        <f>G289-$G$466</f>
        <v>1.5</v>
      </c>
      <c r="G289" s="162">
        <f>H289-$G$466</f>
        <v>1.75</v>
      </c>
      <c r="H289" s="162">
        <f>$G$465</f>
        <v>2</v>
      </c>
      <c r="I289" s="162">
        <f>H289+$G$466</f>
        <v>2.25</v>
      </c>
      <c r="J289" s="162">
        <f>I289+$G$466</f>
        <v>2.5</v>
      </c>
      <c r="K289" s="162">
        <f>J289+$G$466</f>
        <v>2.75</v>
      </c>
      <c r="L289" s="162">
        <f>K289+$G$466</f>
        <v>3</v>
      </c>
      <c r="M289" s="121"/>
      <c r="N289" s="121"/>
      <c r="O289" s="121"/>
      <c r="P289" s="121"/>
      <c r="Q289" s="121"/>
      <c r="Z289" s="170">
        <f t="shared" ref="Z289:AH289" si="318">D$289</f>
        <v>1</v>
      </c>
      <c r="AA289" s="170">
        <f t="shared" si="318"/>
        <v>1.25</v>
      </c>
      <c r="AB289" s="170">
        <f t="shared" si="318"/>
        <v>1.5</v>
      </c>
      <c r="AC289" s="170">
        <f t="shared" si="318"/>
        <v>1.75</v>
      </c>
      <c r="AD289" s="170">
        <f t="shared" si="318"/>
        <v>2</v>
      </c>
      <c r="AE289" s="170">
        <f t="shared" si="318"/>
        <v>2.25</v>
      </c>
      <c r="AF289" s="170">
        <f t="shared" si="318"/>
        <v>2.5</v>
      </c>
      <c r="AG289" s="170">
        <f t="shared" si="318"/>
        <v>2.75</v>
      </c>
      <c r="AH289" s="170">
        <f t="shared" si="318"/>
        <v>3</v>
      </c>
      <c r="AT289" s="161" t="s">
        <v>288</v>
      </c>
      <c r="AU289" s="160"/>
      <c r="AV289" s="160"/>
      <c r="AW289" s="160"/>
      <c r="AX289" s="160"/>
      <c r="AY289" s="160"/>
      <c r="AZ289" s="160"/>
      <c r="BA289" s="160"/>
      <c r="BB289" s="160"/>
    </row>
    <row r="290" spans="1:54" ht="15" customHeight="1" x14ac:dyDescent="0.25">
      <c r="A290" s="121"/>
      <c r="B290" s="333" t="s">
        <v>313</v>
      </c>
      <c r="C290" s="180">
        <f>C291+$G$458</f>
        <v>60</v>
      </c>
      <c r="D290" s="152">
        <f t="shared" ref="D290:L296" si="319">ROUND(Z290,$G$452)</f>
        <v>-1500</v>
      </c>
      <c r="E290" s="152">
        <f t="shared" si="319"/>
        <v>-900</v>
      </c>
      <c r="F290" s="152">
        <f t="shared" si="319"/>
        <v>-300</v>
      </c>
      <c r="G290" s="152">
        <f t="shared" si="319"/>
        <v>300</v>
      </c>
      <c r="H290" s="152">
        <f t="shared" si="319"/>
        <v>1000</v>
      </c>
      <c r="I290" s="152">
        <f t="shared" si="319"/>
        <v>1600</v>
      </c>
      <c r="J290" s="152">
        <f t="shared" si="319"/>
        <v>2200</v>
      </c>
      <c r="K290" s="152">
        <f t="shared" si="319"/>
        <v>2900</v>
      </c>
      <c r="L290" s="152">
        <f t="shared" si="319"/>
        <v>3500</v>
      </c>
      <c r="M290" s="121"/>
      <c r="N290" s="121"/>
      <c r="O290" s="121"/>
      <c r="P290" s="121"/>
      <c r="Q290" s="121"/>
      <c r="Z290" s="57">
        <f t="shared" ref="Z290:AH290" si="320">Z250+$G$430-$AL250</f>
        <v>-1545.4619059669294</v>
      </c>
      <c r="AA290" s="57">
        <f t="shared" si="320"/>
        <v>-915.02709055631021</v>
      </c>
      <c r="AB290" s="57">
        <f t="shared" si="320"/>
        <v>-284.59227514569284</v>
      </c>
      <c r="AC290" s="57">
        <f t="shared" si="320"/>
        <v>345.84254026492636</v>
      </c>
      <c r="AD290" s="57">
        <f t="shared" si="320"/>
        <v>976.27735567554555</v>
      </c>
      <c r="AE290" s="57">
        <f t="shared" si="320"/>
        <v>1606.7121710861611</v>
      </c>
      <c r="AF290" s="57">
        <f t="shared" si="320"/>
        <v>2237.1469864967803</v>
      </c>
      <c r="AG290" s="57">
        <f t="shared" si="320"/>
        <v>2867.5818019073995</v>
      </c>
      <c r="AH290" s="57">
        <f t="shared" si="320"/>
        <v>3498.0166173180187</v>
      </c>
      <c r="AT290" s="154">
        <f t="shared" ref="AT290:BB296" si="321">IF(Z290&lt;$G$449,0,MIN($G$446,1+IFERROR(INT((Z290-$G$449)/$G$467),0)))</f>
        <v>0</v>
      </c>
      <c r="AU290" s="154">
        <f t="shared" si="321"/>
        <v>0</v>
      </c>
      <c r="AV290" s="154">
        <f t="shared" si="321"/>
        <v>0</v>
      </c>
      <c r="AW290" s="154">
        <f t="shared" si="321"/>
        <v>0</v>
      </c>
      <c r="AX290" s="154">
        <f t="shared" si="321"/>
        <v>0</v>
      </c>
      <c r="AY290" s="154">
        <f t="shared" si="321"/>
        <v>2</v>
      </c>
      <c r="AZ290" s="154">
        <f t="shared" si="321"/>
        <v>4</v>
      </c>
      <c r="BA290" s="154">
        <f t="shared" si="321"/>
        <v>7</v>
      </c>
      <c r="BB290" s="154">
        <f t="shared" si="321"/>
        <v>9</v>
      </c>
    </row>
    <row r="291" spans="1:54" ht="15" customHeight="1" x14ac:dyDescent="0.25">
      <c r="A291" s="121"/>
      <c r="B291" s="334"/>
      <c r="C291" s="180">
        <f>C292+$G$458</f>
        <v>56</v>
      </c>
      <c r="D291" s="168">
        <f t="shared" si="319"/>
        <v>-1200</v>
      </c>
      <c r="E291" s="168">
        <f t="shared" si="319"/>
        <v>-600</v>
      </c>
      <c r="F291" s="168">
        <f t="shared" si="319"/>
        <v>0</v>
      </c>
      <c r="G291" s="168">
        <f t="shared" si="319"/>
        <v>600</v>
      </c>
      <c r="H291" s="168">
        <f t="shared" si="319"/>
        <v>1200</v>
      </c>
      <c r="I291" s="168">
        <f t="shared" si="319"/>
        <v>1800</v>
      </c>
      <c r="J291" s="168">
        <f t="shared" si="319"/>
        <v>2400</v>
      </c>
      <c r="K291" s="168">
        <f t="shared" si="319"/>
        <v>3000</v>
      </c>
      <c r="L291" s="168">
        <f t="shared" si="319"/>
        <v>3600</v>
      </c>
      <c r="M291" s="121"/>
      <c r="N291" s="121"/>
      <c r="O291" s="121"/>
      <c r="P291" s="121"/>
      <c r="Q291" s="121"/>
      <c r="Z291" s="57">
        <f t="shared" ref="Z291:AH291" si="322">Z251+$G$430-$AL251</f>
        <v>-1234.6834138943868</v>
      </c>
      <c r="AA291" s="57">
        <f t="shared" si="322"/>
        <v>-630.50068168032249</v>
      </c>
      <c r="AB291" s="57">
        <f t="shared" si="322"/>
        <v>-26.317949466258142</v>
      </c>
      <c r="AC291" s="57">
        <f t="shared" si="322"/>
        <v>577.86478274780529</v>
      </c>
      <c r="AD291" s="57">
        <f t="shared" si="322"/>
        <v>1182.0475149618687</v>
      </c>
      <c r="AE291" s="57">
        <f t="shared" si="322"/>
        <v>1786.230247175934</v>
      </c>
      <c r="AF291" s="57">
        <f t="shared" si="322"/>
        <v>2390.4129793899992</v>
      </c>
      <c r="AG291" s="57">
        <f t="shared" si="322"/>
        <v>2994.5957116040627</v>
      </c>
      <c r="AH291" s="57">
        <f t="shared" si="322"/>
        <v>3598.7784438181261</v>
      </c>
      <c r="AT291" s="154">
        <f t="shared" si="321"/>
        <v>0</v>
      </c>
      <c r="AU291" s="154">
        <f t="shared" si="321"/>
        <v>0</v>
      </c>
      <c r="AV291" s="154">
        <f t="shared" si="321"/>
        <v>0</v>
      </c>
      <c r="AW291" s="154">
        <f t="shared" si="321"/>
        <v>0</v>
      </c>
      <c r="AX291" s="154">
        <f t="shared" si="321"/>
        <v>1</v>
      </c>
      <c r="AY291" s="154">
        <f t="shared" si="321"/>
        <v>3</v>
      </c>
      <c r="AZ291" s="154">
        <f t="shared" si="321"/>
        <v>5</v>
      </c>
      <c r="BA291" s="154">
        <f t="shared" si="321"/>
        <v>7</v>
      </c>
      <c r="BB291" s="154">
        <f t="shared" si="321"/>
        <v>9</v>
      </c>
    </row>
    <row r="292" spans="1:54" ht="15" customHeight="1" x14ac:dyDescent="0.25">
      <c r="A292" s="121"/>
      <c r="B292" s="334"/>
      <c r="C292" s="180">
        <f>C293+$G$458</f>
        <v>52</v>
      </c>
      <c r="D292" s="168">
        <f t="shared" si="319"/>
        <v>-900</v>
      </c>
      <c r="E292" s="168">
        <f t="shared" si="319"/>
        <v>-300</v>
      </c>
      <c r="F292" s="168">
        <f t="shared" si="319"/>
        <v>200</v>
      </c>
      <c r="G292" s="168">
        <f t="shared" si="319"/>
        <v>800</v>
      </c>
      <c r="H292" s="168">
        <f t="shared" si="319"/>
        <v>1400</v>
      </c>
      <c r="I292" s="168">
        <f t="shared" si="319"/>
        <v>2000</v>
      </c>
      <c r="J292" s="168">
        <f t="shared" si="319"/>
        <v>2500</v>
      </c>
      <c r="K292" s="168">
        <f t="shared" si="319"/>
        <v>3100</v>
      </c>
      <c r="L292" s="168">
        <f t="shared" si="319"/>
        <v>3700</v>
      </c>
      <c r="M292" s="121"/>
      <c r="N292" s="121"/>
      <c r="O292" s="121"/>
      <c r="P292" s="121"/>
      <c r="Q292" s="121"/>
      <c r="Z292" s="57">
        <f t="shared" ref="Z292:AH292" si="323">Z252+$G$430-$AL252</f>
        <v>-923.90492182184516</v>
      </c>
      <c r="AA292" s="57">
        <f t="shared" si="323"/>
        <v>-345.97427280433567</v>
      </c>
      <c r="AB292" s="57">
        <f t="shared" si="323"/>
        <v>231.95637621317383</v>
      </c>
      <c r="AC292" s="57">
        <f t="shared" si="323"/>
        <v>809.88702523068332</v>
      </c>
      <c r="AD292" s="57">
        <f t="shared" si="323"/>
        <v>1387.8176742481946</v>
      </c>
      <c r="AE292" s="57">
        <f t="shared" si="323"/>
        <v>1965.7483232657041</v>
      </c>
      <c r="AF292" s="57">
        <f t="shared" si="323"/>
        <v>2543.6789722832154</v>
      </c>
      <c r="AG292" s="57">
        <f t="shared" si="323"/>
        <v>3121.6096213007249</v>
      </c>
      <c r="AH292" s="57">
        <f t="shared" si="323"/>
        <v>3699.5402703182363</v>
      </c>
      <c r="AT292" s="154">
        <f t="shared" si="321"/>
        <v>0</v>
      </c>
      <c r="AU292" s="154">
        <f t="shared" si="321"/>
        <v>0</v>
      </c>
      <c r="AV292" s="154">
        <f t="shared" si="321"/>
        <v>0</v>
      </c>
      <c r="AW292" s="154">
        <f t="shared" si="321"/>
        <v>0</v>
      </c>
      <c r="AX292" s="154">
        <f t="shared" si="321"/>
        <v>2</v>
      </c>
      <c r="AY292" s="154">
        <f t="shared" si="321"/>
        <v>4</v>
      </c>
      <c r="AZ292" s="154">
        <f t="shared" si="321"/>
        <v>5</v>
      </c>
      <c r="BA292" s="154">
        <f t="shared" si="321"/>
        <v>7</v>
      </c>
      <c r="BB292" s="154">
        <f t="shared" si="321"/>
        <v>9</v>
      </c>
    </row>
    <row r="293" spans="1:54" ht="15" customHeight="1" x14ac:dyDescent="0.25">
      <c r="A293" s="121"/>
      <c r="B293" s="334"/>
      <c r="C293" s="180">
        <f>$G$457</f>
        <v>48</v>
      </c>
      <c r="D293" s="168">
        <f t="shared" si="319"/>
        <v>-600</v>
      </c>
      <c r="E293" s="168">
        <f t="shared" si="319"/>
        <v>-100</v>
      </c>
      <c r="F293" s="168">
        <f t="shared" si="319"/>
        <v>500</v>
      </c>
      <c r="G293" s="168">
        <f t="shared" si="319"/>
        <v>1000</v>
      </c>
      <c r="H293" s="169">
        <f t="shared" si="319"/>
        <v>1600</v>
      </c>
      <c r="I293" s="168">
        <f t="shared" si="319"/>
        <v>2100</v>
      </c>
      <c r="J293" s="168">
        <f t="shared" si="319"/>
        <v>2700</v>
      </c>
      <c r="K293" s="168">
        <f t="shared" si="319"/>
        <v>3200</v>
      </c>
      <c r="L293" s="168">
        <f t="shared" si="319"/>
        <v>3800</v>
      </c>
      <c r="M293" s="121"/>
      <c r="N293" s="121"/>
      <c r="O293" s="121"/>
      <c r="P293" s="121"/>
      <c r="Q293" s="121"/>
      <c r="Z293" s="57">
        <f t="shared" ref="Z293:AH293" si="324">Z253+$G$430-$AL253</f>
        <v>-613.12642974930532</v>
      </c>
      <c r="AA293" s="57">
        <f t="shared" si="324"/>
        <v>-61.447863928348852</v>
      </c>
      <c r="AB293" s="57">
        <f t="shared" si="324"/>
        <v>490.2307018926067</v>
      </c>
      <c r="AC293" s="57">
        <f t="shared" si="324"/>
        <v>1041.9092677135632</v>
      </c>
      <c r="AD293" s="57">
        <f t="shared" si="324"/>
        <v>1593.5878335345205</v>
      </c>
      <c r="AE293" s="57">
        <f t="shared" si="324"/>
        <v>2145.2663993554761</v>
      </c>
      <c r="AF293" s="57">
        <f t="shared" si="324"/>
        <v>2696.9449651764317</v>
      </c>
      <c r="AG293" s="57">
        <f t="shared" si="324"/>
        <v>3248.6235309973872</v>
      </c>
      <c r="AH293" s="57">
        <f t="shared" si="324"/>
        <v>3800.3020968183428</v>
      </c>
      <c r="AT293" s="154">
        <f t="shared" si="321"/>
        <v>0</v>
      </c>
      <c r="AU293" s="154">
        <f t="shared" si="321"/>
        <v>0</v>
      </c>
      <c r="AV293" s="154">
        <f t="shared" si="321"/>
        <v>0</v>
      </c>
      <c r="AW293" s="154">
        <f t="shared" si="321"/>
        <v>1</v>
      </c>
      <c r="AX293" s="154">
        <f t="shared" si="321"/>
        <v>2</v>
      </c>
      <c r="AY293" s="154">
        <f t="shared" si="321"/>
        <v>4</v>
      </c>
      <c r="AZ293" s="154">
        <f t="shared" si="321"/>
        <v>6</v>
      </c>
      <c r="BA293" s="154">
        <f t="shared" si="321"/>
        <v>8</v>
      </c>
      <c r="BB293" s="154">
        <f t="shared" si="321"/>
        <v>10</v>
      </c>
    </row>
    <row r="294" spans="1:54" ht="15" customHeight="1" x14ac:dyDescent="0.25">
      <c r="A294" s="121"/>
      <c r="B294" s="334"/>
      <c r="C294" s="180">
        <f>C293-$G$458</f>
        <v>44</v>
      </c>
      <c r="D294" s="168">
        <f t="shared" si="319"/>
        <v>-300</v>
      </c>
      <c r="E294" s="168">
        <f t="shared" si="319"/>
        <v>200</v>
      </c>
      <c r="F294" s="168">
        <f t="shared" si="319"/>
        <v>700</v>
      </c>
      <c r="G294" s="168">
        <f t="shared" si="319"/>
        <v>1300</v>
      </c>
      <c r="H294" s="168">
        <f t="shared" si="319"/>
        <v>1800</v>
      </c>
      <c r="I294" s="168">
        <f t="shared" si="319"/>
        <v>2300</v>
      </c>
      <c r="J294" s="168">
        <f t="shared" si="319"/>
        <v>2900</v>
      </c>
      <c r="K294" s="168">
        <f t="shared" si="319"/>
        <v>3400</v>
      </c>
      <c r="L294" s="168">
        <f t="shared" si="319"/>
        <v>3900</v>
      </c>
      <c r="M294" s="121"/>
      <c r="N294" s="121"/>
      <c r="O294" s="121"/>
      <c r="P294" s="121"/>
      <c r="Q294" s="121"/>
      <c r="Z294" s="57">
        <f t="shared" ref="Z294:AH294" si="325">Z254+$G$430-$AL254</f>
        <v>-302.34793767676456</v>
      </c>
      <c r="AA294" s="57">
        <f t="shared" si="325"/>
        <v>223.07854494763797</v>
      </c>
      <c r="AB294" s="57">
        <f t="shared" si="325"/>
        <v>748.50502757203958</v>
      </c>
      <c r="AC294" s="57">
        <f t="shared" si="325"/>
        <v>1273.9315101964412</v>
      </c>
      <c r="AD294" s="57">
        <f t="shared" si="325"/>
        <v>1799.3579928208428</v>
      </c>
      <c r="AE294" s="57">
        <f t="shared" si="325"/>
        <v>2324.7844754452462</v>
      </c>
      <c r="AF294" s="57">
        <f t="shared" si="325"/>
        <v>2850.2109580696479</v>
      </c>
      <c r="AG294" s="57">
        <f t="shared" si="325"/>
        <v>3375.6374406940495</v>
      </c>
      <c r="AH294" s="57">
        <f t="shared" si="325"/>
        <v>3901.0639233184529</v>
      </c>
      <c r="AT294" s="154">
        <f t="shared" si="321"/>
        <v>0</v>
      </c>
      <c r="AU294" s="154">
        <f t="shared" si="321"/>
        <v>0</v>
      </c>
      <c r="AV294" s="154">
        <f t="shared" si="321"/>
        <v>0</v>
      </c>
      <c r="AW294" s="154">
        <f t="shared" si="321"/>
        <v>1</v>
      </c>
      <c r="AX294" s="154">
        <f t="shared" si="321"/>
        <v>3</v>
      </c>
      <c r="AY294" s="154">
        <f t="shared" si="321"/>
        <v>5</v>
      </c>
      <c r="AZ294" s="154">
        <f t="shared" si="321"/>
        <v>6</v>
      </c>
      <c r="BA294" s="154">
        <f t="shared" si="321"/>
        <v>8</v>
      </c>
      <c r="BB294" s="154">
        <f t="shared" si="321"/>
        <v>10</v>
      </c>
    </row>
    <row r="295" spans="1:54" ht="15" customHeight="1" x14ac:dyDescent="0.25">
      <c r="A295" s="121"/>
      <c r="B295" s="334"/>
      <c r="C295" s="180">
        <f>C294-$G$458</f>
        <v>40</v>
      </c>
      <c r="D295" s="168">
        <f t="shared" si="319"/>
        <v>0</v>
      </c>
      <c r="E295" s="168">
        <f t="shared" si="319"/>
        <v>500</v>
      </c>
      <c r="F295" s="168">
        <f t="shared" si="319"/>
        <v>1000</v>
      </c>
      <c r="G295" s="168">
        <f t="shared" si="319"/>
        <v>1500</v>
      </c>
      <c r="H295" s="168">
        <f t="shared" si="319"/>
        <v>2000</v>
      </c>
      <c r="I295" s="168">
        <f t="shared" si="319"/>
        <v>2500</v>
      </c>
      <c r="J295" s="168">
        <f t="shared" si="319"/>
        <v>3000</v>
      </c>
      <c r="K295" s="168">
        <f t="shared" si="319"/>
        <v>3500</v>
      </c>
      <c r="L295" s="168">
        <f t="shared" si="319"/>
        <v>4000</v>
      </c>
      <c r="M295" s="121"/>
      <c r="N295" s="121"/>
      <c r="O295" s="121"/>
      <c r="P295" s="121"/>
      <c r="Q295" s="121"/>
      <c r="Z295" s="57">
        <f t="shared" ref="Z295:AH295" si="326">Z255+$G$430-$AL255</f>
        <v>8.4305543957771079</v>
      </c>
      <c r="AA295" s="57">
        <f t="shared" si="326"/>
        <v>507.60495382362478</v>
      </c>
      <c r="AB295" s="57">
        <f t="shared" si="326"/>
        <v>1006.7793532514715</v>
      </c>
      <c r="AC295" s="57">
        <f t="shared" si="326"/>
        <v>1505.9537526793201</v>
      </c>
      <c r="AD295" s="57">
        <f t="shared" si="326"/>
        <v>2005.1281521071687</v>
      </c>
      <c r="AE295" s="57">
        <f t="shared" si="326"/>
        <v>2504.3025515350164</v>
      </c>
      <c r="AF295" s="57">
        <f t="shared" si="326"/>
        <v>3003.4769509628641</v>
      </c>
      <c r="AG295" s="57">
        <f t="shared" si="326"/>
        <v>3502.6513503907117</v>
      </c>
      <c r="AH295" s="57">
        <f t="shared" si="326"/>
        <v>4001.8257498185594</v>
      </c>
      <c r="AT295" s="154">
        <f t="shared" si="321"/>
        <v>0</v>
      </c>
      <c r="AU295" s="154">
        <f t="shared" si="321"/>
        <v>0</v>
      </c>
      <c r="AV295" s="154">
        <f t="shared" si="321"/>
        <v>1</v>
      </c>
      <c r="AW295" s="154">
        <f t="shared" si="321"/>
        <v>2</v>
      </c>
      <c r="AX295" s="154">
        <f t="shared" si="321"/>
        <v>4</v>
      </c>
      <c r="AY295" s="154">
        <f t="shared" si="321"/>
        <v>5</v>
      </c>
      <c r="AZ295" s="154">
        <f t="shared" si="321"/>
        <v>7</v>
      </c>
      <c r="BA295" s="154">
        <f t="shared" si="321"/>
        <v>9</v>
      </c>
      <c r="BB295" s="154">
        <f t="shared" si="321"/>
        <v>10</v>
      </c>
    </row>
    <row r="296" spans="1:54" ht="15" customHeight="1" x14ac:dyDescent="0.25">
      <c r="A296" s="121"/>
      <c r="B296" s="335"/>
      <c r="C296" s="179">
        <f>C295-$G$458</f>
        <v>36</v>
      </c>
      <c r="D296" s="149">
        <f t="shared" si="319"/>
        <v>300</v>
      </c>
      <c r="E296" s="149">
        <f t="shared" si="319"/>
        <v>800</v>
      </c>
      <c r="F296" s="149">
        <f t="shared" si="319"/>
        <v>1300</v>
      </c>
      <c r="G296" s="149">
        <f t="shared" si="319"/>
        <v>1700</v>
      </c>
      <c r="H296" s="149">
        <f t="shared" si="319"/>
        <v>2200</v>
      </c>
      <c r="I296" s="149">
        <f t="shared" si="319"/>
        <v>2700</v>
      </c>
      <c r="J296" s="149">
        <f t="shared" si="319"/>
        <v>3200</v>
      </c>
      <c r="K296" s="149">
        <f t="shared" si="319"/>
        <v>3600</v>
      </c>
      <c r="L296" s="149">
        <f t="shared" si="319"/>
        <v>4100</v>
      </c>
      <c r="M296" s="121"/>
      <c r="N296" s="121"/>
      <c r="O296" s="121"/>
      <c r="P296" s="121"/>
      <c r="Q296" s="121"/>
      <c r="Z296" s="57">
        <f t="shared" ref="Z296:AH296" si="327">Z256+$G$430-$AL256</f>
        <v>319.20904646831696</v>
      </c>
      <c r="AA296" s="57">
        <f t="shared" si="327"/>
        <v>792.13136269961069</v>
      </c>
      <c r="AB296" s="57">
        <f t="shared" si="327"/>
        <v>1265.0536789309044</v>
      </c>
      <c r="AC296" s="57">
        <f t="shared" si="327"/>
        <v>1737.9759951621982</v>
      </c>
      <c r="AD296" s="57">
        <f t="shared" si="327"/>
        <v>2210.8983113934919</v>
      </c>
      <c r="AE296" s="57">
        <f t="shared" si="327"/>
        <v>2683.8206276247856</v>
      </c>
      <c r="AF296" s="57">
        <f t="shared" si="327"/>
        <v>3156.7429438560775</v>
      </c>
      <c r="AG296" s="57">
        <f t="shared" si="327"/>
        <v>3629.6652600873731</v>
      </c>
      <c r="AH296" s="57">
        <f t="shared" si="327"/>
        <v>4102.5875763186668</v>
      </c>
      <c r="AT296" s="154">
        <f t="shared" si="321"/>
        <v>0</v>
      </c>
      <c r="AU296" s="154">
        <f t="shared" si="321"/>
        <v>0</v>
      </c>
      <c r="AV296" s="154">
        <f t="shared" si="321"/>
        <v>1</v>
      </c>
      <c r="AW296" s="154">
        <f t="shared" si="321"/>
        <v>3</v>
      </c>
      <c r="AX296" s="154">
        <f t="shared" si="321"/>
        <v>4</v>
      </c>
      <c r="AY296" s="154">
        <f t="shared" si="321"/>
        <v>6</v>
      </c>
      <c r="AZ296" s="154">
        <f t="shared" si="321"/>
        <v>7</v>
      </c>
      <c r="BA296" s="154">
        <f t="shared" si="321"/>
        <v>9</v>
      </c>
      <c r="BB296" s="154">
        <f t="shared" si="321"/>
        <v>10</v>
      </c>
    </row>
    <row r="297" spans="1:54" ht="3.95" hidden="1" customHeight="1" x14ac:dyDescent="0.25">
      <c r="A297" s="121"/>
      <c r="B297" s="153" t="s">
        <v>317</v>
      </c>
      <c r="C297" s="4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</row>
    <row r="298" spans="1:54" ht="3.95" customHeight="1" x14ac:dyDescent="0.25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</row>
    <row r="299" spans="1:54" ht="15" customHeight="1" x14ac:dyDescent="0.25">
      <c r="A299" s="121"/>
      <c r="B299" s="164" t="s">
        <v>316</v>
      </c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</row>
    <row r="300" spans="1:54" ht="2.1" customHeight="1" x14ac:dyDescent="0.25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</row>
    <row r="301" spans="1:54" ht="12.75" customHeight="1" x14ac:dyDescent="0.25">
      <c r="A301" s="121"/>
      <c r="B301" s="10"/>
      <c r="C301" s="10"/>
      <c r="D301" s="163" t="s">
        <v>289</v>
      </c>
      <c r="E301" s="163"/>
      <c r="F301" s="163"/>
      <c r="G301" s="163"/>
      <c r="H301" s="163"/>
      <c r="I301" s="163"/>
      <c r="J301" s="163"/>
      <c r="K301" s="163"/>
      <c r="L301" s="163"/>
      <c r="M301" s="121"/>
      <c r="N301" s="121"/>
      <c r="O301" s="121"/>
      <c r="P301" s="121"/>
      <c r="Q301" s="121"/>
    </row>
    <row r="302" spans="1:54" ht="12.75" customHeight="1" x14ac:dyDescent="0.25">
      <c r="A302" s="121"/>
      <c r="B302" s="10"/>
      <c r="C302" s="10"/>
      <c r="D302" s="162">
        <f>E302-$G$466</f>
        <v>1</v>
      </c>
      <c r="E302" s="162">
        <f>F302-$G$466</f>
        <v>1.25</v>
      </c>
      <c r="F302" s="162">
        <f>G302-$G$466</f>
        <v>1.5</v>
      </c>
      <c r="G302" s="162">
        <f>H302-$G$466</f>
        <v>1.75</v>
      </c>
      <c r="H302" s="162">
        <f>$G$465</f>
        <v>2</v>
      </c>
      <c r="I302" s="162">
        <f>H302+$G$466</f>
        <v>2.25</v>
      </c>
      <c r="J302" s="162">
        <f>I302+$G$466</f>
        <v>2.5</v>
      </c>
      <c r="K302" s="162">
        <f>J302+$G$466</f>
        <v>2.75</v>
      </c>
      <c r="L302" s="162">
        <f>K302+$G$466</f>
        <v>3</v>
      </c>
      <c r="M302" s="121"/>
      <c r="N302" s="121"/>
      <c r="O302" s="121"/>
      <c r="P302" s="121"/>
      <c r="Q302" s="121"/>
      <c r="AT302" s="161" t="s">
        <v>288</v>
      </c>
      <c r="AU302" s="160"/>
      <c r="AV302" s="160"/>
      <c r="AW302" s="160"/>
      <c r="AX302" s="160"/>
      <c r="AY302" s="160"/>
      <c r="AZ302" s="160"/>
      <c r="BA302" s="160"/>
      <c r="BB302" s="160"/>
    </row>
    <row r="303" spans="1:54" ht="15" customHeight="1" x14ac:dyDescent="0.25">
      <c r="A303" s="121"/>
      <c r="B303" s="333" t="s">
        <v>313</v>
      </c>
      <c r="C303" s="180">
        <f>C304+$G$458</f>
        <v>60</v>
      </c>
      <c r="D303" s="166">
        <f t="shared" ref="D303:L309" si="328">IFERROR(Z290/$AL250,0)</f>
        <v>-0.17687450690951206</v>
      </c>
      <c r="E303" s="166">
        <f t="shared" si="328"/>
        <v>-0.10472271417763179</v>
      </c>
      <c r="F303" s="166">
        <f t="shared" si="328"/>
        <v>-3.257092144575173E-2</v>
      </c>
      <c r="G303" s="166">
        <f t="shared" si="328"/>
        <v>3.9580871286128541E-2</v>
      </c>
      <c r="H303" s="166">
        <f t="shared" si="328"/>
        <v>0.11173266401800881</v>
      </c>
      <c r="I303" s="166">
        <f t="shared" si="328"/>
        <v>0.18388445674988865</v>
      </c>
      <c r="J303" s="166">
        <f t="shared" si="328"/>
        <v>0.25603624948176895</v>
      </c>
      <c r="K303" s="166">
        <f t="shared" si="328"/>
        <v>0.32818804221364922</v>
      </c>
      <c r="L303" s="166">
        <f t="shared" si="328"/>
        <v>0.40033983494552944</v>
      </c>
      <c r="M303" s="121"/>
      <c r="N303" s="121"/>
      <c r="O303" s="121"/>
      <c r="P303" s="121"/>
      <c r="Q303" s="121"/>
      <c r="AT303" s="154">
        <f t="shared" ref="AT303:BB309" si="329">IF(Z290&lt;$G$449,0,MIN($G$446,1+IFERROR(INT((Z290-$G$449)/$G$467),0)))</f>
        <v>0</v>
      </c>
      <c r="AU303" s="154">
        <f t="shared" si="329"/>
        <v>0</v>
      </c>
      <c r="AV303" s="154">
        <f t="shared" si="329"/>
        <v>0</v>
      </c>
      <c r="AW303" s="154">
        <f t="shared" si="329"/>
        <v>0</v>
      </c>
      <c r="AX303" s="154">
        <f t="shared" si="329"/>
        <v>0</v>
      </c>
      <c r="AY303" s="154">
        <f t="shared" si="329"/>
        <v>2</v>
      </c>
      <c r="AZ303" s="154">
        <f t="shared" si="329"/>
        <v>4</v>
      </c>
      <c r="BA303" s="154">
        <f t="shared" si="329"/>
        <v>7</v>
      </c>
      <c r="BB303" s="154">
        <f t="shared" si="329"/>
        <v>9</v>
      </c>
    </row>
    <row r="304" spans="1:54" ht="15" customHeight="1" x14ac:dyDescent="0.25">
      <c r="A304" s="121"/>
      <c r="B304" s="334"/>
      <c r="C304" s="180">
        <f>C305+$G$458</f>
        <v>56</v>
      </c>
      <c r="D304" s="166">
        <f t="shared" si="328"/>
        <v>-0.14836679117811002</v>
      </c>
      <c r="E304" s="166">
        <f t="shared" si="328"/>
        <v>-7.5764655071751189E-2</v>
      </c>
      <c r="F304" s="166">
        <f t="shared" si="328"/>
        <v>-3.1625189653923524E-3</v>
      </c>
      <c r="G304" s="166">
        <f t="shared" si="328"/>
        <v>6.9439617140966373E-2</v>
      </c>
      <c r="H304" s="166">
        <f t="shared" si="328"/>
        <v>0.1420417532473251</v>
      </c>
      <c r="I304" s="166">
        <f t="shared" si="328"/>
        <v>0.21464388935368406</v>
      </c>
      <c r="J304" s="166">
        <f t="shared" si="328"/>
        <v>0.28724602546004302</v>
      </c>
      <c r="K304" s="166">
        <f t="shared" si="328"/>
        <v>0.35984816156640176</v>
      </c>
      <c r="L304" s="166">
        <f t="shared" si="328"/>
        <v>0.43245029767276044</v>
      </c>
      <c r="M304" s="121"/>
      <c r="N304" s="121"/>
      <c r="O304" s="121"/>
      <c r="P304" s="121"/>
      <c r="Q304" s="121"/>
      <c r="AT304" s="154">
        <f t="shared" si="329"/>
        <v>0</v>
      </c>
      <c r="AU304" s="154">
        <f t="shared" si="329"/>
        <v>0</v>
      </c>
      <c r="AV304" s="154">
        <f t="shared" si="329"/>
        <v>0</v>
      </c>
      <c r="AW304" s="154">
        <f t="shared" si="329"/>
        <v>0</v>
      </c>
      <c r="AX304" s="154">
        <f t="shared" si="329"/>
        <v>1</v>
      </c>
      <c r="AY304" s="154">
        <f t="shared" si="329"/>
        <v>3</v>
      </c>
      <c r="AZ304" s="154">
        <f t="shared" si="329"/>
        <v>5</v>
      </c>
      <c r="BA304" s="154">
        <f t="shared" si="329"/>
        <v>7</v>
      </c>
      <c r="BB304" s="154">
        <f t="shared" si="329"/>
        <v>9</v>
      </c>
    </row>
    <row r="305" spans="1:54" ht="15" customHeight="1" x14ac:dyDescent="0.25">
      <c r="A305" s="121"/>
      <c r="B305" s="334"/>
      <c r="C305" s="180">
        <f>C306+$G$458</f>
        <v>52</v>
      </c>
      <c r="D305" s="166">
        <f t="shared" si="328"/>
        <v>-0.11686057662151883</v>
      </c>
      <c r="E305" s="166">
        <f t="shared" si="328"/>
        <v>-4.3760729119615531E-2</v>
      </c>
      <c r="F305" s="166">
        <f t="shared" si="328"/>
        <v>2.9339118382287775E-2</v>
      </c>
      <c r="G305" s="166">
        <f t="shared" si="328"/>
        <v>0.10243896588419107</v>
      </c>
      <c r="H305" s="166">
        <f t="shared" si="328"/>
        <v>0.17553881338609462</v>
      </c>
      <c r="I305" s="166">
        <f t="shared" si="328"/>
        <v>0.24863866088799791</v>
      </c>
      <c r="J305" s="166">
        <f t="shared" si="328"/>
        <v>0.32173850838990148</v>
      </c>
      <c r="K305" s="166">
        <f t="shared" si="328"/>
        <v>0.39483835589180477</v>
      </c>
      <c r="L305" s="166">
        <f t="shared" si="328"/>
        <v>0.46793820339370829</v>
      </c>
      <c r="M305" s="121"/>
      <c r="N305" s="121"/>
      <c r="O305" s="121"/>
      <c r="P305" s="121"/>
      <c r="Q305" s="121"/>
      <c r="AT305" s="154">
        <f t="shared" si="329"/>
        <v>0</v>
      </c>
      <c r="AU305" s="154">
        <f t="shared" si="329"/>
        <v>0</v>
      </c>
      <c r="AV305" s="154">
        <f t="shared" si="329"/>
        <v>0</v>
      </c>
      <c r="AW305" s="154">
        <f t="shared" si="329"/>
        <v>0</v>
      </c>
      <c r="AX305" s="154">
        <f t="shared" si="329"/>
        <v>2</v>
      </c>
      <c r="AY305" s="154">
        <f t="shared" si="329"/>
        <v>4</v>
      </c>
      <c r="AZ305" s="154">
        <f t="shared" si="329"/>
        <v>5</v>
      </c>
      <c r="BA305" s="154">
        <f t="shared" si="329"/>
        <v>7</v>
      </c>
      <c r="BB305" s="154">
        <f t="shared" si="329"/>
        <v>9</v>
      </c>
    </row>
    <row r="306" spans="1:54" ht="15" customHeight="1" x14ac:dyDescent="0.25">
      <c r="A306" s="121"/>
      <c r="B306" s="334"/>
      <c r="C306" s="180">
        <f>$G$457</f>
        <v>48</v>
      </c>
      <c r="D306" s="166">
        <f t="shared" si="328"/>
        <v>-8.1856520083863057E-2</v>
      </c>
      <c r="E306" s="166">
        <f t="shared" si="328"/>
        <v>-8.2037049190947404E-3</v>
      </c>
      <c r="F306" s="166">
        <f t="shared" si="328"/>
        <v>6.5449110245673445E-2</v>
      </c>
      <c r="G306" s="166">
        <f t="shared" si="328"/>
        <v>0.13910192541044178</v>
      </c>
      <c r="H306" s="167">
        <f t="shared" si="328"/>
        <v>0.21275474057521021</v>
      </c>
      <c r="I306" s="166">
        <f t="shared" si="328"/>
        <v>0.28640755573997839</v>
      </c>
      <c r="J306" s="166">
        <f t="shared" si="328"/>
        <v>0.36006037090474657</v>
      </c>
      <c r="K306" s="166">
        <f t="shared" si="328"/>
        <v>0.43371318606951476</v>
      </c>
      <c r="L306" s="166">
        <f t="shared" si="328"/>
        <v>0.50736600123428299</v>
      </c>
      <c r="M306" s="121"/>
      <c r="N306" s="121"/>
      <c r="O306" s="121"/>
      <c r="P306" s="121"/>
      <c r="Q306" s="121"/>
      <c r="AT306" s="154">
        <f t="shared" si="329"/>
        <v>0</v>
      </c>
      <c r="AU306" s="154">
        <f t="shared" si="329"/>
        <v>0</v>
      </c>
      <c r="AV306" s="154">
        <f t="shared" si="329"/>
        <v>0</v>
      </c>
      <c r="AW306" s="154">
        <f t="shared" si="329"/>
        <v>1</v>
      </c>
      <c r="AX306" s="154">
        <f t="shared" si="329"/>
        <v>2</v>
      </c>
      <c r="AY306" s="154">
        <f t="shared" si="329"/>
        <v>4</v>
      </c>
      <c r="AZ306" s="154">
        <f t="shared" si="329"/>
        <v>6</v>
      </c>
      <c r="BA306" s="154">
        <f t="shared" si="329"/>
        <v>8</v>
      </c>
      <c r="BB306" s="154">
        <f t="shared" si="329"/>
        <v>10</v>
      </c>
    </row>
    <row r="307" spans="1:54" ht="15" customHeight="1" x14ac:dyDescent="0.25">
      <c r="A307" s="121"/>
      <c r="B307" s="334"/>
      <c r="C307" s="180">
        <f>C306-$G$458</f>
        <v>44</v>
      </c>
      <c r="D307" s="166">
        <f t="shared" si="328"/>
        <v>-4.2737887125029093E-2</v>
      </c>
      <c r="E307" s="166">
        <f t="shared" si="328"/>
        <v>3.153289467507607E-2</v>
      </c>
      <c r="F307" s="166">
        <f t="shared" si="328"/>
        <v>0.1058036764751811</v>
      </c>
      <c r="G307" s="166">
        <f t="shared" si="328"/>
        <v>0.18007445827528615</v>
      </c>
      <c r="H307" s="166">
        <f t="shared" si="328"/>
        <v>0.25434524007539117</v>
      </c>
      <c r="I307" s="166">
        <f t="shared" si="328"/>
        <v>0.32861602187549643</v>
      </c>
      <c r="J307" s="166">
        <f t="shared" si="328"/>
        <v>0.40288680367560148</v>
      </c>
      <c r="K307" s="166">
        <f t="shared" si="328"/>
        <v>0.47715758547570652</v>
      </c>
      <c r="L307" s="166">
        <f t="shared" si="328"/>
        <v>0.55142836727581179</v>
      </c>
      <c r="M307" s="121"/>
      <c r="N307" s="121"/>
      <c r="O307" s="121"/>
      <c r="P307" s="121"/>
      <c r="Q307" s="121"/>
      <c r="AT307" s="154">
        <f t="shared" si="329"/>
        <v>0</v>
      </c>
      <c r="AU307" s="154">
        <f t="shared" si="329"/>
        <v>0</v>
      </c>
      <c r="AV307" s="154">
        <f t="shared" si="329"/>
        <v>0</v>
      </c>
      <c r="AW307" s="154">
        <f t="shared" si="329"/>
        <v>1</v>
      </c>
      <c r="AX307" s="154">
        <f t="shared" si="329"/>
        <v>3</v>
      </c>
      <c r="AY307" s="154">
        <f t="shared" si="329"/>
        <v>5</v>
      </c>
      <c r="AZ307" s="154">
        <f t="shared" si="329"/>
        <v>6</v>
      </c>
      <c r="BA307" s="154">
        <f t="shared" si="329"/>
        <v>8</v>
      </c>
      <c r="BB307" s="154">
        <f t="shared" si="329"/>
        <v>10</v>
      </c>
    </row>
    <row r="308" spans="1:54" ht="15" customHeight="1" x14ac:dyDescent="0.25">
      <c r="A308" s="121"/>
      <c r="B308" s="334"/>
      <c r="C308" s="180">
        <f>C307-$G$458</f>
        <v>40</v>
      </c>
      <c r="D308" s="166">
        <f t="shared" si="328"/>
        <v>1.266099177213386E-3</v>
      </c>
      <c r="E308" s="166">
        <f t="shared" si="328"/>
        <v>7.6232022737134544E-2</v>
      </c>
      <c r="F308" s="166">
        <f t="shared" si="328"/>
        <v>0.15119794629705557</v>
      </c>
      <c r="G308" s="166">
        <f t="shared" si="328"/>
        <v>0.22616386985697687</v>
      </c>
      <c r="H308" s="166">
        <f t="shared" si="328"/>
        <v>0.30112979341689816</v>
      </c>
      <c r="I308" s="166">
        <f t="shared" si="328"/>
        <v>0.37609571697681937</v>
      </c>
      <c r="J308" s="166">
        <f t="shared" si="328"/>
        <v>0.45106164053674053</v>
      </c>
      <c r="K308" s="166">
        <f t="shared" si="328"/>
        <v>0.52602756409666163</v>
      </c>
      <c r="L308" s="166">
        <f t="shared" si="328"/>
        <v>0.60099348765658289</v>
      </c>
      <c r="M308" s="121"/>
      <c r="N308" s="121"/>
      <c r="O308" s="121"/>
      <c r="P308" s="121"/>
      <c r="Q308" s="121"/>
      <c r="AT308" s="154">
        <f t="shared" si="329"/>
        <v>0</v>
      </c>
      <c r="AU308" s="154">
        <f t="shared" si="329"/>
        <v>0</v>
      </c>
      <c r="AV308" s="154">
        <f t="shared" si="329"/>
        <v>1</v>
      </c>
      <c r="AW308" s="154">
        <f t="shared" si="329"/>
        <v>2</v>
      </c>
      <c r="AX308" s="154">
        <f t="shared" si="329"/>
        <v>4</v>
      </c>
      <c r="AY308" s="154">
        <f t="shared" si="329"/>
        <v>5</v>
      </c>
      <c r="AZ308" s="154">
        <f t="shared" si="329"/>
        <v>7</v>
      </c>
      <c r="BA308" s="154">
        <f t="shared" si="329"/>
        <v>9</v>
      </c>
      <c r="BB308" s="154">
        <f t="shared" si="329"/>
        <v>10</v>
      </c>
    </row>
    <row r="309" spans="1:54" ht="15" customHeight="1" x14ac:dyDescent="0.25">
      <c r="A309" s="121"/>
      <c r="B309" s="335"/>
      <c r="C309" s="179">
        <f>C308-$G$458</f>
        <v>36</v>
      </c>
      <c r="D309" s="165">
        <f t="shared" si="328"/>
        <v>5.113155559142632E-2</v>
      </c>
      <c r="E309" s="165">
        <f t="shared" si="328"/>
        <v>0.1268852159915447</v>
      </c>
      <c r="F309" s="165">
        <f t="shared" si="328"/>
        <v>0.20263887639166309</v>
      </c>
      <c r="G309" s="165">
        <f t="shared" si="328"/>
        <v>0.2783925367917815</v>
      </c>
      <c r="H309" s="165">
        <f t="shared" si="328"/>
        <v>0.35414619719189988</v>
      </c>
      <c r="I309" s="165">
        <f t="shared" si="328"/>
        <v>0.42989985759201826</v>
      </c>
      <c r="J309" s="165">
        <f t="shared" si="328"/>
        <v>0.50565351799213631</v>
      </c>
      <c r="K309" s="165">
        <f t="shared" si="328"/>
        <v>0.58140717839225498</v>
      </c>
      <c r="L309" s="165">
        <f t="shared" si="328"/>
        <v>0.65716083879237341</v>
      </c>
      <c r="M309" s="121"/>
      <c r="N309" s="121"/>
      <c r="O309" s="121"/>
      <c r="P309" s="121"/>
      <c r="Q309" s="121"/>
      <c r="AT309" s="154">
        <f t="shared" si="329"/>
        <v>0</v>
      </c>
      <c r="AU309" s="154">
        <f t="shared" si="329"/>
        <v>0</v>
      </c>
      <c r="AV309" s="154">
        <f t="shared" si="329"/>
        <v>1</v>
      </c>
      <c r="AW309" s="154">
        <f t="shared" si="329"/>
        <v>3</v>
      </c>
      <c r="AX309" s="154">
        <f t="shared" si="329"/>
        <v>4</v>
      </c>
      <c r="AY309" s="154">
        <f t="shared" si="329"/>
        <v>6</v>
      </c>
      <c r="AZ309" s="154">
        <f t="shared" si="329"/>
        <v>7</v>
      </c>
      <c r="BA309" s="154">
        <f t="shared" si="329"/>
        <v>9</v>
      </c>
      <c r="BB309" s="154">
        <f t="shared" si="329"/>
        <v>10</v>
      </c>
    </row>
    <row r="310" spans="1:54" ht="3.95" hidden="1" customHeight="1" x14ac:dyDescent="0.25">
      <c r="A310" s="121"/>
      <c r="B310" s="153" t="s">
        <v>315</v>
      </c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</row>
    <row r="311" spans="1:54" ht="3.95" customHeight="1" x14ac:dyDescent="0.25">
      <c r="A311" s="121"/>
      <c r="M311" s="121"/>
      <c r="N311" s="121"/>
      <c r="O311" s="121"/>
      <c r="P311" s="121"/>
      <c r="Q311" s="121"/>
    </row>
    <row r="312" spans="1:54" ht="15" customHeight="1" x14ac:dyDescent="0.25">
      <c r="A312" s="121"/>
      <c r="B312" s="164" t="s">
        <v>314</v>
      </c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</row>
    <row r="313" spans="1:54" ht="2.1" customHeight="1" x14ac:dyDescent="0.25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</row>
    <row r="314" spans="1:54" ht="12.75" customHeight="1" x14ac:dyDescent="0.25">
      <c r="A314" s="121"/>
      <c r="B314" s="10"/>
      <c r="C314" s="10"/>
      <c r="D314" s="163" t="s">
        <v>289</v>
      </c>
      <c r="E314" s="163"/>
      <c r="F314" s="163"/>
      <c r="G314" s="163"/>
      <c r="H314" s="163"/>
      <c r="I314" s="163"/>
      <c r="J314" s="163"/>
      <c r="K314" s="163"/>
      <c r="L314" s="163"/>
      <c r="M314" s="121"/>
      <c r="N314" s="121"/>
      <c r="O314" s="121"/>
      <c r="P314" s="121"/>
      <c r="Q314" s="121"/>
    </row>
    <row r="315" spans="1:54" ht="12.75" customHeight="1" x14ac:dyDescent="0.25">
      <c r="A315" s="121"/>
      <c r="B315" s="10"/>
      <c r="C315" s="10"/>
      <c r="D315" s="162">
        <f>E315-$G$466</f>
        <v>1</v>
      </c>
      <c r="E315" s="162">
        <f>F315-$G$466</f>
        <v>1.25</v>
      </c>
      <c r="F315" s="162">
        <f>G315-$G$466</f>
        <v>1.5</v>
      </c>
      <c r="G315" s="162">
        <f>H315-$G$466</f>
        <v>1.75</v>
      </c>
      <c r="H315" s="162">
        <f>$G$465</f>
        <v>2</v>
      </c>
      <c r="I315" s="162">
        <f>H315+$G$466</f>
        <v>2.25</v>
      </c>
      <c r="J315" s="162">
        <f>I315+$G$466</f>
        <v>2.5</v>
      </c>
      <c r="K315" s="162">
        <f>J315+$G$466</f>
        <v>2.75</v>
      </c>
      <c r="L315" s="162">
        <f>K315+$G$466</f>
        <v>3</v>
      </c>
      <c r="M315" s="121"/>
      <c r="N315" s="121"/>
      <c r="O315" s="121"/>
      <c r="P315" s="121"/>
      <c r="Q315" s="121"/>
      <c r="AT315" s="161" t="s">
        <v>288</v>
      </c>
      <c r="AU315" s="160"/>
      <c r="AV315" s="160"/>
      <c r="AW315" s="160"/>
      <c r="AX315" s="160"/>
      <c r="AY315" s="160"/>
      <c r="AZ315" s="160"/>
      <c r="BA315" s="160"/>
      <c r="BB315" s="160"/>
    </row>
    <row r="316" spans="1:54" ht="15" customHeight="1" x14ac:dyDescent="0.25">
      <c r="A316" s="121"/>
      <c r="B316" s="333" t="s">
        <v>313</v>
      </c>
      <c r="C316" s="180">
        <f>C317+$G$458</f>
        <v>60</v>
      </c>
      <c r="D316" s="157">
        <f t="shared" ref="D316:L316" si="330">D276-$AM250</f>
        <v>-1.1138100277190199E-2</v>
      </c>
      <c r="E316" s="157">
        <f t="shared" si="330"/>
        <v>1.1652239150046428E-2</v>
      </c>
      <c r="F316" s="157">
        <f t="shared" si="330"/>
        <v>3.2892394128265945E-2</v>
      </c>
      <c r="G316" s="157">
        <f t="shared" si="330"/>
        <v>5.2801153660193556E-2</v>
      </c>
      <c r="H316" s="157">
        <f t="shared" si="330"/>
        <v>7.1552741307817858E-2</v>
      </c>
      <c r="I316" s="157">
        <f t="shared" si="330"/>
        <v>8.9288304579831612E-2</v>
      </c>
      <c r="J316" s="157">
        <f t="shared" si="330"/>
        <v>0.10612389912003306</v>
      </c>
      <c r="K316" s="157">
        <f t="shared" si="330"/>
        <v>0.12215618297995556</v>
      </c>
      <c r="L316" s="157">
        <f t="shared" si="330"/>
        <v>0.13746657010251995</v>
      </c>
      <c r="M316" s="121"/>
      <c r="N316" s="121"/>
      <c r="O316" s="121"/>
      <c r="P316" s="121"/>
      <c r="Q316" s="121"/>
      <c r="AT316" s="154">
        <f t="shared" ref="AT316:BB322" si="331">IF(Z290&lt;$G$449,0,MIN($G$446,1+IFERROR(INT((Z290-$G$449)/$G$467),0)))</f>
        <v>0</v>
      </c>
      <c r="AU316" s="154">
        <f t="shared" si="331"/>
        <v>0</v>
      </c>
      <c r="AV316" s="154">
        <f t="shared" si="331"/>
        <v>0</v>
      </c>
      <c r="AW316" s="154">
        <f t="shared" si="331"/>
        <v>0</v>
      </c>
      <c r="AX316" s="154">
        <f t="shared" si="331"/>
        <v>0</v>
      </c>
      <c r="AY316" s="154">
        <f t="shared" si="331"/>
        <v>2</v>
      </c>
      <c r="AZ316" s="154">
        <f t="shared" si="331"/>
        <v>4</v>
      </c>
      <c r="BA316" s="154">
        <f t="shared" si="331"/>
        <v>7</v>
      </c>
      <c r="BB316" s="154">
        <f t="shared" si="331"/>
        <v>9</v>
      </c>
    </row>
    <row r="317" spans="1:54" ht="15" customHeight="1" x14ac:dyDescent="0.25">
      <c r="A317" s="121"/>
      <c r="B317" s="334"/>
      <c r="C317" s="180">
        <f>C318+$G$458</f>
        <v>56</v>
      </c>
      <c r="D317" s="157">
        <f t="shared" ref="D317:L317" si="332">D277-$AM251</f>
        <v>-3.0865009407348154E-3</v>
      </c>
      <c r="E317" s="157">
        <f t="shared" si="332"/>
        <v>1.9060026503453953E-2</v>
      </c>
      <c r="F317" s="157">
        <f t="shared" si="332"/>
        <v>3.9734880678802043E-2</v>
      </c>
      <c r="G317" s="157">
        <f t="shared" si="332"/>
        <v>5.9141344355382763E-2</v>
      </c>
      <c r="H317" s="157">
        <f t="shared" si="332"/>
        <v>7.7442113510935329E-2</v>
      </c>
      <c r="I317" s="157">
        <f t="shared" si="332"/>
        <v>9.4769567360532658E-2</v>
      </c>
      <c r="J317" s="157">
        <f t="shared" si="332"/>
        <v>0.11123295957658041</v>
      </c>
      <c r="K317" s="157">
        <f t="shared" si="332"/>
        <v>0.12692358072032817</v>
      </c>
      <c r="L317" s="157">
        <f t="shared" si="332"/>
        <v>0.1419185453246059</v>
      </c>
      <c r="M317" s="121"/>
      <c r="N317" s="121"/>
      <c r="O317" s="121"/>
      <c r="P317" s="121"/>
      <c r="Q317" s="121"/>
      <c r="AT317" s="154">
        <f t="shared" si="331"/>
        <v>0</v>
      </c>
      <c r="AU317" s="154">
        <f t="shared" si="331"/>
        <v>0</v>
      </c>
      <c r="AV317" s="154">
        <f t="shared" si="331"/>
        <v>0</v>
      </c>
      <c r="AW317" s="154">
        <f t="shared" si="331"/>
        <v>0</v>
      </c>
      <c r="AX317" s="154">
        <f t="shared" si="331"/>
        <v>1</v>
      </c>
      <c r="AY317" s="154">
        <f t="shared" si="331"/>
        <v>3</v>
      </c>
      <c r="AZ317" s="154">
        <f t="shared" si="331"/>
        <v>5</v>
      </c>
      <c r="BA317" s="154">
        <f t="shared" si="331"/>
        <v>7</v>
      </c>
      <c r="BB317" s="154">
        <f t="shared" si="331"/>
        <v>9</v>
      </c>
    </row>
    <row r="318" spans="1:54" ht="15" customHeight="1" x14ac:dyDescent="0.25">
      <c r="A318" s="121"/>
      <c r="B318" s="334"/>
      <c r="C318" s="180">
        <f>C319+$G$458</f>
        <v>52</v>
      </c>
      <c r="D318" s="157">
        <f t="shared" ref="D318:L318" si="333">D278-$AM252</f>
        <v>5.4033502354577934E-3</v>
      </c>
      <c r="E318" s="157">
        <f t="shared" si="333"/>
        <v>2.688889945095907E-2</v>
      </c>
      <c r="F318" s="157">
        <f t="shared" si="333"/>
        <v>4.6981712325365299E-2</v>
      </c>
      <c r="G318" s="157">
        <f t="shared" si="333"/>
        <v>6.5869798848937844E-2</v>
      </c>
      <c r="H318" s="157">
        <f t="shared" si="333"/>
        <v>8.3704425352274736E-2</v>
      </c>
      <c r="I318" s="157">
        <f t="shared" si="333"/>
        <v>0.10060922816468376</v>
      </c>
      <c r="J318" s="157">
        <f t="shared" si="333"/>
        <v>0.11668664580075783</v>
      </c>
      <c r="K318" s="157">
        <f t="shared" si="333"/>
        <v>0.13202256838791482</v>
      </c>
      <c r="L318" s="157">
        <f t="shared" si="333"/>
        <v>0.14668976881262652</v>
      </c>
      <c r="M318" s="121"/>
      <c r="N318" s="121"/>
      <c r="O318" s="121"/>
      <c r="P318" s="121"/>
      <c r="Q318" s="121"/>
      <c r="AT318" s="154">
        <f t="shared" si="331"/>
        <v>0</v>
      </c>
      <c r="AU318" s="154">
        <f t="shared" si="331"/>
        <v>0</v>
      </c>
      <c r="AV318" s="154">
        <f t="shared" si="331"/>
        <v>0</v>
      </c>
      <c r="AW318" s="154">
        <f t="shared" si="331"/>
        <v>0</v>
      </c>
      <c r="AX318" s="154">
        <f t="shared" si="331"/>
        <v>2</v>
      </c>
      <c r="AY318" s="154">
        <f t="shared" si="331"/>
        <v>4</v>
      </c>
      <c r="AZ318" s="154">
        <f t="shared" si="331"/>
        <v>5</v>
      </c>
      <c r="BA318" s="154">
        <f t="shared" si="331"/>
        <v>7</v>
      </c>
      <c r="BB318" s="154">
        <f t="shared" si="331"/>
        <v>9</v>
      </c>
    </row>
    <row r="319" spans="1:54" ht="15" customHeight="1" x14ac:dyDescent="0.25">
      <c r="A319" s="121"/>
      <c r="B319" s="334"/>
      <c r="C319" s="180">
        <f>$G$457</f>
        <v>48</v>
      </c>
      <c r="D319" s="157">
        <f t="shared" ref="D319:L319" si="334">D279-$AM253</f>
        <v>1.4377339561529201E-2</v>
      </c>
      <c r="E319" s="157">
        <f t="shared" si="334"/>
        <v>3.5183923320989186E-2</v>
      </c>
      <c r="F319" s="157">
        <f t="shared" si="334"/>
        <v>5.4677056592764561E-2</v>
      </c>
      <c r="G319" s="157">
        <f t="shared" si="334"/>
        <v>7.3029743609851261E-2</v>
      </c>
      <c r="H319" s="159">
        <f t="shared" si="334"/>
        <v>9.0381942850864316E-2</v>
      </c>
      <c r="I319" s="157">
        <f t="shared" si="334"/>
        <v>0.10684858967835398</v>
      </c>
      <c r="J319" s="157">
        <f t="shared" si="334"/>
        <v>0.12252530561560881</v>
      </c>
      <c r="K319" s="157">
        <f t="shared" si="334"/>
        <v>0.13749255495352242</v>
      </c>
      <c r="L319" s="157">
        <f t="shared" si="334"/>
        <v>0.15181873160905801</v>
      </c>
      <c r="M319" s="121"/>
      <c r="N319" s="121"/>
      <c r="O319" s="121"/>
      <c r="P319" s="121"/>
      <c r="Q319" s="121"/>
      <c r="AT319" s="154">
        <f t="shared" si="331"/>
        <v>0</v>
      </c>
      <c r="AU319" s="154">
        <f t="shared" si="331"/>
        <v>0</v>
      </c>
      <c r="AV319" s="154">
        <f t="shared" si="331"/>
        <v>0</v>
      </c>
      <c r="AW319" s="154">
        <f t="shared" si="331"/>
        <v>1</v>
      </c>
      <c r="AX319" s="154">
        <f t="shared" si="331"/>
        <v>2</v>
      </c>
      <c r="AY319" s="154">
        <f t="shared" si="331"/>
        <v>4</v>
      </c>
      <c r="AZ319" s="154">
        <f t="shared" si="331"/>
        <v>6</v>
      </c>
      <c r="BA319" s="154">
        <f t="shared" si="331"/>
        <v>8</v>
      </c>
      <c r="BB319" s="154">
        <f t="shared" si="331"/>
        <v>10</v>
      </c>
    </row>
    <row r="320" spans="1:54" ht="15" customHeight="1" x14ac:dyDescent="0.25">
      <c r="A320" s="121"/>
      <c r="B320" s="334"/>
      <c r="C320" s="180">
        <f>C319-$G$458</f>
        <v>44</v>
      </c>
      <c r="D320" s="157">
        <f t="shared" ref="D320:L320" si="335">D280-$AM254</f>
        <v>2.3888830372370551E-2</v>
      </c>
      <c r="E320" s="157">
        <f t="shared" si="335"/>
        <v>4.3997584477740714E-2</v>
      </c>
      <c r="F320" s="157">
        <f t="shared" si="335"/>
        <v>6.2872433114378845E-2</v>
      </c>
      <c r="G320" s="157">
        <f t="shared" si="335"/>
        <v>8.0671678081349896E-2</v>
      </c>
      <c r="H320" s="157">
        <f t="shared" si="335"/>
        <v>9.7524118150498218E-2</v>
      </c>
      <c r="I320" s="157">
        <f t="shared" si="335"/>
        <v>0.11353604837786335</v>
      </c>
      <c r="J320" s="157">
        <f t="shared" si="335"/>
        <v>0.1287962845231676</v>
      </c>
      <c r="K320" s="157">
        <f t="shared" si="335"/>
        <v>0.14337984859229791</v>
      </c>
      <c r="L320" s="157">
        <f t="shared" si="335"/>
        <v>0.15735072424335939</v>
      </c>
      <c r="M320" s="121"/>
      <c r="N320" s="121"/>
      <c r="O320" s="121"/>
      <c r="P320" s="121"/>
      <c r="Q320" s="121"/>
      <c r="AT320" s="154">
        <f t="shared" si="331"/>
        <v>0</v>
      </c>
      <c r="AU320" s="154">
        <f t="shared" si="331"/>
        <v>0</v>
      </c>
      <c r="AV320" s="154">
        <f t="shared" si="331"/>
        <v>0</v>
      </c>
      <c r="AW320" s="154">
        <f t="shared" si="331"/>
        <v>1</v>
      </c>
      <c r="AX320" s="154">
        <f t="shared" si="331"/>
        <v>3</v>
      </c>
      <c r="AY320" s="154">
        <f t="shared" si="331"/>
        <v>5</v>
      </c>
      <c r="AZ320" s="154">
        <f t="shared" si="331"/>
        <v>6</v>
      </c>
      <c r="BA320" s="154">
        <f t="shared" si="331"/>
        <v>8</v>
      </c>
      <c r="BB320" s="154">
        <f t="shared" si="331"/>
        <v>10</v>
      </c>
    </row>
    <row r="321" spans="1:54" ht="15" customHeight="1" x14ac:dyDescent="0.25">
      <c r="A321" s="121"/>
      <c r="B321" s="334"/>
      <c r="C321" s="180">
        <f>C320-$G$458</f>
        <v>40</v>
      </c>
      <c r="D321" s="157">
        <f t="shared" ref="D321:L321" si="336">D281-$AM255</f>
        <v>3.4000387975288371E-2</v>
      </c>
      <c r="E321" s="157">
        <f t="shared" si="336"/>
        <v>5.3391510288841371E-2</v>
      </c>
      <c r="F321" s="157">
        <f t="shared" si="336"/>
        <v>7.1628426679807511E-2</v>
      </c>
      <c r="G321" s="157">
        <f t="shared" si="336"/>
        <v>8.8855079003540505E-2</v>
      </c>
      <c r="H321" s="157">
        <f t="shared" si="336"/>
        <v>0.10518928356686219</v>
      </c>
      <c r="I321" s="157">
        <f t="shared" si="336"/>
        <v>0.12072877691247874</v>
      </c>
      <c r="J321" s="157">
        <f t="shared" si="336"/>
        <v>0.13555559526948624</v>
      </c>
      <c r="K321" s="157">
        <f t="shared" si="336"/>
        <v>0.14973931258247419</v>
      </c>
      <c r="L321" s="157">
        <f t="shared" si="336"/>
        <v>0.16333947827048578</v>
      </c>
      <c r="M321" s="121"/>
      <c r="N321" s="121"/>
      <c r="O321" s="121"/>
      <c r="P321" s="121"/>
      <c r="Q321" s="121"/>
      <c r="AT321" s="154">
        <f t="shared" si="331"/>
        <v>0</v>
      </c>
      <c r="AU321" s="154">
        <f t="shared" si="331"/>
        <v>0</v>
      </c>
      <c r="AV321" s="154">
        <f t="shared" si="331"/>
        <v>1</v>
      </c>
      <c r="AW321" s="154">
        <f t="shared" si="331"/>
        <v>2</v>
      </c>
      <c r="AX321" s="154">
        <f t="shared" si="331"/>
        <v>4</v>
      </c>
      <c r="AY321" s="154">
        <f t="shared" si="331"/>
        <v>5</v>
      </c>
      <c r="AZ321" s="154">
        <f t="shared" si="331"/>
        <v>7</v>
      </c>
      <c r="BA321" s="154">
        <f t="shared" si="331"/>
        <v>9</v>
      </c>
      <c r="BB321" s="154">
        <f t="shared" si="331"/>
        <v>10</v>
      </c>
    </row>
    <row r="322" spans="1:54" ht="15" customHeight="1" x14ac:dyDescent="0.25">
      <c r="A322" s="121"/>
      <c r="B322" s="335"/>
      <c r="C322" s="179">
        <f>C321-$G$458</f>
        <v>36</v>
      </c>
      <c r="D322" s="155">
        <f t="shared" ref="D322:L322" si="337">D282-$AM256</f>
        <v>4.4786037049407534E-2</v>
      </c>
      <c r="E322" s="155">
        <f t="shared" si="337"/>
        <v>6.3438720995098619E-2</v>
      </c>
      <c r="F322" s="155">
        <f t="shared" si="337"/>
        <v>8.101693132056309E-2</v>
      </c>
      <c r="G322" s="155">
        <f t="shared" si="337"/>
        <v>9.7650634574971917E-2</v>
      </c>
      <c r="H322" s="155">
        <f t="shared" si="337"/>
        <v>0.11344687388997543</v>
      </c>
      <c r="I322" s="155">
        <f t="shared" si="337"/>
        <v>0.1284949328385403</v>
      </c>
      <c r="J322" s="155">
        <f t="shared" si="337"/>
        <v>0.14287011173413888</v>
      </c>
      <c r="K322" s="155">
        <f t="shared" si="337"/>
        <v>0.1566365431554031</v>
      </c>
      <c r="L322" s="155">
        <f t="shared" si="337"/>
        <v>0.16984932715873358</v>
      </c>
      <c r="M322" s="121"/>
      <c r="N322" s="121"/>
      <c r="O322" s="121"/>
      <c r="P322" s="121"/>
      <c r="Q322" s="121"/>
      <c r="AT322" s="154">
        <f t="shared" si="331"/>
        <v>0</v>
      </c>
      <c r="AU322" s="154">
        <f t="shared" si="331"/>
        <v>0</v>
      </c>
      <c r="AV322" s="154">
        <f t="shared" si="331"/>
        <v>1</v>
      </c>
      <c r="AW322" s="154">
        <f t="shared" si="331"/>
        <v>3</v>
      </c>
      <c r="AX322" s="154">
        <f t="shared" si="331"/>
        <v>4</v>
      </c>
      <c r="AY322" s="154">
        <f t="shared" si="331"/>
        <v>6</v>
      </c>
      <c r="AZ322" s="154">
        <f t="shared" si="331"/>
        <v>7</v>
      </c>
      <c r="BA322" s="154">
        <f t="shared" si="331"/>
        <v>9</v>
      </c>
      <c r="BB322" s="154">
        <f t="shared" si="331"/>
        <v>10</v>
      </c>
    </row>
    <row r="323" spans="1:54" ht="3.95" hidden="1" customHeight="1" x14ac:dyDescent="0.25">
      <c r="A323" s="121"/>
      <c r="B323" s="153" t="s">
        <v>312</v>
      </c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</row>
    <row r="324" spans="1:54" ht="3.95" customHeight="1" x14ac:dyDescent="0.25">
      <c r="A324" s="121"/>
      <c r="M324" s="121"/>
    </row>
    <row r="325" spans="1:54" ht="15" customHeight="1" x14ac:dyDescent="0.25">
      <c r="A325" s="121"/>
      <c r="B325" s="178" t="str">
        <f>"Ben's Return Profile Based on Partnering — Keystone Multiple × Topkey Growth ("&amp;TEXT($G$436,"0%")&amp;" Rollover)"</f>
        <v>Ben's Return Profile Based on Partnering — Keystone Multiple × Topkey Growth (30% Rollover)</v>
      </c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21"/>
      <c r="N325" s="121"/>
      <c r="O325" s="121"/>
      <c r="P325" s="121"/>
      <c r="Q325" s="121"/>
    </row>
    <row r="326" spans="1:54" ht="15" customHeight="1" x14ac:dyDescent="0.25">
      <c r="A326" s="121"/>
      <c r="B326" s="164" t="s">
        <v>311</v>
      </c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</row>
    <row r="327" spans="1:54" ht="2.1" customHeight="1" x14ac:dyDescent="0.25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</row>
    <row r="328" spans="1:54" ht="12.75" customHeight="1" x14ac:dyDescent="0.25">
      <c r="A328" s="121"/>
      <c r="B328" s="10"/>
      <c r="C328" s="10"/>
      <c r="D328" s="163" t="s">
        <v>289</v>
      </c>
      <c r="E328" s="163"/>
      <c r="F328" s="163"/>
      <c r="G328" s="163"/>
      <c r="H328" s="163"/>
      <c r="I328" s="163"/>
      <c r="J328" s="163"/>
      <c r="K328" s="163"/>
      <c r="L328" s="163"/>
      <c r="M328" s="121"/>
      <c r="N328" s="121"/>
      <c r="O328" s="121"/>
      <c r="P328" s="121"/>
      <c r="Q328" s="121"/>
      <c r="Z328" s="171" t="str">
        <f>"Helper: Unrounded Net Return — Multiple × Topkey Growth ("&amp;TEXT($G$436,"0%")&amp;" Rollover)"</f>
        <v>Helper: Unrounded Net Return — Multiple × Topkey Growth (30% Rollover)</v>
      </c>
      <c r="AA328" s="58"/>
      <c r="AB328" s="58"/>
      <c r="AC328" s="58"/>
      <c r="AD328" s="58"/>
      <c r="AE328" s="58"/>
      <c r="AF328" s="58"/>
      <c r="AG328" s="58"/>
      <c r="AH328" s="58"/>
      <c r="AJ328" s="176" t="s">
        <v>310</v>
      </c>
      <c r="AK328" s="176" t="s">
        <v>309</v>
      </c>
      <c r="AL328" s="176" t="s">
        <v>308</v>
      </c>
      <c r="AM328" s="176" t="s">
        <v>307</v>
      </c>
    </row>
    <row r="329" spans="1:54" ht="12.75" customHeight="1" x14ac:dyDescent="0.25">
      <c r="A329" s="121"/>
      <c r="B329" s="10"/>
      <c r="C329" s="10"/>
      <c r="D329" s="162">
        <f>E329-$G$466</f>
        <v>1</v>
      </c>
      <c r="E329" s="162">
        <f>F329-$G$466</f>
        <v>1.25</v>
      </c>
      <c r="F329" s="162">
        <f>G329-$G$466</f>
        <v>1.5</v>
      </c>
      <c r="G329" s="162">
        <f>H329-$G$466</f>
        <v>1.75</v>
      </c>
      <c r="H329" s="162">
        <f>$G$465</f>
        <v>2</v>
      </c>
      <c r="I329" s="162">
        <f>H329+$G$466</f>
        <v>2.25</v>
      </c>
      <c r="J329" s="162">
        <f>I329+$G$466</f>
        <v>2.5</v>
      </c>
      <c r="K329" s="162">
        <f>J329+$G$466</f>
        <v>2.75</v>
      </c>
      <c r="L329" s="162">
        <f>K329+$G$466</f>
        <v>3</v>
      </c>
      <c r="M329" s="121"/>
      <c r="N329" s="121"/>
      <c r="O329" s="121"/>
      <c r="P329" s="121"/>
      <c r="Q329" s="121"/>
      <c r="Z329" s="170">
        <f t="shared" ref="Z329:AH329" si="338">D$329</f>
        <v>1</v>
      </c>
      <c r="AA329" s="170">
        <f t="shared" si="338"/>
        <v>1.25</v>
      </c>
      <c r="AB329" s="170">
        <f t="shared" si="338"/>
        <v>1.5</v>
      </c>
      <c r="AC329" s="170">
        <f t="shared" si="338"/>
        <v>1.75</v>
      </c>
      <c r="AD329" s="170">
        <f t="shared" si="338"/>
        <v>2</v>
      </c>
      <c r="AE329" s="170">
        <f t="shared" si="338"/>
        <v>2.25</v>
      </c>
      <c r="AF329" s="170">
        <f t="shared" si="338"/>
        <v>2.5</v>
      </c>
      <c r="AG329" s="170">
        <f t="shared" si="338"/>
        <v>2.75</v>
      </c>
      <c r="AH329" s="170">
        <f t="shared" si="338"/>
        <v>3</v>
      </c>
      <c r="AJ329" s="58"/>
      <c r="AK329" s="58"/>
      <c r="AL329" s="58"/>
      <c r="AM329" s="58"/>
      <c r="AT329" s="161" t="s">
        <v>288</v>
      </c>
      <c r="AU329" s="160"/>
      <c r="AV329" s="160"/>
      <c r="AW329" s="160"/>
      <c r="AX329" s="160"/>
      <c r="AY329" s="160"/>
      <c r="AZ329" s="160"/>
      <c r="BA329" s="160"/>
      <c r="BB329" s="160"/>
    </row>
    <row r="330" spans="1:54" ht="15" customHeight="1" x14ac:dyDescent="0.25">
      <c r="A330" s="121"/>
      <c r="B330" s="333" t="s">
        <v>287</v>
      </c>
      <c r="C330" s="158">
        <f>C331-$G$441</f>
        <v>1.2719039595619215</v>
      </c>
      <c r="D330" s="152">
        <f t="shared" ref="D330:L336" si="339">ROUND(Z330,$G$452)</f>
        <v>2900</v>
      </c>
      <c r="E330" s="152">
        <f t="shared" si="339"/>
        <v>3400</v>
      </c>
      <c r="F330" s="152">
        <f t="shared" si="339"/>
        <v>4000</v>
      </c>
      <c r="G330" s="152">
        <f t="shared" si="339"/>
        <v>4500</v>
      </c>
      <c r="H330" s="152">
        <f t="shared" si="339"/>
        <v>5100</v>
      </c>
      <c r="I330" s="152">
        <f t="shared" si="339"/>
        <v>5600</v>
      </c>
      <c r="J330" s="152">
        <f t="shared" si="339"/>
        <v>6200</v>
      </c>
      <c r="K330" s="152">
        <f t="shared" si="339"/>
        <v>6700</v>
      </c>
      <c r="L330" s="152">
        <f t="shared" si="339"/>
        <v>7300</v>
      </c>
      <c r="M330" s="121"/>
      <c r="N330" s="121"/>
      <c r="O330" s="121"/>
      <c r="P330" s="121"/>
      <c r="Q330" s="121"/>
      <c r="Z330" s="57">
        <f t="shared" ref="Z330:AH336" si="340">$O$18+$G$435+$N$18*$AK330*Z$329+$R$18*($Q$18*(1+$C330)+$AK330*Z$329*(1-$N$18))-$G$430</f>
        <v>2879.3124121853707</v>
      </c>
      <c r="AA330" s="57">
        <f t="shared" si="340"/>
        <v>3430.9909780063263</v>
      </c>
      <c r="AB330" s="57">
        <f t="shared" si="340"/>
        <v>3982.6695438272836</v>
      </c>
      <c r="AC330" s="57">
        <f t="shared" si="340"/>
        <v>4534.3481096482392</v>
      </c>
      <c r="AD330" s="57">
        <f t="shared" si="340"/>
        <v>5086.0266754691947</v>
      </c>
      <c r="AE330" s="57">
        <f t="shared" si="340"/>
        <v>5637.7052412901521</v>
      </c>
      <c r="AF330" s="57">
        <f t="shared" si="340"/>
        <v>6189.3838071111077</v>
      </c>
      <c r="AG330" s="57">
        <f t="shared" si="340"/>
        <v>6741.0623729320632</v>
      </c>
      <c r="AH330" s="57">
        <f t="shared" si="340"/>
        <v>7292.7409387530206</v>
      </c>
      <c r="AJ330" s="57">
        <f t="shared" ref="AJ330:AJ336" si="341">$G$456</f>
        <v>48</v>
      </c>
      <c r="AK330" s="57">
        <f t="shared" ref="AK330:AK336" si="342">$G$453+AJ330*$G$445*$G$454</f>
        <v>6990.0945386440726</v>
      </c>
      <c r="AL330" s="57">
        <f t="shared" ref="AL330:AL336" si="343">($G$453+(AJ330-$G$459)*$G$445*$G$460)*$G$461*$G$462</f>
        <v>7490.2576987288176</v>
      </c>
      <c r="AM330" s="175">
        <f t="shared" ref="AM330:AM336" si="344">IFERROR((AL330/$G$430)^(1/$G$445)-1,0)</f>
        <v>0.20081222595661186</v>
      </c>
      <c r="AT330" s="154">
        <f t="shared" ref="AT330:BB336" si="345">IF(Z370&lt;$G$449,0,MIN($G$446,1+IFERROR(INT((Z370-$G$449)/$G$468),0)))</f>
        <v>0</v>
      </c>
      <c r="AU330" s="154">
        <f t="shared" si="345"/>
        <v>0</v>
      </c>
      <c r="AV330" s="154">
        <f t="shared" si="345"/>
        <v>0</v>
      </c>
      <c r="AW330" s="154">
        <f t="shared" si="345"/>
        <v>0</v>
      </c>
      <c r="AX330" s="154">
        <f t="shared" si="345"/>
        <v>0</v>
      </c>
      <c r="AY330" s="154">
        <f t="shared" si="345"/>
        <v>1</v>
      </c>
      <c r="AZ330" s="154">
        <f t="shared" si="345"/>
        <v>2</v>
      </c>
      <c r="BA330" s="154">
        <f t="shared" si="345"/>
        <v>4</v>
      </c>
      <c r="BB330" s="154">
        <f t="shared" si="345"/>
        <v>5</v>
      </c>
    </row>
    <row r="331" spans="1:54" ht="15" customHeight="1" x14ac:dyDescent="0.25">
      <c r="A331" s="121"/>
      <c r="B331" s="334"/>
      <c r="C331" s="158">
        <f>C332-$G$441</f>
        <v>1.5219039595619215</v>
      </c>
      <c r="D331" s="168">
        <f t="shared" si="339"/>
        <v>3200</v>
      </c>
      <c r="E331" s="168">
        <f t="shared" si="339"/>
        <v>3800</v>
      </c>
      <c r="F331" s="168">
        <f t="shared" si="339"/>
        <v>4300</v>
      </c>
      <c r="G331" s="168">
        <f t="shared" si="339"/>
        <v>4900</v>
      </c>
      <c r="H331" s="168">
        <f t="shared" si="339"/>
        <v>5400</v>
      </c>
      <c r="I331" s="168">
        <f t="shared" si="339"/>
        <v>6000</v>
      </c>
      <c r="J331" s="168">
        <f t="shared" si="339"/>
        <v>6500</v>
      </c>
      <c r="K331" s="168">
        <f t="shared" si="339"/>
        <v>7100</v>
      </c>
      <c r="L331" s="168">
        <f t="shared" si="339"/>
        <v>7600</v>
      </c>
      <c r="M331" s="121"/>
      <c r="N331" s="121"/>
      <c r="O331" s="121"/>
      <c r="P331" s="121"/>
      <c r="Q331" s="121"/>
      <c r="Z331" s="57">
        <f t="shared" si="340"/>
        <v>3211.9186977834179</v>
      </c>
      <c r="AA331" s="57">
        <f t="shared" si="340"/>
        <v>3763.5972636043734</v>
      </c>
      <c r="AB331" s="57">
        <f t="shared" si="340"/>
        <v>4315.2758294253308</v>
      </c>
      <c r="AC331" s="57">
        <f t="shared" si="340"/>
        <v>4866.9543952462864</v>
      </c>
      <c r="AD331" s="57">
        <f t="shared" si="340"/>
        <v>5418.6329610672419</v>
      </c>
      <c r="AE331" s="57">
        <f t="shared" si="340"/>
        <v>5970.3115268881993</v>
      </c>
      <c r="AF331" s="57">
        <f t="shared" si="340"/>
        <v>6521.9900927091549</v>
      </c>
      <c r="AG331" s="57">
        <f t="shared" si="340"/>
        <v>7073.6686585301104</v>
      </c>
      <c r="AH331" s="57">
        <f t="shared" si="340"/>
        <v>7625.347224351066</v>
      </c>
      <c r="AJ331" s="57">
        <f t="shared" si="341"/>
        <v>48</v>
      </c>
      <c r="AK331" s="57">
        <f t="shared" si="342"/>
        <v>6990.0945386440726</v>
      </c>
      <c r="AL331" s="57">
        <f t="shared" si="343"/>
        <v>7490.2576987288176</v>
      </c>
      <c r="AM331" s="175">
        <f t="shared" si="344"/>
        <v>0.20081222595661186</v>
      </c>
      <c r="AT331" s="154">
        <f t="shared" si="345"/>
        <v>0</v>
      </c>
      <c r="AU331" s="154">
        <f t="shared" si="345"/>
        <v>0</v>
      </c>
      <c r="AV331" s="154">
        <f t="shared" si="345"/>
        <v>0</v>
      </c>
      <c r="AW331" s="154">
        <f t="shared" si="345"/>
        <v>0</v>
      </c>
      <c r="AX331" s="154">
        <f t="shared" si="345"/>
        <v>0</v>
      </c>
      <c r="AY331" s="154">
        <f t="shared" si="345"/>
        <v>2</v>
      </c>
      <c r="AZ331" s="154">
        <f t="shared" si="345"/>
        <v>3</v>
      </c>
      <c r="BA331" s="154">
        <f t="shared" si="345"/>
        <v>5</v>
      </c>
      <c r="BB331" s="154">
        <f t="shared" si="345"/>
        <v>6</v>
      </c>
    </row>
    <row r="332" spans="1:54" ht="15" customHeight="1" x14ac:dyDescent="0.25">
      <c r="A332" s="121"/>
      <c r="B332" s="334"/>
      <c r="C332" s="158">
        <f>C333-$G$441</f>
        <v>1.7719039595619215</v>
      </c>
      <c r="D332" s="168">
        <f t="shared" si="339"/>
        <v>3500</v>
      </c>
      <c r="E332" s="168">
        <f t="shared" si="339"/>
        <v>4100</v>
      </c>
      <c r="F332" s="168">
        <f t="shared" si="339"/>
        <v>4600</v>
      </c>
      <c r="G332" s="168">
        <f t="shared" si="339"/>
        <v>5200</v>
      </c>
      <c r="H332" s="168">
        <f t="shared" si="339"/>
        <v>5800</v>
      </c>
      <c r="I332" s="168">
        <f t="shared" si="339"/>
        <v>6300</v>
      </c>
      <c r="J332" s="168">
        <f t="shared" si="339"/>
        <v>6900</v>
      </c>
      <c r="K332" s="168">
        <f t="shared" si="339"/>
        <v>7400</v>
      </c>
      <c r="L332" s="168">
        <f t="shared" si="339"/>
        <v>8000</v>
      </c>
      <c r="M332" s="121"/>
      <c r="N332" s="121"/>
      <c r="O332" s="121"/>
      <c r="P332" s="121"/>
      <c r="Q332" s="121"/>
      <c r="Z332" s="57">
        <f t="shared" si="340"/>
        <v>3544.5249833814651</v>
      </c>
      <c r="AA332" s="57">
        <f t="shared" si="340"/>
        <v>4096.2035492024206</v>
      </c>
      <c r="AB332" s="57">
        <f t="shared" si="340"/>
        <v>4647.882115023378</v>
      </c>
      <c r="AC332" s="57">
        <f t="shared" si="340"/>
        <v>5199.5606808443335</v>
      </c>
      <c r="AD332" s="57">
        <f t="shared" si="340"/>
        <v>5751.2392466652891</v>
      </c>
      <c r="AE332" s="57">
        <f t="shared" si="340"/>
        <v>6302.9178124862465</v>
      </c>
      <c r="AF332" s="57">
        <f t="shared" si="340"/>
        <v>6854.596378307202</v>
      </c>
      <c r="AG332" s="57">
        <f t="shared" si="340"/>
        <v>7406.2749441281576</v>
      </c>
      <c r="AH332" s="57">
        <f t="shared" si="340"/>
        <v>7957.953509949115</v>
      </c>
      <c r="AJ332" s="57">
        <f t="shared" si="341"/>
        <v>48</v>
      </c>
      <c r="AK332" s="57">
        <f t="shared" si="342"/>
        <v>6990.0945386440726</v>
      </c>
      <c r="AL332" s="57">
        <f t="shared" si="343"/>
        <v>7490.2576987288176</v>
      </c>
      <c r="AM332" s="175">
        <f t="shared" si="344"/>
        <v>0.20081222595661186</v>
      </c>
      <c r="AT332" s="154">
        <f t="shared" si="345"/>
        <v>0</v>
      </c>
      <c r="AU332" s="154">
        <f t="shared" si="345"/>
        <v>0</v>
      </c>
      <c r="AV332" s="154">
        <f t="shared" si="345"/>
        <v>0</v>
      </c>
      <c r="AW332" s="154">
        <f t="shared" si="345"/>
        <v>0</v>
      </c>
      <c r="AX332" s="154">
        <f t="shared" si="345"/>
        <v>1</v>
      </c>
      <c r="AY332" s="154">
        <f t="shared" si="345"/>
        <v>3</v>
      </c>
      <c r="AZ332" s="154">
        <f t="shared" si="345"/>
        <v>4</v>
      </c>
      <c r="BA332" s="154">
        <f t="shared" si="345"/>
        <v>6</v>
      </c>
      <c r="BB332" s="154">
        <f t="shared" si="345"/>
        <v>7</v>
      </c>
    </row>
    <row r="333" spans="1:54" ht="15" customHeight="1" x14ac:dyDescent="0.25">
      <c r="A333" s="121"/>
      <c r="B333" s="334"/>
      <c r="C333" s="158">
        <f>$G$440</f>
        <v>2.0219039595619215</v>
      </c>
      <c r="D333" s="168">
        <f t="shared" si="339"/>
        <v>3900</v>
      </c>
      <c r="E333" s="168">
        <f t="shared" si="339"/>
        <v>4400</v>
      </c>
      <c r="F333" s="168">
        <f t="shared" si="339"/>
        <v>5000</v>
      </c>
      <c r="G333" s="168">
        <f t="shared" si="339"/>
        <v>5500</v>
      </c>
      <c r="H333" s="169">
        <f t="shared" si="339"/>
        <v>6100</v>
      </c>
      <c r="I333" s="168">
        <f t="shared" si="339"/>
        <v>6600</v>
      </c>
      <c r="J333" s="168">
        <f t="shared" si="339"/>
        <v>7200</v>
      </c>
      <c r="K333" s="168">
        <f t="shared" si="339"/>
        <v>7700</v>
      </c>
      <c r="L333" s="168">
        <f t="shared" si="339"/>
        <v>8300</v>
      </c>
      <c r="M333" s="121"/>
      <c r="N333" s="121"/>
      <c r="O333" s="121"/>
      <c r="P333" s="121"/>
      <c r="Q333" s="121"/>
      <c r="Z333" s="57">
        <f t="shared" si="340"/>
        <v>3877.1312689795122</v>
      </c>
      <c r="AA333" s="57">
        <f t="shared" si="340"/>
        <v>4428.8098348004687</v>
      </c>
      <c r="AB333" s="57">
        <f t="shared" si="340"/>
        <v>4980.4884006214243</v>
      </c>
      <c r="AC333" s="57">
        <f t="shared" si="340"/>
        <v>5532.1669664423807</v>
      </c>
      <c r="AD333" s="57">
        <f t="shared" si="340"/>
        <v>6083.8455322633381</v>
      </c>
      <c r="AE333" s="57">
        <f t="shared" si="340"/>
        <v>6635.5240980842937</v>
      </c>
      <c r="AF333" s="57">
        <f t="shared" si="340"/>
        <v>7187.2026639052492</v>
      </c>
      <c r="AG333" s="57">
        <f t="shared" si="340"/>
        <v>7738.8812297262048</v>
      </c>
      <c r="AH333" s="57">
        <f t="shared" si="340"/>
        <v>8290.5597955471603</v>
      </c>
      <c r="AJ333" s="57">
        <f t="shared" si="341"/>
        <v>48</v>
      </c>
      <c r="AK333" s="57">
        <f t="shared" si="342"/>
        <v>6990.0945386440726</v>
      </c>
      <c r="AL333" s="57">
        <f t="shared" si="343"/>
        <v>7490.2576987288176</v>
      </c>
      <c r="AM333" s="175">
        <f t="shared" si="344"/>
        <v>0.20081222595661186</v>
      </c>
      <c r="AT333" s="154">
        <f t="shared" si="345"/>
        <v>0</v>
      </c>
      <c r="AU333" s="154">
        <f t="shared" si="345"/>
        <v>0</v>
      </c>
      <c r="AV333" s="154">
        <f t="shared" si="345"/>
        <v>0</v>
      </c>
      <c r="AW333" s="154">
        <f t="shared" si="345"/>
        <v>1</v>
      </c>
      <c r="AX333" s="154">
        <f t="shared" si="345"/>
        <v>2</v>
      </c>
      <c r="AY333" s="154">
        <f t="shared" si="345"/>
        <v>4</v>
      </c>
      <c r="AZ333" s="154">
        <f t="shared" si="345"/>
        <v>5</v>
      </c>
      <c r="BA333" s="154">
        <f t="shared" si="345"/>
        <v>6</v>
      </c>
      <c r="BB333" s="154">
        <f t="shared" si="345"/>
        <v>8</v>
      </c>
    </row>
    <row r="334" spans="1:54" ht="15" customHeight="1" x14ac:dyDescent="0.25">
      <c r="A334" s="121"/>
      <c r="B334" s="334"/>
      <c r="C334" s="158">
        <f>C333+$G$441</f>
        <v>2.2719039595619215</v>
      </c>
      <c r="D334" s="168">
        <f t="shared" si="339"/>
        <v>4200</v>
      </c>
      <c r="E334" s="168">
        <f t="shared" si="339"/>
        <v>4800</v>
      </c>
      <c r="F334" s="168">
        <f t="shared" si="339"/>
        <v>5300</v>
      </c>
      <c r="G334" s="168">
        <f t="shared" si="339"/>
        <v>5900</v>
      </c>
      <c r="H334" s="168">
        <f t="shared" si="339"/>
        <v>6400</v>
      </c>
      <c r="I334" s="168">
        <f t="shared" si="339"/>
        <v>7000</v>
      </c>
      <c r="J334" s="168">
        <f t="shared" si="339"/>
        <v>7500</v>
      </c>
      <c r="K334" s="168">
        <f t="shared" si="339"/>
        <v>8100</v>
      </c>
      <c r="L334" s="168">
        <f t="shared" si="339"/>
        <v>8600</v>
      </c>
      <c r="M334" s="121"/>
      <c r="N334" s="121"/>
      <c r="O334" s="121"/>
      <c r="P334" s="121"/>
      <c r="Q334" s="121"/>
      <c r="Z334" s="57">
        <f t="shared" si="340"/>
        <v>4209.7375545775594</v>
      </c>
      <c r="AA334" s="57">
        <f t="shared" si="340"/>
        <v>4761.4161203985159</v>
      </c>
      <c r="AB334" s="57">
        <f t="shared" si="340"/>
        <v>5313.0946862194724</v>
      </c>
      <c r="AC334" s="57">
        <f t="shared" si="340"/>
        <v>5864.7732520404279</v>
      </c>
      <c r="AD334" s="57">
        <f t="shared" si="340"/>
        <v>6416.4518178613835</v>
      </c>
      <c r="AE334" s="57">
        <f t="shared" si="340"/>
        <v>6968.130383682339</v>
      </c>
      <c r="AF334" s="57">
        <f t="shared" si="340"/>
        <v>7519.8089495032964</v>
      </c>
      <c r="AG334" s="57">
        <f t="shared" si="340"/>
        <v>8071.4875153242519</v>
      </c>
      <c r="AH334" s="57">
        <f t="shared" si="340"/>
        <v>8623.1660811452093</v>
      </c>
      <c r="AJ334" s="57">
        <f t="shared" si="341"/>
        <v>48</v>
      </c>
      <c r="AK334" s="57">
        <f t="shared" si="342"/>
        <v>6990.0945386440726</v>
      </c>
      <c r="AL334" s="57">
        <f t="shared" si="343"/>
        <v>7490.2576987288176</v>
      </c>
      <c r="AM334" s="175">
        <f t="shared" si="344"/>
        <v>0.20081222595661186</v>
      </c>
      <c r="AT334" s="154">
        <f t="shared" si="345"/>
        <v>0</v>
      </c>
      <c r="AU334" s="154">
        <f t="shared" si="345"/>
        <v>0</v>
      </c>
      <c r="AV334" s="154">
        <f t="shared" si="345"/>
        <v>0</v>
      </c>
      <c r="AW334" s="154">
        <f t="shared" si="345"/>
        <v>1</v>
      </c>
      <c r="AX334" s="154">
        <f t="shared" si="345"/>
        <v>3</v>
      </c>
      <c r="AY334" s="154">
        <f t="shared" si="345"/>
        <v>4</v>
      </c>
      <c r="AZ334" s="154">
        <f t="shared" si="345"/>
        <v>6</v>
      </c>
      <c r="BA334" s="154">
        <f t="shared" si="345"/>
        <v>7</v>
      </c>
      <c r="BB334" s="154">
        <f t="shared" si="345"/>
        <v>9</v>
      </c>
    </row>
    <row r="335" spans="1:54" ht="15" customHeight="1" x14ac:dyDescent="0.25">
      <c r="A335" s="121"/>
      <c r="B335" s="334"/>
      <c r="C335" s="158">
        <f>C334+$G$441</f>
        <v>2.5219039595619215</v>
      </c>
      <c r="D335" s="168">
        <f t="shared" si="339"/>
        <v>4500</v>
      </c>
      <c r="E335" s="168">
        <f t="shared" si="339"/>
        <v>5100</v>
      </c>
      <c r="F335" s="168">
        <f t="shared" si="339"/>
        <v>5600</v>
      </c>
      <c r="G335" s="168">
        <f t="shared" si="339"/>
        <v>6200</v>
      </c>
      <c r="H335" s="168">
        <f t="shared" si="339"/>
        <v>6700</v>
      </c>
      <c r="I335" s="168">
        <f t="shared" si="339"/>
        <v>7300</v>
      </c>
      <c r="J335" s="168">
        <f t="shared" si="339"/>
        <v>7900</v>
      </c>
      <c r="K335" s="168">
        <f t="shared" si="339"/>
        <v>8400</v>
      </c>
      <c r="L335" s="168">
        <f t="shared" si="339"/>
        <v>9000</v>
      </c>
      <c r="M335" s="121"/>
      <c r="N335" s="121"/>
      <c r="O335" s="121"/>
      <c r="P335" s="121"/>
      <c r="Q335" s="121"/>
      <c r="Z335" s="57">
        <f t="shared" si="340"/>
        <v>4542.3438401756066</v>
      </c>
      <c r="AA335" s="57">
        <f t="shared" si="340"/>
        <v>5094.0224059965631</v>
      </c>
      <c r="AB335" s="57">
        <f t="shared" si="340"/>
        <v>5645.7009718175177</v>
      </c>
      <c r="AC335" s="57">
        <f t="shared" si="340"/>
        <v>6197.3795376384733</v>
      </c>
      <c r="AD335" s="57">
        <f t="shared" si="340"/>
        <v>6749.0581034594325</v>
      </c>
      <c r="AE335" s="57">
        <f t="shared" si="340"/>
        <v>7300.736669280388</v>
      </c>
      <c r="AF335" s="57">
        <f t="shared" si="340"/>
        <v>7852.4152351013436</v>
      </c>
      <c r="AG335" s="57">
        <f t="shared" si="340"/>
        <v>8404.0938009222991</v>
      </c>
      <c r="AH335" s="57">
        <f t="shared" si="340"/>
        <v>8955.7723667432547</v>
      </c>
      <c r="AJ335" s="57">
        <f t="shared" si="341"/>
        <v>48</v>
      </c>
      <c r="AK335" s="57">
        <f t="shared" si="342"/>
        <v>6990.0945386440726</v>
      </c>
      <c r="AL335" s="57">
        <f t="shared" si="343"/>
        <v>7490.2576987288176</v>
      </c>
      <c r="AM335" s="175">
        <f t="shared" si="344"/>
        <v>0.20081222595661186</v>
      </c>
      <c r="AT335" s="154">
        <f t="shared" si="345"/>
        <v>0</v>
      </c>
      <c r="AU335" s="154">
        <f t="shared" si="345"/>
        <v>0</v>
      </c>
      <c r="AV335" s="154">
        <f t="shared" si="345"/>
        <v>1</v>
      </c>
      <c r="AW335" s="154">
        <f t="shared" si="345"/>
        <v>2</v>
      </c>
      <c r="AX335" s="154">
        <f t="shared" si="345"/>
        <v>4</v>
      </c>
      <c r="AY335" s="154">
        <f t="shared" si="345"/>
        <v>5</v>
      </c>
      <c r="AZ335" s="154">
        <f t="shared" si="345"/>
        <v>7</v>
      </c>
      <c r="BA335" s="154">
        <f t="shared" si="345"/>
        <v>8</v>
      </c>
      <c r="BB335" s="154">
        <f t="shared" si="345"/>
        <v>10</v>
      </c>
    </row>
    <row r="336" spans="1:54" ht="15" customHeight="1" x14ac:dyDescent="0.25">
      <c r="A336" s="121"/>
      <c r="B336" s="335"/>
      <c r="C336" s="156">
        <f>C335+$G$441</f>
        <v>2.7719039595619215</v>
      </c>
      <c r="D336" s="149">
        <f t="shared" si="339"/>
        <v>4900</v>
      </c>
      <c r="E336" s="149">
        <f t="shared" si="339"/>
        <v>5400</v>
      </c>
      <c r="F336" s="149">
        <f t="shared" si="339"/>
        <v>6000</v>
      </c>
      <c r="G336" s="149">
        <f t="shared" si="339"/>
        <v>6500</v>
      </c>
      <c r="H336" s="149">
        <f t="shared" si="339"/>
        <v>7100</v>
      </c>
      <c r="I336" s="149">
        <f t="shared" si="339"/>
        <v>7600</v>
      </c>
      <c r="J336" s="149">
        <f t="shared" si="339"/>
        <v>8200</v>
      </c>
      <c r="K336" s="149">
        <f t="shared" si="339"/>
        <v>8700</v>
      </c>
      <c r="L336" s="149">
        <f t="shared" si="339"/>
        <v>9300</v>
      </c>
      <c r="M336" s="121"/>
      <c r="N336" s="121"/>
      <c r="O336" s="121"/>
      <c r="P336" s="121"/>
      <c r="Q336" s="121"/>
      <c r="Z336" s="57">
        <f t="shared" si="340"/>
        <v>4874.9501257736538</v>
      </c>
      <c r="AA336" s="57">
        <f t="shared" si="340"/>
        <v>5426.6286915946112</v>
      </c>
      <c r="AB336" s="57">
        <f t="shared" si="340"/>
        <v>5978.3072574155667</v>
      </c>
      <c r="AC336" s="57">
        <f t="shared" si="340"/>
        <v>6529.9858232365223</v>
      </c>
      <c r="AD336" s="57">
        <f t="shared" si="340"/>
        <v>7081.6643890574778</v>
      </c>
      <c r="AE336" s="57">
        <f t="shared" si="340"/>
        <v>7633.3429548784334</v>
      </c>
      <c r="AF336" s="57">
        <f t="shared" si="340"/>
        <v>8185.0215206993907</v>
      </c>
      <c r="AG336" s="57">
        <f t="shared" si="340"/>
        <v>8736.7000865203463</v>
      </c>
      <c r="AH336" s="57">
        <f t="shared" si="340"/>
        <v>9288.3786523413037</v>
      </c>
      <c r="AJ336" s="57">
        <f t="shared" si="341"/>
        <v>48</v>
      </c>
      <c r="AK336" s="57">
        <f t="shared" si="342"/>
        <v>6990.0945386440726</v>
      </c>
      <c r="AL336" s="57">
        <f t="shared" si="343"/>
        <v>7490.2576987288176</v>
      </c>
      <c r="AM336" s="175">
        <f t="shared" si="344"/>
        <v>0.20081222595661186</v>
      </c>
      <c r="AT336" s="154">
        <f t="shared" si="345"/>
        <v>0</v>
      </c>
      <c r="AU336" s="154">
        <f t="shared" si="345"/>
        <v>0</v>
      </c>
      <c r="AV336" s="154">
        <f t="shared" si="345"/>
        <v>2</v>
      </c>
      <c r="AW336" s="154">
        <f t="shared" si="345"/>
        <v>3</v>
      </c>
      <c r="AX336" s="154">
        <f t="shared" si="345"/>
        <v>5</v>
      </c>
      <c r="AY336" s="154">
        <f t="shared" si="345"/>
        <v>6</v>
      </c>
      <c r="AZ336" s="154">
        <f t="shared" si="345"/>
        <v>8</v>
      </c>
      <c r="BA336" s="154">
        <f t="shared" si="345"/>
        <v>9</v>
      </c>
      <c r="BB336" s="154">
        <f t="shared" si="345"/>
        <v>10</v>
      </c>
    </row>
    <row r="337" spans="1:54" ht="3.95" hidden="1" customHeight="1" x14ac:dyDescent="0.25">
      <c r="A337" s="121"/>
      <c r="B337" s="153" t="str">
        <f>"Ben's Yr 5 value less Keystone today (G430); Keystone Yr 5 value = Yr 5 revenue (helper AK) × column multiple; net client wins held at model (G456); rollover fixed at "&amp;TEXT($G$436,"0%")</f>
        <v>Ben's Yr 5 value less Keystone today (G430); Keystone Yr 5 value = Yr 5 revenue (helper AK) × column multiple; net client wins held at model (G456); rollover fixed at 30%</v>
      </c>
      <c r="C337" s="4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</row>
    <row r="338" spans="1:54" ht="3.95" customHeight="1" x14ac:dyDescent="0.25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</row>
    <row r="339" spans="1:54" ht="15" customHeight="1" x14ac:dyDescent="0.25">
      <c r="A339" s="121"/>
      <c r="B339" s="164" t="s">
        <v>306</v>
      </c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</row>
    <row r="340" spans="1:54" ht="2.1" customHeight="1" x14ac:dyDescent="0.25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</row>
    <row r="341" spans="1:54" ht="12.75" customHeight="1" x14ac:dyDescent="0.25">
      <c r="A341" s="121"/>
      <c r="B341" s="10"/>
      <c r="C341" s="10"/>
      <c r="D341" s="163" t="s">
        <v>289</v>
      </c>
      <c r="E341" s="163"/>
      <c r="F341" s="163"/>
      <c r="G341" s="163"/>
      <c r="H341" s="163"/>
      <c r="I341" s="163"/>
      <c r="J341" s="163"/>
      <c r="K341" s="163"/>
      <c r="L341" s="163"/>
      <c r="M341" s="121"/>
      <c r="N341" s="121"/>
      <c r="O341" s="121"/>
      <c r="P341" s="121"/>
      <c r="Q341" s="121"/>
    </row>
    <row r="342" spans="1:54" ht="12.75" customHeight="1" x14ac:dyDescent="0.25">
      <c r="A342" s="121"/>
      <c r="B342" s="10"/>
      <c r="C342" s="10"/>
      <c r="D342" s="162">
        <f>E342-$G$466</f>
        <v>1</v>
      </c>
      <c r="E342" s="162">
        <f>F342-$G$466</f>
        <v>1.25</v>
      </c>
      <c r="F342" s="162">
        <f>G342-$G$466</f>
        <v>1.5</v>
      </c>
      <c r="G342" s="162">
        <f>H342-$G$466</f>
        <v>1.75</v>
      </c>
      <c r="H342" s="162">
        <f>$G$465</f>
        <v>2</v>
      </c>
      <c r="I342" s="162">
        <f>H342+$G$466</f>
        <v>2.25</v>
      </c>
      <c r="J342" s="162">
        <f>I342+$G$466</f>
        <v>2.5</v>
      </c>
      <c r="K342" s="162">
        <f>J342+$G$466</f>
        <v>2.75</v>
      </c>
      <c r="L342" s="162">
        <f>K342+$G$466</f>
        <v>3</v>
      </c>
      <c r="M342" s="121"/>
      <c r="N342" s="121"/>
      <c r="O342" s="121"/>
      <c r="P342" s="121"/>
      <c r="Q342" s="121"/>
      <c r="AT342" s="161" t="s">
        <v>288</v>
      </c>
      <c r="AU342" s="160"/>
      <c r="AV342" s="160"/>
      <c r="AW342" s="160"/>
      <c r="AX342" s="160"/>
      <c r="AY342" s="160"/>
      <c r="AZ342" s="160"/>
      <c r="BA342" s="160"/>
      <c r="BB342" s="160"/>
    </row>
    <row r="343" spans="1:54" ht="15" customHeight="1" x14ac:dyDescent="0.25">
      <c r="A343" s="121"/>
      <c r="B343" s="333" t="s">
        <v>287</v>
      </c>
      <c r="C343" s="158">
        <f>C344-$G$441</f>
        <v>1.2719039595619215</v>
      </c>
      <c r="D343" s="166">
        <f t="shared" ref="D343:L349" si="346">IFERROR(Z330/$G$430,0)</f>
        <v>0.95977080406179027</v>
      </c>
      <c r="E343" s="166">
        <f t="shared" si="346"/>
        <v>1.1436636593354421</v>
      </c>
      <c r="F343" s="166">
        <f t="shared" si="346"/>
        <v>1.3275565146090946</v>
      </c>
      <c r="G343" s="166">
        <f t="shared" si="346"/>
        <v>1.5114493698827465</v>
      </c>
      <c r="H343" s="166">
        <f t="shared" si="346"/>
        <v>1.6953422251563983</v>
      </c>
      <c r="I343" s="166">
        <f t="shared" si="346"/>
        <v>1.8792350804300506</v>
      </c>
      <c r="J343" s="166">
        <f t="shared" si="346"/>
        <v>2.0631279357037027</v>
      </c>
      <c r="K343" s="166">
        <f t="shared" si="346"/>
        <v>2.2470207909773543</v>
      </c>
      <c r="L343" s="166">
        <f t="shared" si="346"/>
        <v>2.4309136462510068</v>
      </c>
      <c r="M343" s="121"/>
      <c r="N343" s="121"/>
      <c r="O343" s="121"/>
      <c r="P343" s="121"/>
      <c r="Q343" s="121"/>
      <c r="AT343" s="154">
        <f t="shared" ref="AT343:BB349" si="347">IF(Z370&lt;$G$449,0,MIN($G$446,1+IFERROR(INT((Z370-$G$449)/$G$468),0)))</f>
        <v>0</v>
      </c>
      <c r="AU343" s="154">
        <f t="shared" si="347"/>
        <v>0</v>
      </c>
      <c r="AV343" s="154">
        <f t="shared" si="347"/>
        <v>0</v>
      </c>
      <c r="AW343" s="154">
        <f t="shared" si="347"/>
        <v>0</v>
      </c>
      <c r="AX343" s="154">
        <f t="shared" si="347"/>
        <v>0</v>
      </c>
      <c r="AY343" s="154">
        <f t="shared" si="347"/>
        <v>1</v>
      </c>
      <c r="AZ343" s="154">
        <f t="shared" si="347"/>
        <v>2</v>
      </c>
      <c r="BA343" s="154">
        <f t="shared" si="347"/>
        <v>4</v>
      </c>
      <c r="BB343" s="154">
        <f t="shared" si="347"/>
        <v>5</v>
      </c>
    </row>
    <row r="344" spans="1:54" ht="15" customHeight="1" x14ac:dyDescent="0.25">
      <c r="A344" s="121"/>
      <c r="B344" s="334"/>
      <c r="C344" s="158">
        <f>C345-$G$441</f>
        <v>1.5219039595619215</v>
      </c>
      <c r="D344" s="166">
        <f t="shared" si="346"/>
        <v>1.0706395659278061</v>
      </c>
      <c r="E344" s="166">
        <f t="shared" si="346"/>
        <v>1.2545324212014579</v>
      </c>
      <c r="F344" s="166">
        <f t="shared" si="346"/>
        <v>1.4384252764751102</v>
      </c>
      <c r="G344" s="166">
        <f t="shared" si="346"/>
        <v>1.622318131748762</v>
      </c>
      <c r="H344" s="166">
        <f t="shared" si="346"/>
        <v>1.8062109870224139</v>
      </c>
      <c r="I344" s="166">
        <f t="shared" si="346"/>
        <v>1.9901038422960664</v>
      </c>
      <c r="J344" s="166">
        <f t="shared" si="346"/>
        <v>2.1739966975697183</v>
      </c>
      <c r="K344" s="166">
        <f t="shared" si="346"/>
        <v>2.3578895528433703</v>
      </c>
      <c r="L344" s="166">
        <f t="shared" si="346"/>
        <v>2.5417824081170219</v>
      </c>
      <c r="M344" s="121"/>
      <c r="N344" s="121"/>
      <c r="O344" s="121"/>
      <c r="P344" s="121"/>
      <c r="Q344" s="121"/>
      <c r="AT344" s="154">
        <f t="shared" si="347"/>
        <v>0</v>
      </c>
      <c r="AU344" s="154">
        <f t="shared" si="347"/>
        <v>0</v>
      </c>
      <c r="AV344" s="154">
        <f t="shared" si="347"/>
        <v>0</v>
      </c>
      <c r="AW344" s="154">
        <f t="shared" si="347"/>
        <v>0</v>
      </c>
      <c r="AX344" s="154">
        <f t="shared" si="347"/>
        <v>0</v>
      </c>
      <c r="AY344" s="154">
        <f t="shared" si="347"/>
        <v>2</v>
      </c>
      <c r="AZ344" s="154">
        <f t="shared" si="347"/>
        <v>3</v>
      </c>
      <c r="BA344" s="154">
        <f t="shared" si="347"/>
        <v>5</v>
      </c>
      <c r="BB344" s="154">
        <f t="shared" si="347"/>
        <v>6</v>
      </c>
    </row>
    <row r="345" spans="1:54" ht="15" customHeight="1" x14ac:dyDescent="0.25">
      <c r="A345" s="121"/>
      <c r="B345" s="334"/>
      <c r="C345" s="158">
        <f>C346-$G$441</f>
        <v>1.7719039595619215</v>
      </c>
      <c r="D345" s="166">
        <f t="shared" si="346"/>
        <v>1.1815083277938216</v>
      </c>
      <c r="E345" s="166">
        <f t="shared" si="346"/>
        <v>1.3654011830674735</v>
      </c>
      <c r="F345" s="166">
        <f t="shared" si="346"/>
        <v>1.549294038341126</v>
      </c>
      <c r="G345" s="166">
        <f t="shared" si="346"/>
        <v>1.7331868936147778</v>
      </c>
      <c r="H345" s="166">
        <f t="shared" si="346"/>
        <v>1.9170797488884297</v>
      </c>
      <c r="I345" s="166">
        <f t="shared" si="346"/>
        <v>2.1009726041620822</v>
      </c>
      <c r="J345" s="166">
        <f t="shared" si="346"/>
        <v>2.2848654594357338</v>
      </c>
      <c r="K345" s="166">
        <f t="shared" si="346"/>
        <v>2.4687583147093859</v>
      </c>
      <c r="L345" s="166">
        <f t="shared" si="346"/>
        <v>2.6526511699830384</v>
      </c>
      <c r="M345" s="121"/>
      <c r="N345" s="121"/>
      <c r="O345" s="121"/>
      <c r="P345" s="121"/>
      <c r="Q345" s="121"/>
      <c r="AT345" s="154">
        <f t="shared" si="347"/>
        <v>0</v>
      </c>
      <c r="AU345" s="154">
        <f t="shared" si="347"/>
        <v>0</v>
      </c>
      <c r="AV345" s="154">
        <f t="shared" si="347"/>
        <v>0</v>
      </c>
      <c r="AW345" s="154">
        <f t="shared" si="347"/>
        <v>0</v>
      </c>
      <c r="AX345" s="154">
        <f t="shared" si="347"/>
        <v>1</v>
      </c>
      <c r="AY345" s="154">
        <f t="shared" si="347"/>
        <v>3</v>
      </c>
      <c r="AZ345" s="154">
        <f t="shared" si="347"/>
        <v>4</v>
      </c>
      <c r="BA345" s="154">
        <f t="shared" si="347"/>
        <v>6</v>
      </c>
      <c r="BB345" s="154">
        <f t="shared" si="347"/>
        <v>7</v>
      </c>
    </row>
    <row r="346" spans="1:54" ht="15" customHeight="1" x14ac:dyDescent="0.25">
      <c r="A346" s="121"/>
      <c r="B346" s="334"/>
      <c r="C346" s="158">
        <f>$G$440</f>
        <v>2.0219039595619215</v>
      </c>
      <c r="D346" s="166">
        <f t="shared" si="346"/>
        <v>1.2923770896598374</v>
      </c>
      <c r="E346" s="166">
        <f t="shared" si="346"/>
        <v>1.4762699449334895</v>
      </c>
      <c r="F346" s="166">
        <f t="shared" si="346"/>
        <v>1.6601628002071414</v>
      </c>
      <c r="G346" s="166">
        <f t="shared" si="346"/>
        <v>1.8440556554807936</v>
      </c>
      <c r="H346" s="167">
        <f t="shared" si="346"/>
        <v>2.0279485107544462</v>
      </c>
      <c r="I346" s="166">
        <f t="shared" si="346"/>
        <v>2.2118413660280978</v>
      </c>
      <c r="J346" s="166">
        <f t="shared" si="346"/>
        <v>2.3957342213017498</v>
      </c>
      <c r="K346" s="166">
        <f t="shared" si="346"/>
        <v>2.5796270765754015</v>
      </c>
      <c r="L346" s="166">
        <f t="shared" si="346"/>
        <v>2.7635199318490535</v>
      </c>
      <c r="M346" s="121"/>
      <c r="N346" s="121"/>
      <c r="O346" s="121"/>
      <c r="P346" s="121"/>
      <c r="Q346" s="121"/>
      <c r="AT346" s="154">
        <f t="shared" si="347"/>
        <v>0</v>
      </c>
      <c r="AU346" s="154">
        <f t="shared" si="347"/>
        <v>0</v>
      </c>
      <c r="AV346" s="154">
        <f t="shared" si="347"/>
        <v>0</v>
      </c>
      <c r="AW346" s="154">
        <f t="shared" si="347"/>
        <v>1</v>
      </c>
      <c r="AX346" s="154">
        <f t="shared" si="347"/>
        <v>2</v>
      </c>
      <c r="AY346" s="154">
        <f t="shared" si="347"/>
        <v>4</v>
      </c>
      <c r="AZ346" s="154">
        <f t="shared" si="347"/>
        <v>5</v>
      </c>
      <c r="BA346" s="154">
        <f t="shared" si="347"/>
        <v>6</v>
      </c>
      <c r="BB346" s="154">
        <f t="shared" si="347"/>
        <v>8</v>
      </c>
    </row>
    <row r="347" spans="1:54" ht="15" customHeight="1" x14ac:dyDescent="0.25">
      <c r="A347" s="121"/>
      <c r="B347" s="334"/>
      <c r="C347" s="158">
        <f>C346+$G$441</f>
        <v>2.2719039595619215</v>
      </c>
      <c r="D347" s="166">
        <f t="shared" si="346"/>
        <v>1.4032458515258532</v>
      </c>
      <c r="E347" s="166">
        <f t="shared" si="346"/>
        <v>1.5871387067995053</v>
      </c>
      <c r="F347" s="166">
        <f t="shared" si="346"/>
        <v>1.7710315620731574</v>
      </c>
      <c r="G347" s="166">
        <f t="shared" si="346"/>
        <v>1.9549244173468092</v>
      </c>
      <c r="H347" s="166">
        <f t="shared" si="346"/>
        <v>2.1388172726204613</v>
      </c>
      <c r="I347" s="166">
        <f t="shared" si="346"/>
        <v>2.3227101278941129</v>
      </c>
      <c r="J347" s="166">
        <f t="shared" si="346"/>
        <v>2.5066029831677654</v>
      </c>
      <c r="K347" s="166">
        <f t="shared" si="346"/>
        <v>2.6904958384414175</v>
      </c>
      <c r="L347" s="166">
        <f t="shared" si="346"/>
        <v>2.8743886937150696</v>
      </c>
      <c r="M347" s="121"/>
      <c r="N347" s="121"/>
      <c r="O347" s="121"/>
      <c r="P347" s="121"/>
      <c r="Q347" s="121"/>
      <c r="AT347" s="154">
        <f t="shared" si="347"/>
        <v>0</v>
      </c>
      <c r="AU347" s="154">
        <f t="shared" si="347"/>
        <v>0</v>
      </c>
      <c r="AV347" s="154">
        <f t="shared" si="347"/>
        <v>0</v>
      </c>
      <c r="AW347" s="154">
        <f t="shared" si="347"/>
        <v>1</v>
      </c>
      <c r="AX347" s="154">
        <f t="shared" si="347"/>
        <v>3</v>
      </c>
      <c r="AY347" s="154">
        <f t="shared" si="347"/>
        <v>4</v>
      </c>
      <c r="AZ347" s="154">
        <f t="shared" si="347"/>
        <v>6</v>
      </c>
      <c r="BA347" s="154">
        <f t="shared" si="347"/>
        <v>7</v>
      </c>
      <c r="BB347" s="154">
        <f t="shared" si="347"/>
        <v>9</v>
      </c>
    </row>
    <row r="348" spans="1:54" ht="15" customHeight="1" x14ac:dyDescent="0.25">
      <c r="A348" s="121"/>
      <c r="B348" s="334"/>
      <c r="C348" s="158">
        <f>C347+$G$441</f>
        <v>2.5219039595619215</v>
      </c>
      <c r="D348" s="166">
        <f t="shared" si="346"/>
        <v>1.5141146133918688</v>
      </c>
      <c r="E348" s="166">
        <f t="shared" si="346"/>
        <v>1.6980074686655211</v>
      </c>
      <c r="F348" s="166">
        <f t="shared" si="346"/>
        <v>1.8819003239391725</v>
      </c>
      <c r="G348" s="166">
        <f t="shared" si="346"/>
        <v>2.0657931792128243</v>
      </c>
      <c r="H348" s="166">
        <f t="shared" si="346"/>
        <v>2.2496860344864773</v>
      </c>
      <c r="I348" s="166">
        <f t="shared" si="346"/>
        <v>2.4335788897601294</v>
      </c>
      <c r="J348" s="166">
        <f t="shared" si="346"/>
        <v>2.617471745033781</v>
      </c>
      <c r="K348" s="166">
        <f t="shared" si="346"/>
        <v>2.8013646003074331</v>
      </c>
      <c r="L348" s="166">
        <f t="shared" si="346"/>
        <v>2.9852574555810847</v>
      </c>
      <c r="M348" s="121"/>
      <c r="N348" s="121"/>
      <c r="O348" s="121"/>
      <c r="P348" s="121"/>
      <c r="Q348" s="121"/>
      <c r="AT348" s="154">
        <f t="shared" si="347"/>
        <v>0</v>
      </c>
      <c r="AU348" s="154">
        <f t="shared" si="347"/>
        <v>0</v>
      </c>
      <c r="AV348" s="154">
        <f t="shared" si="347"/>
        <v>1</v>
      </c>
      <c r="AW348" s="154">
        <f t="shared" si="347"/>
        <v>2</v>
      </c>
      <c r="AX348" s="154">
        <f t="shared" si="347"/>
        <v>4</v>
      </c>
      <c r="AY348" s="154">
        <f t="shared" si="347"/>
        <v>5</v>
      </c>
      <c r="AZ348" s="154">
        <f t="shared" si="347"/>
        <v>7</v>
      </c>
      <c r="BA348" s="154">
        <f t="shared" si="347"/>
        <v>8</v>
      </c>
      <c r="BB348" s="154">
        <f t="shared" si="347"/>
        <v>10</v>
      </c>
    </row>
    <row r="349" spans="1:54" ht="15" customHeight="1" x14ac:dyDescent="0.25">
      <c r="A349" s="121"/>
      <c r="B349" s="335"/>
      <c r="C349" s="156">
        <f>C348+$G$441</f>
        <v>2.7719039595619215</v>
      </c>
      <c r="D349" s="165">
        <f t="shared" si="346"/>
        <v>1.6249833752578846</v>
      </c>
      <c r="E349" s="165">
        <f t="shared" si="346"/>
        <v>1.8088762305315371</v>
      </c>
      <c r="F349" s="165">
        <f t="shared" si="346"/>
        <v>1.992769085805189</v>
      </c>
      <c r="G349" s="165">
        <f t="shared" si="346"/>
        <v>2.1766619410788408</v>
      </c>
      <c r="H349" s="165">
        <f t="shared" si="346"/>
        <v>2.3605547963524924</v>
      </c>
      <c r="I349" s="165">
        <f t="shared" si="346"/>
        <v>2.5444476516261445</v>
      </c>
      <c r="J349" s="165">
        <f t="shared" si="346"/>
        <v>2.728340506899797</v>
      </c>
      <c r="K349" s="165">
        <f t="shared" si="346"/>
        <v>2.9122333621734486</v>
      </c>
      <c r="L349" s="165">
        <f t="shared" si="346"/>
        <v>3.0961262174471011</v>
      </c>
      <c r="M349" s="121"/>
      <c r="N349" s="121"/>
      <c r="O349" s="121"/>
      <c r="P349" s="121"/>
      <c r="Q349" s="121"/>
      <c r="AT349" s="154">
        <f t="shared" si="347"/>
        <v>0</v>
      </c>
      <c r="AU349" s="154">
        <f t="shared" si="347"/>
        <v>0</v>
      </c>
      <c r="AV349" s="154">
        <f t="shared" si="347"/>
        <v>2</v>
      </c>
      <c r="AW349" s="154">
        <f t="shared" si="347"/>
        <v>3</v>
      </c>
      <c r="AX349" s="154">
        <f t="shared" si="347"/>
        <v>5</v>
      </c>
      <c r="AY349" s="154">
        <f t="shared" si="347"/>
        <v>6</v>
      </c>
      <c r="AZ349" s="154">
        <f t="shared" si="347"/>
        <v>8</v>
      </c>
      <c r="BA349" s="154">
        <f t="shared" si="347"/>
        <v>9</v>
      </c>
      <c r="BB349" s="154">
        <f t="shared" si="347"/>
        <v>10</v>
      </c>
    </row>
    <row r="350" spans="1:54" ht="3.95" hidden="1" customHeight="1" x14ac:dyDescent="0.25">
      <c r="A350" s="121"/>
      <c r="B350" s="153" t="str">
        <f>"Ben's Year 5 total value ÷ Keystone value today (G430), less 1; net client wins held at model (G456); rollover fixed at "&amp;TEXT($G$436,"0%")</f>
        <v>Ben's Year 5 total value ÷ Keystone value today (G430), less 1; net client wins held at model (G456); rollover fixed at 30%</v>
      </c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</row>
    <row r="351" spans="1:54" ht="3.95" customHeight="1" x14ac:dyDescent="0.25">
      <c r="A351" s="121"/>
      <c r="M351" s="121"/>
      <c r="N351" s="121"/>
      <c r="O351" s="121"/>
      <c r="P351" s="121"/>
      <c r="Q351" s="121"/>
    </row>
    <row r="352" spans="1:54" ht="15" customHeight="1" x14ac:dyDescent="0.25">
      <c r="A352" s="121"/>
      <c r="B352" s="164" t="s">
        <v>305</v>
      </c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</row>
    <row r="353" spans="1:109" ht="2.1" customHeight="1" x14ac:dyDescent="0.25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</row>
    <row r="354" spans="1:109" ht="12.75" customHeight="1" x14ac:dyDescent="0.25">
      <c r="A354" s="121"/>
      <c r="B354" s="10"/>
      <c r="C354" s="10"/>
      <c r="D354" s="163" t="s">
        <v>289</v>
      </c>
      <c r="E354" s="163"/>
      <c r="F354" s="163"/>
      <c r="G354" s="163"/>
      <c r="H354" s="163"/>
      <c r="I354" s="163"/>
      <c r="J354" s="163"/>
      <c r="K354" s="163"/>
      <c r="L354" s="163"/>
      <c r="M354" s="121"/>
      <c r="N354" s="121"/>
      <c r="O354" s="121"/>
      <c r="P354" s="121"/>
      <c r="Q354" s="121"/>
      <c r="BD354" s="161" t="s">
        <v>304</v>
      </c>
      <c r="BE354" s="161"/>
      <c r="BF354" s="161"/>
      <c r="BG354" s="161"/>
      <c r="BH354" s="161"/>
      <c r="BI354" s="161"/>
      <c r="BJ354" s="161" t="s">
        <v>303</v>
      </c>
      <c r="BK354" s="161"/>
      <c r="BL354" s="161"/>
      <c r="BM354" s="161"/>
      <c r="BN354" s="161"/>
      <c r="BO354" s="161"/>
      <c r="BP354" s="161" t="s">
        <v>302</v>
      </c>
      <c r="BQ354" s="161"/>
      <c r="BR354" s="161"/>
      <c r="BS354" s="161"/>
      <c r="BT354" s="161"/>
      <c r="BU354" s="161"/>
      <c r="BV354" s="161" t="s">
        <v>301</v>
      </c>
      <c r="BW354" s="161"/>
      <c r="BX354" s="161"/>
      <c r="BY354" s="161"/>
      <c r="BZ354" s="161"/>
      <c r="CA354" s="161"/>
      <c r="CB354" s="161" t="s">
        <v>300</v>
      </c>
      <c r="CC354" s="161"/>
      <c r="CD354" s="161"/>
      <c r="CE354" s="161"/>
      <c r="CF354" s="161"/>
      <c r="CG354" s="161"/>
      <c r="CH354" s="161" t="s">
        <v>299</v>
      </c>
      <c r="CI354" s="161"/>
      <c r="CJ354" s="161"/>
      <c r="CK354" s="161"/>
      <c r="CL354" s="161"/>
      <c r="CM354" s="161"/>
      <c r="CN354" s="161" t="s">
        <v>298</v>
      </c>
      <c r="CO354" s="161"/>
      <c r="CP354" s="161"/>
      <c r="CQ354" s="161"/>
      <c r="CR354" s="161"/>
      <c r="CS354" s="161"/>
      <c r="CT354" s="161" t="s">
        <v>297</v>
      </c>
      <c r="CU354" s="161"/>
      <c r="CV354" s="161"/>
      <c r="CW354" s="161"/>
      <c r="CX354" s="161"/>
      <c r="CY354" s="161"/>
      <c r="CZ354" s="161" t="s">
        <v>296</v>
      </c>
      <c r="DA354" s="161"/>
      <c r="DB354" s="161"/>
      <c r="DC354" s="161"/>
      <c r="DD354" s="161"/>
      <c r="DE354" s="161"/>
    </row>
    <row r="355" spans="1:109" ht="12.75" customHeight="1" x14ac:dyDescent="0.25">
      <c r="A355" s="121"/>
      <c r="B355" s="10"/>
      <c r="C355" s="10"/>
      <c r="D355" s="162">
        <f>E355-$G$466</f>
        <v>1</v>
      </c>
      <c r="E355" s="162">
        <f>F355-$G$466</f>
        <v>1.25</v>
      </c>
      <c r="F355" s="162">
        <f>G355-$G$466</f>
        <v>1.5</v>
      </c>
      <c r="G355" s="162">
        <f>H355-$G$466</f>
        <v>1.75</v>
      </c>
      <c r="H355" s="162">
        <f>$G$465</f>
        <v>2</v>
      </c>
      <c r="I355" s="162">
        <f>H355+$G$466</f>
        <v>2.25</v>
      </c>
      <c r="J355" s="162">
        <f>I355+$G$466</f>
        <v>2.5</v>
      </c>
      <c r="K355" s="162">
        <f>J355+$G$466</f>
        <v>2.75</v>
      </c>
      <c r="L355" s="162">
        <f>K355+$G$466</f>
        <v>3</v>
      </c>
      <c r="M355" s="121"/>
      <c r="N355" s="121"/>
      <c r="O355" s="121"/>
      <c r="P355" s="121"/>
      <c r="Q355" s="121"/>
      <c r="AT355" s="161" t="s">
        <v>288</v>
      </c>
      <c r="AU355" s="160"/>
      <c r="AV355" s="160"/>
      <c r="AW355" s="160"/>
      <c r="AX355" s="160"/>
      <c r="AY355" s="160"/>
      <c r="AZ355" s="160"/>
      <c r="BA355" s="160"/>
      <c r="BB355" s="160"/>
      <c r="BD355" s="174">
        <f>$S$9</f>
        <v>0</v>
      </c>
      <c r="BE355" s="174">
        <f>$T$9</f>
        <v>1</v>
      </c>
      <c r="BF355" s="174">
        <f>$U$9</f>
        <v>2</v>
      </c>
      <c r="BG355" s="174">
        <f>$V$9</f>
        <v>3</v>
      </c>
      <c r="BH355" s="174">
        <f>$W$9</f>
        <v>4</v>
      </c>
      <c r="BI355" s="174">
        <f>$X$9</f>
        <v>5</v>
      </c>
      <c r="BJ355" s="174">
        <f>$S$9</f>
        <v>0</v>
      </c>
      <c r="BK355" s="174">
        <f>$T$9</f>
        <v>1</v>
      </c>
      <c r="BL355" s="174">
        <f>$U$9</f>
        <v>2</v>
      </c>
      <c r="BM355" s="174">
        <f>$V$9</f>
        <v>3</v>
      </c>
      <c r="BN355" s="174">
        <f>$W$9</f>
        <v>4</v>
      </c>
      <c r="BO355" s="174">
        <f>$X$9</f>
        <v>5</v>
      </c>
      <c r="BP355" s="174">
        <f>$S$9</f>
        <v>0</v>
      </c>
      <c r="BQ355" s="174">
        <f>$T$9</f>
        <v>1</v>
      </c>
      <c r="BR355" s="174">
        <f>$U$9</f>
        <v>2</v>
      </c>
      <c r="BS355" s="174">
        <f>$V$9</f>
        <v>3</v>
      </c>
      <c r="BT355" s="174">
        <f>$W$9</f>
        <v>4</v>
      </c>
      <c r="BU355" s="174">
        <f>$X$9</f>
        <v>5</v>
      </c>
      <c r="BV355" s="174">
        <f>$S$9</f>
        <v>0</v>
      </c>
      <c r="BW355" s="174">
        <f>$T$9</f>
        <v>1</v>
      </c>
      <c r="BX355" s="174">
        <f>$U$9</f>
        <v>2</v>
      </c>
      <c r="BY355" s="174">
        <f>$V$9</f>
        <v>3</v>
      </c>
      <c r="BZ355" s="174">
        <f>$W$9</f>
        <v>4</v>
      </c>
      <c r="CA355" s="174">
        <f>$X$9</f>
        <v>5</v>
      </c>
      <c r="CB355" s="174">
        <f>$S$9</f>
        <v>0</v>
      </c>
      <c r="CC355" s="174">
        <f>$T$9</f>
        <v>1</v>
      </c>
      <c r="CD355" s="174">
        <f>$U$9</f>
        <v>2</v>
      </c>
      <c r="CE355" s="174">
        <f>$V$9</f>
        <v>3</v>
      </c>
      <c r="CF355" s="174">
        <f>$W$9</f>
        <v>4</v>
      </c>
      <c r="CG355" s="174">
        <f>$X$9</f>
        <v>5</v>
      </c>
      <c r="CH355" s="174">
        <f>$S$9</f>
        <v>0</v>
      </c>
      <c r="CI355" s="174">
        <f>$T$9</f>
        <v>1</v>
      </c>
      <c r="CJ355" s="174">
        <f>$U$9</f>
        <v>2</v>
      </c>
      <c r="CK355" s="174">
        <f>$V$9</f>
        <v>3</v>
      </c>
      <c r="CL355" s="174">
        <f>$W$9</f>
        <v>4</v>
      </c>
      <c r="CM355" s="174">
        <f>$X$9</f>
        <v>5</v>
      </c>
      <c r="CN355" s="174">
        <f>$S$9</f>
        <v>0</v>
      </c>
      <c r="CO355" s="174">
        <f>$T$9</f>
        <v>1</v>
      </c>
      <c r="CP355" s="174">
        <f>$U$9</f>
        <v>2</v>
      </c>
      <c r="CQ355" s="174">
        <f>$V$9</f>
        <v>3</v>
      </c>
      <c r="CR355" s="174">
        <f>$W$9</f>
        <v>4</v>
      </c>
      <c r="CS355" s="174">
        <f>$X$9</f>
        <v>5</v>
      </c>
      <c r="CT355" s="174">
        <f>$S$9</f>
        <v>0</v>
      </c>
      <c r="CU355" s="174">
        <f>$T$9</f>
        <v>1</v>
      </c>
      <c r="CV355" s="174">
        <f>$U$9</f>
        <v>2</v>
      </c>
      <c r="CW355" s="174">
        <f>$V$9</f>
        <v>3</v>
      </c>
      <c r="CX355" s="174">
        <f>$W$9</f>
        <v>4</v>
      </c>
      <c r="CY355" s="174">
        <f>$X$9</f>
        <v>5</v>
      </c>
      <c r="CZ355" s="174">
        <f>$S$9</f>
        <v>0</v>
      </c>
      <c r="DA355" s="174">
        <f>$T$9</f>
        <v>1</v>
      </c>
      <c r="DB355" s="174">
        <f>$U$9</f>
        <v>2</v>
      </c>
      <c r="DC355" s="174">
        <f>$V$9</f>
        <v>3</v>
      </c>
      <c r="DD355" s="174">
        <f>$W$9</f>
        <v>4</v>
      </c>
      <c r="DE355" s="174">
        <f>$X$9</f>
        <v>5</v>
      </c>
    </row>
    <row r="356" spans="1:109" ht="15" customHeight="1" x14ac:dyDescent="0.25">
      <c r="A356" s="121"/>
      <c r="B356" s="333" t="s">
        <v>287</v>
      </c>
      <c r="C356" s="158">
        <f>C357-$G$441</f>
        <v>1.2719039595619215</v>
      </c>
      <c r="D356" s="157">
        <f t="shared" ref="D356:D362" si="348">IFERROR(IRR(BD356:BI356),0)</f>
        <v>0.17347906254875389</v>
      </c>
      <c r="E356" s="157">
        <f t="shared" ref="E356:E362" si="349">IFERROR(IRR(BJ356:BO356),0)</f>
        <v>0.19725562424153043</v>
      </c>
      <c r="F356" s="157">
        <f t="shared" ref="F356:F362" si="350">IFERROR(IRR(BP356:BU356),0)</f>
        <v>0.21928096201297387</v>
      </c>
      <c r="G356" s="157">
        <f t="shared" ref="G356:G362" si="351">IFERROR(IRR(BV356:CA356),0)</f>
        <v>0.23982101117250232</v>
      </c>
      <c r="H356" s="157">
        <f t="shared" ref="H356:H362" si="352">IFERROR(IRR(CB356:CG356),0)</f>
        <v>0.25908373981303301</v>
      </c>
      <c r="I356" s="157">
        <f t="shared" ref="I356:I362" si="353">IFERROR(IRR(CH356:CM356),0)</f>
        <v>0.27723506657728092</v>
      </c>
      <c r="J356" s="157">
        <f t="shared" ref="J356:J362" si="354">IFERROR(IRR(CN356:CS356),0)</f>
        <v>0.29440962692248673</v>
      </c>
      <c r="K356" s="157">
        <f t="shared" ref="K356:K362" si="355">IFERROR(IRR(CT356:CY356),0)</f>
        <v>0.31071827592456458</v>
      </c>
      <c r="L356" s="157">
        <f t="shared" ref="L356:L362" si="356">IFERROR(IRR(CZ356:DE356),0)</f>
        <v>0.32625345225134117</v>
      </c>
      <c r="M356" s="121"/>
      <c r="N356" s="121"/>
      <c r="O356" s="121"/>
      <c r="P356" s="121"/>
      <c r="Q356" s="121"/>
      <c r="AT356" s="154">
        <f t="shared" ref="AT356:BB362" si="357">IF(Z370&lt;$G$449,0,MIN($G$446,1+IFERROR(INT((Z370-$G$449)/$G$468),0)))</f>
        <v>0</v>
      </c>
      <c r="AU356" s="154">
        <f t="shared" si="357"/>
        <v>0</v>
      </c>
      <c r="AV356" s="154">
        <f t="shared" si="357"/>
        <v>0</v>
      </c>
      <c r="AW356" s="154">
        <f t="shared" si="357"/>
        <v>0</v>
      </c>
      <c r="AX356" s="154">
        <f t="shared" si="357"/>
        <v>0</v>
      </c>
      <c r="AY356" s="154">
        <f t="shared" si="357"/>
        <v>1</v>
      </c>
      <c r="AZ356" s="154">
        <f t="shared" si="357"/>
        <v>2</v>
      </c>
      <c r="BA356" s="154">
        <f t="shared" si="357"/>
        <v>4</v>
      </c>
      <c r="BB356" s="154">
        <f t="shared" si="357"/>
        <v>5</v>
      </c>
      <c r="BD356" s="173">
        <f t="shared" ref="BD356:BD362" si="358">(BD$355=0)*($O$18-$G$430)+(BD$355=$G$444)*$G$435+(BD$355=$G$445)*(Z330+$G$430-$O$18-$G$435)</f>
        <v>-2350</v>
      </c>
      <c r="BE356" s="173">
        <f t="shared" ref="BE356:BE362" si="359">(BE$355=0)*($O$18-$G$430)+(BE$355=$G$444)*$G$435+(BE$355=$G$445)*(Z330+$G$430-$O$18-$G$435)</f>
        <v>0</v>
      </c>
      <c r="BF356" s="173">
        <f t="shared" ref="BF356:BF362" si="360">(BF$355=0)*($O$18-$G$430)+(BF$355=$G$444)*$G$435+(BF$355=$G$445)*(Z330+$G$430-$O$18-$G$435)</f>
        <v>0</v>
      </c>
      <c r="BG356" s="173">
        <f t="shared" ref="BG356:BG362" si="361">(BG$355=0)*($O$18-$G$430)+(BG$355=$G$444)*$G$435+(BG$355=$G$445)*(Z330+$G$430-$O$18-$G$435)</f>
        <v>0</v>
      </c>
      <c r="BH356" s="173">
        <f t="shared" ref="BH356:BH362" si="362">(BH$355=0)*($O$18-$G$430)+(BH$355=$G$444)*$G$435+(BH$355=$G$445)*(Z330+$G$430-$O$18-$G$435)</f>
        <v>0</v>
      </c>
      <c r="BI356" s="173">
        <f t="shared" ref="BI356:BJ362" si="363">(BI$355=0)*($O$18-$G$430)+(BI$355=$G$444)*$G$435+(BI$355=$G$445)*(Z330+$G$430-$O$18-$G$435)</f>
        <v>5229.3124121853707</v>
      </c>
      <c r="BJ356" s="173">
        <f t="shared" si="363"/>
        <v>-2350</v>
      </c>
      <c r="BK356" s="173">
        <f t="shared" ref="BK356:BK362" si="364">(BK$355=0)*($O$18-$G$430)+(BK$355=$G$444)*$G$435+(BK$355=$G$445)*(AA330+$G$430-$O$18-$G$435)</f>
        <v>0</v>
      </c>
      <c r="BL356" s="173">
        <f t="shared" ref="BL356:BL362" si="365">(BL$355=0)*($O$18-$G$430)+(BL$355=$G$444)*$G$435+(BL$355=$G$445)*(AA330+$G$430-$O$18-$G$435)</f>
        <v>0</v>
      </c>
      <c r="BM356" s="173">
        <f t="shared" ref="BM356:BM362" si="366">(BM$355=0)*($O$18-$G$430)+(BM$355=$G$444)*$G$435+(BM$355=$G$445)*(AA330+$G$430-$O$18-$G$435)</f>
        <v>0</v>
      </c>
      <c r="BN356" s="173">
        <f t="shared" ref="BN356:BN362" si="367">(BN$355=0)*($O$18-$G$430)+(BN$355=$G$444)*$G$435+(BN$355=$G$445)*(AA330+$G$430-$O$18-$G$435)</f>
        <v>0</v>
      </c>
      <c r="BO356" s="173">
        <f t="shared" ref="BO356:BP362" si="368">(BO$355=0)*($O$18-$G$430)+(BO$355=$G$444)*$G$435+(BO$355=$G$445)*(AA330+$G$430-$O$18-$G$435)</f>
        <v>5780.9909780063263</v>
      </c>
      <c r="BP356" s="173">
        <f t="shared" si="368"/>
        <v>-2350</v>
      </c>
      <c r="BQ356" s="173">
        <f t="shared" ref="BQ356:BQ362" si="369">(BQ$355=0)*($O$18-$G$430)+(BQ$355=$G$444)*$G$435+(BQ$355=$G$445)*(AB330+$G$430-$O$18-$G$435)</f>
        <v>0</v>
      </c>
      <c r="BR356" s="173">
        <f t="shared" ref="BR356:BR362" si="370">(BR$355=0)*($O$18-$G$430)+(BR$355=$G$444)*$G$435+(BR$355=$G$445)*(AB330+$G$430-$O$18-$G$435)</f>
        <v>0</v>
      </c>
      <c r="BS356" s="173">
        <f t="shared" ref="BS356:BS362" si="371">(BS$355=0)*($O$18-$G$430)+(BS$355=$G$444)*$G$435+(BS$355=$G$445)*(AB330+$G$430-$O$18-$G$435)</f>
        <v>0</v>
      </c>
      <c r="BT356" s="173">
        <f t="shared" ref="BT356:BT362" si="372">(BT$355=0)*($O$18-$G$430)+(BT$355=$G$444)*$G$435+(BT$355=$G$445)*(AB330+$G$430-$O$18-$G$435)</f>
        <v>0</v>
      </c>
      <c r="BU356" s="173">
        <f t="shared" ref="BU356:BV362" si="373">(BU$355=0)*($O$18-$G$430)+(BU$355=$G$444)*$G$435+(BU$355=$G$445)*(AB330+$G$430-$O$18-$G$435)</f>
        <v>6332.6695438272836</v>
      </c>
      <c r="BV356" s="173">
        <f t="shared" si="373"/>
        <v>-2350</v>
      </c>
      <c r="BW356" s="173">
        <f t="shared" ref="BW356:BW362" si="374">(BW$355=0)*($O$18-$G$430)+(BW$355=$G$444)*$G$435+(BW$355=$G$445)*(AC330+$G$430-$O$18-$G$435)</f>
        <v>0</v>
      </c>
      <c r="BX356" s="173">
        <f t="shared" ref="BX356:BX362" si="375">(BX$355=0)*($O$18-$G$430)+(BX$355=$G$444)*$G$435+(BX$355=$G$445)*(AC330+$G$430-$O$18-$G$435)</f>
        <v>0</v>
      </c>
      <c r="BY356" s="173">
        <f t="shared" ref="BY356:BY362" si="376">(BY$355=0)*($O$18-$G$430)+(BY$355=$G$444)*$G$435+(BY$355=$G$445)*(AC330+$G$430-$O$18-$G$435)</f>
        <v>0</v>
      </c>
      <c r="BZ356" s="173">
        <f t="shared" ref="BZ356:BZ362" si="377">(BZ$355=0)*($O$18-$G$430)+(BZ$355=$G$444)*$G$435+(BZ$355=$G$445)*(AC330+$G$430-$O$18-$G$435)</f>
        <v>0</v>
      </c>
      <c r="CA356" s="173">
        <f t="shared" ref="CA356:CB362" si="378">(CA$355=0)*($O$18-$G$430)+(CA$355=$G$444)*$G$435+(CA$355=$G$445)*(AC330+$G$430-$O$18-$G$435)</f>
        <v>6884.3481096482392</v>
      </c>
      <c r="CB356" s="173">
        <f t="shared" si="378"/>
        <v>-2350</v>
      </c>
      <c r="CC356" s="173">
        <f t="shared" ref="CC356:CC362" si="379">(CC$355=0)*($O$18-$G$430)+(CC$355=$G$444)*$G$435+(CC$355=$G$445)*(AD330+$G$430-$O$18-$G$435)</f>
        <v>0</v>
      </c>
      <c r="CD356" s="173">
        <f t="shared" ref="CD356:CD362" si="380">(CD$355=0)*($O$18-$G$430)+(CD$355=$G$444)*$G$435+(CD$355=$G$445)*(AD330+$G$430-$O$18-$G$435)</f>
        <v>0</v>
      </c>
      <c r="CE356" s="173">
        <f t="shared" ref="CE356:CE362" si="381">(CE$355=0)*($O$18-$G$430)+(CE$355=$G$444)*$G$435+(CE$355=$G$445)*(AD330+$G$430-$O$18-$G$435)</f>
        <v>0</v>
      </c>
      <c r="CF356" s="173">
        <f t="shared" ref="CF356:CF362" si="382">(CF$355=0)*($O$18-$G$430)+(CF$355=$G$444)*$G$435+(CF$355=$G$445)*(AD330+$G$430-$O$18-$G$435)</f>
        <v>0</v>
      </c>
      <c r="CG356" s="173">
        <f t="shared" ref="CG356:CH362" si="383">(CG$355=0)*($O$18-$G$430)+(CG$355=$G$444)*$G$435+(CG$355=$G$445)*(AD330+$G$430-$O$18-$G$435)</f>
        <v>7436.0266754691947</v>
      </c>
      <c r="CH356" s="173">
        <f t="shared" si="383"/>
        <v>-2350</v>
      </c>
      <c r="CI356" s="173">
        <f t="shared" ref="CI356:CI362" si="384">(CI$355=0)*($O$18-$G$430)+(CI$355=$G$444)*$G$435+(CI$355=$G$445)*(AE330+$G$430-$O$18-$G$435)</f>
        <v>0</v>
      </c>
      <c r="CJ356" s="173">
        <f t="shared" ref="CJ356:CJ362" si="385">(CJ$355=0)*($O$18-$G$430)+(CJ$355=$G$444)*$G$435+(CJ$355=$G$445)*(AE330+$G$430-$O$18-$G$435)</f>
        <v>0</v>
      </c>
      <c r="CK356" s="173">
        <f t="shared" ref="CK356:CK362" si="386">(CK$355=0)*($O$18-$G$430)+(CK$355=$G$444)*$G$435+(CK$355=$G$445)*(AE330+$G$430-$O$18-$G$435)</f>
        <v>0</v>
      </c>
      <c r="CL356" s="173">
        <f t="shared" ref="CL356:CL362" si="387">(CL$355=0)*($O$18-$G$430)+(CL$355=$G$444)*$G$435+(CL$355=$G$445)*(AE330+$G$430-$O$18-$G$435)</f>
        <v>0</v>
      </c>
      <c r="CM356" s="173">
        <f t="shared" ref="CM356:CN362" si="388">(CM$355=0)*($O$18-$G$430)+(CM$355=$G$444)*$G$435+(CM$355=$G$445)*(AE330+$G$430-$O$18-$G$435)</f>
        <v>7987.7052412901521</v>
      </c>
      <c r="CN356" s="173">
        <f t="shared" si="388"/>
        <v>-2350</v>
      </c>
      <c r="CO356" s="173">
        <f t="shared" ref="CO356:CO362" si="389">(CO$355=0)*($O$18-$G$430)+(CO$355=$G$444)*$G$435+(CO$355=$G$445)*(AF330+$G$430-$O$18-$G$435)</f>
        <v>0</v>
      </c>
      <c r="CP356" s="173">
        <f t="shared" ref="CP356:CP362" si="390">(CP$355=0)*($O$18-$G$430)+(CP$355=$G$444)*$G$435+(CP$355=$G$445)*(AF330+$G$430-$O$18-$G$435)</f>
        <v>0</v>
      </c>
      <c r="CQ356" s="173">
        <f t="shared" ref="CQ356:CQ362" si="391">(CQ$355=0)*($O$18-$G$430)+(CQ$355=$G$444)*$G$435+(CQ$355=$G$445)*(AF330+$G$430-$O$18-$G$435)</f>
        <v>0</v>
      </c>
      <c r="CR356" s="173">
        <f t="shared" ref="CR356:CR362" si="392">(CR$355=0)*($O$18-$G$430)+(CR$355=$G$444)*$G$435+(CR$355=$G$445)*(AF330+$G$430-$O$18-$G$435)</f>
        <v>0</v>
      </c>
      <c r="CS356" s="173">
        <f t="shared" ref="CS356:CT362" si="393">(CS$355=0)*($O$18-$G$430)+(CS$355=$G$444)*$G$435+(CS$355=$G$445)*(AF330+$G$430-$O$18-$G$435)</f>
        <v>8539.3838071111077</v>
      </c>
      <c r="CT356" s="173">
        <f t="shared" si="393"/>
        <v>-2350</v>
      </c>
      <c r="CU356" s="173">
        <f t="shared" ref="CU356:CU362" si="394">(CU$355=0)*($O$18-$G$430)+(CU$355=$G$444)*$G$435+(CU$355=$G$445)*(AG330+$G$430-$O$18-$G$435)</f>
        <v>0</v>
      </c>
      <c r="CV356" s="173">
        <f t="shared" ref="CV356:CV362" si="395">(CV$355=0)*($O$18-$G$430)+(CV$355=$G$444)*$G$435+(CV$355=$G$445)*(AG330+$G$430-$O$18-$G$435)</f>
        <v>0</v>
      </c>
      <c r="CW356" s="173">
        <f t="shared" ref="CW356:CW362" si="396">(CW$355=0)*($O$18-$G$430)+(CW$355=$G$444)*$G$435+(CW$355=$G$445)*(AG330+$G$430-$O$18-$G$435)</f>
        <v>0</v>
      </c>
      <c r="CX356" s="173">
        <f t="shared" ref="CX356:CX362" si="397">(CX$355=0)*($O$18-$G$430)+(CX$355=$G$444)*$G$435+(CX$355=$G$445)*(AG330+$G$430-$O$18-$G$435)</f>
        <v>0</v>
      </c>
      <c r="CY356" s="173">
        <f t="shared" ref="CY356:CZ362" si="398">(CY$355=0)*($O$18-$G$430)+(CY$355=$G$444)*$G$435+(CY$355=$G$445)*(AG330+$G$430-$O$18-$G$435)</f>
        <v>9091.0623729320632</v>
      </c>
      <c r="CZ356" s="173">
        <f t="shared" si="398"/>
        <v>-2350</v>
      </c>
      <c r="DA356" s="173">
        <f t="shared" ref="DA356:DA362" si="399">(DA$355=0)*($O$18-$G$430)+(DA$355=$G$444)*$G$435+(DA$355=$G$445)*(AH330+$G$430-$O$18-$G$435)</f>
        <v>0</v>
      </c>
      <c r="DB356" s="173">
        <f t="shared" ref="DB356:DB362" si="400">(DB$355=0)*($O$18-$G$430)+(DB$355=$G$444)*$G$435+(DB$355=$G$445)*(AH330+$G$430-$O$18-$G$435)</f>
        <v>0</v>
      </c>
      <c r="DC356" s="173">
        <f t="shared" ref="DC356:DC362" si="401">(DC$355=0)*($O$18-$G$430)+(DC$355=$G$444)*$G$435+(DC$355=$G$445)*(AH330+$G$430-$O$18-$G$435)</f>
        <v>0</v>
      </c>
      <c r="DD356" s="173">
        <f t="shared" ref="DD356:DD362" si="402">(DD$355=0)*($O$18-$G$430)+(DD$355=$G$444)*$G$435+(DD$355=$G$445)*(AH330+$G$430-$O$18-$G$435)</f>
        <v>0</v>
      </c>
      <c r="DE356" s="173">
        <f t="shared" ref="DE356:DE362" si="403">(DE$355=0)*($O$18-$G$430)+(DE$355=$G$444)*$G$435+(DE$355=$G$445)*(AH330+$G$430-$O$18-$G$435)</f>
        <v>9642.7409387530206</v>
      </c>
    </row>
    <row r="357" spans="1:109" ht="15" customHeight="1" x14ac:dyDescent="0.25">
      <c r="A357" s="121"/>
      <c r="B357" s="334"/>
      <c r="C357" s="158">
        <f>C358-$G$441</f>
        <v>1.5219039595619215</v>
      </c>
      <c r="D357" s="157">
        <f t="shared" si="348"/>
        <v>0.18804079790447337</v>
      </c>
      <c r="E357" s="157">
        <f t="shared" si="349"/>
        <v>0.21072578777420814</v>
      </c>
      <c r="F357" s="157">
        <f t="shared" si="350"/>
        <v>0.23182794690866948</v>
      </c>
      <c r="G357" s="157">
        <f t="shared" si="351"/>
        <v>0.25157598021851602</v>
      </c>
      <c r="H357" s="157">
        <f t="shared" si="352"/>
        <v>0.27015098157094575</v>
      </c>
      <c r="I357" s="157">
        <f t="shared" si="353"/>
        <v>0.28769896021161334</v>
      </c>
      <c r="J357" s="157">
        <f t="shared" si="354"/>
        <v>0.30433947216616364</v>
      </c>
      <c r="K357" s="157">
        <f t="shared" si="355"/>
        <v>0.32017173150651002</v>
      </c>
      <c r="L357" s="157">
        <f t="shared" si="356"/>
        <v>0.33527903994274499</v>
      </c>
      <c r="M357" s="121"/>
      <c r="N357" s="121"/>
      <c r="O357" s="121"/>
      <c r="P357" s="121"/>
      <c r="Q357" s="121"/>
      <c r="AT357" s="154">
        <f t="shared" si="357"/>
        <v>0</v>
      </c>
      <c r="AU357" s="154">
        <f t="shared" si="357"/>
        <v>0</v>
      </c>
      <c r="AV357" s="154">
        <f t="shared" si="357"/>
        <v>0</v>
      </c>
      <c r="AW357" s="154">
        <f t="shared" si="357"/>
        <v>0</v>
      </c>
      <c r="AX357" s="154">
        <f t="shared" si="357"/>
        <v>0</v>
      </c>
      <c r="AY357" s="154">
        <f t="shared" si="357"/>
        <v>2</v>
      </c>
      <c r="AZ357" s="154">
        <f t="shared" si="357"/>
        <v>3</v>
      </c>
      <c r="BA357" s="154">
        <f t="shared" si="357"/>
        <v>5</v>
      </c>
      <c r="BB357" s="154">
        <f t="shared" si="357"/>
        <v>6</v>
      </c>
      <c r="BD357" s="173">
        <f t="shared" si="358"/>
        <v>-2350</v>
      </c>
      <c r="BE357" s="173">
        <f t="shared" si="359"/>
        <v>0</v>
      </c>
      <c r="BF357" s="173">
        <f t="shared" si="360"/>
        <v>0</v>
      </c>
      <c r="BG357" s="173">
        <f t="shared" si="361"/>
        <v>0</v>
      </c>
      <c r="BH357" s="173">
        <f t="shared" si="362"/>
        <v>0</v>
      </c>
      <c r="BI357" s="173">
        <f t="shared" si="363"/>
        <v>5561.9186977834179</v>
      </c>
      <c r="BJ357" s="173">
        <f t="shared" si="363"/>
        <v>-2350</v>
      </c>
      <c r="BK357" s="173">
        <f t="shared" si="364"/>
        <v>0</v>
      </c>
      <c r="BL357" s="173">
        <f t="shared" si="365"/>
        <v>0</v>
      </c>
      <c r="BM357" s="173">
        <f t="shared" si="366"/>
        <v>0</v>
      </c>
      <c r="BN357" s="173">
        <f t="shared" si="367"/>
        <v>0</v>
      </c>
      <c r="BO357" s="173">
        <f t="shared" si="368"/>
        <v>6113.5972636043734</v>
      </c>
      <c r="BP357" s="173">
        <f t="shared" si="368"/>
        <v>-2350</v>
      </c>
      <c r="BQ357" s="173">
        <f t="shared" si="369"/>
        <v>0</v>
      </c>
      <c r="BR357" s="173">
        <f t="shared" si="370"/>
        <v>0</v>
      </c>
      <c r="BS357" s="173">
        <f t="shared" si="371"/>
        <v>0</v>
      </c>
      <c r="BT357" s="173">
        <f t="shared" si="372"/>
        <v>0</v>
      </c>
      <c r="BU357" s="173">
        <f t="shared" si="373"/>
        <v>6665.2758294253308</v>
      </c>
      <c r="BV357" s="173">
        <f t="shared" si="373"/>
        <v>-2350</v>
      </c>
      <c r="BW357" s="173">
        <f t="shared" si="374"/>
        <v>0</v>
      </c>
      <c r="BX357" s="173">
        <f t="shared" si="375"/>
        <v>0</v>
      </c>
      <c r="BY357" s="173">
        <f t="shared" si="376"/>
        <v>0</v>
      </c>
      <c r="BZ357" s="173">
        <f t="shared" si="377"/>
        <v>0</v>
      </c>
      <c r="CA357" s="173">
        <f t="shared" si="378"/>
        <v>7216.9543952462864</v>
      </c>
      <c r="CB357" s="173">
        <f t="shared" si="378"/>
        <v>-2350</v>
      </c>
      <c r="CC357" s="173">
        <f t="shared" si="379"/>
        <v>0</v>
      </c>
      <c r="CD357" s="173">
        <f t="shared" si="380"/>
        <v>0</v>
      </c>
      <c r="CE357" s="173">
        <f t="shared" si="381"/>
        <v>0</v>
      </c>
      <c r="CF357" s="173">
        <f t="shared" si="382"/>
        <v>0</v>
      </c>
      <c r="CG357" s="173">
        <f t="shared" si="383"/>
        <v>7768.6329610672419</v>
      </c>
      <c r="CH357" s="173">
        <f t="shared" si="383"/>
        <v>-2350</v>
      </c>
      <c r="CI357" s="173">
        <f t="shared" si="384"/>
        <v>0</v>
      </c>
      <c r="CJ357" s="173">
        <f t="shared" si="385"/>
        <v>0</v>
      </c>
      <c r="CK357" s="173">
        <f t="shared" si="386"/>
        <v>0</v>
      </c>
      <c r="CL357" s="173">
        <f t="shared" si="387"/>
        <v>0</v>
      </c>
      <c r="CM357" s="173">
        <f t="shared" si="388"/>
        <v>8320.3115268881993</v>
      </c>
      <c r="CN357" s="173">
        <f t="shared" si="388"/>
        <v>-2350</v>
      </c>
      <c r="CO357" s="173">
        <f t="shared" si="389"/>
        <v>0</v>
      </c>
      <c r="CP357" s="173">
        <f t="shared" si="390"/>
        <v>0</v>
      </c>
      <c r="CQ357" s="173">
        <f t="shared" si="391"/>
        <v>0</v>
      </c>
      <c r="CR357" s="173">
        <f t="shared" si="392"/>
        <v>0</v>
      </c>
      <c r="CS357" s="173">
        <f t="shared" si="393"/>
        <v>8871.9900927091549</v>
      </c>
      <c r="CT357" s="173">
        <f t="shared" si="393"/>
        <v>-2350</v>
      </c>
      <c r="CU357" s="173">
        <f t="shared" si="394"/>
        <v>0</v>
      </c>
      <c r="CV357" s="173">
        <f t="shared" si="395"/>
        <v>0</v>
      </c>
      <c r="CW357" s="173">
        <f t="shared" si="396"/>
        <v>0</v>
      </c>
      <c r="CX357" s="173">
        <f t="shared" si="397"/>
        <v>0</v>
      </c>
      <c r="CY357" s="173">
        <f t="shared" si="398"/>
        <v>9423.6686585301104</v>
      </c>
      <c r="CZ357" s="173">
        <f t="shared" si="398"/>
        <v>-2350</v>
      </c>
      <c r="DA357" s="173">
        <f t="shared" si="399"/>
        <v>0</v>
      </c>
      <c r="DB357" s="173">
        <f t="shared" si="400"/>
        <v>0</v>
      </c>
      <c r="DC357" s="173">
        <f t="shared" si="401"/>
        <v>0</v>
      </c>
      <c r="DD357" s="173">
        <f t="shared" si="402"/>
        <v>0</v>
      </c>
      <c r="DE357" s="173">
        <f t="shared" si="403"/>
        <v>9975.347224351066</v>
      </c>
    </row>
    <row r="358" spans="1:109" ht="15" customHeight="1" x14ac:dyDescent="0.25">
      <c r="A358" s="121"/>
      <c r="B358" s="334"/>
      <c r="C358" s="158">
        <f>C359-$G$441</f>
        <v>1.7719039595619215</v>
      </c>
      <c r="D358" s="157">
        <f t="shared" si="348"/>
        <v>0.20192173851104811</v>
      </c>
      <c r="E358" s="157">
        <f t="shared" si="349"/>
        <v>0.22362186980978671</v>
      </c>
      <c r="F358" s="157">
        <f t="shared" si="350"/>
        <v>0.2438836288797519</v>
      </c>
      <c r="G358" s="157">
        <f t="shared" si="351"/>
        <v>0.26290523526009313</v>
      </c>
      <c r="H358" s="157">
        <f t="shared" si="352"/>
        <v>0.28084541841584931</v>
      </c>
      <c r="I358" s="157">
        <f t="shared" si="353"/>
        <v>0.29783339002504339</v>
      </c>
      <c r="J358" s="157">
        <f t="shared" si="354"/>
        <v>0.31397583238865745</v>
      </c>
      <c r="K358" s="157">
        <f t="shared" si="355"/>
        <v>0.32936191874679355</v>
      </c>
      <c r="L358" s="157">
        <f t="shared" si="356"/>
        <v>0.34406699846377653</v>
      </c>
      <c r="M358" s="121"/>
      <c r="N358" s="121"/>
      <c r="O358" s="121"/>
      <c r="P358" s="121"/>
      <c r="Q358" s="121"/>
      <c r="AT358" s="154">
        <f t="shared" si="357"/>
        <v>0</v>
      </c>
      <c r="AU358" s="154">
        <f t="shared" si="357"/>
        <v>0</v>
      </c>
      <c r="AV358" s="154">
        <f t="shared" si="357"/>
        <v>0</v>
      </c>
      <c r="AW358" s="154">
        <f t="shared" si="357"/>
        <v>0</v>
      </c>
      <c r="AX358" s="154">
        <f t="shared" si="357"/>
        <v>1</v>
      </c>
      <c r="AY358" s="154">
        <f t="shared" si="357"/>
        <v>3</v>
      </c>
      <c r="AZ358" s="154">
        <f t="shared" si="357"/>
        <v>4</v>
      </c>
      <c r="BA358" s="154">
        <f t="shared" si="357"/>
        <v>6</v>
      </c>
      <c r="BB358" s="154">
        <f t="shared" si="357"/>
        <v>7</v>
      </c>
      <c r="BD358" s="173">
        <f t="shared" si="358"/>
        <v>-2350</v>
      </c>
      <c r="BE358" s="173">
        <f t="shared" si="359"/>
        <v>0</v>
      </c>
      <c r="BF358" s="173">
        <f t="shared" si="360"/>
        <v>0</v>
      </c>
      <c r="BG358" s="173">
        <f t="shared" si="361"/>
        <v>0</v>
      </c>
      <c r="BH358" s="173">
        <f t="shared" si="362"/>
        <v>0</v>
      </c>
      <c r="BI358" s="173">
        <f t="shared" si="363"/>
        <v>5894.5249833814651</v>
      </c>
      <c r="BJ358" s="173">
        <f t="shared" si="363"/>
        <v>-2350</v>
      </c>
      <c r="BK358" s="173">
        <f t="shared" si="364"/>
        <v>0</v>
      </c>
      <c r="BL358" s="173">
        <f t="shared" si="365"/>
        <v>0</v>
      </c>
      <c r="BM358" s="173">
        <f t="shared" si="366"/>
        <v>0</v>
      </c>
      <c r="BN358" s="173">
        <f t="shared" si="367"/>
        <v>0</v>
      </c>
      <c r="BO358" s="173">
        <f t="shared" si="368"/>
        <v>6446.2035492024206</v>
      </c>
      <c r="BP358" s="173">
        <f t="shared" si="368"/>
        <v>-2350</v>
      </c>
      <c r="BQ358" s="173">
        <f t="shared" si="369"/>
        <v>0</v>
      </c>
      <c r="BR358" s="173">
        <f t="shared" si="370"/>
        <v>0</v>
      </c>
      <c r="BS358" s="173">
        <f t="shared" si="371"/>
        <v>0</v>
      </c>
      <c r="BT358" s="173">
        <f t="shared" si="372"/>
        <v>0</v>
      </c>
      <c r="BU358" s="173">
        <f t="shared" si="373"/>
        <v>6997.882115023378</v>
      </c>
      <c r="BV358" s="173">
        <f t="shared" si="373"/>
        <v>-2350</v>
      </c>
      <c r="BW358" s="173">
        <f t="shared" si="374"/>
        <v>0</v>
      </c>
      <c r="BX358" s="173">
        <f t="shared" si="375"/>
        <v>0</v>
      </c>
      <c r="BY358" s="173">
        <f t="shared" si="376"/>
        <v>0</v>
      </c>
      <c r="BZ358" s="173">
        <f t="shared" si="377"/>
        <v>0</v>
      </c>
      <c r="CA358" s="173">
        <f t="shared" si="378"/>
        <v>7549.5606808443335</v>
      </c>
      <c r="CB358" s="173">
        <f t="shared" si="378"/>
        <v>-2350</v>
      </c>
      <c r="CC358" s="173">
        <f t="shared" si="379"/>
        <v>0</v>
      </c>
      <c r="CD358" s="173">
        <f t="shared" si="380"/>
        <v>0</v>
      </c>
      <c r="CE358" s="173">
        <f t="shared" si="381"/>
        <v>0</v>
      </c>
      <c r="CF358" s="173">
        <f t="shared" si="382"/>
        <v>0</v>
      </c>
      <c r="CG358" s="173">
        <f t="shared" si="383"/>
        <v>8101.2392466652891</v>
      </c>
      <c r="CH358" s="173">
        <f t="shared" si="383"/>
        <v>-2350</v>
      </c>
      <c r="CI358" s="173">
        <f t="shared" si="384"/>
        <v>0</v>
      </c>
      <c r="CJ358" s="173">
        <f t="shared" si="385"/>
        <v>0</v>
      </c>
      <c r="CK358" s="173">
        <f t="shared" si="386"/>
        <v>0</v>
      </c>
      <c r="CL358" s="173">
        <f t="shared" si="387"/>
        <v>0</v>
      </c>
      <c r="CM358" s="173">
        <f t="shared" si="388"/>
        <v>8652.9178124862465</v>
      </c>
      <c r="CN358" s="173">
        <f t="shared" si="388"/>
        <v>-2350</v>
      </c>
      <c r="CO358" s="173">
        <f t="shared" si="389"/>
        <v>0</v>
      </c>
      <c r="CP358" s="173">
        <f t="shared" si="390"/>
        <v>0</v>
      </c>
      <c r="CQ358" s="173">
        <f t="shared" si="391"/>
        <v>0</v>
      </c>
      <c r="CR358" s="173">
        <f t="shared" si="392"/>
        <v>0</v>
      </c>
      <c r="CS358" s="173">
        <f t="shared" si="393"/>
        <v>9204.596378307202</v>
      </c>
      <c r="CT358" s="173">
        <f t="shared" si="393"/>
        <v>-2350</v>
      </c>
      <c r="CU358" s="173">
        <f t="shared" si="394"/>
        <v>0</v>
      </c>
      <c r="CV358" s="173">
        <f t="shared" si="395"/>
        <v>0</v>
      </c>
      <c r="CW358" s="173">
        <f t="shared" si="396"/>
        <v>0</v>
      </c>
      <c r="CX358" s="173">
        <f t="shared" si="397"/>
        <v>0</v>
      </c>
      <c r="CY358" s="173">
        <f t="shared" si="398"/>
        <v>9756.2749441281576</v>
      </c>
      <c r="CZ358" s="173">
        <f t="shared" si="398"/>
        <v>-2350</v>
      </c>
      <c r="DA358" s="173">
        <f t="shared" si="399"/>
        <v>0</v>
      </c>
      <c r="DB358" s="173">
        <f t="shared" si="400"/>
        <v>0</v>
      </c>
      <c r="DC358" s="173">
        <f t="shared" si="401"/>
        <v>0</v>
      </c>
      <c r="DD358" s="173">
        <f t="shared" si="402"/>
        <v>0</v>
      </c>
      <c r="DE358" s="173">
        <f t="shared" si="403"/>
        <v>10307.953509949115</v>
      </c>
    </row>
    <row r="359" spans="1:109" ht="15" customHeight="1" x14ac:dyDescent="0.25">
      <c r="A359" s="121"/>
      <c r="B359" s="334"/>
      <c r="C359" s="158">
        <f>$G$440</f>
        <v>2.0219039595619215</v>
      </c>
      <c r="D359" s="157">
        <f t="shared" si="348"/>
        <v>0.21518956551814106</v>
      </c>
      <c r="E359" s="157">
        <f t="shared" si="349"/>
        <v>0.23599614927760104</v>
      </c>
      <c r="F359" s="157">
        <f t="shared" si="350"/>
        <v>0.25548928254937642</v>
      </c>
      <c r="G359" s="157">
        <f t="shared" si="351"/>
        <v>0.27384196956646312</v>
      </c>
      <c r="H359" s="159">
        <f t="shared" si="352"/>
        <v>0.29119416880747617</v>
      </c>
      <c r="I359" s="157">
        <f t="shared" si="353"/>
        <v>0.30766081563496583</v>
      </c>
      <c r="J359" s="157">
        <f t="shared" si="354"/>
        <v>0.32333753157222067</v>
      </c>
      <c r="K359" s="157">
        <f t="shared" si="355"/>
        <v>0.33830478091013427</v>
      </c>
      <c r="L359" s="157">
        <f t="shared" si="356"/>
        <v>0.35263095756566987</v>
      </c>
      <c r="M359" s="121"/>
      <c r="N359" s="121"/>
      <c r="O359" s="121"/>
      <c r="P359" s="121"/>
      <c r="Q359" s="121"/>
      <c r="AT359" s="154">
        <f t="shared" si="357"/>
        <v>0</v>
      </c>
      <c r="AU359" s="154">
        <f t="shared" si="357"/>
        <v>0</v>
      </c>
      <c r="AV359" s="154">
        <f t="shared" si="357"/>
        <v>0</v>
      </c>
      <c r="AW359" s="154">
        <f t="shared" si="357"/>
        <v>1</v>
      </c>
      <c r="AX359" s="154">
        <f t="shared" si="357"/>
        <v>2</v>
      </c>
      <c r="AY359" s="154">
        <f t="shared" si="357"/>
        <v>4</v>
      </c>
      <c r="AZ359" s="154">
        <f t="shared" si="357"/>
        <v>5</v>
      </c>
      <c r="BA359" s="154">
        <f t="shared" si="357"/>
        <v>6</v>
      </c>
      <c r="BB359" s="154">
        <f t="shared" si="357"/>
        <v>8</v>
      </c>
      <c r="BD359" s="173">
        <f t="shared" si="358"/>
        <v>-2350</v>
      </c>
      <c r="BE359" s="173">
        <f t="shared" si="359"/>
        <v>0</v>
      </c>
      <c r="BF359" s="173">
        <f t="shared" si="360"/>
        <v>0</v>
      </c>
      <c r="BG359" s="173">
        <f t="shared" si="361"/>
        <v>0</v>
      </c>
      <c r="BH359" s="173">
        <f t="shared" si="362"/>
        <v>0</v>
      </c>
      <c r="BI359" s="173">
        <f t="shared" si="363"/>
        <v>6227.1312689795122</v>
      </c>
      <c r="BJ359" s="173">
        <f t="shared" si="363"/>
        <v>-2350</v>
      </c>
      <c r="BK359" s="173">
        <f t="shared" si="364"/>
        <v>0</v>
      </c>
      <c r="BL359" s="173">
        <f t="shared" si="365"/>
        <v>0</v>
      </c>
      <c r="BM359" s="173">
        <f t="shared" si="366"/>
        <v>0</v>
      </c>
      <c r="BN359" s="173">
        <f t="shared" si="367"/>
        <v>0</v>
      </c>
      <c r="BO359" s="173">
        <f t="shared" si="368"/>
        <v>6778.8098348004687</v>
      </c>
      <c r="BP359" s="173">
        <f t="shared" si="368"/>
        <v>-2350</v>
      </c>
      <c r="BQ359" s="173">
        <f t="shared" si="369"/>
        <v>0</v>
      </c>
      <c r="BR359" s="173">
        <f t="shared" si="370"/>
        <v>0</v>
      </c>
      <c r="BS359" s="173">
        <f t="shared" si="371"/>
        <v>0</v>
      </c>
      <c r="BT359" s="173">
        <f t="shared" si="372"/>
        <v>0</v>
      </c>
      <c r="BU359" s="173">
        <f t="shared" si="373"/>
        <v>7330.4884006214243</v>
      </c>
      <c r="BV359" s="173">
        <f t="shared" si="373"/>
        <v>-2350</v>
      </c>
      <c r="BW359" s="173">
        <f t="shared" si="374"/>
        <v>0</v>
      </c>
      <c r="BX359" s="173">
        <f t="shared" si="375"/>
        <v>0</v>
      </c>
      <c r="BY359" s="173">
        <f t="shared" si="376"/>
        <v>0</v>
      </c>
      <c r="BZ359" s="173">
        <f t="shared" si="377"/>
        <v>0</v>
      </c>
      <c r="CA359" s="173">
        <f t="shared" si="378"/>
        <v>7882.1669664423807</v>
      </c>
      <c r="CB359" s="173">
        <f t="shared" si="378"/>
        <v>-2350</v>
      </c>
      <c r="CC359" s="173">
        <f t="shared" si="379"/>
        <v>0</v>
      </c>
      <c r="CD359" s="173">
        <f t="shared" si="380"/>
        <v>0</v>
      </c>
      <c r="CE359" s="173">
        <f t="shared" si="381"/>
        <v>0</v>
      </c>
      <c r="CF359" s="173">
        <f t="shared" si="382"/>
        <v>0</v>
      </c>
      <c r="CG359" s="173">
        <f t="shared" si="383"/>
        <v>8433.8455322633381</v>
      </c>
      <c r="CH359" s="173">
        <f t="shared" si="383"/>
        <v>-2350</v>
      </c>
      <c r="CI359" s="173">
        <f t="shared" si="384"/>
        <v>0</v>
      </c>
      <c r="CJ359" s="173">
        <f t="shared" si="385"/>
        <v>0</v>
      </c>
      <c r="CK359" s="173">
        <f t="shared" si="386"/>
        <v>0</v>
      </c>
      <c r="CL359" s="173">
        <f t="shared" si="387"/>
        <v>0</v>
      </c>
      <c r="CM359" s="173">
        <f t="shared" si="388"/>
        <v>8985.5240980842937</v>
      </c>
      <c r="CN359" s="173">
        <f t="shared" si="388"/>
        <v>-2350</v>
      </c>
      <c r="CO359" s="173">
        <f t="shared" si="389"/>
        <v>0</v>
      </c>
      <c r="CP359" s="173">
        <f t="shared" si="390"/>
        <v>0</v>
      </c>
      <c r="CQ359" s="173">
        <f t="shared" si="391"/>
        <v>0</v>
      </c>
      <c r="CR359" s="173">
        <f t="shared" si="392"/>
        <v>0</v>
      </c>
      <c r="CS359" s="173">
        <f t="shared" si="393"/>
        <v>9537.2026639052492</v>
      </c>
      <c r="CT359" s="173">
        <f t="shared" si="393"/>
        <v>-2350</v>
      </c>
      <c r="CU359" s="173">
        <f t="shared" si="394"/>
        <v>0</v>
      </c>
      <c r="CV359" s="173">
        <f t="shared" si="395"/>
        <v>0</v>
      </c>
      <c r="CW359" s="173">
        <f t="shared" si="396"/>
        <v>0</v>
      </c>
      <c r="CX359" s="173">
        <f t="shared" si="397"/>
        <v>0</v>
      </c>
      <c r="CY359" s="173">
        <f t="shared" si="398"/>
        <v>10088.881229726205</v>
      </c>
      <c r="CZ359" s="173">
        <f t="shared" si="398"/>
        <v>-2350</v>
      </c>
      <c r="DA359" s="173">
        <f t="shared" si="399"/>
        <v>0</v>
      </c>
      <c r="DB359" s="173">
        <f t="shared" si="400"/>
        <v>0</v>
      </c>
      <c r="DC359" s="173">
        <f t="shared" si="401"/>
        <v>0</v>
      </c>
      <c r="DD359" s="173">
        <f t="shared" si="402"/>
        <v>0</v>
      </c>
      <c r="DE359" s="173">
        <f t="shared" si="403"/>
        <v>10640.55979554716</v>
      </c>
    </row>
    <row r="360" spans="1:109" ht="15" customHeight="1" x14ac:dyDescent="0.25">
      <c r="A360" s="121"/>
      <c r="B360" s="334"/>
      <c r="C360" s="158">
        <f>C359+$G$441</f>
        <v>2.2719039595619215</v>
      </c>
      <c r="D360" s="157">
        <f t="shared" si="348"/>
        <v>0.22790203859904667</v>
      </c>
      <c r="E360" s="157">
        <f t="shared" si="349"/>
        <v>0.2478938544121374</v>
      </c>
      <c r="F360" s="157">
        <f t="shared" si="350"/>
        <v>0.26668102814363137</v>
      </c>
      <c r="G360" s="157">
        <f t="shared" si="351"/>
        <v>0.28441551695030309</v>
      </c>
      <c r="H360" s="157">
        <f t="shared" si="352"/>
        <v>0.30122140139452713</v>
      </c>
      <c r="I360" s="157">
        <f t="shared" si="353"/>
        <v>0.31720140155646903</v>
      </c>
      <c r="J360" s="157">
        <f t="shared" si="354"/>
        <v>0.33244157998377255</v>
      </c>
      <c r="K360" s="157">
        <f t="shared" si="355"/>
        <v>0.34701480809115437</v>
      </c>
      <c r="L360" s="157">
        <f t="shared" si="356"/>
        <v>0.36098336836258871</v>
      </c>
      <c r="M360" s="121"/>
      <c r="N360" s="121"/>
      <c r="O360" s="121"/>
      <c r="P360" s="121"/>
      <c r="Q360" s="121"/>
      <c r="AT360" s="154">
        <f t="shared" si="357"/>
        <v>0</v>
      </c>
      <c r="AU360" s="154">
        <f t="shared" si="357"/>
        <v>0</v>
      </c>
      <c r="AV360" s="154">
        <f t="shared" si="357"/>
        <v>0</v>
      </c>
      <c r="AW360" s="154">
        <f t="shared" si="357"/>
        <v>1</v>
      </c>
      <c r="AX360" s="154">
        <f t="shared" si="357"/>
        <v>3</v>
      </c>
      <c r="AY360" s="154">
        <f t="shared" si="357"/>
        <v>4</v>
      </c>
      <c r="AZ360" s="154">
        <f t="shared" si="357"/>
        <v>6</v>
      </c>
      <c r="BA360" s="154">
        <f t="shared" si="357"/>
        <v>7</v>
      </c>
      <c r="BB360" s="154">
        <f t="shared" si="357"/>
        <v>9</v>
      </c>
      <c r="BD360" s="173">
        <f t="shared" si="358"/>
        <v>-2350</v>
      </c>
      <c r="BE360" s="173">
        <f t="shared" si="359"/>
        <v>0</v>
      </c>
      <c r="BF360" s="173">
        <f t="shared" si="360"/>
        <v>0</v>
      </c>
      <c r="BG360" s="173">
        <f t="shared" si="361"/>
        <v>0</v>
      </c>
      <c r="BH360" s="173">
        <f t="shared" si="362"/>
        <v>0</v>
      </c>
      <c r="BI360" s="173">
        <f t="shared" si="363"/>
        <v>6559.7375545775594</v>
      </c>
      <c r="BJ360" s="173">
        <f t="shared" si="363"/>
        <v>-2350</v>
      </c>
      <c r="BK360" s="173">
        <f t="shared" si="364"/>
        <v>0</v>
      </c>
      <c r="BL360" s="173">
        <f t="shared" si="365"/>
        <v>0</v>
      </c>
      <c r="BM360" s="173">
        <f t="shared" si="366"/>
        <v>0</v>
      </c>
      <c r="BN360" s="173">
        <f t="shared" si="367"/>
        <v>0</v>
      </c>
      <c r="BO360" s="173">
        <f t="shared" si="368"/>
        <v>7111.4161203985159</v>
      </c>
      <c r="BP360" s="173">
        <f t="shared" si="368"/>
        <v>-2350</v>
      </c>
      <c r="BQ360" s="173">
        <f t="shared" si="369"/>
        <v>0</v>
      </c>
      <c r="BR360" s="173">
        <f t="shared" si="370"/>
        <v>0</v>
      </c>
      <c r="BS360" s="173">
        <f t="shared" si="371"/>
        <v>0</v>
      </c>
      <c r="BT360" s="173">
        <f t="shared" si="372"/>
        <v>0</v>
      </c>
      <c r="BU360" s="173">
        <f t="shared" si="373"/>
        <v>7663.0946862194724</v>
      </c>
      <c r="BV360" s="173">
        <f t="shared" si="373"/>
        <v>-2350</v>
      </c>
      <c r="BW360" s="173">
        <f t="shared" si="374"/>
        <v>0</v>
      </c>
      <c r="BX360" s="173">
        <f t="shared" si="375"/>
        <v>0</v>
      </c>
      <c r="BY360" s="173">
        <f t="shared" si="376"/>
        <v>0</v>
      </c>
      <c r="BZ360" s="173">
        <f t="shared" si="377"/>
        <v>0</v>
      </c>
      <c r="CA360" s="173">
        <f t="shared" si="378"/>
        <v>8214.7732520404279</v>
      </c>
      <c r="CB360" s="173">
        <f t="shared" si="378"/>
        <v>-2350</v>
      </c>
      <c r="CC360" s="173">
        <f t="shared" si="379"/>
        <v>0</v>
      </c>
      <c r="CD360" s="173">
        <f t="shared" si="380"/>
        <v>0</v>
      </c>
      <c r="CE360" s="173">
        <f t="shared" si="381"/>
        <v>0</v>
      </c>
      <c r="CF360" s="173">
        <f t="shared" si="382"/>
        <v>0</v>
      </c>
      <c r="CG360" s="173">
        <f t="shared" si="383"/>
        <v>8766.4518178613835</v>
      </c>
      <c r="CH360" s="173">
        <f t="shared" si="383"/>
        <v>-2350</v>
      </c>
      <c r="CI360" s="173">
        <f t="shared" si="384"/>
        <v>0</v>
      </c>
      <c r="CJ360" s="173">
        <f t="shared" si="385"/>
        <v>0</v>
      </c>
      <c r="CK360" s="173">
        <f t="shared" si="386"/>
        <v>0</v>
      </c>
      <c r="CL360" s="173">
        <f t="shared" si="387"/>
        <v>0</v>
      </c>
      <c r="CM360" s="173">
        <f t="shared" si="388"/>
        <v>9318.130383682339</v>
      </c>
      <c r="CN360" s="173">
        <f t="shared" si="388"/>
        <v>-2350</v>
      </c>
      <c r="CO360" s="173">
        <f t="shared" si="389"/>
        <v>0</v>
      </c>
      <c r="CP360" s="173">
        <f t="shared" si="390"/>
        <v>0</v>
      </c>
      <c r="CQ360" s="173">
        <f t="shared" si="391"/>
        <v>0</v>
      </c>
      <c r="CR360" s="173">
        <f t="shared" si="392"/>
        <v>0</v>
      </c>
      <c r="CS360" s="173">
        <f t="shared" si="393"/>
        <v>9869.8089495032964</v>
      </c>
      <c r="CT360" s="173">
        <f t="shared" si="393"/>
        <v>-2350</v>
      </c>
      <c r="CU360" s="173">
        <f t="shared" si="394"/>
        <v>0</v>
      </c>
      <c r="CV360" s="173">
        <f t="shared" si="395"/>
        <v>0</v>
      </c>
      <c r="CW360" s="173">
        <f t="shared" si="396"/>
        <v>0</v>
      </c>
      <c r="CX360" s="173">
        <f t="shared" si="397"/>
        <v>0</v>
      </c>
      <c r="CY360" s="173">
        <f t="shared" si="398"/>
        <v>10421.487515324252</v>
      </c>
      <c r="CZ360" s="173">
        <f t="shared" si="398"/>
        <v>-2350</v>
      </c>
      <c r="DA360" s="173">
        <f t="shared" si="399"/>
        <v>0</v>
      </c>
      <c r="DB360" s="173">
        <f t="shared" si="400"/>
        <v>0</v>
      </c>
      <c r="DC360" s="173">
        <f t="shared" si="401"/>
        <v>0</v>
      </c>
      <c r="DD360" s="173">
        <f t="shared" si="402"/>
        <v>0</v>
      </c>
      <c r="DE360" s="173">
        <f t="shared" si="403"/>
        <v>10973.166081145209</v>
      </c>
    </row>
    <row r="361" spans="1:109" ht="15" customHeight="1" x14ac:dyDescent="0.25">
      <c r="A361" s="121"/>
      <c r="B361" s="334"/>
      <c r="C361" s="158">
        <f>C360+$G$441</f>
        <v>2.5219039595619215</v>
      </c>
      <c r="D361" s="157">
        <f t="shared" si="348"/>
        <v>0.24010887205060771</v>
      </c>
      <c r="E361" s="157">
        <f t="shared" si="349"/>
        <v>0.25935439422310358</v>
      </c>
      <c r="F361" s="157">
        <f t="shared" si="350"/>
        <v>0.27749066791664023</v>
      </c>
      <c r="G361" s="157">
        <f t="shared" si="351"/>
        <v>0.29465193659347211</v>
      </c>
      <c r="H361" s="157">
        <f t="shared" si="352"/>
        <v>0.31094875427053492</v>
      </c>
      <c r="I361" s="157">
        <f t="shared" si="353"/>
        <v>0.32647332437668086</v>
      </c>
      <c r="J361" s="157">
        <f t="shared" si="354"/>
        <v>0.34130340348059951</v>
      </c>
      <c r="K361" s="157">
        <f t="shared" si="355"/>
        <v>0.35550521131979917</v>
      </c>
      <c r="L361" s="157">
        <f t="shared" si="356"/>
        <v>0.3691356375237298</v>
      </c>
      <c r="M361" s="121"/>
      <c r="N361" s="121"/>
      <c r="O361" s="121"/>
      <c r="P361" s="121"/>
      <c r="Q361" s="121"/>
      <c r="AT361" s="154">
        <f t="shared" si="357"/>
        <v>0</v>
      </c>
      <c r="AU361" s="154">
        <f t="shared" si="357"/>
        <v>0</v>
      </c>
      <c r="AV361" s="154">
        <f t="shared" si="357"/>
        <v>1</v>
      </c>
      <c r="AW361" s="154">
        <f t="shared" si="357"/>
        <v>2</v>
      </c>
      <c r="AX361" s="154">
        <f t="shared" si="357"/>
        <v>4</v>
      </c>
      <c r="AY361" s="154">
        <f t="shared" si="357"/>
        <v>5</v>
      </c>
      <c r="AZ361" s="154">
        <f t="shared" si="357"/>
        <v>7</v>
      </c>
      <c r="BA361" s="154">
        <f t="shared" si="357"/>
        <v>8</v>
      </c>
      <c r="BB361" s="154">
        <f t="shared" si="357"/>
        <v>10</v>
      </c>
      <c r="BD361" s="173">
        <f t="shared" si="358"/>
        <v>-2350</v>
      </c>
      <c r="BE361" s="173">
        <f t="shared" si="359"/>
        <v>0</v>
      </c>
      <c r="BF361" s="173">
        <f t="shared" si="360"/>
        <v>0</v>
      </c>
      <c r="BG361" s="173">
        <f t="shared" si="361"/>
        <v>0</v>
      </c>
      <c r="BH361" s="173">
        <f t="shared" si="362"/>
        <v>0</v>
      </c>
      <c r="BI361" s="173">
        <f t="shared" si="363"/>
        <v>6892.3438401756066</v>
      </c>
      <c r="BJ361" s="173">
        <f t="shared" si="363"/>
        <v>-2350</v>
      </c>
      <c r="BK361" s="173">
        <f t="shared" si="364"/>
        <v>0</v>
      </c>
      <c r="BL361" s="173">
        <f t="shared" si="365"/>
        <v>0</v>
      </c>
      <c r="BM361" s="173">
        <f t="shared" si="366"/>
        <v>0</v>
      </c>
      <c r="BN361" s="173">
        <f t="shared" si="367"/>
        <v>0</v>
      </c>
      <c r="BO361" s="173">
        <f t="shared" si="368"/>
        <v>7444.0224059965631</v>
      </c>
      <c r="BP361" s="173">
        <f t="shared" si="368"/>
        <v>-2350</v>
      </c>
      <c r="BQ361" s="173">
        <f t="shared" si="369"/>
        <v>0</v>
      </c>
      <c r="BR361" s="173">
        <f t="shared" si="370"/>
        <v>0</v>
      </c>
      <c r="BS361" s="173">
        <f t="shared" si="371"/>
        <v>0</v>
      </c>
      <c r="BT361" s="173">
        <f t="shared" si="372"/>
        <v>0</v>
      </c>
      <c r="BU361" s="173">
        <f t="shared" si="373"/>
        <v>7995.7009718175177</v>
      </c>
      <c r="BV361" s="173">
        <f t="shared" si="373"/>
        <v>-2350</v>
      </c>
      <c r="BW361" s="173">
        <f t="shared" si="374"/>
        <v>0</v>
      </c>
      <c r="BX361" s="173">
        <f t="shared" si="375"/>
        <v>0</v>
      </c>
      <c r="BY361" s="173">
        <f t="shared" si="376"/>
        <v>0</v>
      </c>
      <c r="BZ361" s="173">
        <f t="shared" si="377"/>
        <v>0</v>
      </c>
      <c r="CA361" s="173">
        <f t="shared" si="378"/>
        <v>8547.3795376384733</v>
      </c>
      <c r="CB361" s="173">
        <f t="shared" si="378"/>
        <v>-2350</v>
      </c>
      <c r="CC361" s="173">
        <f t="shared" si="379"/>
        <v>0</v>
      </c>
      <c r="CD361" s="173">
        <f t="shared" si="380"/>
        <v>0</v>
      </c>
      <c r="CE361" s="173">
        <f t="shared" si="381"/>
        <v>0</v>
      </c>
      <c r="CF361" s="173">
        <f t="shared" si="382"/>
        <v>0</v>
      </c>
      <c r="CG361" s="173">
        <f t="shared" si="383"/>
        <v>9099.0581034594325</v>
      </c>
      <c r="CH361" s="173">
        <f t="shared" si="383"/>
        <v>-2350</v>
      </c>
      <c r="CI361" s="173">
        <f t="shared" si="384"/>
        <v>0</v>
      </c>
      <c r="CJ361" s="173">
        <f t="shared" si="385"/>
        <v>0</v>
      </c>
      <c r="CK361" s="173">
        <f t="shared" si="386"/>
        <v>0</v>
      </c>
      <c r="CL361" s="173">
        <f t="shared" si="387"/>
        <v>0</v>
      </c>
      <c r="CM361" s="173">
        <f t="shared" si="388"/>
        <v>9650.736669280388</v>
      </c>
      <c r="CN361" s="173">
        <f t="shared" si="388"/>
        <v>-2350</v>
      </c>
      <c r="CO361" s="173">
        <f t="shared" si="389"/>
        <v>0</v>
      </c>
      <c r="CP361" s="173">
        <f t="shared" si="390"/>
        <v>0</v>
      </c>
      <c r="CQ361" s="173">
        <f t="shared" si="391"/>
        <v>0</v>
      </c>
      <c r="CR361" s="173">
        <f t="shared" si="392"/>
        <v>0</v>
      </c>
      <c r="CS361" s="173">
        <f t="shared" si="393"/>
        <v>10202.415235101344</v>
      </c>
      <c r="CT361" s="173">
        <f t="shared" si="393"/>
        <v>-2350</v>
      </c>
      <c r="CU361" s="173">
        <f t="shared" si="394"/>
        <v>0</v>
      </c>
      <c r="CV361" s="173">
        <f t="shared" si="395"/>
        <v>0</v>
      </c>
      <c r="CW361" s="173">
        <f t="shared" si="396"/>
        <v>0</v>
      </c>
      <c r="CX361" s="173">
        <f t="shared" si="397"/>
        <v>0</v>
      </c>
      <c r="CY361" s="173">
        <f t="shared" si="398"/>
        <v>10754.093800922299</v>
      </c>
      <c r="CZ361" s="173">
        <f t="shared" si="398"/>
        <v>-2350</v>
      </c>
      <c r="DA361" s="173">
        <f t="shared" si="399"/>
        <v>0</v>
      </c>
      <c r="DB361" s="173">
        <f t="shared" si="400"/>
        <v>0</v>
      </c>
      <c r="DC361" s="173">
        <f t="shared" si="401"/>
        <v>0</v>
      </c>
      <c r="DD361" s="173">
        <f t="shared" si="402"/>
        <v>0</v>
      </c>
      <c r="DE361" s="173">
        <f t="shared" si="403"/>
        <v>11305.772366743255</v>
      </c>
    </row>
    <row r="362" spans="1:109" ht="15" customHeight="1" x14ac:dyDescent="0.25">
      <c r="A362" s="121"/>
      <c r="B362" s="335"/>
      <c r="C362" s="156">
        <f>C361+$G$441</f>
        <v>2.7719039595619215</v>
      </c>
      <c r="D362" s="155">
        <f t="shared" si="348"/>
        <v>0.25185318392007638</v>
      </c>
      <c r="E362" s="155">
        <f t="shared" si="349"/>
        <v>0.27041233016450272</v>
      </c>
      <c r="F362" s="155">
        <f t="shared" si="350"/>
        <v>0.28794635812108238</v>
      </c>
      <c r="G362" s="155">
        <f t="shared" si="351"/>
        <v>0.30457449022235505</v>
      </c>
      <c r="H362" s="155">
        <f t="shared" si="352"/>
        <v>0.32039568158616216</v>
      </c>
      <c r="I362" s="155">
        <f t="shared" si="353"/>
        <v>0.3354930296852956</v>
      </c>
      <c r="J362" s="155">
        <f t="shared" si="354"/>
        <v>0.34993703736771442</v>
      </c>
      <c r="K362" s="155">
        <f t="shared" si="355"/>
        <v>0.36378807112064981</v>
      </c>
      <c r="L362" s="155">
        <f t="shared" si="356"/>
        <v>0.37709824272639225</v>
      </c>
      <c r="M362" s="121"/>
      <c r="N362" s="121"/>
      <c r="O362" s="121"/>
      <c r="P362" s="121"/>
      <c r="Q362" s="121"/>
      <c r="AT362" s="154">
        <f t="shared" si="357"/>
        <v>0</v>
      </c>
      <c r="AU362" s="154">
        <f t="shared" si="357"/>
        <v>0</v>
      </c>
      <c r="AV362" s="154">
        <f t="shared" si="357"/>
        <v>2</v>
      </c>
      <c r="AW362" s="154">
        <f t="shared" si="357"/>
        <v>3</v>
      </c>
      <c r="AX362" s="154">
        <f t="shared" si="357"/>
        <v>5</v>
      </c>
      <c r="AY362" s="154">
        <f t="shared" si="357"/>
        <v>6</v>
      </c>
      <c r="AZ362" s="154">
        <f t="shared" si="357"/>
        <v>8</v>
      </c>
      <c r="BA362" s="154">
        <f t="shared" si="357"/>
        <v>9</v>
      </c>
      <c r="BB362" s="154">
        <f t="shared" si="357"/>
        <v>10</v>
      </c>
      <c r="BD362" s="173">
        <f t="shared" si="358"/>
        <v>-2350</v>
      </c>
      <c r="BE362" s="173">
        <f t="shared" si="359"/>
        <v>0</v>
      </c>
      <c r="BF362" s="173">
        <f t="shared" si="360"/>
        <v>0</v>
      </c>
      <c r="BG362" s="173">
        <f t="shared" si="361"/>
        <v>0</v>
      </c>
      <c r="BH362" s="173">
        <f t="shared" si="362"/>
        <v>0</v>
      </c>
      <c r="BI362" s="173">
        <f t="shared" si="363"/>
        <v>7224.9501257736538</v>
      </c>
      <c r="BJ362" s="173">
        <f t="shared" si="363"/>
        <v>-2350</v>
      </c>
      <c r="BK362" s="173">
        <f t="shared" si="364"/>
        <v>0</v>
      </c>
      <c r="BL362" s="173">
        <f t="shared" si="365"/>
        <v>0</v>
      </c>
      <c r="BM362" s="173">
        <f t="shared" si="366"/>
        <v>0</v>
      </c>
      <c r="BN362" s="173">
        <f t="shared" si="367"/>
        <v>0</v>
      </c>
      <c r="BO362" s="173">
        <f t="shared" si="368"/>
        <v>7776.6286915946112</v>
      </c>
      <c r="BP362" s="173">
        <f t="shared" si="368"/>
        <v>-2350</v>
      </c>
      <c r="BQ362" s="173">
        <f t="shared" si="369"/>
        <v>0</v>
      </c>
      <c r="BR362" s="173">
        <f t="shared" si="370"/>
        <v>0</v>
      </c>
      <c r="BS362" s="173">
        <f t="shared" si="371"/>
        <v>0</v>
      </c>
      <c r="BT362" s="173">
        <f t="shared" si="372"/>
        <v>0</v>
      </c>
      <c r="BU362" s="173">
        <f t="shared" si="373"/>
        <v>8328.3072574155667</v>
      </c>
      <c r="BV362" s="173">
        <f t="shared" si="373"/>
        <v>-2350</v>
      </c>
      <c r="BW362" s="173">
        <f t="shared" si="374"/>
        <v>0</v>
      </c>
      <c r="BX362" s="173">
        <f t="shared" si="375"/>
        <v>0</v>
      </c>
      <c r="BY362" s="173">
        <f t="shared" si="376"/>
        <v>0</v>
      </c>
      <c r="BZ362" s="173">
        <f t="shared" si="377"/>
        <v>0</v>
      </c>
      <c r="CA362" s="173">
        <f t="shared" si="378"/>
        <v>8879.9858232365223</v>
      </c>
      <c r="CB362" s="173">
        <f t="shared" si="378"/>
        <v>-2350</v>
      </c>
      <c r="CC362" s="173">
        <f t="shared" si="379"/>
        <v>0</v>
      </c>
      <c r="CD362" s="173">
        <f t="shared" si="380"/>
        <v>0</v>
      </c>
      <c r="CE362" s="173">
        <f t="shared" si="381"/>
        <v>0</v>
      </c>
      <c r="CF362" s="173">
        <f t="shared" si="382"/>
        <v>0</v>
      </c>
      <c r="CG362" s="173">
        <f t="shared" si="383"/>
        <v>9431.6643890574778</v>
      </c>
      <c r="CH362" s="173">
        <f t="shared" si="383"/>
        <v>-2350</v>
      </c>
      <c r="CI362" s="173">
        <f t="shared" si="384"/>
        <v>0</v>
      </c>
      <c r="CJ362" s="173">
        <f t="shared" si="385"/>
        <v>0</v>
      </c>
      <c r="CK362" s="173">
        <f t="shared" si="386"/>
        <v>0</v>
      </c>
      <c r="CL362" s="173">
        <f t="shared" si="387"/>
        <v>0</v>
      </c>
      <c r="CM362" s="173">
        <f t="shared" si="388"/>
        <v>9983.3429548784334</v>
      </c>
      <c r="CN362" s="173">
        <f t="shared" si="388"/>
        <v>-2350</v>
      </c>
      <c r="CO362" s="173">
        <f t="shared" si="389"/>
        <v>0</v>
      </c>
      <c r="CP362" s="173">
        <f t="shared" si="390"/>
        <v>0</v>
      </c>
      <c r="CQ362" s="173">
        <f t="shared" si="391"/>
        <v>0</v>
      </c>
      <c r="CR362" s="173">
        <f t="shared" si="392"/>
        <v>0</v>
      </c>
      <c r="CS362" s="173">
        <f t="shared" si="393"/>
        <v>10535.021520699391</v>
      </c>
      <c r="CT362" s="173">
        <f t="shared" si="393"/>
        <v>-2350</v>
      </c>
      <c r="CU362" s="173">
        <f t="shared" si="394"/>
        <v>0</v>
      </c>
      <c r="CV362" s="173">
        <f t="shared" si="395"/>
        <v>0</v>
      </c>
      <c r="CW362" s="173">
        <f t="shared" si="396"/>
        <v>0</v>
      </c>
      <c r="CX362" s="173">
        <f t="shared" si="397"/>
        <v>0</v>
      </c>
      <c r="CY362" s="173">
        <f t="shared" si="398"/>
        <v>11086.700086520346</v>
      </c>
      <c r="CZ362" s="173">
        <f t="shared" si="398"/>
        <v>-2350</v>
      </c>
      <c r="DA362" s="173">
        <f t="shared" si="399"/>
        <v>0</v>
      </c>
      <c r="DB362" s="173">
        <f t="shared" si="400"/>
        <v>0</v>
      </c>
      <c r="DC362" s="173">
        <f t="shared" si="401"/>
        <v>0</v>
      </c>
      <c r="DD362" s="173">
        <f t="shared" si="402"/>
        <v>0</v>
      </c>
      <c r="DE362" s="173">
        <f t="shared" si="403"/>
        <v>11638.378652341304</v>
      </c>
    </row>
    <row r="363" spans="1:109" ht="3.95" hidden="1" customHeight="1" x14ac:dyDescent="0.25">
      <c r="A363" s="121"/>
      <c r="B363" s="153" t="str">
        <f>"IRR: Yr 0 = cash at close less Keystone today; earnout Yr "&amp;$G$444&amp;"; Yr 5 = stake value; net client wins held at model (G456); rollover fixed at "&amp;TEXT($G$436,"0%")</f>
        <v>IRR: Yr 0 = cash at close less Keystone today; earnout Yr 3; Yr 5 = stake value; net client wins held at model (G456); rollover fixed at 30%</v>
      </c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</row>
    <row r="364" spans="1:109" ht="3.95" customHeight="1" x14ac:dyDescent="0.25">
      <c r="A364" s="121"/>
      <c r="B364" s="153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</row>
    <row r="365" spans="1:109" ht="15" customHeight="1" x14ac:dyDescent="0.25">
      <c r="A365" s="121"/>
      <c r="B365" s="172" t="str">
        <f>"Ben's Return Profile Based on Partnering — Keystone Multiple × Topkey Growth ("&amp;TEXT($G$436,"0%")&amp;" Rollover) — Less Standalone"</f>
        <v>Ben's Return Profile Based on Partnering — Keystone Multiple × Topkey Growth (30% Rollover) — Less Standalone</v>
      </c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21"/>
      <c r="N365" s="121"/>
      <c r="O365" s="121"/>
      <c r="P365" s="121"/>
      <c r="Q365" s="121"/>
    </row>
    <row r="366" spans="1:109" ht="15" customHeight="1" x14ac:dyDescent="0.25">
      <c r="A366" s="121"/>
      <c r="B366" s="164" t="s">
        <v>295</v>
      </c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</row>
    <row r="367" spans="1:109" ht="2.1" customHeight="1" x14ac:dyDescent="0.25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</row>
    <row r="368" spans="1:109" ht="12.75" customHeight="1" x14ac:dyDescent="0.25">
      <c r="A368" s="121"/>
      <c r="B368" s="10"/>
      <c r="C368" s="10"/>
      <c r="D368" s="163" t="s">
        <v>289</v>
      </c>
      <c r="E368" s="163"/>
      <c r="F368" s="163"/>
      <c r="G368" s="163"/>
      <c r="H368" s="163"/>
      <c r="I368" s="163"/>
      <c r="J368" s="163"/>
      <c r="K368" s="163"/>
      <c r="L368" s="163"/>
      <c r="M368" s="121"/>
      <c r="N368" s="121"/>
      <c r="O368" s="121"/>
      <c r="P368" s="121"/>
      <c r="Q368" s="121"/>
      <c r="Z368" s="171" t="s">
        <v>294</v>
      </c>
      <c r="AA368" s="58"/>
      <c r="AB368" s="58"/>
      <c r="AC368" s="58"/>
      <c r="AD368" s="58"/>
      <c r="AE368" s="58"/>
      <c r="AF368" s="58"/>
      <c r="AG368" s="58"/>
      <c r="AH368" s="58"/>
    </row>
    <row r="369" spans="1:54" ht="12.75" customHeight="1" x14ac:dyDescent="0.25">
      <c r="A369" s="121"/>
      <c r="B369" s="10"/>
      <c r="C369" s="10"/>
      <c r="D369" s="162">
        <f>E369-$G$466</f>
        <v>1</v>
      </c>
      <c r="E369" s="162">
        <f>F369-$G$466</f>
        <v>1.25</v>
      </c>
      <c r="F369" s="162">
        <f>G369-$G$466</f>
        <v>1.5</v>
      </c>
      <c r="G369" s="162">
        <f>H369-$G$466</f>
        <v>1.75</v>
      </c>
      <c r="H369" s="162">
        <f>$G$465</f>
        <v>2</v>
      </c>
      <c r="I369" s="162">
        <f>H369+$G$466</f>
        <v>2.25</v>
      </c>
      <c r="J369" s="162">
        <f>I369+$G$466</f>
        <v>2.5</v>
      </c>
      <c r="K369" s="162">
        <f>J369+$G$466</f>
        <v>2.75</v>
      </c>
      <c r="L369" s="162">
        <f>K369+$G$466</f>
        <v>3</v>
      </c>
      <c r="M369" s="121"/>
      <c r="N369" s="121"/>
      <c r="O369" s="121"/>
      <c r="P369" s="121"/>
      <c r="Q369" s="121"/>
      <c r="Z369" s="170">
        <f t="shared" ref="Z369:AH369" si="404">D$369</f>
        <v>1</v>
      </c>
      <c r="AA369" s="170">
        <f t="shared" si="404"/>
        <v>1.25</v>
      </c>
      <c r="AB369" s="170">
        <f t="shared" si="404"/>
        <v>1.5</v>
      </c>
      <c r="AC369" s="170">
        <f t="shared" si="404"/>
        <v>1.75</v>
      </c>
      <c r="AD369" s="170">
        <f t="shared" si="404"/>
        <v>2</v>
      </c>
      <c r="AE369" s="170">
        <f t="shared" si="404"/>
        <v>2.25</v>
      </c>
      <c r="AF369" s="170">
        <f t="shared" si="404"/>
        <v>2.5</v>
      </c>
      <c r="AG369" s="170">
        <f t="shared" si="404"/>
        <v>2.75</v>
      </c>
      <c r="AH369" s="170">
        <f t="shared" si="404"/>
        <v>3</v>
      </c>
      <c r="AT369" s="161" t="s">
        <v>288</v>
      </c>
      <c r="AU369" s="160"/>
      <c r="AV369" s="160"/>
      <c r="AW369" s="160"/>
      <c r="AX369" s="160"/>
      <c r="AY369" s="160"/>
      <c r="AZ369" s="160"/>
      <c r="BA369" s="160"/>
      <c r="BB369" s="160"/>
    </row>
    <row r="370" spans="1:54" ht="15" customHeight="1" x14ac:dyDescent="0.25">
      <c r="A370" s="121"/>
      <c r="B370" s="333" t="s">
        <v>287</v>
      </c>
      <c r="C370" s="158">
        <f>C371-$G$441</f>
        <v>1.2719039595619215</v>
      </c>
      <c r="D370" s="152">
        <f t="shared" ref="D370:L376" si="405">ROUND(Z370,$G$452)</f>
        <v>-1600</v>
      </c>
      <c r="E370" s="152">
        <f t="shared" si="405"/>
        <v>-1100</v>
      </c>
      <c r="F370" s="152">
        <f t="shared" si="405"/>
        <v>-500</v>
      </c>
      <c r="G370" s="152">
        <f t="shared" si="405"/>
        <v>0</v>
      </c>
      <c r="H370" s="152">
        <f t="shared" si="405"/>
        <v>600</v>
      </c>
      <c r="I370" s="152">
        <f t="shared" si="405"/>
        <v>1100</v>
      </c>
      <c r="J370" s="152">
        <f t="shared" si="405"/>
        <v>1700</v>
      </c>
      <c r="K370" s="152">
        <f t="shared" si="405"/>
        <v>2300</v>
      </c>
      <c r="L370" s="152">
        <f t="shared" si="405"/>
        <v>2800</v>
      </c>
      <c r="M370" s="121"/>
      <c r="N370" s="121"/>
      <c r="O370" s="121"/>
      <c r="P370" s="121"/>
      <c r="Q370" s="121"/>
      <c r="Z370" s="57">
        <f t="shared" ref="Z370:AH370" si="406">Z330+$G$430-$AL330</f>
        <v>-1610.9452865434469</v>
      </c>
      <c r="AA370" s="57">
        <f t="shared" si="406"/>
        <v>-1059.2667207224913</v>
      </c>
      <c r="AB370" s="57">
        <f t="shared" si="406"/>
        <v>-507.58815490153393</v>
      </c>
      <c r="AC370" s="57">
        <f t="shared" si="406"/>
        <v>44.090410919421629</v>
      </c>
      <c r="AD370" s="57">
        <f t="shared" si="406"/>
        <v>595.76897674037718</v>
      </c>
      <c r="AE370" s="57">
        <f t="shared" si="406"/>
        <v>1147.4475425613346</v>
      </c>
      <c r="AF370" s="57">
        <f t="shared" si="406"/>
        <v>1699.1261083822901</v>
      </c>
      <c r="AG370" s="57">
        <f t="shared" si="406"/>
        <v>2250.8046742032457</v>
      </c>
      <c r="AH370" s="57">
        <f t="shared" si="406"/>
        <v>2802.483240024203</v>
      </c>
      <c r="AT370" s="154">
        <f t="shared" ref="AT370:BB376" si="407">IF(Z370&lt;$G$449,0,MIN($G$446,1+IFERROR(INT((Z370-$G$449)/$G$468),0)))</f>
        <v>0</v>
      </c>
      <c r="AU370" s="154">
        <f t="shared" si="407"/>
        <v>0</v>
      </c>
      <c r="AV370" s="154">
        <f t="shared" si="407"/>
        <v>0</v>
      </c>
      <c r="AW370" s="154">
        <f t="shared" si="407"/>
        <v>0</v>
      </c>
      <c r="AX370" s="154">
        <f t="shared" si="407"/>
        <v>0</v>
      </c>
      <c r="AY370" s="154">
        <f t="shared" si="407"/>
        <v>1</v>
      </c>
      <c r="AZ370" s="154">
        <f t="shared" si="407"/>
        <v>2</v>
      </c>
      <c r="BA370" s="154">
        <f t="shared" si="407"/>
        <v>4</v>
      </c>
      <c r="BB370" s="154">
        <f t="shared" si="407"/>
        <v>5</v>
      </c>
    </row>
    <row r="371" spans="1:54" ht="15" customHeight="1" x14ac:dyDescent="0.25">
      <c r="A371" s="121"/>
      <c r="B371" s="334"/>
      <c r="C371" s="158">
        <f>C372-$G$441</f>
        <v>1.5219039595619215</v>
      </c>
      <c r="D371" s="168">
        <f t="shared" si="405"/>
        <v>-1300</v>
      </c>
      <c r="E371" s="168">
        <f t="shared" si="405"/>
        <v>-700</v>
      </c>
      <c r="F371" s="168">
        <f t="shared" si="405"/>
        <v>-200</v>
      </c>
      <c r="G371" s="168">
        <f t="shared" si="405"/>
        <v>400</v>
      </c>
      <c r="H371" s="168">
        <f t="shared" si="405"/>
        <v>900</v>
      </c>
      <c r="I371" s="168">
        <f t="shared" si="405"/>
        <v>1500</v>
      </c>
      <c r="J371" s="168">
        <f t="shared" si="405"/>
        <v>2000</v>
      </c>
      <c r="K371" s="168">
        <f t="shared" si="405"/>
        <v>2600</v>
      </c>
      <c r="L371" s="168">
        <f t="shared" si="405"/>
        <v>3100</v>
      </c>
      <c r="M371" s="121"/>
      <c r="N371" s="121"/>
      <c r="O371" s="121"/>
      <c r="P371" s="121"/>
      <c r="Q371" s="121"/>
      <c r="Z371" s="57">
        <f t="shared" ref="Z371:AH371" si="408">Z331+$G$430-$AL331</f>
        <v>-1278.3390009453997</v>
      </c>
      <c r="AA371" s="57">
        <f t="shared" si="408"/>
        <v>-726.66043512444412</v>
      </c>
      <c r="AB371" s="57">
        <f t="shared" si="408"/>
        <v>-174.98186930348675</v>
      </c>
      <c r="AC371" s="57">
        <f t="shared" si="408"/>
        <v>376.69669651746881</v>
      </c>
      <c r="AD371" s="57">
        <f t="shared" si="408"/>
        <v>928.37526233842436</v>
      </c>
      <c r="AE371" s="57">
        <f t="shared" si="408"/>
        <v>1480.0538281593817</v>
      </c>
      <c r="AF371" s="57">
        <f t="shared" si="408"/>
        <v>2031.7323939803373</v>
      </c>
      <c r="AG371" s="57">
        <f t="shared" si="408"/>
        <v>2583.4109598012928</v>
      </c>
      <c r="AH371" s="57">
        <f t="shared" si="408"/>
        <v>3135.0895256222484</v>
      </c>
      <c r="AT371" s="154">
        <f t="shared" si="407"/>
        <v>0</v>
      </c>
      <c r="AU371" s="154">
        <f t="shared" si="407"/>
        <v>0</v>
      </c>
      <c r="AV371" s="154">
        <f t="shared" si="407"/>
        <v>0</v>
      </c>
      <c r="AW371" s="154">
        <f t="shared" si="407"/>
        <v>0</v>
      </c>
      <c r="AX371" s="154">
        <f t="shared" si="407"/>
        <v>0</v>
      </c>
      <c r="AY371" s="154">
        <f t="shared" si="407"/>
        <v>2</v>
      </c>
      <c r="AZ371" s="154">
        <f t="shared" si="407"/>
        <v>3</v>
      </c>
      <c r="BA371" s="154">
        <f t="shared" si="407"/>
        <v>5</v>
      </c>
      <c r="BB371" s="154">
        <f t="shared" si="407"/>
        <v>6</v>
      </c>
    </row>
    <row r="372" spans="1:54" ht="15" customHeight="1" x14ac:dyDescent="0.25">
      <c r="A372" s="121"/>
      <c r="B372" s="334"/>
      <c r="C372" s="158">
        <f>C373-$G$441</f>
        <v>1.7719039595619215</v>
      </c>
      <c r="D372" s="168">
        <f t="shared" si="405"/>
        <v>-900</v>
      </c>
      <c r="E372" s="168">
        <f t="shared" si="405"/>
        <v>-400</v>
      </c>
      <c r="F372" s="168">
        <f t="shared" si="405"/>
        <v>200</v>
      </c>
      <c r="G372" s="168">
        <f t="shared" si="405"/>
        <v>700</v>
      </c>
      <c r="H372" s="168">
        <f t="shared" si="405"/>
        <v>1300</v>
      </c>
      <c r="I372" s="168">
        <f t="shared" si="405"/>
        <v>1800</v>
      </c>
      <c r="J372" s="168">
        <f t="shared" si="405"/>
        <v>2400</v>
      </c>
      <c r="K372" s="168">
        <f t="shared" si="405"/>
        <v>2900</v>
      </c>
      <c r="L372" s="168">
        <f t="shared" si="405"/>
        <v>3500</v>
      </c>
      <c r="M372" s="121"/>
      <c r="N372" s="121"/>
      <c r="O372" s="121"/>
      <c r="P372" s="121"/>
      <c r="Q372" s="121"/>
      <c r="Z372" s="57">
        <f t="shared" ref="Z372:AH372" si="409">Z332+$G$430-$AL332</f>
        <v>-945.7327153473525</v>
      </c>
      <c r="AA372" s="57">
        <f t="shared" si="409"/>
        <v>-394.05414952639694</v>
      </c>
      <c r="AB372" s="57">
        <f t="shared" si="409"/>
        <v>157.62441629456043</v>
      </c>
      <c r="AC372" s="57">
        <f t="shared" si="409"/>
        <v>709.30298211551599</v>
      </c>
      <c r="AD372" s="57">
        <f t="shared" si="409"/>
        <v>1260.9815479364715</v>
      </c>
      <c r="AE372" s="57">
        <f t="shared" si="409"/>
        <v>1812.6601137574289</v>
      </c>
      <c r="AF372" s="57">
        <f t="shared" si="409"/>
        <v>2364.3386795783845</v>
      </c>
      <c r="AG372" s="57">
        <f t="shared" si="409"/>
        <v>2916.01724539934</v>
      </c>
      <c r="AH372" s="57">
        <f t="shared" si="409"/>
        <v>3467.6958112202974</v>
      </c>
      <c r="AT372" s="154">
        <f t="shared" si="407"/>
        <v>0</v>
      </c>
      <c r="AU372" s="154">
        <f t="shared" si="407"/>
        <v>0</v>
      </c>
      <c r="AV372" s="154">
        <f t="shared" si="407"/>
        <v>0</v>
      </c>
      <c r="AW372" s="154">
        <f t="shared" si="407"/>
        <v>0</v>
      </c>
      <c r="AX372" s="154">
        <f t="shared" si="407"/>
        <v>1</v>
      </c>
      <c r="AY372" s="154">
        <f t="shared" si="407"/>
        <v>3</v>
      </c>
      <c r="AZ372" s="154">
        <f t="shared" si="407"/>
        <v>4</v>
      </c>
      <c r="BA372" s="154">
        <f t="shared" si="407"/>
        <v>6</v>
      </c>
      <c r="BB372" s="154">
        <f t="shared" si="407"/>
        <v>7</v>
      </c>
    </row>
    <row r="373" spans="1:54" ht="15" customHeight="1" x14ac:dyDescent="0.25">
      <c r="A373" s="121"/>
      <c r="B373" s="334"/>
      <c r="C373" s="158">
        <f>$G$440</f>
        <v>2.0219039595619215</v>
      </c>
      <c r="D373" s="168">
        <f t="shared" si="405"/>
        <v>-600</v>
      </c>
      <c r="E373" s="168">
        <f t="shared" si="405"/>
        <v>-100</v>
      </c>
      <c r="F373" s="168">
        <f t="shared" si="405"/>
        <v>500</v>
      </c>
      <c r="G373" s="168">
        <f t="shared" si="405"/>
        <v>1000</v>
      </c>
      <c r="H373" s="169">
        <f t="shared" si="405"/>
        <v>1600</v>
      </c>
      <c r="I373" s="168">
        <f t="shared" si="405"/>
        <v>2100</v>
      </c>
      <c r="J373" s="168">
        <f t="shared" si="405"/>
        <v>2700</v>
      </c>
      <c r="K373" s="168">
        <f t="shared" si="405"/>
        <v>3200</v>
      </c>
      <c r="L373" s="168">
        <f t="shared" si="405"/>
        <v>3800</v>
      </c>
      <c r="M373" s="121"/>
      <c r="N373" s="121"/>
      <c r="O373" s="121"/>
      <c r="P373" s="121"/>
      <c r="Q373" s="121"/>
      <c r="Z373" s="57">
        <f t="shared" ref="Z373:AH373" si="410">Z333+$G$430-$AL333</f>
        <v>-613.12642974930532</v>
      </c>
      <c r="AA373" s="57">
        <f t="shared" si="410"/>
        <v>-61.447863928348852</v>
      </c>
      <c r="AB373" s="57">
        <f t="shared" si="410"/>
        <v>490.2307018926067</v>
      </c>
      <c r="AC373" s="57">
        <f t="shared" si="410"/>
        <v>1041.9092677135632</v>
      </c>
      <c r="AD373" s="57">
        <f t="shared" si="410"/>
        <v>1593.5878335345205</v>
      </c>
      <c r="AE373" s="57">
        <f t="shared" si="410"/>
        <v>2145.2663993554761</v>
      </c>
      <c r="AF373" s="57">
        <f t="shared" si="410"/>
        <v>2696.9449651764317</v>
      </c>
      <c r="AG373" s="57">
        <f t="shared" si="410"/>
        <v>3248.6235309973872</v>
      </c>
      <c r="AH373" s="57">
        <f t="shared" si="410"/>
        <v>3800.3020968183428</v>
      </c>
      <c r="AT373" s="154">
        <f t="shared" si="407"/>
        <v>0</v>
      </c>
      <c r="AU373" s="154">
        <f t="shared" si="407"/>
        <v>0</v>
      </c>
      <c r="AV373" s="154">
        <f t="shared" si="407"/>
        <v>0</v>
      </c>
      <c r="AW373" s="154">
        <f t="shared" si="407"/>
        <v>1</v>
      </c>
      <c r="AX373" s="154">
        <f t="shared" si="407"/>
        <v>2</v>
      </c>
      <c r="AY373" s="154">
        <f t="shared" si="407"/>
        <v>4</v>
      </c>
      <c r="AZ373" s="154">
        <f t="shared" si="407"/>
        <v>5</v>
      </c>
      <c r="BA373" s="154">
        <f t="shared" si="407"/>
        <v>6</v>
      </c>
      <c r="BB373" s="154">
        <f t="shared" si="407"/>
        <v>8</v>
      </c>
    </row>
    <row r="374" spans="1:54" ht="15" customHeight="1" x14ac:dyDescent="0.25">
      <c r="A374" s="121"/>
      <c r="B374" s="334"/>
      <c r="C374" s="158">
        <f>C373+$G$441</f>
        <v>2.2719039595619215</v>
      </c>
      <c r="D374" s="168">
        <f t="shared" si="405"/>
        <v>-300</v>
      </c>
      <c r="E374" s="168">
        <f t="shared" si="405"/>
        <v>300</v>
      </c>
      <c r="F374" s="168">
        <f t="shared" si="405"/>
        <v>800</v>
      </c>
      <c r="G374" s="168">
        <f t="shared" si="405"/>
        <v>1400</v>
      </c>
      <c r="H374" s="168">
        <f t="shared" si="405"/>
        <v>1900</v>
      </c>
      <c r="I374" s="168">
        <f t="shared" si="405"/>
        <v>2500</v>
      </c>
      <c r="J374" s="168">
        <f t="shared" si="405"/>
        <v>3000</v>
      </c>
      <c r="K374" s="168">
        <f t="shared" si="405"/>
        <v>3600</v>
      </c>
      <c r="L374" s="168">
        <f t="shared" si="405"/>
        <v>4100</v>
      </c>
      <c r="M374" s="121"/>
      <c r="N374" s="121"/>
      <c r="O374" s="121"/>
      <c r="P374" s="121"/>
      <c r="Q374" s="121"/>
      <c r="Z374" s="57">
        <f t="shared" ref="Z374:AH374" si="411">Z334+$G$430-$AL334</f>
        <v>-280.52014415125814</v>
      </c>
      <c r="AA374" s="57">
        <f t="shared" si="411"/>
        <v>271.15842166969833</v>
      </c>
      <c r="AB374" s="57">
        <f t="shared" si="411"/>
        <v>822.83698749065479</v>
      </c>
      <c r="AC374" s="57">
        <f t="shared" si="411"/>
        <v>1374.5155533116103</v>
      </c>
      <c r="AD374" s="57">
        <f t="shared" si="411"/>
        <v>1926.1941191325659</v>
      </c>
      <c r="AE374" s="57">
        <f t="shared" si="411"/>
        <v>2477.8726849535215</v>
      </c>
      <c r="AF374" s="57">
        <f t="shared" si="411"/>
        <v>3029.5512507744788</v>
      </c>
      <c r="AG374" s="57">
        <f t="shared" si="411"/>
        <v>3581.2298165954344</v>
      </c>
      <c r="AH374" s="57">
        <f t="shared" si="411"/>
        <v>4132.9083824163918</v>
      </c>
      <c r="AT374" s="154">
        <f t="shared" si="407"/>
        <v>0</v>
      </c>
      <c r="AU374" s="154">
        <f t="shared" si="407"/>
        <v>0</v>
      </c>
      <c r="AV374" s="154">
        <f t="shared" si="407"/>
        <v>0</v>
      </c>
      <c r="AW374" s="154">
        <f t="shared" si="407"/>
        <v>1</v>
      </c>
      <c r="AX374" s="154">
        <f t="shared" si="407"/>
        <v>3</v>
      </c>
      <c r="AY374" s="154">
        <f t="shared" si="407"/>
        <v>4</v>
      </c>
      <c r="AZ374" s="154">
        <f t="shared" si="407"/>
        <v>6</v>
      </c>
      <c r="BA374" s="154">
        <f t="shared" si="407"/>
        <v>7</v>
      </c>
      <c r="BB374" s="154">
        <f t="shared" si="407"/>
        <v>9</v>
      </c>
    </row>
    <row r="375" spans="1:54" ht="15" customHeight="1" x14ac:dyDescent="0.25">
      <c r="A375" s="121"/>
      <c r="B375" s="334"/>
      <c r="C375" s="158">
        <f>C374+$G$441</f>
        <v>2.5219039595619215</v>
      </c>
      <c r="D375" s="168">
        <f t="shared" si="405"/>
        <v>100</v>
      </c>
      <c r="E375" s="168">
        <f t="shared" si="405"/>
        <v>600</v>
      </c>
      <c r="F375" s="168">
        <f t="shared" si="405"/>
        <v>1200</v>
      </c>
      <c r="G375" s="168">
        <f t="shared" si="405"/>
        <v>1700</v>
      </c>
      <c r="H375" s="168">
        <f t="shared" si="405"/>
        <v>2300</v>
      </c>
      <c r="I375" s="168">
        <f t="shared" si="405"/>
        <v>2800</v>
      </c>
      <c r="J375" s="168">
        <f t="shared" si="405"/>
        <v>3400</v>
      </c>
      <c r="K375" s="168">
        <f t="shared" si="405"/>
        <v>3900</v>
      </c>
      <c r="L375" s="168">
        <f t="shared" si="405"/>
        <v>4500</v>
      </c>
      <c r="M375" s="121"/>
      <c r="N375" s="121"/>
      <c r="O375" s="121"/>
      <c r="P375" s="121"/>
      <c r="Q375" s="121"/>
      <c r="Z375" s="57">
        <f t="shared" ref="Z375:AH375" si="412">Z335+$G$430-$AL335</f>
        <v>52.086141446789043</v>
      </c>
      <c r="AA375" s="57">
        <f t="shared" si="412"/>
        <v>603.76470726774551</v>
      </c>
      <c r="AB375" s="57">
        <f t="shared" si="412"/>
        <v>1155.4432730887002</v>
      </c>
      <c r="AC375" s="57">
        <f t="shared" si="412"/>
        <v>1707.1218389096557</v>
      </c>
      <c r="AD375" s="57">
        <f t="shared" si="412"/>
        <v>2258.8004047306149</v>
      </c>
      <c r="AE375" s="57">
        <f t="shared" si="412"/>
        <v>2810.4789705515705</v>
      </c>
      <c r="AF375" s="57">
        <f t="shared" si="412"/>
        <v>3362.157536372526</v>
      </c>
      <c r="AG375" s="57">
        <f t="shared" si="412"/>
        <v>3913.8361021934816</v>
      </c>
      <c r="AH375" s="57">
        <f t="shared" si="412"/>
        <v>4465.5146680144371</v>
      </c>
      <c r="AT375" s="154">
        <f t="shared" si="407"/>
        <v>0</v>
      </c>
      <c r="AU375" s="154">
        <f t="shared" si="407"/>
        <v>0</v>
      </c>
      <c r="AV375" s="154">
        <f t="shared" si="407"/>
        <v>1</v>
      </c>
      <c r="AW375" s="154">
        <f t="shared" si="407"/>
        <v>2</v>
      </c>
      <c r="AX375" s="154">
        <f t="shared" si="407"/>
        <v>4</v>
      </c>
      <c r="AY375" s="154">
        <f t="shared" si="407"/>
        <v>5</v>
      </c>
      <c r="AZ375" s="154">
        <f t="shared" si="407"/>
        <v>7</v>
      </c>
      <c r="BA375" s="154">
        <f t="shared" si="407"/>
        <v>8</v>
      </c>
      <c r="BB375" s="154">
        <f t="shared" si="407"/>
        <v>10</v>
      </c>
    </row>
    <row r="376" spans="1:54" ht="15" customHeight="1" x14ac:dyDescent="0.25">
      <c r="A376" s="121"/>
      <c r="B376" s="335"/>
      <c r="C376" s="156">
        <f>C375+$G$441</f>
        <v>2.7719039595619215</v>
      </c>
      <c r="D376" s="149">
        <f t="shared" si="405"/>
        <v>400</v>
      </c>
      <c r="E376" s="149">
        <f t="shared" si="405"/>
        <v>900</v>
      </c>
      <c r="F376" s="149">
        <f t="shared" si="405"/>
        <v>1500</v>
      </c>
      <c r="G376" s="149">
        <f t="shared" si="405"/>
        <v>2000</v>
      </c>
      <c r="H376" s="149">
        <f t="shared" si="405"/>
        <v>2600</v>
      </c>
      <c r="I376" s="149">
        <f t="shared" si="405"/>
        <v>3100</v>
      </c>
      <c r="J376" s="149">
        <f t="shared" si="405"/>
        <v>3700</v>
      </c>
      <c r="K376" s="149">
        <f t="shared" si="405"/>
        <v>4200</v>
      </c>
      <c r="L376" s="149">
        <f t="shared" si="405"/>
        <v>4800</v>
      </c>
      <c r="M376" s="121"/>
      <c r="N376" s="121"/>
      <c r="O376" s="121"/>
      <c r="P376" s="121"/>
      <c r="Q376" s="121"/>
      <c r="Z376" s="57">
        <f t="shared" ref="Z376:AH376" si="413">Z336+$G$430-$AL336</f>
        <v>384.69242704483622</v>
      </c>
      <c r="AA376" s="57">
        <f t="shared" si="413"/>
        <v>936.3709928657936</v>
      </c>
      <c r="AB376" s="57">
        <f t="shared" si="413"/>
        <v>1488.0495586867492</v>
      </c>
      <c r="AC376" s="57">
        <f t="shared" si="413"/>
        <v>2039.7281245077047</v>
      </c>
      <c r="AD376" s="57">
        <f t="shared" si="413"/>
        <v>2591.4066903286603</v>
      </c>
      <c r="AE376" s="57">
        <f t="shared" si="413"/>
        <v>3143.0852561496158</v>
      </c>
      <c r="AF376" s="57">
        <f t="shared" si="413"/>
        <v>3694.7638219705732</v>
      </c>
      <c r="AG376" s="57">
        <f t="shared" si="413"/>
        <v>4246.4423877915287</v>
      </c>
      <c r="AH376" s="57">
        <f t="shared" si="413"/>
        <v>4798.1209536124861</v>
      </c>
      <c r="AT376" s="154">
        <f t="shared" si="407"/>
        <v>0</v>
      </c>
      <c r="AU376" s="154">
        <f t="shared" si="407"/>
        <v>0</v>
      </c>
      <c r="AV376" s="154">
        <f t="shared" si="407"/>
        <v>2</v>
      </c>
      <c r="AW376" s="154">
        <f t="shared" si="407"/>
        <v>3</v>
      </c>
      <c r="AX376" s="154">
        <f t="shared" si="407"/>
        <v>5</v>
      </c>
      <c r="AY376" s="154">
        <f t="shared" si="407"/>
        <v>6</v>
      </c>
      <c r="AZ376" s="154">
        <f t="shared" si="407"/>
        <v>8</v>
      </c>
      <c r="BA376" s="154">
        <f t="shared" si="407"/>
        <v>9</v>
      </c>
      <c r="BB376" s="154">
        <f t="shared" si="407"/>
        <v>10</v>
      </c>
    </row>
    <row r="377" spans="1:54" ht="3.95" hidden="1" customHeight="1" x14ac:dyDescent="0.25">
      <c r="A377" s="121"/>
      <c r="B377" s="153" t="s">
        <v>293</v>
      </c>
      <c r="C377" s="4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</row>
    <row r="378" spans="1:54" ht="3.95" customHeight="1" x14ac:dyDescent="0.25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</row>
    <row r="379" spans="1:54" ht="15" customHeight="1" x14ac:dyDescent="0.25">
      <c r="A379" s="121"/>
      <c r="B379" s="164" t="s">
        <v>292</v>
      </c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</row>
    <row r="380" spans="1:54" ht="2.1" customHeight="1" x14ac:dyDescent="0.25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</row>
    <row r="381" spans="1:54" ht="12.75" customHeight="1" x14ac:dyDescent="0.25">
      <c r="A381" s="121"/>
      <c r="B381" s="10"/>
      <c r="C381" s="10"/>
      <c r="D381" s="163" t="s">
        <v>289</v>
      </c>
      <c r="E381" s="163"/>
      <c r="F381" s="163"/>
      <c r="G381" s="163"/>
      <c r="H381" s="163"/>
      <c r="I381" s="163"/>
      <c r="J381" s="163"/>
      <c r="K381" s="163"/>
      <c r="L381" s="163"/>
      <c r="M381" s="121"/>
      <c r="N381" s="121"/>
      <c r="O381" s="121"/>
      <c r="P381" s="121"/>
      <c r="Q381" s="121"/>
    </row>
    <row r="382" spans="1:54" ht="12.75" customHeight="1" x14ac:dyDescent="0.25">
      <c r="A382" s="121"/>
      <c r="B382" s="10"/>
      <c r="C382" s="10"/>
      <c r="D382" s="162">
        <f>E382-$G$466</f>
        <v>1</v>
      </c>
      <c r="E382" s="162">
        <f>F382-$G$466</f>
        <v>1.25</v>
      </c>
      <c r="F382" s="162">
        <f>G382-$G$466</f>
        <v>1.5</v>
      </c>
      <c r="G382" s="162">
        <f>H382-$G$466</f>
        <v>1.75</v>
      </c>
      <c r="H382" s="162">
        <f>$G$465</f>
        <v>2</v>
      </c>
      <c r="I382" s="162">
        <f>H382+$G$466</f>
        <v>2.25</v>
      </c>
      <c r="J382" s="162">
        <f>I382+$G$466</f>
        <v>2.5</v>
      </c>
      <c r="K382" s="162">
        <f>J382+$G$466</f>
        <v>2.75</v>
      </c>
      <c r="L382" s="162">
        <f>K382+$G$466</f>
        <v>3</v>
      </c>
      <c r="M382" s="121"/>
      <c r="N382" s="121"/>
      <c r="O382" s="121"/>
      <c r="P382" s="121"/>
      <c r="Q382" s="121"/>
      <c r="AT382" s="161" t="s">
        <v>288</v>
      </c>
      <c r="AU382" s="160"/>
      <c r="AV382" s="160"/>
      <c r="AW382" s="160"/>
      <c r="AX382" s="160"/>
      <c r="AY382" s="160"/>
      <c r="AZ382" s="160"/>
      <c r="BA382" s="160"/>
      <c r="BB382" s="160"/>
    </row>
    <row r="383" spans="1:54" ht="15" customHeight="1" x14ac:dyDescent="0.25">
      <c r="A383" s="121"/>
      <c r="B383" s="333" t="s">
        <v>287</v>
      </c>
      <c r="C383" s="158">
        <f>C384-$G$441</f>
        <v>1.2719039595619215</v>
      </c>
      <c r="D383" s="166">
        <f t="shared" ref="D383:L389" si="414">IFERROR(Z370/$AL330,0)</f>
        <v>-0.21507207780272269</v>
      </c>
      <c r="E383" s="166">
        <f t="shared" si="414"/>
        <v>-0.14141926263795448</v>
      </c>
      <c r="F383" s="166">
        <f t="shared" si="414"/>
        <v>-6.7766447473186067E-2</v>
      </c>
      <c r="G383" s="166">
        <f t="shared" si="414"/>
        <v>5.8863676915821301E-3</v>
      </c>
      <c r="H383" s="166">
        <f t="shared" si="414"/>
        <v>7.9539182856350324E-2</v>
      </c>
      <c r="I383" s="166">
        <f t="shared" si="414"/>
        <v>0.15319199802111877</v>
      </c>
      <c r="J383" s="166">
        <f t="shared" si="414"/>
        <v>0.22684481318588695</v>
      </c>
      <c r="K383" s="166">
        <f t="shared" si="414"/>
        <v>0.30049762835065513</v>
      </c>
      <c r="L383" s="166">
        <f t="shared" si="414"/>
        <v>0.37415044351542359</v>
      </c>
      <c r="M383" s="121"/>
      <c r="N383" s="121"/>
      <c r="O383" s="121"/>
      <c r="P383" s="121"/>
      <c r="Q383" s="121"/>
      <c r="AT383" s="154">
        <f t="shared" ref="AT383:BB389" si="415">IF(Z370&lt;$G$449,0,MIN($G$446,1+IFERROR(INT((Z370-$G$449)/$G$468),0)))</f>
        <v>0</v>
      </c>
      <c r="AU383" s="154">
        <f t="shared" si="415"/>
        <v>0</v>
      </c>
      <c r="AV383" s="154">
        <f t="shared" si="415"/>
        <v>0</v>
      </c>
      <c r="AW383" s="154">
        <f t="shared" si="415"/>
        <v>0</v>
      </c>
      <c r="AX383" s="154">
        <f t="shared" si="415"/>
        <v>0</v>
      </c>
      <c r="AY383" s="154">
        <f t="shared" si="415"/>
        <v>1</v>
      </c>
      <c r="AZ383" s="154">
        <f t="shared" si="415"/>
        <v>2</v>
      </c>
      <c r="BA383" s="154">
        <f t="shared" si="415"/>
        <v>4</v>
      </c>
      <c r="BB383" s="154">
        <f t="shared" si="415"/>
        <v>5</v>
      </c>
    </row>
    <row r="384" spans="1:54" ht="15" customHeight="1" x14ac:dyDescent="0.25">
      <c r="A384" s="121"/>
      <c r="B384" s="334"/>
      <c r="C384" s="158">
        <f>C385-$G$441</f>
        <v>1.5219039595619215</v>
      </c>
      <c r="D384" s="166">
        <f t="shared" si="414"/>
        <v>-0.17066689189643613</v>
      </c>
      <c r="E384" s="166">
        <f t="shared" si="414"/>
        <v>-9.7014076731667953E-2</v>
      </c>
      <c r="F384" s="166">
        <f t="shared" si="414"/>
        <v>-2.3361261566899518E-2</v>
      </c>
      <c r="G384" s="166">
        <f t="shared" si="414"/>
        <v>5.0291553597868674E-2</v>
      </c>
      <c r="H384" s="166">
        <f t="shared" si="414"/>
        <v>0.12394436876263687</v>
      </c>
      <c r="I384" s="166">
        <f t="shared" si="414"/>
        <v>0.1975971839274053</v>
      </c>
      <c r="J384" s="166">
        <f t="shared" si="414"/>
        <v>0.27124999909217351</v>
      </c>
      <c r="K384" s="166">
        <f t="shared" si="414"/>
        <v>0.34490281425694169</v>
      </c>
      <c r="L384" s="166">
        <f t="shared" si="414"/>
        <v>0.41855562942170987</v>
      </c>
      <c r="M384" s="121"/>
      <c r="N384" s="121"/>
      <c r="O384" s="121"/>
      <c r="P384" s="121"/>
      <c r="Q384" s="121"/>
      <c r="AT384" s="154">
        <f t="shared" si="415"/>
        <v>0</v>
      </c>
      <c r="AU384" s="154">
        <f t="shared" si="415"/>
        <v>0</v>
      </c>
      <c r="AV384" s="154">
        <f t="shared" si="415"/>
        <v>0</v>
      </c>
      <c r="AW384" s="154">
        <f t="shared" si="415"/>
        <v>0</v>
      </c>
      <c r="AX384" s="154">
        <f t="shared" si="415"/>
        <v>0</v>
      </c>
      <c r="AY384" s="154">
        <f t="shared" si="415"/>
        <v>2</v>
      </c>
      <c r="AZ384" s="154">
        <f t="shared" si="415"/>
        <v>3</v>
      </c>
      <c r="BA384" s="154">
        <f t="shared" si="415"/>
        <v>5</v>
      </c>
      <c r="BB384" s="154">
        <f t="shared" si="415"/>
        <v>6</v>
      </c>
    </row>
    <row r="385" spans="1:54" ht="15" customHeight="1" x14ac:dyDescent="0.25">
      <c r="A385" s="121"/>
      <c r="B385" s="334"/>
      <c r="C385" s="158">
        <f>C386-$G$441</f>
        <v>1.7719039595619215</v>
      </c>
      <c r="D385" s="166">
        <f t="shared" si="414"/>
        <v>-0.1262617059901496</v>
      </c>
      <c r="E385" s="166">
        <f t="shared" si="414"/>
        <v>-5.2608890825381407E-2</v>
      </c>
      <c r="F385" s="166">
        <f t="shared" si="414"/>
        <v>2.1043924339387027E-2</v>
      </c>
      <c r="G385" s="166">
        <f t="shared" si="414"/>
        <v>9.469673950415522E-2</v>
      </c>
      <c r="H385" s="166">
        <f t="shared" si="414"/>
        <v>0.1683495546689234</v>
      </c>
      <c r="I385" s="166">
        <f t="shared" si="414"/>
        <v>0.24200236983369186</v>
      </c>
      <c r="J385" s="166">
        <f t="shared" si="414"/>
        <v>0.31565518499846001</v>
      </c>
      <c r="K385" s="166">
        <f t="shared" si="414"/>
        <v>0.38930800016322825</v>
      </c>
      <c r="L385" s="166">
        <f t="shared" si="414"/>
        <v>0.46296081532799666</v>
      </c>
      <c r="M385" s="121"/>
      <c r="N385" s="121"/>
      <c r="O385" s="121"/>
      <c r="P385" s="121"/>
      <c r="Q385" s="121"/>
      <c r="AT385" s="154">
        <f t="shared" si="415"/>
        <v>0</v>
      </c>
      <c r="AU385" s="154">
        <f t="shared" si="415"/>
        <v>0</v>
      </c>
      <c r="AV385" s="154">
        <f t="shared" si="415"/>
        <v>0</v>
      </c>
      <c r="AW385" s="154">
        <f t="shared" si="415"/>
        <v>0</v>
      </c>
      <c r="AX385" s="154">
        <f t="shared" si="415"/>
        <v>1</v>
      </c>
      <c r="AY385" s="154">
        <f t="shared" si="415"/>
        <v>3</v>
      </c>
      <c r="AZ385" s="154">
        <f t="shared" si="415"/>
        <v>4</v>
      </c>
      <c r="BA385" s="154">
        <f t="shared" si="415"/>
        <v>6</v>
      </c>
      <c r="BB385" s="154">
        <f t="shared" si="415"/>
        <v>7</v>
      </c>
    </row>
    <row r="386" spans="1:54" ht="15" customHeight="1" x14ac:dyDescent="0.25">
      <c r="A386" s="121"/>
      <c r="B386" s="334"/>
      <c r="C386" s="158">
        <f>$G$440</f>
        <v>2.0219039595619215</v>
      </c>
      <c r="D386" s="166">
        <f t="shared" si="414"/>
        <v>-8.1856520083863057E-2</v>
      </c>
      <c r="E386" s="166">
        <f t="shared" si="414"/>
        <v>-8.2037049190947404E-3</v>
      </c>
      <c r="F386" s="166">
        <f t="shared" si="414"/>
        <v>6.5449110245673445E-2</v>
      </c>
      <c r="G386" s="166">
        <f t="shared" si="414"/>
        <v>0.13910192541044178</v>
      </c>
      <c r="H386" s="167">
        <f t="shared" si="414"/>
        <v>0.21275474057521021</v>
      </c>
      <c r="I386" s="166">
        <f t="shared" si="414"/>
        <v>0.28640755573997839</v>
      </c>
      <c r="J386" s="166">
        <f t="shared" si="414"/>
        <v>0.36006037090474657</v>
      </c>
      <c r="K386" s="166">
        <f t="shared" si="414"/>
        <v>0.43371318606951476</v>
      </c>
      <c r="L386" s="166">
        <f t="shared" si="414"/>
        <v>0.50736600123428299</v>
      </c>
      <c r="M386" s="121"/>
      <c r="N386" s="121"/>
      <c r="O386" s="121"/>
      <c r="P386" s="121"/>
      <c r="Q386" s="121"/>
      <c r="AT386" s="154">
        <f t="shared" si="415"/>
        <v>0</v>
      </c>
      <c r="AU386" s="154">
        <f t="shared" si="415"/>
        <v>0</v>
      </c>
      <c r="AV386" s="154">
        <f t="shared" si="415"/>
        <v>0</v>
      </c>
      <c r="AW386" s="154">
        <f t="shared" si="415"/>
        <v>1</v>
      </c>
      <c r="AX386" s="154">
        <f t="shared" si="415"/>
        <v>2</v>
      </c>
      <c r="AY386" s="154">
        <f t="shared" si="415"/>
        <v>4</v>
      </c>
      <c r="AZ386" s="154">
        <f t="shared" si="415"/>
        <v>5</v>
      </c>
      <c r="BA386" s="154">
        <f t="shared" si="415"/>
        <v>6</v>
      </c>
      <c r="BB386" s="154">
        <f t="shared" si="415"/>
        <v>8</v>
      </c>
    </row>
    <row r="387" spans="1:54" ht="15" customHeight="1" x14ac:dyDescent="0.25">
      <c r="A387" s="121"/>
      <c r="B387" s="334"/>
      <c r="C387" s="158">
        <f>C386+$G$441</f>
        <v>2.2719039595619215</v>
      </c>
      <c r="D387" s="166">
        <f t="shared" si="414"/>
        <v>-3.7451334177576512E-2</v>
      </c>
      <c r="E387" s="166">
        <f t="shared" si="414"/>
        <v>3.6201480987191802E-2</v>
      </c>
      <c r="F387" s="166">
        <f t="shared" si="414"/>
        <v>0.10985429615196012</v>
      </c>
      <c r="G387" s="166">
        <f t="shared" si="414"/>
        <v>0.18350711131672831</v>
      </c>
      <c r="H387" s="166">
        <f t="shared" si="414"/>
        <v>0.25715992648149649</v>
      </c>
      <c r="I387" s="166">
        <f t="shared" si="414"/>
        <v>0.33081274164626467</v>
      </c>
      <c r="J387" s="166">
        <f t="shared" si="414"/>
        <v>0.40446555681103313</v>
      </c>
      <c r="K387" s="166">
        <f t="shared" si="414"/>
        <v>0.47811837197580132</v>
      </c>
      <c r="L387" s="166">
        <f t="shared" si="414"/>
        <v>0.55177118714056972</v>
      </c>
      <c r="M387" s="121"/>
      <c r="N387" s="121"/>
      <c r="O387" s="121"/>
      <c r="P387" s="121"/>
      <c r="Q387" s="121"/>
      <c r="AT387" s="154">
        <f t="shared" si="415"/>
        <v>0</v>
      </c>
      <c r="AU387" s="154">
        <f t="shared" si="415"/>
        <v>0</v>
      </c>
      <c r="AV387" s="154">
        <f t="shared" si="415"/>
        <v>0</v>
      </c>
      <c r="AW387" s="154">
        <f t="shared" si="415"/>
        <v>1</v>
      </c>
      <c r="AX387" s="154">
        <f t="shared" si="415"/>
        <v>3</v>
      </c>
      <c r="AY387" s="154">
        <f t="shared" si="415"/>
        <v>4</v>
      </c>
      <c r="AZ387" s="154">
        <f t="shared" si="415"/>
        <v>6</v>
      </c>
      <c r="BA387" s="154">
        <f t="shared" si="415"/>
        <v>7</v>
      </c>
      <c r="BB387" s="154">
        <f t="shared" si="415"/>
        <v>9</v>
      </c>
    </row>
    <row r="388" spans="1:54" ht="15" customHeight="1" x14ac:dyDescent="0.25">
      <c r="A388" s="121"/>
      <c r="B388" s="334"/>
      <c r="C388" s="158">
        <f>C387+$G$441</f>
        <v>2.5219039595619215</v>
      </c>
      <c r="D388" s="166">
        <f t="shared" si="414"/>
        <v>6.9538517287100355E-3</v>
      </c>
      <c r="E388" s="166">
        <f t="shared" si="414"/>
        <v>8.0606666893478354E-2</v>
      </c>
      <c r="F388" s="166">
        <f t="shared" si="414"/>
        <v>0.15425948205824641</v>
      </c>
      <c r="G388" s="166">
        <f t="shared" si="414"/>
        <v>0.22791229722301462</v>
      </c>
      <c r="H388" s="166">
        <f t="shared" si="414"/>
        <v>0.30156511238778327</v>
      </c>
      <c r="I388" s="166">
        <f t="shared" si="414"/>
        <v>0.37521792755255146</v>
      </c>
      <c r="J388" s="166">
        <f t="shared" si="414"/>
        <v>0.44887074271731969</v>
      </c>
      <c r="K388" s="166">
        <f t="shared" si="414"/>
        <v>0.52252355788208782</v>
      </c>
      <c r="L388" s="166">
        <f t="shared" si="414"/>
        <v>0.59617637304685611</v>
      </c>
      <c r="M388" s="121"/>
      <c r="N388" s="121"/>
      <c r="O388" s="121"/>
      <c r="P388" s="121"/>
      <c r="Q388" s="121"/>
      <c r="AT388" s="154">
        <f t="shared" si="415"/>
        <v>0</v>
      </c>
      <c r="AU388" s="154">
        <f t="shared" si="415"/>
        <v>0</v>
      </c>
      <c r="AV388" s="154">
        <f t="shared" si="415"/>
        <v>1</v>
      </c>
      <c r="AW388" s="154">
        <f t="shared" si="415"/>
        <v>2</v>
      </c>
      <c r="AX388" s="154">
        <f t="shared" si="415"/>
        <v>4</v>
      </c>
      <c r="AY388" s="154">
        <f t="shared" si="415"/>
        <v>5</v>
      </c>
      <c r="AZ388" s="154">
        <f t="shared" si="415"/>
        <v>7</v>
      </c>
      <c r="BA388" s="154">
        <f t="shared" si="415"/>
        <v>8</v>
      </c>
      <c r="BB388" s="154">
        <f t="shared" si="415"/>
        <v>10</v>
      </c>
    </row>
    <row r="389" spans="1:54" ht="15" customHeight="1" x14ac:dyDescent="0.25">
      <c r="A389" s="121"/>
      <c r="B389" s="335"/>
      <c r="C389" s="156">
        <f>C388+$G$441</f>
        <v>2.7719039595619215</v>
      </c>
      <c r="D389" s="165">
        <f t="shared" si="414"/>
        <v>5.1359037634996579E-2</v>
      </c>
      <c r="E389" s="165">
        <f t="shared" si="414"/>
        <v>0.12501185279976501</v>
      </c>
      <c r="F389" s="165">
        <f t="shared" si="414"/>
        <v>0.19866466796453322</v>
      </c>
      <c r="G389" s="165">
        <f t="shared" si="414"/>
        <v>0.27231748312930137</v>
      </c>
      <c r="H389" s="165">
        <f t="shared" si="414"/>
        <v>0.34597029829406961</v>
      </c>
      <c r="I389" s="165">
        <f t="shared" si="414"/>
        <v>0.41962311345883779</v>
      </c>
      <c r="J389" s="165">
        <f t="shared" si="414"/>
        <v>0.4932759286236062</v>
      </c>
      <c r="K389" s="165">
        <f t="shared" si="414"/>
        <v>0.56692874378837443</v>
      </c>
      <c r="L389" s="165">
        <f t="shared" si="414"/>
        <v>0.64058155895314284</v>
      </c>
      <c r="M389" s="121"/>
      <c r="N389" s="121"/>
      <c r="O389" s="121"/>
      <c r="P389" s="121"/>
      <c r="Q389" s="121"/>
      <c r="AT389" s="154">
        <f t="shared" si="415"/>
        <v>0</v>
      </c>
      <c r="AU389" s="154">
        <f t="shared" si="415"/>
        <v>0</v>
      </c>
      <c r="AV389" s="154">
        <f t="shared" si="415"/>
        <v>2</v>
      </c>
      <c r="AW389" s="154">
        <f t="shared" si="415"/>
        <v>3</v>
      </c>
      <c r="AX389" s="154">
        <f t="shared" si="415"/>
        <v>5</v>
      </c>
      <c r="AY389" s="154">
        <f t="shared" si="415"/>
        <v>6</v>
      </c>
      <c r="AZ389" s="154">
        <f t="shared" si="415"/>
        <v>8</v>
      </c>
      <c r="BA389" s="154">
        <f t="shared" si="415"/>
        <v>9</v>
      </c>
      <c r="BB389" s="154">
        <f t="shared" si="415"/>
        <v>10</v>
      </c>
    </row>
    <row r="390" spans="1:54" ht="3.95" hidden="1" customHeight="1" x14ac:dyDescent="0.25">
      <c r="A390" s="121"/>
      <c r="B390" s="153" t="s">
        <v>291</v>
      </c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</row>
    <row r="391" spans="1:54" ht="3.95" customHeight="1" x14ac:dyDescent="0.25">
      <c r="A391" s="121"/>
      <c r="M391" s="121"/>
      <c r="N391" s="121"/>
      <c r="O391" s="121"/>
      <c r="P391" s="121"/>
      <c r="Q391" s="121"/>
    </row>
    <row r="392" spans="1:54" ht="15" customHeight="1" x14ac:dyDescent="0.25">
      <c r="A392" s="121"/>
      <c r="B392" s="164" t="s">
        <v>290</v>
      </c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</row>
    <row r="393" spans="1:54" ht="2.1" customHeight="1" x14ac:dyDescent="0.25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</row>
    <row r="394" spans="1:54" ht="12.75" customHeight="1" x14ac:dyDescent="0.25">
      <c r="A394" s="121"/>
      <c r="B394" s="10"/>
      <c r="C394" s="10"/>
      <c r="D394" s="163" t="s">
        <v>289</v>
      </c>
      <c r="E394" s="163"/>
      <c r="F394" s="163"/>
      <c r="G394" s="163"/>
      <c r="H394" s="163"/>
      <c r="I394" s="163"/>
      <c r="J394" s="163"/>
      <c r="K394" s="163"/>
      <c r="L394" s="163"/>
      <c r="M394" s="121"/>
      <c r="N394" s="121"/>
      <c r="O394" s="121"/>
      <c r="P394" s="121"/>
      <c r="Q394" s="121"/>
    </row>
    <row r="395" spans="1:54" ht="12.75" customHeight="1" x14ac:dyDescent="0.25">
      <c r="A395" s="121"/>
      <c r="B395" s="10"/>
      <c r="C395" s="10"/>
      <c r="D395" s="162">
        <f>E395-$G$466</f>
        <v>1</v>
      </c>
      <c r="E395" s="162">
        <f>F395-$G$466</f>
        <v>1.25</v>
      </c>
      <c r="F395" s="162">
        <f>G395-$G$466</f>
        <v>1.5</v>
      </c>
      <c r="G395" s="162">
        <f>H395-$G$466</f>
        <v>1.75</v>
      </c>
      <c r="H395" s="162">
        <f>$G$465</f>
        <v>2</v>
      </c>
      <c r="I395" s="162">
        <f>H395+$G$466</f>
        <v>2.25</v>
      </c>
      <c r="J395" s="162">
        <f>I395+$G$466</f>
        <v>2.5</v>
      </c>
      <c r="K395" s="162">
        <f>J395+$G$466</f>
        <v>2.75</v>
      </c>
      <c r="L395" s="162">
        <f>K395+$G$466</f>
        <v>3</v>
      </c>
      <c r="M395" s="121"/>
      <c r="N395" s="121"/>
      <c r="O395" s="121"/>
      <c r="P395" s="121"/>
      <c r="Q395" s="121"/>
      <c r="AT395" s="161" t="s">
        <v>288</v>
      </c>
      <c r="AU395" s="160"/>
      <c r="AV395" s="160"/>
      <c r="AW395" s="160"/>
      <c r="AX395" s="160"/>
      <c r="AY395" s="160"/>
      <c r="AZ395" s="160"/>
      <c r="BA395" s="160"/>
      <c r="BB395" s="160"/>
    </row>
    <row r="396" spans="1:54" ht="15" customHeight="1" x14ac:dyDescent="0.25">
      <c r="A396" s="121"/>
      <c r="B396" s="333" t="s">
        <v>287</v>
      </c>
      <c r="C396" s="158">
        <f>C397-$G$441</f>
        <v>1.2719039595619215</v>
      </c>
      <c r="D396" s="157">
        <f t="shared" ref="D396:L396" si="416">D356-$AM330</f>
        <v>-2.7333163407857963E-2</v>
      </c>
      <c r="E396" s="157">
        <f t="shared" si="416"/>
        <v>-3.5566017150814311E-3</v>
      </c>
      <c r="F396" s="157">
        <f t="shared" si="416"/>
        <v>1.8468736056362012E-2</v>
      </c>
      <c r="G396" s="157">
        <f t="shared" si="416"/>
        <v>3.9008785215890462E-2</v>
      </c>
      <c r="H396" s="157">
        <f t="shared" si="416"/>
        <v>5.8271513856421153E-2</v>
      </c>
      <c r="I396" s="157">
        <f t="shared" si="416"/>
        <v>7.6422840620669064E-2</v>
      </c>
      <c r="J396" s="157">
        <f t="shared" si="416"/>
        <v>9.3597400965874877E-2</v>
      </c>
      <c r="K396" s="157">
        <f t="shared" si="416"/>
        <v>0.10990604996795272</v>
      </c>
      <c r="L396" s="157">
        <f t="shared" si="416"/>
        <v>0.12544122629472931</v>
      </c>
      <c r="M396" s="121"/>
      <c r="N396" s="121"/>
      <c r="O396" s="121"/>
      <c r="P396" s="121"/>
      <c r="Q396" s="121"/>
      <c r="AT396" s="154">
        <f t="shared" ref="AT396:BB402" si="417">IF(Z370&lt;$G$449,0,MIN($G$446,1+IFERROR(INT((Z370-$G$449)/$G$468),0)))</f>
        <v>0</v>
      </c>
      <c r="AU396" s="154">
        <f t="shared" si="417"/>
        <v>0</v>
      </c>
      <c r="AV396" s="154">
        <f t="shared" si="417"/>
        <v>0</v>
      </c>
      <c r="AW396" s="154">
        <f t="shared" si="417"/>
        <v>0</v>
      </c>
      <c r="AX396" s="154">
        <f t="shared" si="417"/>
        <v>0</v>
      </c>
      <c r="AY396" s="154">
        <f t="shared" si="417"/>
        <v>1</v>
      </c>
      <c r="AZ396" s="154">
        <f t="shared" si="417"/>
        <v>2</v>
      </c>
      <c r="BA396" s="154">
        <f t="shared" si="417"/>
        <v>4</v>
      </c>
      <c r="BB396" s="154">
        <f t="shared" si="417"/>
        <v>5</v>
      </c>
    </row>
    <row r="397" spans="1:54" ht="15" customHeight="1" x14ac:dyDescent="0.25">
      <c r="A397" s="121"/>
      <c r="B397" s="334"/>
      <c r="C397" s="158">
        <f>C398-$G$441</f>
        <v>1.5219039595619215</v>
      </c>
      <c r="D397" s="157">
        <f t="shared" ref="D397:L397" si="418">D357-$AM331</f>
        <v>-1.2771428052138489E-2</v>
      </c>
      <c r="E397" s="157">
        <f t="shared" si="418"/>
        <v>9.9135618175962836E-3</v>
      </c>
      <c r="F397" s="157">
        <f t="shared" si="418"/>
        <v>3.1015720952057624E-2</v>
      </c>
      <c r="G397" s="157">
        <f t="shared" si="418"/>
        <v>5.0763754261904159E-2</v>
      </c>
      <c r="H397" s="157">
        <f t="shared" si="418"/>
        <v>6.9338755614333891E-2</v>
      </c>
      <c r="I397" s="157">
        <f t="shared" si="418"/>
        <v>8.6886734255001485E-2</v>
      </c>
      <c r="J397" s="157">
        <f t="shared" si="418"/>
        <v>0.10352724620955178</v>
      </c>
      <c r="K397" s="157">
        <f t="shared" si="418"/>
        <v>0.11935950554989816</v>
      </c>
      <c r="L397" s="157">
        <f t="shared" si="418"/>
        <v>0.13446681398613314</v>
      </c>
      <c r="M397" s="121"/>
      <c r="N397" s="121"/>
      <c r="O397" s="121"/>
      <c r="P397" s="121"/>
      <c r="Q397" s="121"/>
      <c r="AT397" s="154">
        <f t="shared" si="417"/>
        <v>0</v>
      </c>
      <c r="AU397" s="154">
        <f t="shared" si="417"/>
        <v>0</v>
      </c>
      <c r="AV397" s="154">
        <f t="shared" si="417"/>
        <v>0</v>
      </c>
      <c r="AW397" s="154">
        <f t="shared" si="417"/>
        <v>0</v>
      </c>
      <c r="AX397" s="154">
        <f t="shared" si="417"/>
        <v>0</v>
      </c>
      <c r="AY397" s="154">
        <f t="shared" si="417"/>
        <v>2</v>
      </c>
      <c r="AZ397" s="154">
        <f t="shared" si="417"/>
        <v>3</v>
      </c>
      <c r="BA397" s="154">
        <f t="shared" si="417"/>
        <v>5</v>
      </c>
      <c r="BB397" s="154">
        <f t="shared" si="417"/>
        <v>6</v>
      </c>
    </row>
    <row r="398" spans="1:54" ht="15" customHeight="1" x14ac:dyDescent="0.25">
      <c r="A398" s="121"/>
      <c r="B398" s="334"/>
      <c r="C398" s="158">
        <f>C399-$G$441</f>
        <v>1.7719039595619215</v>
      </c>
      <c r="D398" s="157">
        <f t="shared" ref="D398:L398" si="419">D358-$AM332</f>
        <v>1.1095125544362539E-3</v>
      </c>
      <c r="E398" s="157">
        <f t="shared" si="419"/>
        <v>2.2809643853174855E-2</v>
      </c>
      <c r="F398" s="157">
        <f t="shared" si="419"/>
        <v>4.3071402923140045E-2</v>
      </c>
      <c r="G398" s="157">
        <f t="shared" si="419"/>
        <v>6.2093009303481272E-2</v>
      </c>
      <c r="H398" s="157">
        <f t="shared" si="419"/>
        <v>8.0033192459237457E-2</v>
      </c>
      <c r="I398" s="157">
        <f t="shared" si="419"/>
        <v>9.7021164068431531E-2</v>
      </c>
      <c r="J398" s="157">
        <f t="shared" si="419"/>
        <v>0.11316360643204559</v>
      </c>
      <c r="K398" s="157">
        <f t="shared" si="419"/>
        <v>0.12854969279018169</v>
      </c>
      <c r="L398" s="157">
        <f t="shared" si="419"/>
        <v>0.14325477250716467</v>
      </c>
      <c r="M398" s="121"/>
      <c r="N398" s="121"/>
      <c r="O398" s="121"/>
      <c r="P398" s="121"/>
      <c r="Q398" s="121"/>
      <c r="AT398" s="154">
        <f t="shared" si="417"/>
        <v>0</v>
      </c>
      <c r="AU398" s="154">
        <f t="shared" si="417"/>
        <v>0</v>
      </c>
      <c r="AV398" s="154">
        <f t="shared" si="417"/>
        <v>0</v>
      </c>
      <c r="AW398" s="154">
        <f t="shared" si="417"/>
        <v>0</v>
      </c>
      <c r="AX398" s="154">
        <f t="shared" si="417"/>
        <v>1</v>
      </c>
      <c r="AY398" s="154">
        <f t="shared" si="417"/>
        <v>3</v>
      </c>
      <c r="AZ398" s="154">
        <f t="shared" si="417"/>
        <v>4</v>
      </c>
      <c r="BA398" s="154">
        <f t="shared" si="417"/>
        <v>6</v>
      </c>
      <c r="BB398" s="154">
        <f t="shared" si="417"/>
        <v>7</v>
      </c>
    </row>
    <row r="399" spans="1:54" ht="15" customHeight="1" x14ac:dyDescent="0.25">
      <c r="A399" s="121"/>
      <c r="B399" s="334"/>
      <c r="C399" s="158">
        <f>$G$440</f>
        <v>2.0219039595619215</v>
      </c>
      <c r="D399" s="157">
        <f t="shared" ref="D399:L399" si="420">D359-$AM333</f>
        <v>1.4377339561529201E-2</v>
      </c>
      <c r="E399" s="157">
        <f t="shared" si="420"/>
        <v>3.5183923320989186E-2</v>
      </c>
      <c r="F399" s="157">
        <f t="shared" si="420"/>
        <v>5.4677056592764561E-2</v>
      </c>
      <c r="G399" s="157">
        <f t="shared" si="420"/>
        <v>7.3029743609851261E-2</v>
      </c>
      <c r="H399" s="159">
        <f t="shared" si="420"/>
        <v>9.0381942850864316E-2</v>
      </c>
      <c r="I399" s="157">
        <f t="shared" si="420"/>
        <v>0.10684858967835398</v>
      </c>
      <c r="J399" s="157">
        <f t="shared" si="420"/>
        <v>0.12252530561560881</v>
      </c>
      <c r="K399" s="157">
        <f t="shared" si="420"/>
        <v>0.13749255495352242</v>
      </c>
      <c r="L399" s="157">
        <f t="shared" si="420"/>
        <v>0.15181873160905801</v>
      </c>
      <c r="M399" s="121"/>
      <c r="N399" s="121"/>
      <c r="O399" s="121"/>
      <c r="P399" s="121"/>
      <c r="Q399" s="121"/>
      <c r="AT399" s="154">
        <f t="shared" si="417"/>
        <v>0</v>
      </c>
      <c r="AU399" s="154">
        <f t="shared" si="417"/>
        <v>0</v>
      </c>
      <c r="AV399" s="154">
        <f t="shared" si="417"/>
        <v>0</v>
      </c>
      <c r="AW399" s="154">
        <f t="shared" si="417"/>
        <v>1</v>
      </c>
      <c r="AX399" s="154">
        <f t="shared" si="417"/>
        <v>2</v>
      </c>
      <c r="AY399" s="154">
        <f t="shared" si="417"/>
        <v>4</v>
      </c>
      <c r="AZ399" s="154">
        <f t="shared" si="417"/>
        <v>5</v>
      </c>
      <c r="BA399" s="154">
        <f t="shared" si="417"/>
        <v>6</v>
      </c>
      <c r="BB399" s="154">
        <f t="shared" si="417"/>
        <v>8</v>
      </c>
    </row>
    <row r="400" spans="1:54" ht="15" customHeight="1" x14ac:dyDescent="0.25">
      <c r="A400" s="121"/>
      <c r="B400" s="334"/>
      <c r="C400" s="158">
        <f>C399+$G$441</f>
        <v>2.2719039595619215</v>
      </c>
      <c r="D400" s="157">
        <f t="shared" ref="D400:L400" si="421">D360-$AM334</f>
        <v>2.7089812642434818E-2</v>
      </c>
      <c r="E400" s="157">
        <f t="shared" si="421"/>
        <v>4.7081628455525548E-2</v>
      </c>
      <c r="F400" s="157">
        <f t="shared" si="421"/>
        <v>6.5868802187019515E-2</v>
      </c>
      <c r="G400" s="157">
        <f t="shared" si="421"/>
        <v>8.3603290993691237E-2</v>
      </c>
      <c r="H400" s="157">
        <f t="shared" si="421"/>
        <v>0.10040917543791528</v>
      </c>
      <c r="I400" s="157">
        <f t="shared" si="421"/>
        <v>0.11638917559985718</v>
      </c>
      <c r="J400" s="157">
        <f t="shared" si="421"/>
        <v>0.13162935402716069</v>
      </c>
      <c r="K400" s="157">
        <f t="shared" si="421"/>
        <v>0.14620258213454251</v>
      </c>
      <c r="L400" s="157">
        <f t="shared" si="421"/>
        <v>0.16017114240597685</v>
      </c>
      <c r="M400" s="121"/>
      <c r="N400" s="121"/>
      <c r="O400" s="121"/>
      <c r="P400" s="121"/>
      <c r="Q400" s="121"/>
      <c r="AT400" s="154">
        <f t="shared" si="417"/>
        <v>0</v>
      </c>
      <c r="AU400" s="154">
        <f t="shared" si="417"/>
        <v>0</v>
      </c>
      <c r="AV400" s="154">
        <f t="shared" si="417"/>
        <v>0</v>
      </c>
      <c r="AW400" s="154">
        <f t="shared" si="417"/>
        <v>1</v>
      </c>
      <c r="AX400" s="154">
        <f t="shared" si="417"/>
        <v>3</v>
      </c>
      <c r="AY400" s="154">
        <f t="shared" si="417"/>
        <v>4</v>
      </c>
      <c r="AZ400" s="154">
        <f t="shared" si="417"/>
        <v>6</v>
      </c>
      <c r="BA400" s="154">
        <f t="shared" si="417"/>
        <v>7</v>
      </c>
      <c r="BB400" s="154">
        <f t="shared" si="417"/>
        <v>9</v>
      </c>
    </row>
    <row r="401" spans="1:54" ht="15" customHeight="1" x14ac:dyDescent="0.25">
      <c r="A401" s="121"/>
      <c r="B401" s="334"/>
      <c r="C401" s="158">
        <f>C400+$G$441</f>
        <v>2.5219039595619215</v>
      </c>
      <c r="D401" s="157">
        <f t="shared" ref="D401:L401" si="422">D361-$AM335</f>
        <v>3.9296646093995857E-2</v>
      </c>
      <c r="E401" s="157">
        <f t="shared" si="422"/>
        <v>5.8542168266491723E-2</v>
      </c>
      <c r="F401" s="157">
        <f t="shared" si="422"/>
        <v>7.6678441960028376E-2</v>
      </c>
      <c r="G401" s="157">
        <f t="shared" si="422"/>
        <v>9.3839710636860252E-2</v>
      </c>
      <c r="H401" s="157">
        <f t="shared" si="422"/>
        <v>0.11013652831392307</v>
      </c>
      <c r="I401" s="157">
        <f t="shared" si="422"/>
        <v>0.12566109842006901</v>
      </c>
      <c r="J401" s="157">
        <f t="shared" si="422"/>
        <v>0.14049117752398765</v>
      </c>
      <c r="K401" s="157">
        <f t="shared" si="422"/>
        <v>0.15469298536318732</v>
      </c>
      <c r="L401" s="157">
        <f t="shared" si="422"/>
        <v>0.16832341156711794</v>
      </c>
      <c r="M401" s="121"/>
      <c r="N401" s="121"/>
      <c r="O401" s="121"/>
      <c r="P401" s="121"/>
      <c r="Q401" s="121"/>
      <c r="AT401" s="154">
        <f t="shared" si="417"/>
        <v>0</v>
      </c>
      <c r="AU401" s="154">
        <f t="shared" si="417"/>
        <v>0</v>
      </c>
      <c r="AV401" s="154">
        <f t="shared" si="417"/>
        <v>1</v>
      </c>
      <c r="AW401" s="154">
        <f t="shared" si="417"/>
        <v>2</v>
      </c>
      <c r="AX401" s="154">
        <f t="shared" si="417"/>
        <v>4</v>
      </c>
      <c r="AY401" s="154">
        <f t="shared" si="417"/>
        <v>5</v>
      </c>
      <c r="AZ401" s="154">
        <f t="shared" si="417"/>
        <v>7</v>
      </c>
      <c r="BA401" s="154">
        <f t="shared" si="417"/>
        <v>8</v>
      </c>
      <c r="BB401" s="154">
        <f t="shared" si="417"/>
        <v>10</v>
      </c>
    </row>
    <row r="402" spans="1:54" ht="15" customHeight="1" x14ac:dyDescent="0.25">
      <c r="A402" s="121"/>
      <c r="B402" s="335"/>
      <c r="C402" s="156">
        <f>C401+$G$441</f>
        <v>2.7719039595619215</v>
      </c>
      <c r="D402" s="155">
        <f t="shared" ref="D402:L402" si="423">D362-$AM336</f>
        <v>5.1040957963464528E-2</v>
      </c>
      <c r="E402" s="155">
        <f t="shared" si="423"/>
        <v>6.9600104207890867E-2</v>
      </c>
      <c r="F402" s="155">
        <f t="shared" si="423"/>
        <v>8.7134132164470524E-2</v>
      </c>
      <c r="G402" s="155">
        <f t="shared" si="423"/>
        <v>0.1037622642657432</v>
      </c>
      <c r="H402" s="155">
        <f t="shared" si="423"/>
        <v>0.11958345562955031</v>
      </c>
      <c r="I402" s="155">
        <f t="shared" si="423"/>
        <v>0.13468080372868374</v>
      </c>
      <c r="J402" s="155">
        <f t="shared" si="423"/>
        <v>0.14912481141110256</v>
      </c>
      <c r="K402" s="155">
        <f t="shared" si="423"/>
        <v>0.16297584516403796</v>
      </c>
      <c r="L402" s="155">
        <f t="shared" si="423"/>
        <v>0.1762860167697804</v>
      </c>
      <c r="M402" s="121"/>
      <c r="N402" s="121"/>
      <c r="O402" s="121"/>
      <c r="P402" s="121"/>
      <c r="Q402" s="121"/>
      <c r="AT402" s="154">
        <f t="shared" si="417"/>
        <v>0</v>
      </c>
      <c r="AU402" s="154">
        <f t="shared" si="417"/>
        <v>0</v>
      </c>
      <c r="AV402" s="154">
        <f t="shared" si="417"/>
        <v>2</v>
      </c>
      <c r="AW402" s="154">
        <f t="shared" si="417"/>
        <v>3</v>
      </c>
      <c r="AX402" s="154">
        <f t="shared" si="417"/>
        <v>5</v>
      </c>
      <c r="AY402" s="154">
        <f t="shared" si="417"/>
        <v>6</v>
      </c>
      <c r="AZ402" s="154">
        <f t="shared" si="417"/>
        <v>8</v>
      </c>
      <c r="BA402" s="154">
        <f t="shared" si="417"/>
        <v>9</v>
      </c>
      <c r="BB402" s="154">
        <f t="shared" si="417"/>
        <v>10</v>
      </c>
    </row>
    <row r="403" spans="1:54" ht="3.95" hidden="1" customHeight="1" x14ac:dyDescent="0.25">
      <c r="A403" s="121"/>
      <c r="B403" s="153" t="s">
        <v>286</v>
      </c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</row>
    <row r="404" spans="1:54" ht="3.95" customHeight="1" x14ac:dyDescent="0.25">
      <c r="A404" s="121"/>
      <c r="M404" s="121"/>
    </row>
    <row r="405" spans="1:54" ht="12" customHeight="1" x14ac:dyDescent="0.25">
      <c r="A405" s="121"/>
      <c r="B405" s="145" t="s">
        <v>285</v>
      </c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21"/>
    </row>
    <row r="406" spans="1:54" ht="12" customHeight="1" x14ac:dyDescent="0.25">
      <c r="A406" s="121"/>
      <c r="B406" s="121" t="s">
        <v>284</v>
      </c>
      <c r="G406" s="152">
        <f>$O18+$G$435+$N18*$G$431+$R18*($Q18*(1+$G$437)+$G$431*(1-$N18))-$G$430</f>
        <v>6083.8455322633381</v>
      </c>
      <c r="H406" s="121"/>
      <c r="M406" s="121"/>
    </row>
    <row r="407" spans="1:54" ht="12" customHeight="1" x14ac:dyDescent="0.25">
      <c r="A407" s="121"/>
      <c r="B407" s="151" t="s">
        <v>267</v>
      </c>
      <c r="C407" s="150"/>
      <c r="D407" s="150"/>
      <c r="E407" s="150"/>
      <c r="F407" s="150"/>
      <c r="G407" s="149">
        <f>'Partnership Analysis'!$D$90-'Partnership Analysis'!$C$173</f>
        <v>6083.8455322633363</v>
      </c>
      <c r="H407" s="121"/>
      <c r="M407" s="121"/>
    </row>
    <row r="408" spans="1:54" ht="12" customHeight="1" x14ac:dyDescent="0.25">
      <c r="A408" s="121"/>
      <c r="B408" s="148" t="s">
        <v>283</v>
      </c>
      <c r="G408" s="147">
        <f>G406-G407</f>
        <v>0</v>
      </c>
      <c r="H408" s="121"/>
      <c r="M408" s="121"/>
    </row>
    <row r="409" spans="1:54" ht="12" customHeight="1" x14ac:dyDescent="0.25">
      <c r="A409" s="121"/>
      <c r="B409" s="121" t="s">
        <v>282</v>
      </c>
      <c r="G409" s="152">
        <f>G406+$G$430-$G$447</f>
        <v>1593.5878335345205</v>
      </c>
      <c r="H409" s="121"/>
      <c r="M409" s="121"/>
    </row>
    <row r="410" spans="1:54" ht="12" customHeight="1" x14ac:dyDescent="0.25">
      <c r="A410" s="121"/>
      <c r="B410" s="151" t="s">
        <v>281</v>
      </c>
      <c r="C410" s="150"/>
      <c r="D410" s="150"/>
      <c r="E410" s="150"/>
      <c r="F410" s="150"/>
      <c r="G410" s="149">
        <f>'Partnership Analysis'!$D$93</f>
        <v>1593.5878335345187</v>
      </c>
      <c r="H410" s="121"/>
      <c r="M410" s="121"/>
    </row>
    <row r="411" spans="1:54" ht="12" customHeight="1" x14ac:dyDescent="0.25">
      <c r="A411" s="121"/>
      <c r="B411" s="148" t="s">
        <v>280</v>
      </c>
      <c r="G411" s="147">
        <f>ROUND(G409-G410,6)</f>
        <v>0</v>
      </c>
      <c r="H411" s="121"/>
      <c r="M411" s="121"/>
    </row>
    <row r="412" spans="1:54" ht="12" customHeight="1" x14ac:dyDescent="0.25">
      <c r="A412" s="121"/>
      <c r="B412" s="121" t="s">
        <v>279</v>
      </c>
      <c r="G412" s="152">
        <f>($G$453+$G$456*$G$445*$G$454)*$G$455</f>
        <v>13980.189077288145</v>
      </c>
      <c r="H412" s="121"/>
      <c r="M412" s="121"/>
    </row>
    <row r="413" spans="1:54" ht="12" customHeight="1" x14ac:dyDescent="0.25">
      <c r="A413" s="121"/>
      <c r="B413" s="151" t="s">
        <v>278</v>
      </c>
      <c r="C413" s="150"/>
      <c r="D413" s="150"/>
      <c r="E413" s="150"/>
      <c r="F413" s="150"/>
      <c r="G413" s="149">
        <f>$G$431</f>
        <v>13980.189077288145</v>
      </c>
      <c r="H413" s="121"/>
      <c r="M413" s="121"/>
    </row>
    <row r="414" spans="1:54" ht="12" customHeight="1" x14ac:dyDescent="0.25">
      <c r="A414" s="121"/>
      <c r="B414" s="148" t="s">
        <v>277</v>
      </c>
      <c r="G414" s="147">
        <f>ROUND(G412-G413,6)</f>
        <v>0</v>
      </c>
      <c r="H414" s="121"/>
      <c r="M414" s="121"/>
    </row>
    <row r="415" spans="1:54" ht="12" customHeight="1" x14ac:dyDescent="0.25">
      <c r="A415" s="121"/>
      <c r="B415" s="121" t="s">
        <v>276</v>
      </c>
      <c r="G415" s="152">
        <f>($G$453+($G$456-$G$459)*$G$445*$G$460)*$G$461*$G$462</f>
        <v>7490.2576987288176</v>
      </c>
      <c r="H415" s="121"/>
      <c r="M415" s="121"/>
    </row>
    <row r="416" spans="1:54" ht="12" customHeight="1" x14ac:dyDescent="0.25">
      <c r="A416" s="121"/>
      <c r="B416" s="151" t="s">
        <v>275</v>
      </c>
      <c r="C416" s="150"/>
      <c r="D416" s="150"/>
      <c r="E416" s="150"/>
      <c r="F416" s="150"/>
      <c r="G416" s="149">
        <f>$G$447</f>
        <v>7490.2576987288176</v>
      </c>
      <c r="H416" s="121"/>
      <c r="M416" s="121"/>
    </row>
    <row r="417" spans="1:13" ht="12" customHeight="1" x14ac:dyDescent="0.25">
      <c r="A417" s="121"/>
      <c r="B417" s="148" t="s">
        <v>274</v>
      </c>
      <c r="G417" s="147">
        <f>ROUND(G415-G416,6)</f>
        <v>0</v>
      </c>
      <c r="H417" s="121"/>
      <c r="M417" s="121"/>
    </row>
    <row r="418" spans="1:13" ht="12" customHeight="1" x14ac:dyDescent="0.25">
      <c r="A418" s="121"/>
      <c r="B418" s="121" t="str">
        <f>"Ben's Yr 5 Value Less Keystone Today — Rebuilt at Model Wins &amp; Growth ("&amp;TEXT($G$436,"0%")&amp;" Rollover)"</f>
        <v>Ben's Yr 5 Value Less Keystone Today — Rebuilt at Model Wins &amp; Growth (30% Rollover)</v>
      </c>
      <c r="G418" s="152">
        <f>$O$18+$G$435+$N$18*$G$412+$R$18*($Q$18*(1+$G$437)+$G$412*(1-$N$18))-$G$430</f>
        <v>6083.8455322633381</v>
      </c>
      <c r="H418" s="121"/>
      <c r="M418" s="121"/>
    </row>
    <row r="419" spans="1:13" ht="12" customHeight="1" x14ac:dyDescent="0.25">
      <c r="A419" s="121"/>
      <c r="B419" s="151" t="s">
        <v>267</v>
      </c>
      <c r="C419" s="150"/>
      <c r="D419" s="150"/>
      <c r="E419" s="150"/>
      <c r="F419" s="150"/>
      <c r="G419" s="149">
        <f>$G$407</f>
        <v>6083.8455322633363</v>
      </c>
      <c r="H419" s="121"/>
      <c r="M419" s="121"/>
    </row>
    <row r="420" spans="1:13" ht="12" customHeight="1" x14ac:dyDescent="0.25">
      <c r="A420" s="121"/>
      <c r="B420" s="148" t="s">
        <v>273</v>
      </c>
      <c r="G420" s="147">
        <f>ROUND(G418-G419,6)</f>
        <v>0</v>
      </c>
      <c r="H420" s="121"/>
      <c r="M420" s="121"/>
    </row>
    <row r="421" spans="1:13" ht="12" customHeight="1" x14ac:dyDescent="0.25">
      <c r="A421" s="121"/>
      <c r="B421" s="121" t="s">
        <v>272</v>
      </c>
      <c r="G421" s="152">
        <f>$AD$253</f>
        <v>6083.8455322633381</v>
      </c>
      <c r="H421" s="121" t="s">
        <v>271</v>
      </c>
      <c r="M421" s="121"/>
    </row>
    <row r="422" spans="1:13" ht="12" customHeight="1" x14ac:dyDescent="0.25">
      <c r="A422" s="121"/>
      <c r="B422" s="151" t="s">
        <v>267</v>
      </c>
      <c r="C422" s="150"/>
      <c r="D422" s="150"/>
      <c r="E422" s="150"/>
      <c r="F422" s="150"/>
      <c r="G422" s="149">
        <f>$G$407</f>
        <v>6083.8455322633363</v>
      </c>
      <c r="H422" s="121"/>
      <c r="M422" s="121"/>
    </row>
    <row r="423" spans="1:13" ht="12" customHeight="1" x14ac:dyDescent="0.25">
      <c r="A423" s="121"/>
      <c r="B423" s="148" t="s">
        <v>270</v>
      </c>
      <c r="G423" s="147">
        <f>ROUND(G421-G422,6)</f>
        <v>0</v>
      </c>
      <c r="H423" s="121" t="s">
        <v>51</v>
      </c>
      <c r="M423" s="121"/>
    </row>
    <row r="424" spans="1:13" ht="12" customHeight="1" x14ac:dyDescent="0.25">
      <c r="A424" s="121"/>
      <c r="B424" s="121" t="s">
        <v>269</v>
      </c>
      <c r="G424" s="152">
        <f>$O$18+$G$435+$N$18*$AK333*$G$455+$R$18*($Q$18*(1+$G$437)+$AK333*$G$455*(1-$N$18))-$G$430</f>
        <v>6083.8455322633381</v>
      </c>
      <c r="H424" s="121" t="s">
        <v>268</v>
      </c>
      <c r="M424" s="121"/>
    </row>
    <row r="425" spans="1:13" ht="12" customHeight="1" x14ac:dyDescent="0.25">
      <c r="A425" s="121"/>
      <c r="B425" s="151" t="s">
        <v>267</v>
      </c>
      <c r="C425" s="150"/>
      <c r="D425" s="150"/>
      <c r="E425" s="150"/>
      <c r="F425" s="150"/>
      <c r="G425" s="149">
        <f>$G$407</f>
        <v>6083.8455322633363</v>
      </c>
      <c r="H425" s="121"/>
      <c r="M425" s="121"/>
    </row>
    <row r="426" spans="1:13" ht="12" customHeight="1" x14ac:dyDescent="0.25">
      <c r="A426" s="121"/>
      <c r="B426" s="148" t="s">
        <v>266</v>
      </c>
      <c r="G426" s="147">
        <f>ROUND(G424-G425,6)</f>
        <v>0</v>
      </c>
      <c r="H426" s="121" t="s">
        <v>51</v>
      </c>
      <c r="M426" s="121"/>
    </row>
    <row r="427" spans="1:13" ht="12" customHeight="1" x14ac:dyDescent="0.25">
      <c r="A427" s="121"/>
      <c r="B427" s="148"/>
      <c r="G427" s="147"/>
      <c r="H427" s="121"/>
      <c r="M427" s="121"/>
    </row>
    <row r="428" spans="1:13" ht="12" customHeight="1" x14ac:dyDescent="0.25">
      <c r="A428" s="121"/>
      <c r="B428" s="121"/>
      <c r="G428" s="121"/>
      <c r="H428" s="121"/>
      <c r="M428" s="121"/>
    </row>
    <row r="429" spans="1:13" ht="12" customHeight="1" x14ac:dyDescent="0.25">
      <c r="A429" s="121"/>
      <c r="B429" s="145" t="s">
        <v>265</v>
      </c>
      <c r="C429" s="145"/>
      <c r="D429" s="145"/>
      <c r="E429" s="145"/>
      <c r="F429" s="145"/>
      <c r="G429" s="146" t="s">
        <v>192</v>
      </c>
      <c r="H429" s="145" t="s">
        <v>191</v>
      </c>
      <c r="I429" s="145"/>
      <c r="J429" s="145"/>
      <c r="K429" s="145"/>
      <c r="L429" s="145"/>
      <c r="M429" s="121"/>
    </row>
    <row r="430" spans="1:13" ht="12" customHeight="1" x14ac:dyDescent="0.25">
      <c r="B430" s="121" t="s">
        <v>140</v>
      </c>
      <c r="G430" s="144">
        <f>'Partnership Analysis'!$C$173</f>
        <v>3000</v>
      </c>
      <c r="H430" s="121" t="s">
        <v>264</v>
      </c>
    </row>
    <row r="431" spans="1:13" ht="12" customHeight="1" x14ac:dyDescent="0.25">
      <c r="B431" s="121" t="s">
        <v>263</v>
      </c>
      <c r="G431" s="143">
        <f>'Partnership Analysis'!$D$75</f>
        <v>13980.189077288145</v>
      </c>
      <c r="H431" s="121" t="s">
        <v>262</v>
      </c>
    </row>
    <row r="432" spans="1:13" ht="12" customHeight="1" x14ac:dyDescent="0.25">
      <c r="B432" s="121" t="s">
        <v>261</v>
      </c>
      <c r="G432" s="143">
        <f>'Partnership Analysis'!$C$179</f>
        <v>60000</v>
      </c>
      <c r="H432" s="121" t="s">
        <v>260</v>
      </c>
    </row>
    <row r="433" spans="2:8" ht="12" customHeight="1" x14ac:dyDescent="0.25">
      <c r="B433" s="121" t="s">
        <v>259</v>
      </c>
      <c r="G433" s="143">
        <f>'Partnership Analysis'!$C$177</f>
        <v>650</v>
      </c>
      <c r="H433" s="121" t="s">
        <v>258</v>
      </c>
    </row>
    <row r="434" spans="2:8" ht="12" customHeight="1" x14ac:dyDescent="0.25">
      <c r="B434" s="121" t="s">
        <v>257</v>
      </c>
      <c r="G434" s="142">
        <f>'Partnership Analysis'!$C$8</f>
        <v>0.05</v>
      </c>
      <c r="H434" s="121" t="s">
        <v>256</v>
      </c>
    </row>
    <row r="435" spans="2:8" ht="12" customHeight="1" x14ac:dyDescent="0.25">
      <c r="B435" s="121" t="s">
        <v>128</v>
      </c>
      <c r="G435" s="143">
        <f>'Partnership Analysis'!$C$56</f>
        <v>0</v>
      </c>
      <c r="H435" s="121" t="s">
        <v>255</v>
      </c>
    </row>
    <row r="436" spans="2:8" ht="12" customHeight="1" x14ac:dyDescent="0.25">
      <c r="B436" s="121" t="s">
        <v>254</v>
      </c>
      <c r="G436" s="142">
        <f>'Partnership Analysis'!$C$7</f>
        <v>0.3</v>
      </c>
      <c r="H436" s="121" t="s">
        <v>253</v>
      </c>
    </row>
    <row r="437" spans="2:8" ht="12" customHeight="1" x14ac:dyDescent="0.25">
      <c r="B437" s="121" t="s">
        <v>252</v>
      </c>
      <c r="G437" s="142">
        <f>'Partnership Analysis'!$C$19</f>
        <v>2.0219039595619215</v>
      </c>
      <c r="H437" s="121" t="s">
        <v>251</v>
      </c>
    </row>
    <row r="438" spans="2:8" ht="12" customHeight="1" x14ac:dyDescent="0.25">
      <c r="B438" s="121" t="s">
        <v>250</v>
      </c>
      <c r="G438" s="141">
        <f>$G$436</f>
        <v>0.3</v>
      </c>
      <c r="H438" s="121" t="s">
        <v>249</v>
      </c>
    </row>
    <row r="439" spans="2:8" ht="12" customHeight="1" x14ac:dyDescent="0.25">
      <c r="B439" s="121" t="s">
        <v>248</v>
      </c>
      <c r="G439" s="140">
        <v>0.05</v>
      </c>
      <c r="H439" s="121" t="s">
        <v>247</v>
      </c>
    </row>
    <row r="440" spans="2:8" ht="12" customHeight="1" x14ac:dyDescent="0.25">
      <c r="B440" s="121" t="s">
        <v>246</v>
      </c>
      <c r="G440" s="141">
        <f>$G$437</f>
        <v>2.0219039595619215</v>
      </c>
      <c r="H440" s="121" t="s">
        <v>245</v>
      </c>
    </row>
    <row r="441" spans="2:8" ht="12" customHeight="1" x14ac:dyDescent="0.25">
      <c r="B441" s="121" t="s">
        <v>244</v>
      </c>
      <c r="G441" s="140">
        <v>0.25</v>
      </c>
      <c r="H441" s="121" t="s">
        <v>243</v>
      </c>
    </row>
    <row r="442" spans="2:8" ht="12" customHeight="1" x14ac:dyDescent="0.25">
      <c r="B442" s="121" t="s">
        <v>242</v>
      </c>
      <c r="G442" s="129">
        <f>$G$447-$G$430+$G$449</f>
        <v>5490.2576987288176</v>
      </c>
      <c r="H442" s="121" t="s">
        <v>241</v>
      </c>
    </row>
    <row r="443" spans="2:8" ht="12" customHeight="1" x14ac:dyDescent="0.25">
      <c r="B443" s="121" t="s">
        <v>240</v>
      </c>
      <c r="G443" s="139">
        <f>IFERROR(($G$447+$G$449)/$G$430-1,0)</f>
        <v>1.8300858995762725</v>
      </c>
      <c r="H443" s="121" t="s">
        <v>239</v>
      </c>
    </row>
    <row r="444" spans="2:8" ht="12" customHeight="1" x14ac:dyDescent="0.25">
      <c r="B444" s="121" t="s">
        <v>238</v>
      </c>
      <c r="G444" s="135">
        <f>'Partnership Analysis'!$C$44</f>
        <v>3</v>
      </c>
      <c r="H444" s="121" t="s">
        <v>237</v>
      </c>
    </row>
    <row r="445" spans="2:8" ht="12" customHeight="1" x14ac:dyDescent="0.25">
      <c r="B445" s="121" t="s">
        <v>236</v>
      </c>
      <c r="G445" s="135">
        <f>'Partnership Analysis'!$C$9</f>
        <v>5</v>
      </c>
      <c r="H445" s="121" t="s">
        <v>235</v>
      </c>
    </row>
    <row r="446" spans="2:8" ht="12" customHeight="1" x14ac:dyDescent="0.25">
      <c r="B446" s="121" t="s">
        <v>234</v>
      </c>
      <c r="G446" s="136">
        <v>10</v>
      </c>
      <c r="H446" s="121" t="s">
        <v>233</v>
      </c>
    </row>
    <row r="447" spans="2:8" ht="12" customHeight="1" x14ac:dyDescent="0.25">
      <c r="B447" s="121" t="s">
        <v>232</v>
      </c>
      <c r="G447" s="135">
        <f>'Partnership Analysis'!$D$72</f>
        <v>7490.2576987288176</v>
      </c>
      <c r="H447" s="121" t="s">
        <v>231</v>
      </c>
    </row>
    <row r="448" spans="2:8" ht="12" customHeight="1" x14ac:dyDescent="0.25">
      <c r="B448" s="121" t="s">
        <v>230</v>
      </c>
      <c r="G448" s="138">
        <f>IFERROR((G447/G430)^(1/G445)-1,0)</f>
        <v>0.20081222595661186</v>
      </c>
      <c r="H448" s="121" t="s">
        <v>229</v>
      </c>
    </row>
    <row r="449" spans="2:8" ht="12" customHeight="1" x14ac:dyDescent="0.25">
      <c r="B449" s="121" t="s">
        <v>228</v>
      </c>
      <c r="G449" s="105">
        <v>1000</v>
      </c>
      <c r="H449" s="121" t="s">
        <v>227</v>
      </c>
    </row>
    <row r="450" spans="2:8" ht="12" customHeight="1" x14ac:dyDescent="0.25">
      <c r="B450" s="121" t="s">
        <v>226</v>
      </c>
      <c r="G450" s="138">
        <f>IFERROR($G$449/$G$447,0)</f>
        <v>0.13350675507061813</v>
      </c>
      <c r="H450" s="121" t="s">
        <v>225</v>
      </c>
    </row>
    <row r="451" spans="2:8" ht="12" customHeight="1" x14ac:dyDescent="0.25">
      <c r="B451" s="121" t="s">
        <v>224</v>
      </c>
      <c r="G451" s="129">
        <f>(MAX($Z$50:$AH$56)-$G$449)/$G$446</f>
        <v>228.80347433112274</v>
      </c>
      <c r="H451" s="121" t="s">
        <v>194</v>
      </c>
    </row>
    <row r="452" spans="2:8" ht="12" customHeight="1" x14ac:dyDescent="0.25">
      <c r="B452" s="121" t="s">
        <v>223</v>
      </c>
      <c r="G452" s="137">
        <v>-2</v>
      </c>
      <c r="H452" s="121" t="s">
        <v>222</v>
      </c>
    </row>
    <row r="453" spans="2:8" ht="12" customHeight="1" x14ac:dyDescent="0.25">
      <c r="B453" s="121" t="s">
        <v>221</v>
      </c>
      <c r="G453" s="135">
        <f>'Partnership Analysis'!$C$172</f>
        <v>2998.5410200000001</v>
      </c>
      <c r="H453" s="121" t="s">
        <v>220</v>
      </c>
    </row>
    <row r="454" spans="2:8" ht="12" customHeight="1" x14ac:dyDescent="0.25">
      <c r="B454" s="121" t="s">
        <v>219</v>
      </c>
      <c r="G454" s="134">
        <f>'Partnership Analysis'!$C$34</f>
        <v>16.6314729943503</v>
      </c>
      <c r="H454" s="121" t="s">
        <v>218</v>
      </c>
    </row>
    <row r="455" spans="2:8" ht="12" customHeight="1" x14ac:dyDescent="0.25">
      <c r="B455" s="121" t="s">
        <v>26</v>
      </c>
      <c r="G455" s="133">
        <f>'Partnership Analysis'!$C$31</f>
        <v>2</v>
      </c>
      <c r="H455" s="121" t="s">
        <v>217</v>
      </c>
    </row>
    <row r="456" spans="2:8" ht="12" customHeight="1" x14ac:dyDescent="0.25">
      <c r="B456" s="121" t="s">
        <v>216</v>
      </c>
      <c r="G456" s="135">
        <f>'Partnership Analysis'!$C$38</f>
        <v>48</v>
      </c>
      <c r="H456" s="121" t="s">
        <v>215</v>
      </c>
    </row>
    <row r="457" spans="2:8" ht="12" customHeight="1" x14ac:dyDescent="0.25">
      <c r="B457" s="121" t="s">
        <v>214</v>
      </c>
      <c r="G457" s="100">
        <f>$G$456</f>
        <v>48</v>
      </c>
      <c r="H457" s="121" t="s">
        <v>213</v>
      </c>
    </row>
    <row r="458" spans="2:8" ht="12" customHeight="1" x14ac:dyDescent="0.25">
      <c r="B458" s="121" t="s">
        <v>212</v>
      </c>
      <c r="G458" s="136">
        <v>4</v>
      </c>
      <c r="H458" s="121" t="s">
        <v>211</v>
      </c>
    </row>
    <row r="459" spans="2:8" ht="12" customHeight="1" x14ac:dyDescent="0.25">
      <c r="B459" s="121" t="s">
        <v>210</v>
      </c>
      <c r="G459" s="135">
        <f>'Partnership Analysis'!$C$37</f>
        <v>12</v>
      </c>
      <c r="H459" s="121" t="s">
        <v>209</v>
      </c>
    </row>
    <row r="460" spans="2:8" ht="12" customHeight="1" x14ac:dyDescent="0.25">
      <c r="B460" s="121" t="s">
        <v>208</v>
      </c>
      <c r="G460" s="134">
        <f>'Partnership Analysis'!$C$24</f>
        <v>16.6314729943503</v>
      </c>
      <c r="H460" s="121" t="s">
        <v>207</v>
      </c>
    </row>
    <row r="461" spans="2:8" ht="12" customHeight="1" x14ac:dyDescent="0.25">
      <c r="B461" s="121" t="s">
        <v>206</v>
      </c>
      <c r="G461" s="133">
        <f>'Partnership Analysis'!$C$23</f>
        <v>1.25</v>
      </c>
      <c r="H461" s="121" t="s">
        <v>205</v>
      </c>
    </row>
    <row r="462" spans="2:8" ht="12" customHeight="1" x14ac:dyDescent="0.25">
      <c r="B462" s="121" t="s">
        <v>204</v>
      </c>
      <c r="G462" s="132">
        <f>'Partnership Analysis'!$C$71</f>
        <v>1</v>
      </c>
      <c r="H462" s="121" t="s">
        <v>203</v>
      </c>
    </row>
    <row r="463" spans="2:8" ht="12" customHeight="1" x14ac:dyDescent="0.25">
      <c r="B463" s="121" t="s">
        <v>202</v>
      </c>
      <c r="G463" s="129">
        <f>(MAX($Z$130:$AH$136)-$G$449)/$G$446</f>
        <v>180.66194110493015</v>
      </c>
      <c r="H463" s="121" t="s">
        <v>194</v>
      </c>
    </row>
    <row r="464" spans="2:8" ht="12" customHeight="1" x14ac:dyDescent="0.25">
      <c r="B464" s="121" t="s">
        <v>201</v>
      </c>
      <c r="G464" s="129">
        <f>(MAX($Z$210:$AH$216)-$G$449)/$G$446</f>
        <v>254.13234537856806</v>
      </c>
      <c r="H464" s="121" t="s">
        <v>194</v>
      </c>
    </row>
    <row r="465" spans="2:8" x14ac:dyDescent="0.25">
      <c r="B465" s="121" t="s">
        <v>200</v>
      </c>
      <c r="G465" s="131">
        <f>$G$455</f>
        <v>2</v>
      </c>
      <c r="H465" s="121" t="s">
        <v>199</v>
      </c>
    </row>
    <row r="466" spans="2:8" x14ac:dyDescent="0.25">
      <c r="B466" s="121" t="s">
        <v>198</v>
      </c>
      <c r="G466" s="130">
        <v>0.25</v>
      </c>
      <c r="H466" s="121" t="s">
        <v>197</v>
      </c>
    </row>
    <row r="467" spans="2:8" x14ac:dyDescent="0.25">
      <c r="B467" s="121" t="s">
        <v>196</v>
      </c>
      <c r="G467" s="129">
        <f>(MAX($Z$290:$AH$296)-$G$449)/$G$446</f>
        <v>310.25875763186667</v>
      </c>
      <c r="H467" s="121" t="s">
        <v>194</v>
      </c>
    </row>
    <row r="468" spans="2:8" x14ac:dyDescent="0.25">
      <c r="B468" s="121" t="s">
        <v>195</v>
      </c>
      <c r="G468" s="129">
        <f>(MAX($Z$370:$AH$376)-$G$449)/$G$446</f>
        <v>379.81209536124862</v>
      </c>
      <c r="H468" s="121" t="s">
        <v>194</v>
      </c>
    </row>
  </sheetData>
  <mergeCells count="30">
    <mergeCell ref="B10:B16"/>
    <mergeCell ref="B23:B29"/>
    <mergeCell ref="B36:B42"/>
    <mergeCell ref="B50:B56"/>
    <mergeCell ref="B63:B69"/>
    <mergeCell ref="B76:B82"/>
    <mergeCell ref="B90:B96"/>
    <mergeCell ref="B103:B109"/>
    <mergeCell ref="B116:B122"/>
    <mergeCell ref="B130:B136"/>
    <mergeCell ref="B143:B149"/>
    <mergeCell ref="B156:B162"/>
    <mergeCell ref="B170:B176"/>
    <mergeCell ref="B183:B189"/>
    <mergeCell ref="B196:B202"/>
    <mergeCell ref="B210:B216"/>
    <mergeCell ref="B223:B229"/>
    <mergeCell ref="B236:B242"/>
    <mergeCell ref="B250:B256"/>
    <mergeCell ref="B263:B269"/>
    <mergeCell ref="B276:B282"/>
    <mergeCell ref="B290:B296"/>
    <mergeCell ref="B303:B309"/>
    <mergeCell ref="B316:B322"/>
    <mergeCell ref="B330:B336"/>
    <mergeCell ref="B343:B349"/>
    <mergeCell ref="B356:B362"/>
    <mergeCell ref="B370:B376"/>
    <mergeCell ref="B383:B389"/>
    <mergeCell ref="B396:B402"/>
  </mergeCells>
  <conditionalFormatting sqref="D10:L16 B17:L17 D23:L29 B30:L30 D36:L42 B43:L43 D50:L56 B57:L57 D63:L69 B70:L70 D76:L82 B83:L83 D90:L96 B97:L97 D103:L109 B110:L110 D116:L122 B123:L123 D130:L136 B137:L137 D143:L149 B150:L150 D156:L162 B163:L163 D170:L176 B177:L177 D183:L189 B190:L190 D196:L202 B203:L203 D210:L216 B217:L217 D223:L229 B230:L230 D236:L242 B243:L243 D250:L256 B257:L257 D263:L269 B270:L270 D276:L282 B283:L283 D290:L296 B297:L297 D303:L309 B310:L310 D316:L322 B323:L323 D330:L336 B337:L337 D343:L349 B350:L350 D356:L362 B363:L363 D370:L376 B377:L377 D383:L389 B390:L390 D396:L402 B403:L403">
    <cfRule type="expression" dxfId="13" priority="11">
      <formula>$O$3=1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12" priority="1">
      <formula>AT10=1</formula>
    </cfRule>
    <cfRule type="expression" dxfId="11" priority="2">
      <formula>AT10=2</formula>
    </cfRule>
    <cfRule type="expression" dxfId="10" priority="3">
      <formula>AT10=3</formula>
    </cfRule>
    <cfRule type="expression" dxfId="9" priority="4">
      <formula>AT10=4</formula>
    </cfRule>
    <cfRule type="expression" dxfId="8" priority="5">
      <formula>AT10=5</formula>
    </cfRule>
    <cfRule type="expression" dxfId="7" priority="6">
      <formula>AT10=6</formula>
    </cfRule>
    <cfRule type="expression" dxfId="6" priority="7">
      <formula>AT10=7</formula>
    </cfRule>
    <cfRule type="expression" dxfId="5" priority="8">
      <formula>AT10=8</formula>
    </cfRule>
    <cfRule type="expression" dxfId="4" priority="9">
      <formula>AT10=9</formula>
    </cfRule>
    <cfRule type="expression" dxfId="3" priority="10">
      <formula>AT10=10</formula>
    </cfRule>
  </conditionalFormatting>
  <pageMargins left="0.7" right="0.7" top="0.75" bottom="0.75" header="0.3" footer="0.3"/>
  <pageSetup scale="6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68FD-4500-4123-A687-2505BA641CEE}">
  <sheetPr>
    <pageSetUpPr fitToPage="1"/>
  </sheetPr>
  <dimension ref="A1:H195"/>
  <sheetViews>
    <sheetView showGridLines="0" view="pageBreakPreview" zoomScaleNormal="100" zoomScaleSheetLayoutView="100" workbookViewId="0"/>
  </sheetViews>
  <sheetFormatPr defaultRowHeight="15" x14ac:dyDescent="0.2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 x14ac:dyDescent="0.25">
      <c r="A1" s="5"/>
      <c r="B1" s="5"/>
      <c r="C1" s="5"/>
      <c r="D1" s="5"/>
      <c r="E1" s="5"/>
      <c r="F1" s="5"/>
    </row>
    <row r="2" spans="1:8" ht="16.5" x14ac:dyDescent="0.25">
      <c r="A2" s="5"/>
      <c r="B2" s="120" t="str">
        <f>Cover!$B$24</f>
        <v>Keystone Bookkeepers</v>
      </c>
      <c r="C2" s="5"/>
      <c r="D2" s="5"/>
      <c r="E2" s="5"/>
      <c r="F2" s="5"/>
      <c r="G2" s="3"/>
      <c r="H2" s="3"/>
    </row>
    <row r="3" spans="1:8" x14ac:dyDescent="0.25">
      <c r="A3" s="5"/>
      <c r="B3" s="270" t="s">
        <v>517</v>
      </c>
      <c r="C3" s="270"/>
      <c r="D3" s="270"/>
      <c r="E3" s="5"/>
      <c r="G3" s="5" t="s">
        <v>172</v>
      </c>
      <c r="H3" s="269">
        <v>1</v>
      </c>
    </row>
    <row r="4" spans="1:8" x14ac:dyDescent="0.25">
      <c r="B4" s="3"/>
      <c r="C4" s="3"/>
      <c r="D4" s="3"/>
      <c r="E4" s="3"/>
      <c r="F4" s="3"/>
      <c r="G4" s="3"/>
      <c r="H4" s="3"/>
    </row>
    <row r="5" spans="1:8" x14ac:dyDescent="0.25">
      <c r="A5" s="5"/>
      <c r="B5" s="29" t="s">
        <v>516</v>
      </c>
      <c r="C5" s="239" t="s">
        <v>192</v>
      </c>
      <c r="D5" s="5"/>
      <c r="E5" s="5"/>
      <c r="F5" s="29" t="s">
        <v>515</v>
      </c>
      <c r="G5" s="3"/>
    </row>
    <row r="6" spans="1:8" x14ac:dyDescent="0.25">
      <c r="A6" s="5"/>
      <c r="B6" s="107" t="s">
        <v>156</v>
      </c>
      <c r="C6" s="107"/>
      <c r="D6" s="5"/>
      <c r="E6" s="5"/>
      <c r="F6" s="5"/>
      <c r="G6" s="3"/>
    </row>
    <row r="7" spans="1:8" s="3" customFormat="1" ht="14.25" x14ac:dyDescent="0.2">
      <c r="A7" s="5"/>
      <c r="B7" s="5" t="s">
        <v>169</v>
      </c>
      <c r="C7" s="20">
        <f>'Offer Comparison'!$D$7</f>
        <v>5</v>
      </c>
      <c r="D7" s="5"/>
      <c r="E7" s="5"/>
      <c r="F7" s="5" t="str">
        <f>"Linked to Offer Comparison ("&amp;ADDRESS(ROW('Offer Comparison'!D7),COLUMN('Offer Comparison'!D7),4)&amp;"). Projection horizon for the Year "&amp;$C$7&amp;" columns"</f>
        <v>Linked to Offer Comparison (D7). Projection horizon for the Year 5 columns</v>
      </c>
    </row>
    <row r="8" spans="1:8" s="3" customFormat="1" ht="14.25" x14ac:dyDescent="0.2">
      <c r="A8" s="5"/>
      <c r="B8" s="5" t="s">
        <v>168</v>
      </c>
      <c r="C8" s="19">
        <f>'Offer Comparison'!$D$8</f>
        <v>0.05</v>
      </c>
      <c r="D8" s="5"/>
      <c r="E8" s="5"/>
      <c r="F8" s="5" t="str">
        <f>"Linked to Offer Comparison ("&amp;ADDRESS(ROW('Offer Comparison'!D8),COLUMN('Offer Comparison'!D8),4)&amp;"). AMB estimate: future Topkey equity issuance (capital raise, option pool, acquisitions) reduces Ben's Topkey % by this share by Year "&amp;$C$7</f>
        <v>Linked to Offer Comparison (D8). AMB estimate: future Topkey equity issuance (capital raise, option pool, acquisitions) reduces Ben's Topkey % by this share by Year 5</v>
      </c>
    </row>
    <row r="9" spans="1:8" s="3" customFormat="1" ht="14.25" x14ac:dyDescent="0.2">
      <c r="A9" s="5"/>
      <c r="B9" s="5" t="s">
        <v>155</v>
      </c>
      <c r="C9" s="22">
        <f>'Offer Comparison'!$D$18</f>
        <v>261</v>
      </c>
      <c r="D9" s="5"/>
      <c r="E9" s="5"/>
      <c r="F9" s="259" t="str">
        <f>"Input on Offer Comparison ("&amp;ADDRESS(ROW('Offer Comparison'!D18),COLUMN('Offer Comparison'!D18),4)&amp;"). Topkey-provided monthly revenue ($000s); pending confirmation"</f>
        <v>Input on Offer Comparison (D18). Topkey-provided monthly revenue ($000s); pending confirmation</v>
      </c>
    </row>
    <row r="10" spans="1:8" s="3" customFormat="1" ht="14.25" x14ac:dyDescent="0.2">
      <c r="A10" s="5"/>
      <c r="B10" s="5" t="s">
        <v>514</v>
      </c>
      <c r="C10" s="15">
        <f>C9*12</f>
        <v>3132</v>
      </c>
      <c r="D10" s="5"/>
      <c r="E10" s="5"/>
      <c r="F10" s="259"/>
    </row>
    <row r="11" spans="1:8" s="3" customFormat="1" ht="14.25" x14ac:dyDescent="0.2">
      <c r="A11" s="5"/>
      <c r="B11" s="5" t="s">
        <v>513</v>
      </c>
      <c r="C11" s="213">
        <f>IFERROR(C167/C10,0)</f>
        <v>19.157088122605366</v>
      </c>
      <c r="D11" s="5"/>
      <c r="E11" s="5"/>
      <c r="F11" s="5" t="str">
        <f>"Implied: Topkey pre-deal valuation ("&amp;ADDRESS(ROW(C167),COLUMN(C167),4)&amp;") ÷ run-rate revenue ("&amp;ADDRESS(ROW(C10),COLUMN(C10),4)&amp;")"</f>
        <v>Implied: Topkey pre-deal valuation (C167) ÷ run-rate revenue (C10)</v>
      </c>
    </row>
    <row r="12" spans="1:8" s="3" customFormat="1" ht="14.25" x14ac:dyDescent="0.2">
      <c r="A12" s="5"/>
      <c r="B12" s="5" t="s">
        <v>512</v>
      </c>
      <c r="C12" s="212">
        <f>C11</f>
        <v>19.157088122605366</v>
      </c>
      <c r="D12" s="5"/>
      <c r="E12" s="5"/>
      <c r="F12" s="5" t="s">
        <v>511</v>
      </c>
    </row>
    <row r="13" spans="1:8" s="3" customFormat="1" ht="14.25" x14ac:dyDescent="0.2">
      <c r="A13" s="5"/>
      <c r="B13" s="5" t="s">
        <v>153</v>
      </c>
      <c r="C13" s="135">
        <f>'Offer Comparison'!$D$19</f>
        <v>325</v>
      </c>
      <c r="D13" s="5"/>
      <c r="E13" s="5"/>
      <c r="F13" s="259" t="str">
        <f>"Input on Offer Comparison ("&amp;ADDRESS(ROW('Offer Comparison'!D19),COLUMN('Offer Comparison'!D19),4)&amp;"). Topkey-provided client count; pending confirmation"</f>
        <v>Input on Offer Comparison (D19). Topkey-provided client count; pending confirmation</v>
      </c>
    </row>
    <row r="14" spans="1:8" s="3" customFormat="1" ht="14.25" x14ac:dyDescent="0.2">
      <c r="A14" s="5"/>
      <c r="B14" s="5" t="s">
        <v>510</v>
      </c>
      <c r="C14" s="268">
        <f>C10/C13</f>
        <v>9.6369230769230771</v>
      </c>
      <c r="D14" s="5"/>
      <c r="E14" s="5"/>
      <c r="F14" s="5"/>
    </row>
    <row r="15" spans="1:8" s="3" customFormat="1" ht="14.25" x14ac:dyDescent="0.2">
      <c r="A15" s="5"/>
      <c r="B15" s="5" t="s">
        <v>151</v>
      </c>
      <c r="C15" s="135">
        <f>'Offer Comparison'!$D$20</f>
        <v>130</v>
      </c>
      <c r="D15" s="5"/>
      <c r="E15" s="5"/>
      <c r="F15" s="259" t="str">
        <f>"Input on Offer Comparison ("&amp;ADDRESS(ROW('Offer Comparison'!D20),COLUMN('Offer Comparison'!D20),4)&amp;"). AMB placeholder; pending confirmation"</f>
        <v>Input on Offer Comparison (D20). AMB placeholder; pending confirmation</v>
      </c>
    </row>
    <row r="16" spans="1:8" s="3" customFormat="1" ht="14.25" x14ac:dyDescent="0.2">
      <c r="A16" s="5"/>
      <c r="B16" s="78" t="s">
        <v>503</v>
      </c>
      <c r="C16" s="267">
        <f>C15*$C$7</f>
        <v>650</v>
      </c>
      <c r="D16" s="5"/>
      <c r="E16" s="5"/>
      <c r="F16" s="5"/>
    </row>
    <row r="17" spans="1:7" s="3" customFormat="1" ht="14.25" x14ac:dyDescent="0.2">
      <c r="A17" s="5"/>
      <c r="B17" s="226" t="s">
        <v>502</v>
      </c>
      <c r="C17" s="256">
        <f>C16*C14</f>
        <v>6264</v>
      </c>
      <c r="D17" s="5"/>
      <c r="E17" s="5"/>
      <c r="F17" s="5"/>
    </row>
    <row r="18" spans="1:7" ht="14.25" customHeight="1" x14ac:dyDescent="0.25">
      <c r="A18" s="5"/>
      <c r="B18" s="266" t="str">
        <f>"Check - "&amp;$C$7&amp;" Year Topkey Valuation Growth"</f>
        <v>Check - 5 Year Topkey Valuation Growth</v>
      </c>
      <c r="C18" s="265">
        <f>IFERROR(D73/C73-1,0)</f>
        <v>2.0084033613445382</v>
      </c>
      <c r="D18" s="5"/>
      <c r="E18" s="5"/>
      <c r="F18" s="5" t="str">
        <f>"% growth in Topkey ex-Keystone value (row "&amp;ROW($B$73)&amp;"), today → Year "&amp;$C$7&amp;"; value net of cash paid, not revenue"</f>
        <v>% growth in Topkey ex-Keystone value (row 73), today → Year 5; value net of cash paid, not revenue</v>
      </c>
      <c r="G18" s="3"/>
    </row>
    <row r="19" spans="1:7" ht="3.95" customHeight="1" x14ac:dyDescent="0.25">
      <c r="A19" s="5"/>
      <c r="B19" s="264"/>
      <c r="C19" s="263"/>
      <c r="D19" s="5"/>
      <c r="E19" s="5"/>
      <c r="F19" s="5"/>
      <c r="G19" s="3"/>
    </row>
    <row r="20" spans="1:7" x14ac:dyDescent="0.25">
      <c r="A20" s="5"/>
      <c r="B20" s="107" t="s">
        <v>149</v>
      </c>
      <c r="C20" s="107"/>
      <c r="D20" s="5"/>
      <c r="E20" s="5"/>
      <c r="F20" s="5"/>
      <c r="G20" s="3"/>
    </row>
    <row r="21" spans="1:7" ht="15" customHeight="1" x14ac:dyDescent="0.25">
      <c r="A21" s="5"/>
      <c r="B21" s="5" t="s">
        <v>509</v>
      </c>
      <c r="C21" s="260">
        <f>'Offer Comparison'!$D$13</f>
        <v>1</v>
      </c>
      <c r="D21" s="5"/>
      <c r="E21" s="5"/>
      <c r="F21" s="5" t="str">
        <f>"Linked to Offer Comparison ("&amp;ADDRESS(ROW('Offer Comparison'!D13),COLUMN('Offer Comparison'!D13),4)&amp;"). Keystone valued at "&amp;TEXT(C21,"0.0")&amp;"x revenue"&amp;" today (offer implies "&amp;"~"&amp;TEXT(C164/C163,"0.0")&amp;"x"&amp;")"</f>
        <v>Linked to Offer Comparison (D13). Keystone valued at 1.0x revenue today (offer implies ~1.0x)</v>
      </c>
      <c r="G21" s="3"/>
    </row>
    <row r="22" spans="1:7" ht="15" customHeight="1" x14ac:dyDescent="0.25">
      <c r="A22" s="5"/>
      <c r="B22" s="5" t="s">
        <v>508</v>
      </c>
      <c r="C22" s="260">
        <f>'Offer Comparison'!$D$14</f>
        <v>1.25</v>
      </c>
      <c r="D22" s="5"/>
      <c r="E22" s="5"/>
      <c r="F22" s="5" t="str">
        <f>"Linked to Offer Comparison ("&amp;ADDRESS(ROW('Offer Comparison'!D14),COLUMN('Offer Comparison'!D14),4)&amp;"). Keystone standalone revenue multiple at Year "&amp;$C$7</f>
        <v>Linked to Offer Comparison (D14). Keystone standalone revenue multiple at Year 5</v>
      </c>
      <c r="G22" s="3"/>
    </row>
    <row r="23" spans="1:7" x14ac:dyDescent="0.25">
      <c r="A23" s="5"/>
      <c r="B23" s="5" t="s">
        <v>148</v>
      </c>
      <c r="C23" s="109">
        <f>'Offer Comparison'!$D$22</f>
        <v>16.6314729943503</v>
      </c>
      <c r="D23" s="3"/>
      <c r="E23" s="5"/>
      <c r="F23" s="5" t="str">
        <f>"Input on Offer Comparison ("&amp;ADDRESS(ROW('Offer Comparison'!D22),COLUMN('Offer Comparison'!D22),4)&amp;"). Sep'26 annualized fee per non-tax client (Steady-State Staffing AB8)"</f>
        <v>Input on Offer Comparison (D22). Sep'26 annualized fee per non-tax client (Steady-State Staffing AB8)</v>
      </c>
      <c r="G23" s="3"/>
    </row>
    <row r="24" spans="1:7" x14ac:dyDescent="0.25">
      <c r="A24" s="5"/>
      <c r="B24" s="5" t="s">
        <v>147</v>
      </c>
      <c r="C24" s="134">
        <f>'Offer Comparison'!$D$23</f>
        <v>3</v>
      </c>
      <c r="D24" s="3"/>
      <c r="E24" s="5"/>
      <c r="F24" s="5" t="str">
        <f>"Input on Offer Comparison ("&amp;ADDRESS(ROW('Offer Comparison'!D23),COLUMN('Offer Comparison'!D23),4)&amp;"). AMB target pace; LTM actual is "&amp;TEXT(C179,"0")&amp;"/yr (~"&amp;TEXT(C179/12,"0.0")&amp;"/month)"&amp;", see build at rows "&amp;ROW($B$175)&amp;"-"&amp;ROW($B$179)</f>
        <v>Input on Offer Comparison (D23). AMB target pace; LTM actual is 26/yr (~2.2/month), see build at rows 175-179</v>
      </c>
      <c r="G24" s="3"/>
    </row>
    <row r="25" spans="1:7" x14ac:dyDescent="0.25">
      <c r="A25" s="5"/>
      <c r="B25" s="78" t="s">
        <v>507</v>
      </c>
      <c r="C25" s="262">
        <f>C24*12</f>
        <v>36</v>
      </c>
      <c r="D25" s="5"/>
      <c r="E25" s="5"/>
      <c r="F25" s="5" t="s">
        <v>506</v>
      </c>
      <c r="G25" s="3"/>
    </row>
    <row r="26" spans="1:7" x14ac:dyDescent="0.25">
      <c r="A26" s="5"/>
      <c r="B26" s="226" t="s">
        <v>503</v>
      </c>
      <c r="C26" s="257">
        <f>C25*$C$7</f>
        <v>180</v>
      </c>
      <c r="D26" s="5"/>
      <c r="E26" s="5"/>
      <c r="F26" s="5"/>
      <c r="G26" s="3"/>
    </row>
    <row r="27" spans="1:7" x14ac:dyDescent="0.25">
      <c r="A27" s="5"/>
      <c r="B27" s="224" t="s">
        <v>502</v>
      </c>
      <c r="C27" s="261">
        <f>C26*C23</f>
        <v>2993.665138983054</v>
      </c>
      <c r="D27" s="5"/>
      <c r="E27" s="5"/>
      <c r="F27" s="5"/>
      <c r="G27" s="3"/>
    </row>
    <row r="28" spans="1:7" ht="3.95" customHeight="1" x14ac:dyDescent="0.25">
      <c r="A28" s="5"/>
      <c r="B28" s="3"/>
      <c r="C28" s="3"/>
      <c r="D28" s="5"/>
      <c r="E28" s="5"/>
      <c r="F28" s="5"/>
      <c r="G28" s="3"/>
    </row>
    <row r="29" spans="1:7" ht="12.75" customHeight="1" x14ac:dyDescent="0.25">
      <c r="A29" s="5"/>
      <c r="B29" s="107" t="s">
        <v>146</v>
      </c>
      <c r="C29" s="107"/>
      <c r="D29" s="5"/>
      <c r="E29" s="5"/>
      <c r="F29" s="5"/>
      <c r="G29" s="3"/>
    </row>
    <row r="30" spans="1:7" ht="12.75" customHeight="1" x14ac:dyDescent="0.25">
      <c r="A30" s="5"/>
      <c r="B30" s="5" t="s">
        <v>26</v>
      </c>
      <c r="C30" s="260">
        <f>'Offer Comparison'!$D$15</f>
        <v>2</v>
      </c>
      <c r="D30" s="5"/>
      <c r="E30" s="5"/>
      <c r="F30" s="5" t="str">
        <f>"Linked to Offer Comparison ("&amp;ADDRESS(ROW('Offer Comparison'!D15),COLUMN('Offer Comparison'!D15),4)&amp;"). Revenue multiple with Topkey software integration"</f>
        <v>Linked to Offer Comparison (D15). Revenue multiple with Topkey software integration</v>
      </c>
      <c r="G30" s="3"/>
    </row>
    <row r="31" spans="1:7" ht="12.75" customHeight="1" x14ac:dyDescent="0.25">
      <c r="A31" s="5"/>
      <c r="B31" s="5" t="s">
        <v>145</v>
      </c>
      <c r="C31" s="201">
        <f>'Offer Comparison'!$D$25</f>
        <v>240</v>
      </c>
      <c r="D31" s="5"/>
      <c r="E31" s="5"/>
      <c r="F31" s="5" t="str">
        <f>"Input on Offer Comparison ("&amp;ADDRESS(ROW('Offer Comparison'!D25),COLUMN('Offer Comparison'!D25),4)&amp;"). Memo only; VR savings assumed captured in the "&amp;TEXT(C109,"0%")&amp;" partnership margin ("&amp;ADDRESS(ROW(C109),COLUMN(C109),4)&amp;") and revenue multiple"</f>
        <v>Input on Offer Comparison (D25). Memo only; VR savings assumed captured in the 20% partnership margin (C109) and revenue multiple</v>
      </c>
      <c r="G31" s="3"/>
    </row>
    <row r="32" spans="1:7" ht="3.95" customHeight="1" x14ac:dyDescent="0.25">
      <c r="A32" s="5"/>
      <c r="B32" s="5"/>
      <c r="C32" s="205"/>
      <c r="D32" s="5"/>
      <c r="E32" s="5"/>
      <c r="F32" s="5"/>
      <c r="G32" s="3"/>
    </row>
    <row r="33" spans="1:7" s="41" customFormat="1" ht="12.75" customHeight="1" x14ac:dyDescent="0.2">
      <c r="A33" s="5"/>
      <c r="B33" s="41" t="str">
        <f>B23</f>
        <v>Avg. Revenue Per Client</v>
      </c>
      <c r="C33" s="108">
        <f>C23</f>
        <v>16.6314729943503</v>
      </c>
      <c r="D33" s="5"/>
      <c r="E33" s="5"/>
      <c r="F33" s="5"/>
    </row>
    <row r="34" spans="1:7" s="41" customFormat="1" ht="3.95" customHeight="1" x14ac:dyDescent="0.2">
      <c r="A34" s="5"/>
      <c r="D34" s="5"/>
      <c r="E34" s="5"/>
      <c r="F34" s="5"/>
    </row>
    <row r="35" spans="1:7" s="41" customFormat="1" ht="12.75" customHeight="1" x14ac:dyDescent="0.2">
      <c r="A35" s="5"/>
      <c r="B35" s="41" t="str">
        <f>+B25</f>
        <v>Annual Net Client Wins</v>
      </c>
      <c r="C35" s="100">
        <f>+C25</f>
        <v>36</v>
      </c>
      <c r="D35" s="5"/>
      <c r="E35" s="5"/>
      <c r="F35" s="5"/>
    </row>
    <row r="36" spans="1:7" s="41" customFormat="1" ht="12.75" customHeight="1" x14ac:dyDescent="0.2">
      <c r="A36" s="5"/>
      <c r="B36" s="47" t="s">
        <v>505</v>
      </c>
      <c r="C36" s="135">
        <f>'Offer Comparison'!$D$26</f>
        <v>12</v>
      </c>
      <c r="D36" s="5"/>
      <c r="E36" s="5"/>
      <c r="F36" s="259" t="str">
        <f>"Input on Offer Comparison ("&amp;ADDRESS(ROW('Offer Comparison'!D26),COLUMN('Offer Comparison'!D26),4)&amp;"). Topkey-provided; pending confirmation"</f>
        <v>Input on Offer Comparison (D26). Topkey-provided; pending confirmation</v>
      </c>
    </row>
    <row r="37" spans="1:7" s="41" customFormat="1" ht="12.75" customHeight="1" x14ac:dyDescent="0.2">
      <c r="A37" s="5"/>
      <c r="B37" s="56" t="s">
        <v>504</v>
      </c>
      <c r="C37" s="258">
        <f>SUM(C35:C36)</f>
        <v>48</v>
      </c>
      <c r="D37" s="5"/>
      <c r="E37" s="5"/>
      <c r="F37" s="5"/>
    </row>
    <row r="38" spans="1:7" x14ac:dyDescent="0.25">
      <c r="A38" s="5"/>
      <c r="B38" s="226" t="s">
        <v>503</v>
      </c>
      <c r="C38" s="257">
        <f>C37*$C$7</f>
        <v>240</v>
      </c>
      <c r="D38" s="5"/>
      <c r="E38" s="5"/>
      <c r="F38" s="5"/>
      <c r="G38" s="3"/>
    </row>
    <row r="39" spans="1:7" x14ac:dyDescent="0.25">
      <c r="A39" s="5"/>
      <c r="B39" s="226" t="s">
        <v>502</v>
      </c>
      <c r="C39" s="256">
        <f>C38*C33</f>
        <v>3991.553518644072</v>
      </c>
      <c r="D39" s="5"/>
      <c r="E39" s="5"/>
      <c r="F39" s="5"/>
      <c r="G39" s="3"/>
    </row>
    <row r="40" spans="1:7" x14ac:dyDescent="0.25">
      <c r="A40" s="5"/>
      <c r="B40" s="255" t="s">
        <v>501</v>
      </c>
      <c r="C40" s="254">
        <f>C39-C27</f>
        <v>997.88837966101801</v>
      </c>
      <c r="D40" s="5"/>
      <c r="E40" s="5"/>
      <c r="F40" s="5"/>
      <c r="G40" s="3"/>
    </row>
    <row r="41" spans="1:7" s="41" customFormat="1" ht="3.95" customHeight="1" x14ac:dyDescent="0.2">
      <c r="A41" s="5"/>
      <c r="D41" s="5"/>
      <c r="E41" s="5"/>
      <c r="F41" s="5"/>
    </row>
    <row r="42" spans="1:7" s="41" customFormat="1" ht="15" customHeight="1" x14ac:dyDescent="0.2">
      <c r="A42" s="5"/>
      <c r="B42" s="107" t="s">
        <v>500</v>
      </c>
      <c r="C42" s="107"/>
      <c r="D42" s="5"/>
      <c r="E42" s="5"/>
      <c r="F42" s="193"/>
    </row>
    <row r="43" spans="1:7" s="41" customFormat="1" ht="15" customHeight="1" x14ac:dyDescent="0.2">
      <c r="A43" s="5"/>
      <c r="B43" s="5" t="s">
        <v>238</v>
      </c>
      <c r="C43" s="136">
        <v>3</v>
      </c>
      <c r="D43" s="5"/>
      <c r="E43" s="5"/>
      <c r="F43" s="193" t="str">
        <f>"Earnout measured on Year "&amp;$C$43&amp;" run-rate: average of "&amp;"months "&amp;TEXT($C$43*12-$C$54+1,"0")&amp;"–"&amp;TEXT($C$43*12,"0")&amp;" × 12 (window in "&amp;ADDRESS(ROW(C54),COLUMN(C54),4)&amp;")"</f>
        <v>Earnout measured on Year 3 run-rate: average of months 34–36 × 12 (window in C54)</v>
      </c>
    </row>
    <row r="44" spans="1:7" s="41" customFormat="1" ht="15" customHeight="1" x14ac:dyDescent="0.2">
      <c r="A44" s="5"/>
      <c r="B44" s="5" t="s">
        <v>221</v>
      </c>
      <c r="C44" s="104">
        <f>C163</f>
        <v>2998.5410200000001</v>
      </c>
      <c r="D44" s="5"/>
      <c r="E44" s="5"/>
      <c r="F44" s="193" t="str">
        <f>"PF Jul'26 run-rate revenue at close ("&amp;ADDRESS(ROW(C163),COLUMN(C163),4)&amp;")"</f>
        <v>PF Jul'26 run-rate revenue at close (C163)</v>
      </c>
    </row>
    <row r="45" spans="1:7" s="41" customFormat="1" ht="15" customHeight="1" x14ac:dyDescent="0.2">
      <c r="A45" s="5"/>
      <c r="B45" s="5" t="s">
        <v>499</v>
      </c>
      <c r="C45" s="198">
        <f>C44+C39*(C43-(C54-1)/2/12)/C7</f>
        <v>5326.947239209042</v>
      </c>
      <c r="D45" s="5"/>
      <c r="E45" s="5"/>
      <c r="F45" s="193" t="str">
        <f>"Run-rate at close + partnership added revenue ramped to the midpoint of the averaging window "&amp;"(month "&amp;ROUND($C$43*12-($C$54-1)/2,1)&amp;" ÷ "&amp;$C$7*12&amp;")"&amp;"; same basis as the earnout measurement"</f>
        <v>Run-rate at close + partnership added revenue ramped to the midpoint of the averaging window (month 35 ÷ 60); same basis as the earnout measurement</v>
      </c>
    </row>
    <row r="46" spans="1:7" s="41" customFormat="1" ht="15" customHeight="1" x14ac:dyDescent="0.2">
      <c r="A46" s="5"/>
      <c r="B46" s="27" t="s">
        <v>498</v>
      </c>
      <c r="C46" s="111">
        <v>1</v>
      </c>
      <c r="D46" s="5"/>
      <c r="E46" s="5"/>
      <c r="F46" s="193" t="str">
        <f>"Base case assumes the model's Year "&amp;$C$43&amp;" revenue is achieved; flex to test payout"</f>
        <v>Base case assumes the model's Year 3 revenue is achieved; flex to test payout</v>
      </c>
    </row>
    <row r="47" spans="1:7" s="41" customFormat="1" ht="15" customHeight="1" x14ac:dyDescent="0.2">
      <c r="A47" s="5"/>
      <c r="B47" s="253" t="s">
        <v>497</v>
      </c>
      <c r="C47" s="252">
        <f>C45*C46</f>
        <v>5326.947239209042</v>
      </c>
      <c r="D47" s="5"/>
      <c r="E47" s="5"/>
      <c r="F47" s="193"/>
    </row>
    <row r="48" spans="1:7" s="41" customFormat="1" ht="15" customHeight="1" x14ac:dyDescent="0.2">
      <c r="A48" s="5"/>
      <c r="B48" s="5" t="s">
        <v>496</v>
      </c>
      <c r="C48" s="111">
        <v>0.8</v>
      </c>
      <c r="D48" s="5"/>
      <c r="E48" s="5"/>
      <c r="F48" s="193" t="s">
        <v>495</v>
      </c>
    </row>
    <row r="49" spans="1:6" s="41" customFormat="1" ht="15" customHeight="1" x14ac:dyDescent="0.2">
      <c r="A49" s="5"/>
      <c r="B49" s="5" t="s">
        <v>494</v>
      </c>
      <c r="C49" s="105">
        <v>500</v>
      </c>
      <c r="D49" s="5"/>
      <c r="E49" s="5"/>
      <c r="F49" s="193" t="str">
        <f>"Opening ask: "&amp;TEXT(C49,"$#,##0")&amp;"K"&amp;" at target (AMB internal range $750K–$1M)"</f>
        <v>Opening ask: $500K at target (AMB internal range $750K–$1M)</v>
      </c>
    </row>
    <row r="50" spans="1:6" s="41" customFormat="1" ht="15" customHeight="1" x14ac:dyDescent="0.2">
      <c r="A50" s="5"/>
      <c r="B50" s="5" t="s">
        <v>493</v>
      </c>
      <c r="C50" s="111">
        <v>0.5</v>
      </c>
      <c r="D50" s="5"/>
      <c r="E50" s="5"/>
      <c r="F50" s="193" t="str">
        <f>"Share of target earnout paid at the "&amp;TEXT(C48,"0%")&amp;" threshold"</f>
        <v>Share of target earnout paid at the 80% threshold</v>
      </c>
    </row>
    <row r="51" spans="1:6" s="41" customFormat="1" ht="15" customHeight="1" x14ac:dyDescent="0.2">
      <c r="A51" s="5"/>
      <c r="B51" s="5" t="s">
        <v>492</v>
      </c>
      <c r="C51" s="111">
        <v>1.5</v>
      </c>
      <c r="D51" s="5"/>
      <c r="E51" s="5"/>
      <c r="F51" s="193" t="str">
        <f>"Payout capped at "&amp;TEXT(C51,"0%")&amp;" of target earnout, reached at "&amp;TEXT(C48+(C51-C50)*(1-C48)/(1-C50),"0%")&amp;" of target revenue (mirrors the "&amp;TEXT(C48,"0%")&amp;" threshold)"</f>
        <v>Payout capped at 150% of target earnout, reached at 120% of target revenue (mirrors the 80% threshold)</v>
      </c>
    </row>
    <row r="52" spans="1:6" s="41" customFormat="1" ht="15" customHeight="1" x14ac:dyDescent="0.2">
      <c r="A52" s="5"/>
      <c r="B52" s="5" t="s">
        <v>491</v>
      </c>
      <c r="C52" s="139">
        <f>IF(C46&lt;C48,0,MIN(C51,C50+(1-C50)*(C46-C48)/(1-C48)))</f>
        <v>1</v>
      </c>
      <c r="D52" s="5"/>
      <c r="E52" s="5"/>
      <c r="F52" s="193" t="str">
        <f>"Straight line from threshold payout at "&amp;TEXT(C48,"0%")&amp;" to 100% at target, continuing above target until the cap"</f>
        <v>Straight line from threshold payout at 80% to 100% at target, continuing above target until the cap</v>
      </c>
    </row>
    <row r="53" spans="1:6" s="41" customFormat="1" ht="15" customHeight="1" x14ac:dyDescent="0.2">
      <c r="A53" s="5"/>
      <c r="B53" s="5" t="s">
        <v>490</v>
      </c>
      <c r="C53" s="198">
        <f>C49*C51</f>
        <v>750</v>
      </c>
      <c r="D53" s="5"/>
      <c r="E53" s="5"/>
      <c r="F53" s="193" t="s">
        <v>489</v>
      </c>
    </row>
    <row r="54" spans="1:6" s="41" customFormat="1" ht="15" customHeight="1" x14ac:dyDescent="0.2">
      <c r="A54" s="5"/>
      <c r="B54" s="5" t="s">
        <v>488</v>
      </c>
      <c r="C54" s="136">
        <v>3</v>
      </c>
      <c r="D54" s="5"/>
      <c r="E54" s="5"/>
      <c r="F54" s="193" t="str">
        <f>"Earnout measured on average monthly recurring revenue for the "&amp;"last "&amp;C54&amp;" months"&amp;" of Year "&amp;$C$43&amp;" "&amp;"(months "&amp;TEXT($C$43*12-$C$54+1,"0")&amp;"–"&amp;TEXT($C$43*12,"0")&amp;")"&amp;" × 12; averaging prevents one strong month from triggering the payout"</f>
        <v>Earnout measured on average monthly recurring revenue for the last 3 months of Year 3 (months 34–36) × 12; averaging prevents one strong month from triggering the payout</v>
      </c>
    </row>
    <row r="55" spans="1:6" s="41" customFormat="1" ht="15" customHeight="1" x14ac:dyDescent="0.2">
      <c r="A55" s="5"/>
      <c r="B55" s="32" t="s">
        <v>487</v>
      </c>
      <c r="C55" s="203">
        <f>C49*C52</f>
        <v>500</v>
      </c>
      <c r="D55" s="97"/>
      <c r="E55" s="5"/>
      <c r="F55" s="193" t="str">
        <f>"Paid in cash by Topkey; flows into Scenario 2 (row "&amp;ROW($B$78)&amp;"), Ben's MOIC/IRR (rows "&amp;ROW($B$84)&amp;"-"&amp;ROW($B$85)&amp;") and Topkey's return (row "&amp;ROW($B$92)&amp;")"</f>
        <v>Paid in cash by Topkey; flows into Scenario 2 (row 78), Ben's MOIC/IRR (rows 84-85) and Topkey's return (row 92)</v>
      </c>
    </row>
    <row r="56" spans="1:6" s="41" customFormat="1" ht="15" customHeight="1" x14ac:dyDescent="0.2">
      <c r="A56" s="5"/>
      <c r="B56" s="5" t="s">
        <v>486</v>
      </c>
      <c r="C56" s="111">
        <v>0.7</v>
      </c>
      <c r="D56" s="5"/>
      <c r="E56" s="5"/>
      <c r="F56" s="193" t="s">
        <v>484</v>
      </c>
    </row>
    <row r="57" spans="1:6" s="41" customFormat="1" ht="15" customHeight="1" x14ac:dyDescent="0.2">
      <c r="A57" s="5"/>
      <c r="B57" s="5" t="s">
        <v>485</v>
      </c>
      <c r="C57" s="221">
        <v>0.15</v>
      </c>
      <c r="D57" s="5"/>
      <c r="E57" s="5"/>
      <c r="F57" s="193" t="s">
        <v>484</v>
      </c>
    </row>
    <row r="58" spans="1:6" s="41" customFormat="1" ht="15" customHeight="1" x14ac:dyDescent="0.2">
      <c r="A58" s="5"/>
      <c r="B58" s="5" t="s">
        <v>483</v>
      </c>
      <c r="C58" s="129">
        <f>C55*C56/(1+C57)^C43</f>
        <v>230.13068135119593</v>
      </c>
      <c r="D58" s="5"/>
      <c r="E58" s="5"/>
      <c r="F58" s="193" t="s">
        <v>482</v>
      </c>
    </row>
    <row r="59" spans="1:6" s="41" customFormat="1" ht="3.95" customHeight="1" x14ac:dyDescent="0.2">
      <c r="A59" s="5"/>
      <c r="D59" s="5"/>
      <c r="E59" s="5"/>
      <c r="F59" s="5"/>
    </row>
    <row r="60" spans="1:6" s="41" customFormat="1" ht="15" customHeight="1" x14ac:dyDescent="0.2">
      <c r="A60" s="5"/>
      <c r="B60" s="10" t="s">
        <v>141</v>
      </c>
      <c r="C60" s="8" t="str">
        <f>C$162</f>
        <v>Today</v>
      </c>
      <c r="D60" s="8" t="s">
        <v>445</v>
      </c>
      <c r="E60" s="193"/>
      <c r="F60" s="193"/>
    </row>
    <row r="61" spans="1:6" s="41" customFormat="1" ht="15" customHeight="1" x14ac:dyDescent="0.2">
      <c r="A61" s="5"/>
      <c r="B61" s="193" t="s">
        <v>129</v>
      </c>
      <c r="C61" s="251">
        <f>$C$165</f>
        <v>500</v>
      </c>
      <c r="D61" s="199">
        <f>IFERROR(C61/C$63,0)</f>
        <v>0.16666666666666666</v>
      </c>
      <c r="E61" s="193"/>
      <c r="F61" s="193" t="str">
        <f>"Cash paid at close ("&amp;ADDRESS(ROW(C165),COLUMN(C165),4)&amp;")"</f>
        <v>Cash paid at close (C165)</v>
      </c>
    </row>
    <row r="62" spans="1:6" s="41" customFormat="1" ht="15" customHeight="1" x14ac:dyDescent="0.2">
      <c r="A62" s="5"/>
      <c r="B62" s="247" t="s">
        <v>137</v>
      </c>
      <c r="C62" s="246">
        <f>$C$166</f>
        <v>2500</v>
      </c>
      <c r="D62" s="199">
        <f>IFERROR(C62/C$63,0)</f>
        <v>0.83333333333333337</v>
      </c>
      <c r="E62" s="193"/>
      <c r="F62" s="193" t="str">
        <f>"Topkey stock issued at the "&amp;TEXT(C167/1000,"$#,##0")&amp;"M"&amp;" pre-deal valuation ("&amp;ADDRESS(ROW(C166),COLUMN(C166),4)&amp;")"</f>
        <v>Topkey stock issued at the $60M pre-deal valuation (C166)</v>
      </c>
    </row>
    <row r="63" spans="1:6" s="41" customFormat="1" ht="15" customHeight="1" x14ac:dyDescent="0.2">
      <c r="A63" s="5"/>
      <c r="B63" s="250" t="s">
        <v>481</v>
      </c>
      <c r="C63" s="249">
        <f>SUM(C61:C62)</f>
        <v>3000</v>
      </c>
      <c r="D63" s="248">
        <f>IFERROR(C63/C$63,0)</f>
        <v>1</v>
      </c>
      <c r="E63" s="193"/>
      <c r="F63" s="193" t="str">
        <f>"Ties to Keystone Value Today ("&amp;ADDRESS(ROW(C164),COLUMN(C164),4)&amp;")"</f>
        <v>Ties to Keystone Value Today (C164)</v>
      </c>
    </row>
    <row r="64" spans="1:6" s="41" customFormat="1" ht="15" customHeight="1" x14ac:dyDescent="0.2">
      <c r="A64" s="5"/>
      <c r="B64" s="247" t="s">
        <v>480</v>
      </c>
      <c r="C64" s="246">
        <f>$C$55</f>
        <v>500</v>
      </c>
      <c r="D64" s="199">
        <f>IFERROR(C64/C$63,0)</f>
        <v>0.16666666666666666</v>
      </c>
      <c r="E64" s="193"/>
      <c r="F64" s="193" t="str">
        <f>"Paid only if Year "&amp;$C$43&amp;" revenue target is met ("&amp;ADDRESS(ROW(C55),COLUMN(C55),4)&amp;"); % shown vs. offer value at close"</f>
        <v>Paid only if Year 3 revenue target is met (C55); % shown vs. offer value at close</v>
      </c>
    </row>
    <row r="65" spans="1:7" s="41" customFormat="1" ht="15" customHeight="1" x14ac:dyDescent="0.2">
      <c r="A65" s="5"/>
      <c r="B65" s="245" t="s">
        <v>479</v>
      </c>
      <c r="C65" s="244">
        <f>C63+C64</f>
        <v>3500</v>
      </c>
      <c r="D65" s="243">
        <f>IFERROR(C65/C$63,0)</f>
        <v>1.1666666666666667</v>
      </c>
      <c r="E65" s="193"/>
      <c r="F65" s="193" t="str">
        <f>"Ties to Total Consideration Paid by Topkey ("&amp;ADDRESS(ROW(C93),COLUMN(C93),4)&amp;")"</f>
        <v>Ties to Total Consideration Paid by Topkey (C93)</v>
      </c>
    </row>
    <row r="66" spans="1:7" s="41" customFormat="1" ht="3.95" customHeight="1" x14ac:dyDescent="0.2">
      <c r="A66" s="5"/>
      <c r="B66" s="193"/>
      <c r="C66" s="193"/>
      <c r="D66" s="193"/>
      <c r="E66" s="193"/>
      <c r="F66" s="193"/>
    </row>
    <row r="67" spans="1:7" x14ac:dyDescent="0.25">
      <c r="A67" s="5"/>
      <c r="B67" s="29" t="s">
        <v>478</v>
      </c>
      <c r="C67" s="239" t="str">
        <f>C$162</f>
        <v>Today</v>
      </c>
      <c r="D67" s="239" t="str">
        <f>"Year "&amp;$C$7</f>
        <v>Year 5</v>
      </c>
      <c r="E67" s="5"/>
      <c r="F67" s="5"/>
      <c r="G67" s="3"/>
    </row>
    <row r="68" spans="1:7" x14ac:dyDescent="0.25">
      <c r="A68" s="5"/>
      <c r="B68" s="5" t="s">
        <v>477</v>
      </c>
      <c r="C68" s="242">
        <f>ROUND(C163*C21,-1)</f>
        <v>3000</v>
      </c>
      <c r="D68" s="129">
        <f>(C163+C27)*$C$22</f>
        <v>7490.2576987288176</v>
      </c>
      <c r="E68" s="5"/>
      <c r="F68" s="5" t="str">
        <f>"Today at offer value; Year "&amp;$C$7&amp;" = (PF run-rate revenue + standalone added revenue) × standalone multiple"</f>
        <v>Today at offer value; Year 5 = (PF run-rate revenue + standalone added revenue) × standalone multiple</v>
      </c>
      <c r="G68" s="3"/>
    </row>
    <row r="69" spans="1:7" x14ac:dyDescent="0.25">
      <c r="A69" s="5"/>
      <c r="B69" s="5" t="s">
        <v>189</v>
      </c>
      <c r="C69" s="132">
        <f>'Offer Comparison'!$C$153</f>
        <v>1</v>
      </c>
      <c r="D69" s="241">
        <f>$C$69</f>
        <v>1</v>
      </c>
      <c r="E69" s="5"/>
      <c r="F69" s="5"/>
      <c r="G69" s="3"/>
    </row>
    <row r="70" spans="1:7" x14ac:dyDescent="0.25">
      <c r="A70" s="5"/>
      <c r="B70" s="32" t="s">
        <v>476</v>
      </c>
      <c r="C70" s="240">
        <f>C68*C69</f>
        <v>3000</v>
      </c>
      <c r="D70" s="203">
        <f>D68*D69</f>
        <v>7490.2576987288176</v>
      </c>
      <c r="E70" s="5"/>
      <c r="F70" s="5"/>
      <c r="G70" s="3"/>
    </row>
    <row r="71" spans="1:7" ht="3.95" customHeight="1" x14ac:dyDescent="0.25">
      <c r="A71" s="5"/>
      <c r="B71" s="5"/>
      <c r="C71" s="5"/>
      <c r="D71" s="5"/>
      <c r="E71" s="5"/>
      <c r="F71" s="5"/>
      <c r="G71" s="3"/>
    </row>
    <row r="72" spans="1:7" x14ac:dyDescent="0.25">
      <c r="A72" s="5"/>
      <c r="B72" s="29" t="s">
        <v>475</v>
      </c>
      <c r="C72" s="239" t="str">
        <f>C$162</f>
        <v>Today</v>
      </c>
      <c r="D72" s="239" t="str">
        <f>D$67</f>
        <v>Year 5</v>
      </c>
      <c r="E72" s="5"/>
      <c r="F72" s="5"/>
      <c r="G72" s="3"/>
    </row>
    <row r="73" spans="1:7" x14ac:dyDescent="0.25">
      <c r="A73" s="5"/>
      <c r="B73" s="5" t="s">
        <v>474</v>
      </c>
      <c r="C73" s="104">
        <f>C170</f>
        <v>59500</v>
      </c>
      <c r="D73" s="129">
        <f>(C10+C17)*C12-C165-$C$55</f>
        <v>179000.00000000003</v>
      </c>
      <c r="E73" s="5"/>
      <c r="F73" s="5"/>
      <c r="G73" s="3"/>
    </row>
    <row r="74" spans="1:7" x14ac:dyDescent="0.25">
      <c r="A74" s="5"/>
      <c r="B74" s="27" t="s">
        <v>473</v>
      </c>
      <c r="C74" s="100">
        <f>C68</f>
        <v>3000</v>
      </c>
      <c r="D74" s="198">
        <f>(C39+C163)*C30</f>
        <v>13980.189077288145</v>
      </c>
      <c r="E74" s="5"/>
      <c r="F74" s="5" t="s">
        <v>472</v>
      </c>
      <c r="G74" s="3"/>
    </row>
    <row r="75" spans="1:7" x14ac:dyDescent="0.25">
      <c r="A75" s="5"/>
      <c r="B75" s="217" t="s">
        <v>471</v>
      </c>
      <c r="C75" s="216">
        <f>C73+C74</f>
        <v>62500</v>
      </c>
      <c r="D75" s="216">
        <f>D73+D74</f>
        <v>192980.18907728817</v>
      </c>
      <c r="E75" s="5"/>
      <c r="F75" s="198"/>
      <c r="G75" s="3"/>
    </row>
    <row r="76" spans="1:7" x14ac:dyDescent="0.25">
      <c r="A76" s="5"/>
      <c r="B76" s="5" t="s">
        <v>424</v>
      </c>
      <c r="C76" s="198">
        <f>C75*$C$169</f>
        <v>2500</v>
      </c>
      <c r="D76" s="198">
        <f>D75*$D$169</f>
        <v>7333.2471849369504</v>
      </c>
      <c r="E76" s="5"/>
      <c r="F76" s="5"/>
      <c r="G76" s="3"/>
    </row>
    <row r="77" spans="1:7" x14ac:dyDescent="0.25">
      <c r="A77" s="5"/>
      <c r="B77" s="27" t="s">
        <v>55</v>
      </c>
      <c r="C77" s="100">
        <f>$C$165</f>
        <v>500</v>
      </c>
      <c r="D77" s="100">
        <f>$C$165</f>
        <v>500</v>
      </c>
      <c r="E77" s="5"/>
      <c r="F77" s="5"/>
      <c r="G77" s="3"/>
    </row>
    <row r="78" spans="1:7" ht="15" customHeight="1" x14ac:dyDescent="0.25">
      <c r="A78" s="5"/>
      <c r="B78" s="27" t="s">
        <v>54</v>
      </c>
      <c r="C78" s="100"/>
      <c r="D78" s="100">
        <f>$C$55</f>
        <v>500</v>
      </c>
      <c r="E78" s="5"/>
      <c r="F78" s="193"/>
      <c r="G78" s="3"/>
    </row>
    <row r="79" spans="1:7" x14ac:dyDescent="0.25">
      <c r="A79" s="5"/>
      <c r="B79" s="32" t="s">
        <v>422</v>
      </c>
      <c r="C79" s="240">
        <f>C76+C77+C78</f>
        <v>3000</v>
      </c>
      <c r="D79" s="203">
        <f>D76+D77+D78</f>
        <v>8333.2471849369504</v>
      </c>
      <c r="E79" s="5"/>
      <c r="F79" s="193"/>
      <c r="G79" s="3"/>
    </row>
    <row r="80" spans="1:7" ht="3.95" customHeight="1" x14ac:dyDescent="0.25">
      <c r="A80" s="5"/>
      <c r="B80" s="5"/>
      <c r="C80" s="5"/>
      <c r="D80" s="5"/>
      <c r="E80" s="5"/>
      <c r="F80" s="193"/>
      <c r="G80" s="3"/>
    </row>
    <row r="81" spans="1:7" x14ac:dyDescent="0.25">
      <c r="A81" s="5"/>
      <c r="B81" s="29" t="s">
        <v>470</v>
      </c>
      <c r="C81" s="239" t="str">
        <f>C$162</f>
        <v>Today</v>
      </c>
      <c r="D81" s="239" t="str">
        <f>D$67</f>
        <v>Year 5</v>
      </c>
      <c r="E81" s="5"/>
      <c r="F81" s="193"/>
      <c r="G81" s="3"/>
    </row>
    <row r="82" spans="1:7" x14ac:dyDescent="0.25">
      <c r="A82" s="5"/>
      <c r="B82" s="78" t="s">
        <v>469</v>
      </c>
      <c r="C82" s="238">
        <f>C79-C70</f>
        <v>0</v>
      </c>
      <c r="D82" s="227">
        <f>D79-D70</f>
        <v>842.9894862081328</v>
      </c>
      <c r="E82" s="5"/>
      <c r="F82" s="193"/>
      <c r="G82" s="3"/>
    </row>
    <row r="83" spans="1:7" x14ac:dyDescent="0.25">
      <c r="A83" s="5"/>
      <c r="B83" s="237" t="s">
        <v>468</v>
      </c>
      <c r="C83" s="236">
        <f>IFERROR(C79/C70-1,0)</f>
        <v>0</v>
      </c>
      <c r="D83" s="235">
        <f>IFERROR(D79/D70-1,0)</f>
        <v>0.11254479086229541</v>
      </c>
      <c r="E83" s="5"/>
      <c r="F83" s="193"/>
      <c r="G83" s="3"/>
    </row>
    <row r="84" spans="1:7" ht="15" customHeight="1" x14ac:dyDescent="0.25">
      <c r="A84" s="5"/>
      <c r="B84" s="226" t="s">
        <v>467</v>
      </c>
      <c r="C84" s="233"/>
      <c r="D84" s="234">
        <f>IFERROR(D79/C164,0)</f>
        <v>2.7777490616456499</v>
      </c>
      <c r="E84" s="5"/>
      <c r="F84" s="5" t="str">
        <f>"Ben's Year "&amp;$C$7&amp;" value ("&amp;ADDRESS(ROW(D79),COLUMN(D79),4)&amp;": Topkey stock + cash + earnout) ÷ Keystone value given up at close ("&amp;ADDRESS(ROW(C164),COLUMN(C164),4)&amp;")"</f>
        <v>Ben's Year 5 value (D79: Topkey stock + cash + earnout) ÷ Keystone value given up at close (C164)</v>
      </c>
      <c r="G84" s="3"/>
    </row>
    <row r="85" spans="1:7" ht="15" customHeight="1" x14ac:dyDescent="0.25">
      <c r="A85" s="5"/>
      <c r="B85" s="226" t="s">
        <v>466</v>
      </c>
      <c r="C85" s="233"/>
      <c r="D85" s="232">
        <f>IFERROR(IRR(D190:D195),0)</f>
        <v>0.26613900142438429</v>
      </c>
      <c r="E85" s="5"/>
      <c r="F85" s="5" t="str">
        <f>"IRR on Ben's cash flows (rows "&amp;ROW($B$190)&amp;"-"&amp;ROW($B$195)&amp;"); Year "&amp;$C$7&amp;" = stake value, not a cash exit"</f>
        <v>IRR on Ben's cash flows (rows 190-195); Year 5 = stake value, not a cash exit</v>
      </c>
      <c r="G85" s="3"/>
    </row>
    <row r="86" spans="1:7" x14ac:dyDescent="0.25">
      <c r="A86" s="5"/>
      <c r="B86" s="226" t="s">
        <v>465</v>
      </c>
      <c r="C86" s="231"/>
      <c r="D86" s="230">
        <f>IFERROR((((D70-$C$165-$C$55)/$D$169-D74+$C$55)/$C$170)^(1/C$7)-1,0)</f>
        <v>0.21465018998633045</v>
      </c>
      <c r="E86" s="5"/>
      <c r="F86" s="193"/>
      <c r="G86" s="3"/>
    </row>
    <row r="87" spans="1:7" x14ac:dyDescent="0.25">
      <c r="A87" s="5"/>
      <c r="B87" s="224" t="s">
        <v>464</v>
      </c>
      <c r="C87" s="229"/>
      <c r="D87" s="228">
        <f>IFERROR(((D73+$C$55)/$C$170)^(1/$C$7)-1,0)</f>
        <v>0.24712359925968785</v>
      </c>
      <c r="E87" s="5"/>
      <c r="F87" s="193"/>
      <c r="G87" s="3"/>
    </row>
    <row r="88" spans="1:7" ht="3.95" customHeight="1" x14ac:dyDescent="0.25">
      <c r="A88" s="5"/>
      <c r="B88" s="5"/>
      <c r="C88" s="5"/>
      <c r="D88" s="5"/>
      <c r="E88" s="5"/>
      <c r="F88" s="193"/>
      <c r="G88" s="3"/>
    </row>
    <row r="89" spans="1:7" ht="15" customHeight="1" x14ac:dyDescent="0.25">
      <c r="A89" s="5"/>
      <c r="B89" s="29" t="s">
        <v>463</v>
      </c>
      <c r="C89" s="211" t="s">
        <v>192</v>
      </c>
      <c r="D89" s="5"/>
      <c r="E89" s="5"/>
      <c r="F89" s="193"/>
      <c r="G89" s="3"/>
    </row>
    <row r="90" spans="1:7" ht="15" customHeight="1" x14ac:dyDescent="0.25">
      <c r="A90" s="5"/>
      <c r="B90" s="5" t="s">
        <v>462</v>
      </c>
      <c r="C90" s="104">
        <f>C165</f>
        <v>500</v>
      </c>
      <c r="D90" s="5"/>
      <c r="E90" s="5"/>
      <c r="F90" s="193" t="str">
        <f>"Cash portion of offer ("&amp;ADDRESS(ROW(C165),COLUMN(C165),4)&amp;")"</f>
        <v>Cash portion of offer (C165)</v>
      </c>
      <c r="G90" s="3"/>
    </row>
    <row r="91" spans="1:7" ht="15" customHeight="1" x14ac:dyDescent="0.25">
      <c r="A91" s="5"/>
      <c r="B91" s="27" t="s">
        <v>137</v>
      </c>
      <c r="C91" s="100">
        <f>C166</f>
        <v>2500</v>
      </c>
      <c r="D91" s="5"/>
      <c r="E91" s="5"/>
      <c r="F91" s="193" t="str">
        <f>"Topkey stock issued, at issue value ("&amp;ADDRESS(ROW(C166),COLUMN(C166),4)&amp;")"</f>
        <v>Topkey stock issued, at issue value (C166)</v>
      </c>
      <c r="G91" s="3"/>
    </row>
    <row r="92" spans="1:7" ht="15" customHeight="1" x14ac:dyDescent="0.25">
      <c r="A92" s="5"/>
      <c r="B92" s="27" t="s">
        <v>54</v>
      </c>
      <c r="C92" s="100">
        <f>C55</f>
        <v>500</v>
      </c>
      <c r="D92" s="5"/>
      <c r="E92" s="5"/>
      <c r="F92" s="193" t="str">
        <f>"Cash earnout at base-case achievement ("&amp;ADDRESS(ROW(C55),COLUMN(C55),4)&amp;")"</f>
        <v>Cash earnout at base-case achievement (C55)</v>
      </c>
      <c r="G92" s="3"/>
    </row>
    <row r="93" spans="1:7" ht="15" customHeight="1" x14ac:dyDescent="0.25">
      <c r="A93" s="5"/>
      <c r="B93" s="217" t="s">
        <v>135</v>
      </c>
      <c r="C93" s="216">
        <f>SUM(C90:C92)</f>
        <v>3500</v>
      </c>
      <c r="D93" s="97"/>
      <c r="E93" s="5"/>
      <c r="F93" s="193" t="s">
        <v>461</v>
      </c>
      <c r="G93" s="3"/>
    </row>
    <row r="94" spans="1:7" ht="15" customHeight="1" x14ac:dyDescent="0.25">
      <c r="A94" s="5"/>
      <c r="B94" s="27" t="s">
        <v>460</v>
      </c>
      <c r="C94" s="139">
        <f>1-'Offer Comparison'!$D$17</f>
        <v>1</v>
      </c>
      <c r="D94" s="5"/>
      <c r="E94" s="5"/>
      <c r="F94" s="193" t="str">
        <f>"1 − Ben's rollover % (Offer Comparison "&amp;ADDRESS(ROW('Offer Comparison'!D17),COLUMN('Offer Comparison'!D17),4)&amp;"); 100% buyout"</f>
        <v>1 − Ben's rollover % (Offer Comparison D17); 100% buyout</v>
      </c>
      <c r="G94" s="3"/>
    </row>
    <row r="95" spans="1:7" ht="15" customHeight="1" x14ac:dyDescent="0.25">
      <c r="A95" s="5"/>
      <c r="B95" s="5" t="s">
        <v>459</v>
      </c>
      <c r="C95" s="104">
        <f>D74</f>
        <v>13980.189077288145</v>
      </c>
      <c r="D95" s="5"/>
      <c r="E95" s="5"/>
      <c r="F95" s="193" t="str">
        <f>"Year "&amp;$C$7&amp;" partnership value of Keystone ("&amp;ADDRESS(ROW(D74),COLUMN(D74),4)&amp;")"</f>
        <v>Year 5 partnership value of Keystone (D74)</v>
      </c>
      <c r="G95" s="3"/>
    </row>
    <row r="96" spans="1:7" ht="15" customHeight="1" x14ac:dyDescent="0.25">
      <c r="A96" s="5"/>
      <c r="B96" s="78" t="s">
        <v>458</v>
      </c>
      <c r="C96" s="227">
        <f>C94*C95</f>
        <v>13980.189077288145</v>
      </c>
      <c r="D96" s="97"/>
      <c r="E96" s="5"/>
      <c r="F96" s="193" t="str">
        <f>"Topkey's Year "&amp;$C$7&amp;" value of Keystone"</f>
        <v>Topkey's Year 5 value of Keystone</v>
      </c>
      <c r="G96" s="3"/>
    </row>
    <row r="97" spans="1:7" ht="15" customHeight="1" x14ac:dyDescent="0.25">
      <c r="A97" s="5"/>
      <c r="B97" s="226" t="s">
        <v>457</v>
      </c>
      <c r="C97" s="225">
        <f>IFERROR(C96/C93,0)</f>
        <v>3.9943397363680413</v>
      </c>
      <c r="D97" s="97"/>
      <c r="E97" s="5"/>
      <c r="F97" s="193" t="str">
        <f>"Year "&amp;$C$7&amp;" stake value ÷ total consideration"</f>
        <v>Year 5 stake value ÷ total consideration</v>
      </c>
      <c r="G97" s="3"/>
    </row>
    <row r="98" spans="1:7" ht="15" customHeight="1" x14ac:dyDescent="0.25">
      <c r="A98" s="5"/>
      <c r="B98" s="224" t="s">
        <v>456</v>
      </c>
      <c r="C98" s="223">
        <f>IFERROR(IRR(D182:D187),0)</f>
        <v>0.34242961148605411</v>
      </c>
      <c r="D98" s="97"/>
      <c r="E98" s="5"/>
      <c r="F98" s="193" t="str">
        <f>"IRR on Topkey's cash flows (rows "&amp;ROW($B$182)&amp;"-"&amp;ROW($B$187)&amp;"); excludes software fee income and Keystone profits, so understated"</f>
        <v>IRR on Topkey's cash flows (rows 182-187); excludes software fee income and Keystone profits, so understated</v>
      </c>
      <c r="G98" s="3"/>
    </row>
    <row r="99" spans="1:7" ht="3.95" customHeight="1" x14ac:dyDescent="0.25">
      <c r="A99" s="5"/>
      <c r="B99" s="5"/>
      <c r="C99" s="5"/>
      <c r="D99" s="5"/>
      <c r="E99" s="5"/>
      <c r="F99" s="193"/>
      <c r="G99" s="3"/>
    </row>
    <row r="100" spans="1:7" x14ac:dyDescent="0.25">
      <c r="A100" s="5"/>
      <c r="B100" s="116" t="s">
        <v>455</v>
      </c>
      <c r="C100" s="72" t="str">
        <f>D$67</f>
        <v>Year 5</v>
      </c>
      <c r="D100" s="3"/>
      <c r="E100" s="5"/>
      <c r="F100" s="193"/>
      <c r="G100" s="3"/>
    </row>
    <row r="101" spans="1:7" x14ac:dyDescent="0.25">
      <c r="A101" s="5"/>
      <c r="B101" s="41" t="s">
        <v>454</v>
      </c>
      <c r="C101" s="129">
        <f>+C27+C163</f>
        <v>5992.2061589830537</v>
      </c>
      <c r="D101" s="5"/>
      <c r="E101" s="5"/>
      <c r="F101" s="193"/>
      <c r="G101" s="3"/>
    </row>
    <row r="102" spans="1:7" s="41" customFormat="1" ht="12" x14ac:dyDescent="0.2">
      <c r="A102" s="5"/>
      <c r="B102" s="47" t="s">
        <v>450</v>
      </c>
      <c r="C102" s="221">
        <v>0.15</v>
      </c>
      <c r="D102" s="222"/>
      <c r="E102" s="5"/>
      <c r="F102" s="193" t="s">
        <v>453</v>
      </c>
    </row>
    <row r="103" spans="1:7" s="41" customFormat="1" ht="12" x14ac:dyDescent="0.2">
      <c r="A103" s="5"/>
      <c r="B103" s="220" t="s">
        <v>448</v>
      </c>
      <c r="C103" s="219">
        <f>C102*C101</f>
        <v>898.83092384745805</v>
      </c>
      <c r="D103" s="5"/>
      <c r="E103" s="5"/>
      <c r="F103" s="193"/>
    </row>
    <row r="104" spans="1:7" x14ac:dyDescent="0.25">
      <c r="A104" s="5"/>
      <c r="B104" s="41" t="s">
        <v>447</v>
      </c>
      <c r="C104" s="100">
        <f>+D70</f>
        <v>7490.2576987288176</v>
      </c>
      <c r="D104" s="5"/>
      <c r="E104" s="5"/>
      <c r="F104" s="193"/>
      <c r="G104" s="3"/>
    </row>
    <row r="105" spans="1:7" x14ac:dyDescent="0.25">
      <c r="A105" s="5"/>
      <c r="B105" s="44" t="s">
        <v>446</v>
      </c>
      <c r="C105" s="214">
        <f>C104/C103</f>
        <v>8.3333333333333339</v>
      </c>
      <c r="D105" s="5"/>
      <c r="E105" s="5"/>
      <c r="F105" s="193"/>
      <c r="G105" s="3"/>
    </row>
    <row r="106" spans="1:7" ht="3.95" customHeight="1" x14ac:dyDescent="0.25">
      <c r="A106" s="5"/>
      <c r="B106" s="61"/>
      <c r="C106" s="218"/>
      <c r="D106" s="5"/>
      <c r="E106" s="5"/>
      <c r="F106" s="193"/>
      <c r="G106" s="3"/>
    </row>
    <row r="107" spans="1:7" x14ac:dyDescent="0.25">
      <c r="A107" s="5"/>
      <c r="B107" s="116" t="s">
        <v>452</v>
      </c>
      <c r="C107" s="72" t="str">
        <f>D$67</f>
        <v>Year 5</v>
      </c>
      <c r="D107" s="3"/>
      <c r="E107" s="5"/>
      <c r="F107" s="193"/>
      <c r="G107" s="3"/>
    </row>
    <row r="108" spans="1:7" x14ac:dyDescent="0.25">
      <c r="A108" s="5"/>
      <c r="B108" s="41" t="s">
        <v>451</v>
      </c>
      <c r="C108" s="129">
        <f>+C39+C163</f>
        <v>6990.0945386440726</v>
      </c>
      <c r="D108" s="5"/>
      <c r="E108" s="5"/>
      <c r="F108" s="193"/>
      <c r="G108" s="3"/>
    </row>
    <row r="109" spans="1:7" s="41" customFormat="1" ht="12" x14ac:dyDescent="0.2">
      <c r="A109" s="5"/>
      <c r="B109" s="47" t="s">
        <v>450</v>
      </c>
      <c r="C109" s="221">
        <v>0.2</v>
      </c>
      <c r="D109" s="5"/>
      <c r="E109" s="5"/>
      <c r="F109" s="193" t="s">
        <v>449</v>
      </c>
    </row>
    <row r="110" spans="1:7" s="41" customFormat="1" ht="12" x14ac:dyDescent="0.2">
      <c r="A110" s="5"/>
      <c r="B110" s="220" t="s">
        <v>448</v>
      </c>
      <c r="C110" s="219">
        <f>C109*C108</f>
        <v>1398.0189077288146</v>
      </c>
      <c r="D110" s="5"/>
      <c r="E110" s="5"/>
      <c r="F110" s="193"/>
    </row>
    <row r="111" spans="1:7" x14ac:dyDescent="0.25">
      <c r="A111" s="5"/>
      <c r="B111" s="41" t="s">
        <v>447</v>
      </c>
      <c r="C111" s="100">
        <f>D74</f>
        <v>13980.189077288145</v>
      </c>
      <c r="D111" s="5"/>
      <c r="E111" s="5"/>
      <c r="F111" s="193"/>
      <c r="G111" s="3"/>
    </row>
    <row r="112" spans="1:7" x14ac:dyDescent="0.25">
      <c r="A112" s="5"/>
      <c r="B112" s="44" t="s">
        <v>446</v>
      </c>
      <c r="C112" s="214">
        <f>C111/C110</f>
        <v>10</v>
      </c>
      <c r="D112" s="5"/>
      <c r="E112" s="5"/>
      <c r="F112" s="193"/>
      <c r="G112" s="3"/>
    </row>
    <row r="113" spans="1:7" ht="3.95" customHeight="1" x14ac:dyDescent="0.25">
      <c r="A113" s="5"/>
      <c r="B113" s="61"/>
      <c r="C113" s="218"/>
      <c r="D113" s="5"/>
      <c r="E113" s="5"/>
      <c r="F113" s="193"/>
      <c r="G113" s="3"/>
    </row>
    <row r="114" spans="1:7" x14ac:dyDescent="0.25">
      <c r="A114" s="5"/>
      <c r="B114" s="29" t="s">
        <v>132</v>
      </c>
      <c r="C114" s="73" t="str">
        <f>"Year "&amp;$C$7</f>
        <v>Year 5</v>
      </c>
      <c r="D114" s="73" t="s">
        <v>445</v>
      </c>
      <c r="E114" s="5"/>
      <c r="F114" s="193"/>
      <c r="G114" s="3"/>
    </row>
    <row r="115" spans="1:7" ht="15" customHeight="1" x14ac:dyDescent="0.25">
      <c r="A115" s="5"/>
      <c r="B115" s="5" t="s">
        <v>444</v>
      </c>
      <c r="C115" s="129">
        <f>D73*$D$169</f>
        <v>6802.0000000000009</v>
      </c>
      <c r="D115" s="139">
        <f>IFERROR(C115/C$119,0)</f>
        <v>0.81624843821928039</v>
      </c>
      <c r="E115" s="5"/>
      <c r="F115" s="193" t="str">
        <f>"Ben's diluted Topkey % × Topkey's own Year "&amp;$C$7&amp;" value, net of cash and earnout paid ("&amp;ADDRESS(ROW(D73),COLUMN(D73),4)&amp;")"</f>
        <v>Ben's diluted Topkey % × Topkey's own Year 5 value, net of cash and earnout paid (D73)</v>
      </c>
      <c r="G115" s="3"/>
    </row>
    <row r="116" spans="1:7" ht="15" customHeight="1" x14ac:dyDescent="0.25">
      <c r="A116" s="5"/>
      <c r="B116" s="27" t="s">
        <v>443</v>
      </c>
      <c r="C116" s="198">
        <f>D74*$D$169</f>
        <v>531.24718493694945</v>
      </c>
      <c r="D116" s="139">
        <f>IFERROR(C116/C$119,0)</f>
        <v>6.3750321230987089E-2</v>
      </c>
      <c r="E116" s="5"/>
      <c r="F116" s="193" t="str">
        <f>"Ben's diluted Topkey % × partnership-valued Keystone ("&amp;ADDRESS(ROW(D74),COLUMN(D74),4)&amp;")"</f>
        <v>Ben's diluted Topkey % × partnership-valued Keystone (D74)</v>
      </c>
      <c r="G116" s="3"/>
    </row>
    <row r="117" spans="1:7" ht="15" customHeight="1" x14ac:dyDescent="0.25">
      <c r="A117" s="5"/>
      <c r="B117" s="27" t="s">
        <v>55</v>
      </c>
      <c r="C117" s="100">
        <f>D77</f>
        <v>500</v>
      </c>
      <c r="D117" s="139">
        <f>IFERROR(C117/C$119,0)</f>
        <v>6.0000620274866238E-2</v>
      </c>
      <c r="E117" s="5"/>
      <c r="F117" s="193" t="str">
        <f>"Cash at close ("&amp;ADDRESS(ROW(D77),COLUMN(D77),4)&amp;")"</f>
        <v>Cash at close (D77)</v>
      </c>
      <c r="G117" s="3"/>
    </row>
    <row r="118" spans="1:7" ht="15" customHeight="1" x14ac:dyDescent="0.25">
      <c r="A118" s="5"/>
      <c r="B118" s="27" t="s">
        <v>54</v>
      </c>
      <c r="C118" s="100">
        <f>D78</f>
        <v>500</v>
      </c>
      <c r="D118" s="139">
        <f>IFERROR(C118/C$119,0)</f>
        <v>6.0000620274866238E-2</v>
      </c>
      <c r="E118" s="5"/>
      <c r="F118" s="193" t="str">
        <f>"Year "&amp;$C$43&amp;" cash earnout ("&amp;ADDRESS(ROW(D78),COLUMN(D78),4)&amp;")"</f>
        <v>Year 3 cash earnout (D78)</v>
      </c>
      <c r="G118" s="3"/>
    </row>
    <row r="119" spans="1:7" ht="15" customHeight="1" x14ac:dyDescent="0.25">
      <c r="A119" s="5"/>
      <c r="B119" s="217" t="s">
        <v>422</v>
      </c>
      <c r="C119" s="216">
        <f>SUM(C115:C118)</f>
        <v>8333.2471849369504</v>
      </c>
      <c r="D119" s="215">
        <f>SUM(D115:D118)</f>
        <v>0.99999999999999989</v>
      </c>
      <c r="E119" s="5"/>
      <c r="F119" s="193" t="str">
        <f>"Ties to "&amp;ADDRESS(ROW(D79),COLUMN(D79),4)</f>
        <v>Ties to D79</v>
      </c>
      <c r="G119" s="3"/>
    </row>
    <row r="120" spans="1:7" ht="15" customHeight="1" x14ac:dyDescent="0.25">
      <c r="A120" s="5"/>
      <c r="B120" s="5" t="s">
        <v>442</v>
      </c>
      <c r="C120" s="129">
        <f>(C39+C163)*$D$169</f>
        <v>265.62359246847473</v>
      </c>
      <c r="D120" s="5"/>
      <c r="E120" s="5"/>
      <c r="F120" s="193" t="str">
        <f>"Year "&amp;$C$7&amp;" Keystone partnership revenue × Ben's ownership; each 1.0x of the software-integration multiple ("&amp;ADDRESS(ROW(C30),COLUMN(C30),4)&amp;") is worth this much to Ben"</f>
        <v>Year 5 Keystone partnership revenue × Ben's ownership; each 1.0x of the software-integration multiple (C30) is worth this much to Ben</v>
      </c>
      <c r="G120" s="3"/>
    </row>
    <row r="121" spans="1:7" ht="3.95" customHeight="1" x14ac:dyDescent="0.25">
      <c r="A121" s="5"/>
      <c r="B121" s="5"/>
      <c r="C121" s="5"/>
      <c r="D121" s="5"/>
      <c r="E121" s="5"/>
      <c r="F121" s="193"/>
      <c r="G121" s="3"/>
    </row>
    <row r="122" spans="1:7" x14ac:dyDescent="0.25">
      <c r="A122" s="5"/>
      <c r="B122" s="29" t="s">
        <v>441</v>
      </c>
      <c r="C122" s="73" t="str">
        <f>C$162</f>
        <v>Today</v>
      </c>
      <c r="D122" s="5"/>
      <c r="E122" s="5"/>
      <c r="F122" s="193"/>
      <c r="G122" s="3"/>
    </row>
    <row r="123" spans="1:7" x14ac:dyDescent="0.25">
      <c r="A123" s="5"/>
      <c r="B123" s="5" t="s">
        <v>440</v>
      </c>
      <c r="C123" s="213">
        <f>IFERROR(C164/C163,0)</f>
        <v>1.0004865632953721</v>
      </c>
      <c r="D123" s="5"/>
      <c r="E123" s="5"/>
      <c r="F123" s="193" t="s">
        <v>439</v>
      </c>
      <c r="G123" s="3"/>
    </row>
    <row r="124" spans="1:7" ht="15" customHeight="1" x14ac:dyDescent="0.25">
      <c r="A124" s="5"/>
      <c r="B124" s="5" t="s">
        <v>438</v>
      </c>
      <c r="C124" s="213">
        <f>IFERROR((C164+C55)/C163,0)</f>
        <v>1.1672343238446008</v>
      </c>
      <c r="D124" s="5"/>
      <c r="E124" s="5"/>
      <c r="F124" s="193" t="str">
        <f>"(Offer value + Year "&amp;$C$43&amp;" earnout) ÷ Keystone run-rate revenue"</f>
        <v>(Offer value + Year 3 earnout) ÷ Keystone run-rate revenue</v>
      </c>
      <c r="G124" s="3"/>
    </row>
    <row r="125" spans="1:7" x14ac:dyDescent="0.25">
      <c r="A125" s="5"/>
      <c r="B125" s="5" t="s">
        <v>437</v>
      </c>
      <c r="C125" s="212">
        <f>C11</f>
        <v>19.157088122605366</v>
      </c>
      <c r="D125" s="5"/>
      <c r="E125" s="5"/>
      <c r="F125" s="193" t="s">
        <v>436</v>
      </c>
      <c r="G125" s="3"/>
    </row>
    <row r="126" spans="1:7" x14ac:dyDescent="0.25">
      <c r="A126" s="5"/>
      <c r="B126" s="32" t="s">
        <v>435</v>
      </c>
      <c r="C126" s="214">
        <f>IFERROR(C125/C123,0)</f>
        <v>19.147771519795661</v>
      </c>
      <c r="D126" s="97"/>
      <c r="E126" s="5"/>
      <c r="F126" s="193" t="str">
        <f>"Ben sells at "&amp;"~"&amp;TEXT(C123,"0.0")&amp;"x"&amp;" revenue and buys Topkey stock at "&amp;"~"&amp;TEXT(C125,"0")&amp;"x"</f>
        <v>Ben sells at ~1.0x revenue and buys Topkey stock at ~19x</v>
      </c>
      <c r="G126" s="3"/>
    </row>
    <row r="127" spans="1:7" x14ac:dyDescent="0.25">
      <c r="A127" s="5"/>
      <c r="B127" s="5" t="s">
        <v>434</v>
      </c>
      <c r="C127" s="104">
        <f>C163</f>
        <v>2998.5410200000001</v>
      </c>
      <c r="D127" s="5"/>
      <c r="E127" s="5"/>
      <c r="F127" s="193"/>
      <c r="G127" s="3"/>
    </row>
    <row r="128" spans="1:7" x14ac:dyDescent="0.25">
      <c r="A128" s="5"/>
      <c r="B128" s="5" t="s">
        <v>433</v>
      </c>
      <c r="C128" s="129">
        <f>(C10+C163)*$C$169</f>
        <v>245.22164080000002</v>
      </c>
      <c r="D128" s="5"/>
      <c r="E128" s="5"/>
      <c r="F128" s="193" t="s">
        <v>432</v>
      </c>
      <c r="G128" s="3"/>
    </row>
    <row r="129" spans="1:8" ht="3.95" customHeight="1" x14ac:dyDescent="0.25">
      <c r="A129" s="5"/>
      <c r="B129" s="5"/>
      <c r="C129" s="5"/>
      <c r="D129" s="5"/>
      <c r="E129" s="5"/>
      <c r="F129" s="193"/>
      <c r="G129" s="3"/>
    </row>
    <row r="130" spans="1:8" x14ac:dyDescent="0.25">
      <c r="A130" s="5"/>
      <c r="B130" s="29" t="s">
        <v>431</v>
      </c>
      <c r="C130" s="73" t="s">
        <v>430</v>
      </c>
      <c r="D130" s="73" t="s">
        <v>429</v>
      </c>
      <c r="E130" s="5"/>
      <c r="F130" s="193"/>
      <c r="G130" s="3"/>
    </row>
    <row r="131" spans="1:8" x14ac:dyDescent="0.25">
      <c r="A131" s="5"/>
      <c r="B131" s="5" t="s">
        <v>47</v>
      </c>
      <c r="C131" s="129">
        <f>(D70-D77-D78)/$D$169-D74</f>
        <v>156816.0661524176</v>
      </c>
      <c r="D131" s="104">
        <f>D73</f>
        <v>179000.00000000003</v>
      </c>
      <c r="E131" s="5"/>
      <c r="F131" s="193" t="str">
        <f>"Topkey Year "&amp;$C$7&amp;" value at which Scenario 2 equals Scenario 1"</f>
        <v>Topkey Year 5 value at which Scenario 2 equals Scenario 1</v>
      </c>
      <c r="G131" s="3"/>
    </row>
    <row r="132" spans="1:8" x14ac:dyDescent="0.25">
      <c r="A132" s="5"/>
      <c r="B132" s="5" t="s">
        <v>46</v>
      </c>
      <c r="C132" s="213">
        <f>IFERROR((C131+$C$165+$C$55)/(C10+C17),0)</f>
        <v>16.796090480248786</v>
      </c>
      <c r="D132" s="212">
        <f>C12</f>
        <v>19.157088122605366</v>
      </c>
      <c r="E132" s="5"/>
      <c r="F132" s="193" t="s">
        <v>428</v>
      </c>
      <c r="G132" s="3"/>
    </row>
    <row r="133" spans="1:8" x14ac:dyDescent="0.25">
      <c r="A133" s="5"/>
      <c r="B133" s="5" t="s">
        <v>45</v>
      </c>
      <c r="C133" s="198">
        <f>IFERROR(((C131+$C$165+$C$55)/C12-C10)/C14/C7,0)</f>
        <v>105.96740499845237</v>
      </c>
      <c r="D133" s="100">
        <f>C15</f>
        <v>130</v>
      </c>
      <c r="E133" s="5"/>
      <c r="F133" s="193" t="s">
        <v>427</v>
      </c>
      <c r="G133" s="3"/>
    </row>
    <row r="134" spans="1:8" x14ac:dyDescent="0.25">
      <c r="A134" s="5"/>
      <c r="B134" s="5" t="s">
        <v>44</v>
      </c>
      <c r="C134" s="139">
        <f>IFERROR(1-(D70-D77-D78)/(D75*$C$169),0)</f>
        <v>0.15920673907497795</v>
      </c>
      <c r="D134" s="139">
        <f>$C$8</f>
        <v>0.05</v>
      </c>
      <c r="E134" s="5"/>
      <c r="F134" s="193" t="str">
        <f>"Break-even = total dilution at which Scenario 2 equals Scenario 1; base = estimated dilution ("&amp;ADDRESS(ROW(C8),COLUMN(C8),4)&amp;")"</f>
        <v>Break-even = total dilution at which Scenario 2 equals Scenario 1; base = estimated dilution (C8)</v>
      </c>
      <c r="G134" s="3"/>
    </row>
    <row r="135" spans="1:8" x14ac:dyDescent="0.25">
      <c r="A135" s="5"/>
      <c r="B135" s="5" t="s">
        <v>43</v>
      </c>
      <c r="C135" s="202">
        <f>D86</f>
        <v>0.21465018998633045</v>
      </c>
      <c r="D135" s="202">
        <f>D87</f>
        <v>0.24712359925968785</v>
      </c>
      <c r="E135" s="5"/>
      <c r="F135" s="193" t="str">
        <f>"Break-even vs. estimated (rows "&amp;ROW($B$86)&amp;"-"&amp;ROW($B$87)&amp;"); growth in Topkey's value vs. today's valuation, not revenue growth"</f>
        <v>Break-even vs. estimated (rows 86-87); growth in Topkey's value vs. today's valuation, not revenue growth</v>
      </c>
      <c r="G135" s="3"/>
    </row>
    <row r="136" spans="1:8" ht="3.95" customHeight="1" x14ac:dyDescent="0.25">
      <c r="A136" s="5"/>
      <c r="B136" s="5"/>
      <c r="C136" s="5"/>
      <c r="D136" s="5"/>
      <c r="E136" s="5"/>
      <c r="F136" s="193"/>
      <c r="G136" s="3"/>
    </row>
    <row r="137" spans="1:8" ht="14.25" customHeight="1" x14ac:dyDescent="0.25">
      <c r="A137" s="41"/>
      <c r="B137" s="29" t="str">
        <f>"Topkey Dilution Impact — Ben (Year "&amp;$C$7&amp;")"</f>
        <v>Topkey Dilution Impact — Ben (Year 5)</v>
      </c>
      <c r="C137" s="211" t="s">
        <v>426</v>
      </c>
      <c r="D137" s="211" t="s">
        <v>425</v>
      </c>
      <c r="E137" s="41"/>
      <c r="F137" s="41"/>
      <c r="G137" s="41"/>
      <c r="H137" s="41"/>
    </row>
    <row r="138" spans="1:8" ht="14.25" customHeight="1" x14ac:dyDescent="0.25">
      <c r="A138" s="41"/>
      <c r="B138" s="41" t="s">
        <v>391</v>
      </c>
      <c r="C138" s="202">
        <f>$C$169</f>
        <v>0.04</v>
      </c>
      <c r="D138" s="202">
        <f>$D$169</f>
        <v>3.7999999999999999E-2</v>
      </c>
      <c r="E138" s="41"/>
      <c r="F138" s="41"/>
      <c r="G138" s="41"/>
      <c r="H138" s="41"/>
    </row>
    <row r="139" spans="1:8" ht="14.25" customHeight="1" x14ac:dyDescent="0.25">
      <c r="A139" s="41"/>
      <c r="B139" s="41" t="s">
        <v>424</v>
      </c>
      <c r="C139" s="206">
        <f>$D$75*C138</f>
        <v>7719.2075630915269</v>
      </c>
      <c r="D139" s="206">
        <f>$D$75*D138</f>
        <v>7333.2471849369504</v>
      </c>
      <c r="E139" s="41"/>
      <c r="F139" s="41" t="str">
        <f>"Year "&amp;$C$7&amp;" combined Topkey EV ("&amp;ADDRESS(ROW(D75),COLUMN(D75),4)&amp;") × ownership %"</f>
        <v>Year 5 combined Topkey EV (D75) × ownership %</v>
      </c>
      <c r="G139" s="41"/>
      <c r="H139" s="41"/>
    </row>
    <row r="140" spans="1:8" ht="14.25" customHeight="1" x14ac:dyDescent="0.25">
      <c r="A140" s="41"/>
      <c r="B140" s="47" t="s">
        <v>423</v>
      </c>
      <c r="C140" s="169">
        <f>$D$77+$D$78</f>
        <v>1000</v>
      </c>
      <c r="D140" s="169">
        <f>$D$77+$D$78</f>
        <v>1000</v>
      </c>
      <c r="E140" s="41"/>
      <c r="F140" s="41" t="str">
        <f>"Unaffected by dilution ("&amp;ADDRESS(ROW(D77),COLUMN(D77),4)&amp;" + "&amp;ADDRESS(ROW(D78),COLUMN(D78),4)&amp;")"</f>
        <v>Unaffected by dilution (D77 + D78)</v>
      </c>
      <c r="G140" s="41"/>
      <c r="H140" s="41"/>
    </row>
    <row r="141" spans="1:8" ht="14.25" customHeight="1" x14ac:dyDescent="0.25">
      <c r="A141" s="41"/>
      <c r="B141" s="210" t="s">
        <v>422</v>
      </c>
      <c r="C141" s="209">
        <f>C139+C140</f>
        <v>8719.2075630915278</v>
      </c>
      <c r="D141" s="208">
        <f>D139+D140</f>
        <v>8333.2471849369504</v>
      </c>
      <c r="E141" s="41"/>
      <c r="F141" s="41"/>
      <c r="G141" s="41"/>
      <c r="H141" s="41"/>
    </row>
    <row r="142" spans="1:8" ht="14.25" customHeight="1" x14ac:dyDescent="0.25">
      <c r="A142" s="41"/>
      <c r="B142" s="47" t="s">
        <v>421</v>
      </c>
      <c r="C142" s="100">
        <f>$D$70</f>
        <v>7490.2576987288176</v>
      </c>
      <c r="D142" s="100">
        <f>$D$70</f>
        <v>7490.2576987288176</v>
      </c>
      <c r="E142" s="41"/>
      <c r="F142" s="41"/>
      <c r="G142" s="41"/>
      <c r="H142" s="41"/>
    </row>
    <row r="143" spans="1:8" ht="14.25" customHeight="1" x14ac:dyDescent="0.25">
      <c r="A143" s="41"/>
      <c r="B143" s="84" t="s">
        <v>420</v>
      </c>
      <c r="C143" s="207">
        <f>C141-C142</f>
        <v>1228.9498643627103</v>
      </c>
      <c r="D143" s="207">
        <f>D141-D142</f>
        <v>842.9894862081328</v>
      </c>
      <c r="E143" s="41"/>
      <c r="F143" s="41"/>
      <c r="G143" s="41"/>
      <c r="H143" s="41"/>
    </row>
    <row r="144" spans="1:8" ht="14.25" customHeight="1" x14ac:dyDescent="0.25">
      <c r="A144" s="41"/>
      <c r="B144" s="41" t="s">
        <v>419</v>
      </c>
      <c r="C144" s="41"/>
      <c r="D144" s="206">
        <f>D141-C141</f>
        <v>-385.96037815457748</v>
      </c>
      <c r="E144" s="41"/>
      <c r="F144" s="41" t="str">
        <f>"Year "&amp;$C$7&amp;" value Ben gives up at the estimated dilution ("&amp;ADDRESS(ROW(C8),COLUMN(C8),4)&amp;")"</f>
        <v>Year 5 value Ben gives up at the estimated dilution (C8)</v>
      </c>
      <c r="G144" s="41"/>
      <c r="H144" s="41"/>
    </row>
    <row r="145" spans="1:8" ht="14.25" customHeight="1" x14ac:dyDescent="0.25">
      <c r="A145" s="41"/>
      <c r="B145" s="41" t="s">
        <v>418</v>
      </c>
      <c r="C145" s="41"/>
      <c r="D145" s="159">
        <f>$C$134-$D$134</f>
        <v>0.10920673907497795</v>
      </c>
      <c r="E145" s="41"/>
      <c r="F145" s="41" t="str">
        <f>"Break-even total dilution ("&amp;ADDRESS(ROW(C134),COLUMN(C134),4)&amp;") less estimated dilution ("&amp;ADDRESS(ROW(C8),COLUMN(C8),4)&amp;")"</f>
        <v>Break-even total dilution (C134) less estimated dilution (C8)</v>
      </c>
      <c r="G145" s="41"/>
      <c r="H145" s="41"/>
    </row>
    <row r="146" spans="1:8" ht="14.25" customHeight="1" x14ac:dyDescent="0.25">
      <c r="B146" s="41" t="s">
        <v>417</v>
      </c>
      <c r="D146" s="186">
        <f>D141-$D$79</f>
        <v>0</v>
      </c>
      <c r="F146" s="41" t="s">
        <v>51</v>
      </c>
    </row>
    <row r="147" spans="1:8" ht="3.95" customHeight="1" x14ac:dyDescent="0.25">
      <c r="A147" s="41"/>
      <c r="B147" s="41"/>
      <c r="C147" s="41"/>
      <c r="D147" s="41"/>
      <c r="E147" s="41"/>
      <c r="F147" s="41"/>
      <c r="G147" s="41"/>
      <c r="H147" s="41"/>
    </row>
    <row r="148" spans="1:8" x14ac:dyDescent="0.25">
      <c r="A148" s="5"/>
      <c r="B148" s="29" t="s">
        <v>416</v>
      </c>
      <c r="C148" s="73" t="s">
        <v>415</v>
      </c>
      <c r="D148" s="73" t="str">
        <f>"Year "&amp;$C$7&amp;" Delta"</f>
        <v>Year 5 Delta</v>
      </c>
      <c r="E148" s="5"/>
      <c r="F148" s="193"/>
      <c r="G148" s="3"/>
    </row>
    <row r="149" spans="1:8" x14ac:dyDescent="0.25">
      <c r="A149" s="5"/>
      <c r="B149" s="5" t="s">
        <v>414</v>
      </c>
      <c r="C149" s="205">
        <v>12</v>
      </c>
      <c r="D149" s="129">
        <f>((C10+C17)*C149-$C$165-$C$55+D74)*$D$169+D77+D78-D70</f>
        <v>-1712.4345137918681</v>
      </c>
      <c r="E149" s="5"/>
      <c r="F149" s="193" t="s">
        <v>413</v>
      </c>
      <c r="G149" s="3"/>
    </row>
    <row r="150" spans="1:8" x14ac:dyDescent="0.25">
      <c r="A150" s="5"/>
      <c r="B150" s="5" t="s">
        <v>412</v>
      </c>
      <c r="C150" s="136">
        <v>90</v>
      </c>
      <c r="D150" s="198">
        <f>((C10+C150*C7*C14)*C12-$C$165-$C$55+D74)*$D$169+D77+D78-D70</f>
        <v>-560.08743686879097</v>
      </c>
      <c r="E150" s="5"/>
      <c r="F150" s="193" t="s">
        <v>411</v>
      </c>
      <c r="G150" s="3"/>
    </row>
    <row r="151" spans="1:8" x14ac:dyDescent="0.25">
      <c r="A151" s="5"/>
      <c r="B151" s="5" t="s">
        <v>410</v>
      </c>
      <c r="C151" s="111">
        <v>0.15</v>
      </c>
      <c r="D151" s="198">
        <f>D75*$C$169*(1-C151)+D77+D78-D70</f>
        <v>71.068729898980564</v>
      </c>
      <c r="E151" s="5"/>
      <c r="F151" s="193" t="s">
        <v>409</v>
      </c>
      <c r="G151" s="3"/>
    </row>
    <row r="152" spans="1:8" ht="15" customHeight="1" x14ac:dyDescent="0.25">
      <c r="A152" s="5"/>
      <c r="B152" s="5" t="s">
        <v>408</v>
      </c>
      <c r="C152" s="139"/>
      <c r="D152" s="198">
        <f>D82-$C$55*(1-$D$169)</f>
        <v>361.9894862081328</v>
      </c>
      <c r="E152" s="5"/>
      <c r="F152" s="193" t="str">
        <f>"Keystone misses "&amp;TEXT(C48,"0%")&amp;" of target: no earnout (Topkey keeps the cash, so Ben's Topkey stake recovers a little)"</f>
        <v>Keystone misses 80% of target: no earnout (Topkey keeps the cash, so Ben's Topkey stake recovers a little)</v>
      </c>
      <c r="G152" s="3"/>
    </row>
    <row r="153" spans="1:8" x14ac:dyDescent="0.25">
      <c r="A153" s="5"/>
      <c r="B153" s="32" t="s">
        <v>407</v>
      </c>
      <c r="C153" s="204"/>
      <c r="D153" s="203">
        <f>((C10+C150*C7*C14)*C149-$C$165+D74)*$C$169*(1-C151)+D77-D70</f>
        <v>-3484.7361931779437</v>
      </c>
      <c r="E153" s="5"/>
      <c r="F153" s="193" t="s">
        <v>406</v>
      </c>
      <c r="G153" s="3"/>
    </row>
    <row r="154" spans="1:8" ht="3.95" customHeight="1" x14ac:dyDescent="0.25">
      <c r="A154" s="5"/>
      <c r="B154" s="5"/>
      <c r="C154" s="5"/>
      <c r="D154" s="5"/>
      <c r="E154" s="5"/>
      <c r="F154" s="193"/>
      <c r="G154" s="3"/>
    </row>
    <row r="155" spans="1:8" x14ac:dyDescent="0.25">
      <c r="A155" s="5"/>
      <c r="B155" s="29" t="s">
        <v>405</v>
      </c>
      <c r="C155" s="73" t="str">
        <f>C$162</f>
        <v>Today</v>
      </c>
      <c r="D155" s="72" t="str">
        <f>D$67</f>
        <v>Year 5</v>
      </c>
      <c r="E155" s="5"/>
      <c r="F155" s="193"/>
      <c r="G155" s="3"/>
    </row>
    <row r="156" spans="1:8" x14ac:dyDescent="0.25">
      <c r="A156" s="5"/>
      <c r="B156" s="5" t="s">
        <v>404</v>
      </c>
      <c r="C156" s="104">
        <f>C165</f>
        <v>500</v>
      </c>
      <c r="D156" s="198">
        <f>C165+C55</f>
        <v>1000</v>
      </c>
      <c r="E156" s="5"/>
      <c r="F156" s="193" t="str">
        <f>"Today: cash at close. Year "&amp;$C$7&amp;": cash at close + Year "&amp;$C$43&amp;" earnout"</f>
        <v>Today: cash at close. Year 5: cash at close + Year 3 earnout</v>
      </c>
      <c r="G156" s="3"/>
    </row>
    <row r="157" spans="1:8" x14ac:dyDescent="0.25">
      <c r="A157" s="5"/>
      <c r="B157" s="5" t="s">
        <v>403</v>
      </c>
      <c r="C157" s="139">
        <f>IFERROR(C165/C164,0)</f>
        <v>0.16666666666666666</v>
      </c>
      <c r="D157" s="139">
        <f>IFERROR((C165+C55)/(C164+C55),0)</f>
        <v>0.2857142857142857</v>
      </c>
      <c r="E157" s="5"/>
      <c r="F157" s="193" t="str">
        <f>"Year "&amp;$C$7&amp;" column includes the Year "&amp;$C$43&amp;" cash earnout in total consideration"</f>
        <v>Year 5 column includes the Year 3 cash earnout in total consideration</v>
      </c>
      <c r="G157" s="3"/>
    </row>
    <row r="158" spans="1:8" x14ac:dyDescent="0.25">
      <c r="A158" s="5"/>
      <c r="B158" s="5" t="s">
        <v>402</v>
      </c>
      <c r="C158" s="139">
        <f>IFERROR(C166/C164,0)</f>
        <v>0.83333333333333337</v>
      </c>
      <c r="D158" s="139">
        <f>IFERROR(C166/(C164+C55),0)</f>
        <v>0.7142857142857143</v>
      </c>
      <c r="E158" s="5"/>
      <c r="F158" s="193"/>
      <c r="G158" s="3"/>
    </row>
    <row r="159" spans="1:8" x14ac:dyDescent="0.25">
      <c r="A159" s="5"/>
      <c r="B159" s="5" t="s">
        <v>391</v>
      </c>
      <c r="C159" s="202">
        <f>C169</f>
        <v>0.04</v>
      </c>
      <c r="D159" s="202">
        <f>D169</f>
        <v>3.7999999999999999E-2</v>
      </c>
      <c r="E159" s="5"/>
      <c r="F159" s="193"/>
      <c r="G159" s="3"/>
    </row>
    <row r="160" spans="1:8" x14ac:dyDescent="0.25">
      <c r="A160" s="5"/>
      <c r="B160" s="5" t="s">
        <v>401</v>
      </c>
      <c r="C160" s="139">
        <f>IFERROR(C76/C79,0)</f>
        <v>0.83333333333333337</v>
      </c>
      <c r="D160" s="139">
        <f>IFERROR(D76/D79,0)</f>
        <v>0.87999875945026751</v>
      </c>
      <c r="E160" s="5"/>
      <c r="F160" s="193" t="s">
        <v>400</v>
      </c>
      <c r="G160" s="3"/>
    </row>
    <row r="161" spans="1:7" ht="3.95" customHeight="1" x14ac:dyDescent="0.25">
      <c r="A161" s="5"/>
      <c r="B161" s="5"/>
      <c r="C161" s="5"/>
      <c r="D161" s="5"/>
      <c r="E161" s="5"/>
      <c r="F161" s="193"/>
      <c r="G161" s="3"/>
    </row>
    <row r="162" spans="1:7" x14ac:dyDescent="0.25">
      <c r="B162" s="116" t="s">
        <v>399</v>
      </c>
      <c r="C162" s="72" t="s">
        <v>398</v>
      </c>
      <c r="D162" s="72" t="str">
        <f>"Year "&amp;$C$7</f>
        <v>Year 5</v>
      </c>
      <c r="E162" s="3"/>
      <c r="F162" s="193"/>
      <c r="G162" s="3"/>
    </row>
    <row r="163" spans="1:7" x14ac:dyDescent="0.25">
      <c r="B163" s="41" t="s">
        <v>186</v>
      </c>
      <c r="C163" s="201">
        <f>'Offer Comparison'!$C$155</f>
        <v>2998.5410200000001</v>
      </c>
      <c r="D163" s="3"/>
      <c r="E163" s="3"/>
      <c r="F163" s="193" t="s">
        <v>397</v>
      </c>
      <c r="G163" s="3"/>
    </row>
    <row r="164" spans="1:7" x14ac:dyDescent="0.25">
      <c r="B164" s="5" t="s">
        <v>396</v>
      </c>
      <c r="C164" s="100">
        <f>C68</f>
        <v>3000</v>
      </c>
      <c r="D164" s="3"/>
      <c r="E164" s="3"/>
      <c r="F164" s="193" t="str">
        <f>"Linked to Scenario 1 Keystone EV today ("&amp;ADDRESS(ROW(C68),COLUMN(C68),4)&amp;"): PF run-rate revenue × initial multiple, rounded to $10K"</f>
        <v>Linked to Scenario 1 Keystone EV today (C68): PF run-rate revenue × initial multiple, rounded to $10K</v>
      </c>
      <c r="G164" s="3"/>
    </row>
    <row r="165" spans="1:7" x14ac:dyDescent="0.25">
      <c r="B165" s="5" t="s">
        <v>129</v>
      </c>
      <c r="C165" s="200">
        <v>500</v>
      </c>
      <c r="D165" s="3"/>
      <c r="E165" s="3"/>
      <c r="F165" s="193" t="str">
        <f>"Buyout-specific input: "&amp;TEXT(C165,"$#,##0")&amp;"K"&amp;" cash at close (Partnership uses "&amp;TEXT('Offer Comparison'!C33,"$#,##0")&amp;"K"&amp;", Offer Overview C9)"</f>
        <v>Buyout-specific input: $500K cash at close (Partnership uses $650K, Offer Overview C9)</v>
      </c>
      <c r="G165" s="3"/>
    </row>
    <row r="166" spans="1:7" x14ac:dyDescent="0.25">
      <c r="B166" s="5" t="s">
        <v>395</v>
      </c>
      <c r="C166" s="191">
        <f>C164-C165</f>
        <v>2500</v>
      </c>
      <c r="D166" s="3"/>
      <c r="E166" s="3"/>
      <c r="F166" s="193" t="s">
        <v>394</v>
      </c>
      <c r="G166" s="3"/>
    </row>
    <row r="167" spans="1:7" x14ac:dyDescent="0.25">
      <c r="B167" s="5" t="s">
        <v>261</v>
      </c>
      <c r="C167" s="135">
        <f>'Offer Comparison'!$D$9</f>
        <v>60000</v>
      </c>
      <c r="D167" s="3"/>
      <c r="E167" s="3"/>
      <c r="F167" s="193" t="str">
        <f>"Linked to Offer Comparison ("&amp;ADDRESS(ROW('Offer Comparison'!D9),COLUMN('Offer Comparison'!D9),4)&amp;"); single Topkey valuation input"</f>
        <v>Linked to Offer Comparison (D9); single Topkey valuation input</v>
      </c>
      <c r="G167" s="3"/>
    </row>
    <row r="168" spans="1:7" x14ac:dyDescent="0.25">
      <c r="B168" s="5" t="s">
        <v>393</v>
      </c>
      <c r="C168" s="191">
        <f>C167+C164-C165</f>
        <v>62500</v>
      </c>
      <c r="D168" s="3"/>
      <c r="E168" s="3"/>
      <c r="F168" s="193" t="s">
        <v>392</v>
      </c>
      <c r="G168" s="3"/>
    </row>
    <row r="169" spans="1:7" x14ac:dyDescent="0.25">
      <c r="B169" s="5" t="s">
        <v>391</v>
      </c>
      <c r="C169" s="199">
        <f>IFERROR(C166/C168,0)</f>
        <v>0.04</v>
      </c>
      <c r="D169" s="199">
        <f>C169*(1-$C$8)</f>
        <v>3.7999999999999999E-2</v>
      </c>
      <c r="E169" s="3"/>
      <c r="F169" s="5" t="str">
        <f>"Topkey equity issued ÷ post-money valuation; Year "&amp;$C$7&amp;" = Today % × (1 − est. dilution, "&amp;ADDRESS(ROW(C8),COLUMN(C8),4)&amp;")"</f>
        <v>Topkey equity issued ÷ post-money valuation; Year 5 = Today % × (1 − est. dilution, C8)</v>
      </c>
      <c r="G169" s="3"/>
    </row>
    <row r="170" spans="1:7" x14ac:dyDescent="0.25">
      <c r="B170" s="5" t="s">
        <v>390</v>
      </c>
      <c r="C170" s="191">
        <f>C167-C165</f>
        <v>59500</v>
      </c>
      <c r="D170" s="3"/>
      <c r="E170" s="3"/>
      <c r="F170" s="193" t="s">
        <v>389</v>
      </c>
      <c r="G170" s="3"/>
    </row>
    <row r="171" spans="1:7" x14ac:dyDescent="0.25">
      <c r="B171" s="5" t="s">
        <v>388</v>
      </c>
      <c r="C171" s="198">
        <f>C75-C168</f>
        <v>0</v>
      </c>
      <c r="D171" s="3"/>
      <c r="E171" s="3"/>
      <c r="F171" s="193" t="s">
        <v>51</v>
      </c>
      <c r="G171" s="3"/>
    </row>
    <row r="172" spans="1:7" x14ac:dyDescent="0.25">
      <c r="B172" s="5" t="s">
        <v>387</v>
      </c>
      <c r="C172" s="198">
        <f>C76-C166</f>
        <v>0</v>
      </c>
      <c r="D172" s="3"/>
      <c r="E172" s="3"/>
      <c r="F172" s="193" t="s">
        <v>51</v>
      </c>
      <c r="G172" s="3"/>
    </row>
    <row r="173" spans="1:7" x14ac:dyDescent="0.25">
      <c r="B173" s="3"/>
      <c r="C173" s="3"/>
      <c r="D173" s="3"/>
      <c r="E173" s="3"/>
      <c r="F173" s="193"/>
      <c r="G173" s="3"/>
    </row>
    <row r="174" spans="1:7" x14ac:dyDescent="0.25">
      <c r="B174" s="29" t="s">
        <v>386</v>
      </c>
      <c r="C174" s="29" t="s">
        <v>192</v>
      </c>
      <c r="D174" s="3"/>
      <c r="E174" s="3"/>
      <c r="F174" s="193"/>
      <c r="G174" s="3"/>
    </row>
    <row r="175" spans="1:7" x14ac:dyDescent="0.25">
      <c r="B175" s="41" t="s">
        <v>181</v>
      </c>
      <c r="C175" s="135">
        <f>'Offer Comparison'!$C$159</f>
        <v>151</v>
      </c>
      <c r="D175" s="3"/>
      <c r="E175" s="3"/>
      <c r="F175" s="193" t="s">
        <v>385</v>
      </c>
      <c r="G175" s="3"/>
    </row>
    <row r="176" spans="1:7" x14ac:dyDescent="0.25">
      <c r="B176" s="47" t="s">
        <v>179</v>
      </c>
      <c r="C176" s="135">
        <f>'Offer Comparison'!$C$160</f>
        <v>83</v>
      </c>
      <c r="D176" s="3"/>
      <c r="E176" s="3"/>
      <c r="F176" s="193"/>
      <c r="G176" s="3"/>
    </row>
    <row r="177" spans="2:8" x14ac:dyDescent="0.25">
      <c r="B177" s="47" t="s">
        <v>177</v>
      </c>
      <c r="C177" s="135">
        <f>'Offer Comparison'!$C$161</f>
        <v>-57</v>
      </c>
      <c r="D177" s="3"/>
      <c r="E177" s="3"/>
      <c r="F177" s="193"/>
      <c r="G177" s="3"/>
    </row>
    <row r="178" spans="2:8" x14ac:dyDescent="0.25">
      <c r="B178" s="41" t="s">
        <v>384</v>
      </c>
      <c r="C178" s="198">
        <f>SUM(C175:C177)</f>
        <v>177</v>
      </c>
      <c r="D178" s="3"/>
      <c r="E178" s="3"/>
      <c r="F178" s="121" t="s">
        <v>383</v>
      </c>
      <c r="G178" s="3"/>
      <c r="H178" s="5"/>
    </row>
    <row r="179" spans="2:8" x14ac:dyDescent="0.25">
      <c r="B179" s="197" t="s">
        <v>382</v>
      </c>
      <c r="C179" s="196">
        <f>C178-C175</f>
        <v>26</v>
      </c>
      <c r="D179" s="3"/>
      <c r="E179" s="3"/>
      <c r="F179" s="121" t="s">
        <v>381</v>
      </c>
      <c r="G179" s="3"/>
      <c r="H179" s="5"/>
    </row>
    <row r="180" spans="2:8" x14ac:dyDescent="0.25">
      <c r="F180" s="121"/>
    </row>
    <row r="181" spans="2:8" ht="15" customHeight="1" x14ac:dyDescent="0.25">
      <c r="B181" s="10" t="s">
        <v>380</v>
      </c>
      <c r="C181" s="9" t="s">
        <v>378</v>
      </c>
      <c r="D181" s="9" t="s">
        <v>377</v>
      </c>
      <c r="F181" s="121"/>
    </row>
    <row r="182" spans="2:8" ht="15" customHeight="1" x14ac:dyDescent="0.25">
      <c r="B182" s="193" t="str">
        <f t="shared" ref="B182:B187" si="0">"Year "&amp;C182</f>
        <v>Year 0</v>
      </c>
      <c r="C182" s="195">
        <v>0</v>
      </c>
      <c r="D182" s="194">
        <f t="shared" ref="D182:D187" si="1">-IF(C182=0,$C$90+$C$91,0)-IF(C182=$C$43,$C$92,0)+IF(C182=$C$7,$C$96,0)</f>
        <v>-3000</v>
      </c>
      <c r="F182" s="121" t="str">
        <f>"Topkey cash flows: Year 0 = cash + stock issued; earnout in the measurement year ("&amp;ADDRESS(ROW(C43),COLUMN(C43),4)&amp;"); Year "&amp;$C$7&amp;" = stake value ("&amp;ADDRESS(ROW(C96),COLUMN(C96),4)&amp;"), not a cash exit"</f>
        <v>Topkey cash flows: Year 0 = cash + stock issued; earnout in the measurement year (C43); Year 5 = stake value (C96), not a cash exit</v>
      </c>
    </row>
    <row r="183" spans="2:8" ht="15" customHeight="1" x14ac:dyDescent="0.25">
      <c r="B183" s="193" t="str">
        <f t="shared" si="0"/>
        <v>Year 1</v>
      </c>
      <c r="C183" s="192">
        <f>C182+1</f>
        <v>1</v>
      </c>
      <c r="D183" s="191">
        <f t="shared" si="1"/>
        <v>0</v>
      </c>
      <c r="F183" s="121"/>
    </row>
    <row r="184" spans="2:8" ht="15" customHeight="1" x14ac:dyDescent="0.25">
      <c r="B184" s="193" t="str">
        <f t="shared" si="0"/>
        <v>Year 2</v>
      </c>
      <c r="C184" s="192">
        <f>C183+1</f>
        <v>2</v>
      </c>
      <c r="D184" s="191">
        <f t="shared" si="1"/>
        <v>0</v>
      </c>
      <c r="F184" s="121"/>
    </row>
    <row r="185" spans="2:8" ht="15" customHeight="1" x14ac:dyDescent="0.25">
      <c r="B185" s="193" t="str">
        <f t="shared" si="0"/>
        <v>Year 3</v>
      </c>
      <c r="C185" s="192">
        <f>C184+1</f>
        <v>3</v>
      </c>
      <c r="D185" s="191">
        <f t="shared" si="1"/>
        <v>-500</v>
      </c>
      <c r="F185" s="121"/>
    </row>
    <row r="186" spans="2:8" ht="15" customHeight="1" x14ac:dyDescent="0.25">
      <c r="B186" s="193" t="str">
        <f t="shared" si="0"/>
        <v>Year 4</v>
      </c>
      <c r="C186" s="192">
        <f>C185+1</f>
        <v>4</v>
      </c>
      <c r="D186" s="191">
        <f t="shared" si="1"/>
        <v>0</v>
      </c>
      <c r="F186" s="121"/>
    </row>
    <row r="187" spans="2:8" ht="15" customHeight="1" x14ac:dyDescent="0.25">
      <c r="B187" s="193" t="str">
        <f t="shared" si="0"/>
        <v>Year 5</v>
      </c>
      <c r="C187" s="192">
        <f>C186+1</f>
        <v>5</v>
      </c>
      <c r="D187" s="191">
        <f t="shared" si="1"/>
        <v>13980.189077288145</v>
      </c>
      <c r="F187" s="121"/>
    </row>
    <row r="189" spans="2:8" ht="15" customHeight="1" x14ac:dyDescent="0.25">
      <c r="B189" s="10" t="s">
        <v>379</v>
      </c>
      <c r="C189" s="9" t="s">
        <v>378</v>
      </c>
      <c r="D189" s="9" t="s">
        <v>377</v>
      </c>
    </row>
    <row r="190" spans="2:8" ht="15" customHeight="1" x14ac:dyDescent="0.25">
      <c r="B190" s="193" t="str">
        <f t="shared" ref="B190:B195" si="2">"Year "&amp;C190</f>
        <v>Year 0</v>
      </c>
      <c r="C190" s="195">
        <v>0</v>
      </c>
      <c r="D190" s="194">
        <f t="shared" ref="D190:D195" si="3">IF(C190=0,$C$165-$C$164,0)+IF(C190=$C$43,$C$55,0)+IF(C190=$C$7,$D$76,0)</f>
        <v>-2500</v>
      </c>
      <c r="F190" s="41" t="str">
        <f>"Ben's cash flows: Year 0 = cash at close ("&amp;ADDRESS(ROW(C165),COLUMN(C165),4)&amp;") less Keystone value given up ("&amp;ADDRESS(ROW(C164),COLUMN(C164),4)&amp;"); earnout in the measurement year ("&amp;ADDRESS(ROW(C43),COLUMN(C43),4)&amp;"); Year "&amp;$C$7&amp;" = Ben's Topkey stock ("&amp;ADDRESS(ROW(D76),COLUMN(D76),4)&amp;")"</f>
        <v>Ben's cash flows: Year 0 = cash at close (C165) less Keystone value given up (C164); earnout in the measurement year (C43); Year 5 = Ben's Topkey stock (D76)</v>
      </c>
    </row>
    <row r="191" spans="2:8" ht="15" customHeight="1" x14ac:dyDescent="0.25">
      <c r="B191" s="193" t="str">
        <f t="shared" si="2"/>
        <v>Year 1</v>
      </c>
      <c r="C191" s="192">
        <f>C190+1</f>
        <v>1</v>
      </c>
      <c r="D191" s="191">
        <f t="shared" si="3"/>
        <v>0</v>
      </c>
    </row>
    <row r="192" spans="2:8" ht="15" customHeight="1" x14ac:dyDescent="0.25">
      <c r="B192" s="193" t="str">
        <f t="shared" si="2"/>
        <v>Year 2</v>
      </c>
      <c r="C192" s="192">
        <f>C191+1</f>
        <v>2</v>
      </c>
      <c r="D192" s="191">
        <f t="shared" si="3"/>
        <v>0</v>
      </c>
    </row>
    <row r="193" spans="2:4" ht="15" customHeight="1" x14ac:dyDescent="0.25">
      <c r="B193" s="193" t="str">
        <f t="shared" si="2"/>
        <v>Year 3</v>
      </c>
      <c r="C193" s="192">
        <f>C192+1</f>
        <v>3</v>
      </c>
      <c r="D193" s="191">
        <f t="shared" si="3"/>
        <v>500</v>
      </c>
    </row>
    <row r="194" spans="2:4" ht="15" customHeight="1" x14ac:dyDescent="0.25">
      <c r="B194" s="193" t="str">
        <f t="shared" si="2"/>
        <v>Year 4</v>
      </c>
      <c r="C194" s="192">
        <f>C193+1</f>
        <v>4</v>
      </c>
      <c r="D194" s="191">
        <f t="shared" si="3"/>
        <v>0</v>
      </c>
    </row>
    <row r="195" spans="2:4" ht="15" customHeight="1" x14ac:dyDescent="0.25">
      <c r="B195" s="193" t="str">
        <f t="shared" si="2"/>
        <v>Year 5</v>
      </c>
      <c r="C195" s="192">
        <f>C194+1</f>
        <v>5</v>
      </c>
      <c r="D195" s="191">
        <f t="shared" si="3"/>
        <v>7333.2471849369504</v>
      </c>
    </row>
  </sheetData>
  <conditionalFormatting sqref="B6:D59 B61:D66 B68:D71 B73:D80 B82:D88 B90:D99 B101:D106 B108:D113 B115:D121 B123:D129 B131:D136 B138:D147 B149:D154 B156:D161">
    <cfRule type="expression" dxfId="2" priority="3">
      <formula>$H$3=1</formula>
    </cfRule>
  </conditionalFormatting>
  <conditionalFormatting sqref="D89">
    <cfRule type="expression" dxfId="1" priority="2">
      <formula>$H$3=1</formula>
    </cfRule>
  </conditionalFormatting>
  <conditionalFormatting sqref="D122">
    <cfRule type="expression" dxfId="0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40" min="1" max="3" man="1"/>
    <brk id="113" min="1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Cover</vt:lpstr>
      <vt:lpstr>Offer Comparison</vt:lpstr>
      <vt:lpstr>Partnership Analysis</vt:lpstr>
      <vt:lpstr>Partnership Tables</vt:lpstr>
      <vt:lpstr>100% Buyout Analysis</vt:lpstr>
      <vt:lpstr>'100% Buyout Analysis'!Print_Area</vt:lpstr>
      <vt:lpstr>Cover!Print_Area</vt:lpstr>
      <vt:lpstr>'Offer Comparison'!Print_Area</vt:lpstr>
      <vt:lpstr>'Partnership Analysis'!Print_Area</vt:lpstr>
      <vt:lpstr>'Partnership Tables'!Print_Area</vt:lpstr>
      <vt:lpstr>'100% Buyout Analysis'!Print_Titles</vt:lpstr>
      <vt:lpstr>'Offer Comparison'!Print_Titles</vt:lpstr>
      <vt:lpstr>'Partnership Analysis'!Print_Titles</vt:lpstr>
      <vt:lpstr>'Partnership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2026-09-25T02:51:31Z</cp:lastPrinted>
  <dcterms:created xsi:type="dcterms:W3CDTF">2026-09-25T00:49:09Z</dcterms:created>
  <dcterms:modified xsi:type="dcterms:W3CDTF">2026-09-25T02:51:35Z</dcterms:modified>
</cp:coreProperties>
</file>