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4A6189FD-0EEB-464E-A661-7ECA67E472CA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Raw Data --&gt;" sheetId="6" r:id="rId6"/>
    <sheet name="Combined P&amp;L" sheetId="2" r:id="rId7"/>
    <sheet name="Raw - 2024 PL" sheetId="3" r:id="rId8"/>
    <sheet name="Raw - 2025 PL" sheetId="4" r:id="rId9"/>
    <sheet name="Raw - 2026 PL" sheetId="5" r:id="rId10"/>
  </sheets>
  <definedNames>
    <definedName name="_xlnm.Print_Area" localSheetId="0">Cover!$B$2:$Q$39</definedName>
    <definedName name="_xlnm.Print_Area" localSheetId="3">'Revenue Analysis'!$B$2:$R$46</definedName>
    <definedName name="_xlnm.Print_Titles" localSheetId="6">'Combined P&amp;L'!$5:$5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9" l="1"/>
  <c r="H19" i="9"/>
  <c r="I19" i="9"/>
  <c r="J19" i="9"/>
  <c r="K19" i="9"/>
  <c r="L19" i="9"/>
  <c r="M19" i="9"/>
  <c r="N19" i="9"/>
  <c r="O19" i="9"/>
  <c r="P19" i="9"/>
  <c r="Q19" i="9"/>
  <c r="R19" i="9"/>
  <c r="G20" i="9"/>
  <c r="H20" i="9"/>
  <c r="I20" i="9"/>
  <c r="J20" i="9"/>
  <c r="K20" i="9"/>
  <c r="L20" i="9"/>
  <c r="M20" i="9"/>
  <c r="N20" i="9"/>
  <c r="O20" i="9"/>
  <c r="P20" i="9"/>
  <c r="Q20" i="9"/>
  <c r="R20" i="9"/>
  <c r="G21" i="9"/>
  <c r="H21" i="9"/>
  <c r="I21" i="9"/>
  <c r="J21" i="9"/>
  <c r="K21" i="9"/>
  <c r="L21" i="9"/>
  <c r="M21" i="9"/>
  <c r="N21" i="9"/>
  <c r="O21" i="9"/>
  <c r="P21" i="9"/>
  <c r="Q21" i="9"/>
  <c r="R21" i="9"/>
  <c r="G22" i="9"/>
  <c r="H22" i="9"/>
  <c r="I22" i="9"/>
  <c r="J22" i="9"/>
  <c r="K22" i="9"/>
  <c r="L22" i="9"/>
  <c r="M22" i="9"/>
  <c r="N22" i="9"/>
  <c r="O22" i="9"/>
  <c r="P22" i="9"/>
  <c r="Q22" i="9"/>
  <c r="R22" i="9"/>
  <c r="H18" i="9"/>
  <c r="I18" i="9"/>
  <c r="J18" i="9"/>
  <c r="K18" i="9"/>
  <c r="L18" i="9"/>
  <c r="M18" i="9"/>
  <c r="N18" i="9"/>
  <c r="O18" i="9"/>
  <c r="P18" i="9"/>
  <c r="Q18" i="9"/>
  <c r="R18" i="9"/>
  <c r="G18" i="9"/>
  <c r="C19" i="9"/>
  <c r="D19" i="9"/>
  <c r="E19" i="9"/>
  <c r="C20" i="9"/>
  <c r="D20" i="9"/>
  <c r="E20" i="9"/>
  <c r="C21" i="9"/>
  <c r="D21" i="9"/>
  <c r="E21" i="9"/>
  <c r="C22" i="9"/>
  <c r="D22" i="9"/>
  <c r="E22" i="9"/>
  <c r="D18" i="9"/>
  <c r="E18" i="9"/>
  <c r="C18" i="9"/>
  <c r="B19" i="9"/>
  <c r="B20" i="9"/>
  <c r="B21" i="9"/>
  <c r="B22" i="9"/>
  <c r="B18" i="9"/>
  <c r="R15" i="9"/>
  <c r="Q15" i="9"/>
  <c r="P15" i="9"/>
  <c r="O15" i="9"/>
  <c r="N15" i="9"/>
  <c r="M15" i="9"/>
  <c r="L15" i="9"/>
  <c r="K15" i="9"/>
  <c r="J15" i="9"/>
  <c r="I15" i="9"/>
  <c r="H15" i="9"/>
  <c r="G15" i="9"/>
  <c r="R14" i="9"/>
  <c r="Q14" i="9"/>
  <c r="P14" i="9"/>
  <c r="O14" i="9"/>
  <c r="N14" i="9"/>
  <c r="M14" i="9"/>
  <c r="L14" i="9"/>
  <c r="K14" i="9"/>
  <c r="J14" i="9"/>
  <c r="I14" i="9"/>
  <c r="H14" i="9"/>
  <c r="G14" i="9"/>
  <c r="R13" i="9"/>
  <c r="Q13" i="9"/>
  <c r="P13" i="9"/>
  <c r="O13" i="9"/>
  <c r="N13" i="9"/>
  <c r="M13" i="9"/>
  <c r="L13" i="9"/>
  <c r="K13" i="9"/>
  <c r="J13" i="9"/>
  <c r="I13" i="9"/>
  <c r="H13" i="9"/>
  <c r="G13" i="9"/>
  <c r="R12" i="9"/>
  <c r="Q12" i="9"/>
  <c r="P12" i="9"/>
  <c r="O12" i="9"/>
  <c r="N12" i="9"/>
  <c r="M12" i="9"/>
  <c r="L12" i="9"/>
  <c r="K12" i="9"/>
  <c r="J12" i="9"/>
  <c r="I12" i="9"/>
  <c r="H12" i="9"/>
  <c r="G12" i="9"/>
  <c r="R11" i="9"/>
  <c r="Q11" i="9"/>
  <c r="P11" i="9"/>
  <c r="O11" i="9"/>
  <c r="N11" i="9"/>
  <c r="M11" i="9"/>
  <c r="L11" i="9"/>
  <c r="K11" i="9"/>
  <c r="J11" i="9"/>
  <c r="I11" i="9"/>
  <c r="H11" i="9"/>
  <c r="G11" i="9"/>
  <c r="R10" i="9"/>
  <c r="Q10" i="9"/>
  <c r="P10" i="9"/>
  <c r="O10" i="9"/>
  <c r="N10" i="9"/>
  <c r="M10" i="9"/>
  <c r="L10" i="9"/>
  <c r="K10" i="9"/>
  <c r="J10" i="9"/>
  <c r="I10" i="9"/>
  <c r="H10" i="9"/>
  <c r="G10" i="9"/>
  <c r="R9" i="9"/>
  <c r="Q9" i="9"/>
  <c r="P9" i="9"/>
  <c r="O9" i="9"/>
  <c r="N9" i="9"/>
  <c r="M9" i="9"/>
  <c r="L9" i="9"/>
  <c r="K9" i="9"/>
  <c r="J9" i="9"/>
  <c r="I9" i="9"/>
  <c r="H9" i="9"/>
  <c r="G9" i="9"/>
  <c r="H8" i="9"/>
  <c r="I8" i="9"/>
  <c r="J8" i="9"/>
  <c r="K8" i="9"/>
  <c r="L8" i="9"/>
  <c r="M8" i="9"/>
  <c r="N8" i="9"/>
  <c r="O8" i="9"/>
  <c r="P8" i="9"/>
  <c r="Q8" i="9"/>
  <c r="R8" i="9"/>
  <c r="G8" i="9"/>
  <c r="B9" i="9"/>
  <c r="B10" i="9"/>
  <c r="B11" i="9"/>
  <c r="B12" i="9"/>
  <c r="B13" i="9"/>
  <c r="B14" i="9"/>
  <c r="B15" i="9"/>
  <c r="B8" i="9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E9" i="9"/>
  <c r="D9" i="9"/>
  <c r="C9" i="9"/>
  <c r="H9" i="10"/>
  <c r="D8" i="9"/>
  <c r="E8" i="9"/>
  <c r="C8" i="9"/>
  <c r="M87" i="11"/>
  <c r="N87" i="11"/>
  <c r="B164" i="11"/>
  <c r="M88" i="11"/>
  <c r="N88" i="11"/>
  <c r="M86" i="11"/>
  <c r="N86" i="11"/>
  <c r="B160" i="11"/>
  <c r="C151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P77" i="11"/>
  <c r="B150" i="11"/>
  <c r="P49" i="11"/>
  <c r="P99" i="11" s="1"/>
  <c r="Q49" i="11"/>
  <c r="Q99" i="11" s="1"/>
  <c r="R49" i="11"/>
  <c r="R99" i="11" s="1"/>
  <c r="S49" i="11"/>
  <c r="S99" i="11" s="1"/>
  <c r="T49" i="11"/>
  <c r="T99" i="11" s="1"/>
  <c r="U49" i="11"/>
  <c r="U99" i="11" s="1"/>
  <c r="V49" i="11"/>
  <c r="V99" i="11" s="1"/>
  <c r="W49" i="11"/>
  <c r="W99" i="11" s="1"/>
  <c r="X49" i="11"/>
  <c r="X99" i="11" s="1"/>
  <c r="Y49" i="11"/>
  <c r="Y99" i="11" s="1"/>
  <c r="Z49" i="11"/>
  <c r="Z99" i="11" s="1"/>
  <c r="AA49" i="11"/>
  <c r="AA99" i="11" s="1"/>
  <c r="AB49" i="11"/>
  <c r="AB99" i="11" s="1"/>
  <c r="AC49" i="11"/>
  <c r="AC99" i="11" s="1"/>
  <c r="AD49" i="11"/>
  <c r="AD99" i="11" s="1"/>
  <c r="AE49" i="11"/>
  <c r="AE99" i="11" s="1"/>
  <c r="AF49" i="11"/>
  <c r="AF99" i="11" s="1"/>
  <c r="AG49" i="11"/>
  <c r="AG99" i="11" s="1"/>
  <c r="AH49" i="11"/>
  <c r="AH99" i="11" s="1"/>
  <c r="AI49" i="11"/>
  <c r="AI99" i="11" s="1"/>
  <c r="AJ49" i="11"/>
  <c r="AJ99" i="11" s="1"/>
  <c r="AK49" i="11"/>
  <c r="AK99" i="11" s="1"/>
  <c r="AL49" i="11"/>
  <c r="AL99" i="11" s="1"/>
  <c r="AM49" i="11"/>
  <c r="AM99" i="11" s="1"/>
  <c r="AN49" i="11"/>
  <c r="AN99" i="11" s="1"/>
  <c r="AO49" i="11"/>
  <c r="AO99" i="11" s="1"/>
  <c r="AP49" i="11"/>
  <c r="AP99" i="11" s="1"/>
  <c r="AQ49" i="11"/>
  <c r="AQ99" i="11" s="1"/>
  <c r="AR49" i="11"/>
  <c r="AR99" i="11" s="1"/>
  <c r="AS49" i="11"/>
  <c r="AS99" i="11" s="1"/>
  <c r="AT49" i="11"/>
  <c r="AT99" i="11" s="1"/>
  <c r="B162" i="11"/>
  <c r="B161" i="1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L11" i="8"/>
  <c r="L15" i="8" s="1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L17" i="8"/>
  <c r="M17" i="8"/>
  <c r="N17" i="8"/>
  <c r="O17" i="8"/>
  <c r="O22" i="8" s="1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E22" i="8" s="1"/>
  <c r="AF17" i="8"/>
  <c r="AG17" i="8"/>
  <c r="AH17" i="8"/>
  <c r="AI17" i="8"/>
  <c r="AJ17" i="8"/>
  <c r="AK17" i="8"/>
  <c r="AL17" i="8"/>
  <c r="AM17" i="8"/>
  <c r="AN17" i="8"/>
  <c r="AO17" i="8"/>
  <c r="AP17" i="8"/>
  <c r="L18" i="8"/>
  <c r="M18" i="8"/>
  <c r="N18" i="8"/>
  <c r="O18" i="8"/>
  <c r="P18" i="8"/>
  <c r="P22" i="8" s="1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L19" i="8"/>
  <c r="M19" i="8"/>
  <c r="N19" i="8"/>
  <c r="N22" i="8" s="1"/>
  <c r="O19" i="8"/>
  <c r="P19" i="8"/>
  <c r="Q19" i="8"/>
  <c r="Q22" i="8" s="1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G22" i="8" s="1"/>
  <c r="AH19" i="8"/>
  <c r="AI19" i="8"/>
  <c r="AJ19" i="8"/>
  <c r="AK19" i="8"/>
  <c r="AL19" i="8"/>
  <c r="AM19" i="8"/>
  <c r="AN19" i="8"/>
  <c r="AO19" i="8"/>
  <c r="AP19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D22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P60" i="11"/>
  <c r="B159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K59" i="11"/>
  <c r="B151" i="11"/>
  <c r="B145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B152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1" i="11"/>
  <c r="AN71" i="11" s="1"/>
  <c r="AO51" i="11"/>
  <c r="AO71" i="11" s="1"/>
  <c r="AP51" i="11"/>
  <c r="AP71" i="11" s="1"/>
  <c r="AQ51" i="11"/>
  <c r="AQ71" i="11" s="1"/>
  <c r="AR51" i="11"/>
  <c r="AR71" i="11" s="1"/>
  <c r="AS51" i="11"/>
  <c r="AS71" i="11" s="1"/>
  <c r="AT51" i="11"/>
  <c r="AT71" i="11" s="1"/>
  <c r="B155" i="11"/>
  <c r="B157" i="11"/>
  <c r="B154" i="11"/>
  <c r="B156" i="11"/>
  <c r="B158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K20" i="11"/>
  <c r="K21" i="11"/>
  <c r="K18" i="1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3" i="11" s="1"/>
  <c r="Z31" i="11"/>
  <c r="Z83" i="11" s="1"/>
  <c r="Y31" i="11"/>
  <c r="Y83" i="11" s="1"/>
  <c r="X31" i="11"/>
  <c r="X83" i="11" s="1"/>
  <c r="W31" i="11"/>
  <c r="W83" i="11" s="1"/>
  <c r="V31" i="11"/>
  <c r="V83" i="11" s="1"/>
  <c r="U31" i="11"/>
  <c r="U83" i="11" s="1"/>
  <c r="T31" i="11"/>
  <c r="T83" i="11" s="1"/>
  <c r="S31" i="11"/>
  <c r="S83" i="11" s="1"/>
  <c r="R31" i="11"/>
  <c r="R83" i="11" s="1"/>
  <c r="Q31" i="11"/>
  <c r="Q83" i="11" s="1"/>
  <c r="P31" i="11"/>
  <c r="P83" i="11" s="1"/>
  <c r="AT21" i="11"/>
  <c r="AS21" i="11"/>
  <c r="AR21" i="11"/>
  <c r="AQ21" i="11"/>
  <c r="AP21" i="11"/>
  <c r="AO21" i="11"/>
  <c r="AN21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AS14" i="11"/>
  <c r="AR14" i="11"/>
  <c r="AQ14" i="11"/>
  <c r="AP14" i="11"/>
  <c r="AO14" i="11"/>
  <c r="AN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H20" i="10"/>
  <c r="H19" i="10"/>
  <c r="H17" i="10"/>
  <c r="H16" i="10"/>
  <c r="F26" i="10"/>
  <c r="G25" i="10" s="1"/>
  <c r="G26" i="10" s="1"/>
  <c r="D26" i="10"/>
  <c r="AN20" i="10"/>
  <c r="AM20" i="10"/>
  <c r="AL20" i="10"/>
  <c r="AK20" i="10"/>
  <c r="AJ20" i="10"/>
  <c r="AI20" i="10"/>
  <c r="AH20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N13" i="10"/>
  <c r="AM13" i="10"/>
  <c r="AL13" i="10"/>
  <c r="AK13" i="10"/>
  <c r="AJ13" i="10"/>
  <c r="AI13" i="10"/>
  <c r="AH13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K5" i="10"/>
  <c r="L5" i="10" s="1"/>
  <c r="B2" i="10"/>
  <c r="B39" i="9"/>
  <c r="B40" i="9"/>
  <c r="B41" i="9"/>
  <c r="B42" i="9"/>
  <c r="B43" i="9"/>
  <c r="C46" i="9"/>
  <c r="C53" i="9"/>
  <c r="D52" i="9" s="1"/>
  <c r="B2" i="9"/>
  <c r="G43" i="8"/>
  <c r="I43" i="8"/>
  <c r="J42" i="8" s="1"/>
  <c r="J43" i="8" s="1"/>
  <c r="C43" i="8"/>
  <c r="D42" i="8" s="1"/>
  <c r="D43" i="8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O130" i="2"/>
  <c r="H130" i="2"/>
  <c r="F130" i="2"/>
  <c r="O129" i="2"/>
  <c r="H129" i="2"/>
  <c r="F129" i="2"/>
  <c r="O128" i="2"/>
  <c r="H128" i="2"/>
  <c r="F128" i="2"/>
  <c r="O127" i="2"/>
  <c r="H127" i="2"/>
  <c r="F127" i="2"/>
  <c r="O126" i="2"/>
  <c r="H126" i="2"/>
  <c r="F126" i="2"/>
  <c r="O125" i="2"/>
  <c r="H125" i="2"/>
  <c r="F125" i="2"/>
  <c r="O124" i="2"/>
  <c r="H124" i="2"/>
  <c r="F124" i="2"/>
  <c r="O123" i="2"/>
  <c r="H123" i="2"/>
  <c r="F123" i="2"/>
  <c r="O122" i="2"/>
  <c r="H122" i="2"/>
  <c r="F122" i="2"/>
  <c r="AR111" i="2"/>
  <c r="AT53" i="11" s="1"/>
  <c r="AT72" i="11" s="1"/>
  <c r="AQ111" i="2"/>
  <c r="AS53" i="11" s="1"/>
  <c r="AS72" i="11" s="1"/>
  <c r="AP111" i="2"/>
  <c r="AR53" i="11" s="1"/>
  <c r="AR72" i="11" s="1"/>
  <c r="AO111" i="2"/>
  <c r="AQ53" i="11" s="1"/>
  <c r="AQ72" i="11" s="1"/>
  <c r="AN111" i="2"/>
  <c r="AP53" i="11" s="1"/>
  <c r="AP72" i="11" s="1"/>
  <c r="AM111" i="2"/>
  <c r="AO53" i="11" s="1"/>
  <c r="AO72" i="11" s="1"/>
  <c r="AL111" i="2"/>
  <c r="AN53" i="11" s="1"/>
  <c r="AN72" i="11" s="1"/>
  <c r="AK111" i="2"/>
  <c r="AM53" i="11" s="1"/>
  <c r="AM72" i="11" s="1"/>
  <c r="AJ111" i="2"/>
  <c r="AL53" i="11" s="1"/>
  <c r="AL72" i="11" s="1"/>
  <c r="AI111" i="2"/>
  <c r="AK53" i="11" s="1"/>
  <c r="AK72" i="11" s="1"/>
  <c r="AH111" i="2"/>
  <c r="AJ53" i="11" s="1"/>
  <c r="AJ72" i="11" s="1"/>
  <c r="AG111" i="2"/>
  <c r="AI53" i="11" s="1"/>
  <c r="AI72" i="11" s="1"/>
  <c r="AF111" i="2"/>
  <c r="AH53" i="11" s="1"/>
  <c r="AH72" i="11" s="1"/>
  <c r="AE111" i="2"/>
  <c r="AG53" i="11" s="1"/>
  <c r="AG72" i="11" s="1"/>
  <c r="AD111" i="2"/>
  <c r="AF53" i="11" s="1"/>
  <c r="AF72" i="11" s="1"/>
  <c r="AC111" i="2"/>
  <c r="AE53" i="11" s="1"/>
  <c r="AE72" i="11" s="1"/>
  <c r="AB111" i="2"/>
  <c r="AD53" i="11" s="1"/>
  <c r="AD72" i="11" s="1"/>
  <c r="AA111" i="2"/>
  <c r="AC53" i="11" s="1"/>
  <c r="AC72" i="11" s="1"/>
  <c r="Z111" i="2"/>
  <c r="AB53" i="11" s="1"/>
  <c r="AB72" i="11" s="1"/>
  <c r="Y111" i="2"/>
  <c r="AA53" i="11" s="1"/>
  <c r="AA72" i="11" s="1"/>
  <c r="X111" i="2"/>
  <c r="Z53" i="11" s="1"/>
  <c r="Z72" i="11" s="1"/>
  <c r="W111" i="2"/>
  <c r="Y53" i="11" s="1"/>
  <c r="Y72" i="11" s="1"/>
  <c r="V111" i="2"/>
  <c r="X53" i="11" s="1"/>
  <c r="X72" i="11" s="1"/>
  <c r="U111" i="2"/>
  <c r="W53" i="11" s="1"/>
  <c r="W72" i="11" s="1"/>
  <c r="T111" i="2"/>
  <c r="V53" i="11" s="1"/>
  <c r="V72" i="11" s="1"/>
  <c r="S111" i="2"/>
  <c r="U53" i="11" s="1"/>
  <c r="U72" i="11" s="1"/>
  <c r="R111" i="2"/>
  <c r="T53" i="11" s="1"/>
  <c r="T72" i="11" s="1"/>
  <c r="Q111" i="2"/>
  <c r="S53" i="11" s="1"/>
  <c r="S72" i="11" s="1"/>
  <c r="P111" i="2"/>
  <c r="R53" i="11" s="1"/>
  <c r="R72" i="11" s="1"/>
  <c r="O111" i="2"/>
  <c r="Q53" i="11" s="1"/>
  <c r="Q72" i="11" s="1"/>
  <c r="N111" i="2"/>
  <c r="P53" i="11" s="1"/>
  <c r="P72" i="11" s="1"/>
  <c r="AR110" i="2"/>
  <c r="AT57" i="11" s="1"/>
  <c r="AT73" i="11" s="1"/>
  <c r="AQ110" i="2"/>
  <c r="AS57" i="11" s="1"/>
  <c r="AS73" i="11" s="1"/>
  <c r="AP110" i="2"/>
  <c r="AR57" i="11" s="1"/>
  <c r="AR73" i="11" s="1"/>
  <c r="AO110" i="2"/>
  <c r="AQ57" i="11" s="1"/>
  <c r="AQ73" i="11" s="1"/>
  <c r="AN110" i="2"/>
  <c r="AP57" i="11" s="1"/>
  <c r="AP73" i="11" s="1"/>
  <c r="AM110" i="2"/>
  <c r="AO57" i="11" s="1"/>
  <c r="AO73" i="11" s="1"/>
  <c r="AL110" i="2"/>
  <c r="AN57" i="11" s="1"/>
  <c r="AK110" i="2"/>
  <c r="AM57" i="11" s="1"/>
  <c r="AM73" i="11" s="1"/>
  <c r="AJ110" i="2"/>
  <c r="AL57" i="11" s="1"/>
  <c r="AL73" i="11" s="1"/>
  <c r="AI110" i="2"/>
  <c r="AK57" i="11" s="1"/>
  <c r="AK73" i="11" s="1"/>
  <c r="AH110" i="2"/>
  <c r="AJ57" i="11" s="1"/>
  <c r="AJ73" i="11" s="1"/>
  <c r="AG110" i="2"/>
  <c r="AI57" i="11" s="1"/>
  <c r="AI73" i="11" s="1"/>
  <c r="AF110" i="2"/>
  <c r="AH57" i="11" s="1"/>
  <c r="AE110" i="2"/>
  <c r="AG57" i="11" s="1"/>
  <c r="AG73" i="11" s="1"/>
  <c r="AD110" i="2"/>
  <c r="AF57" i="11" s="1"/>
  <c r="AF73" i="11" s="1"/>
  <c r="AC110" i="2"/>
  <c r="AE57" i="11" s="1"/>
  <c r="AE73" i="11" s="1"/>
  <c r="AB110" i="2"/>
  <c r="AD57" i="11" s="1"/>
  <c r="AD73" i="11" s="1"/>
  <c r="AA110" i="2"/>
  <c r="AC57" i="11" s="1"/>
  <c r="AC73" i="11" s="1"/>
  <c r="Z110" i="2"/>
  <c r="AB57" i="11" s="1"/>
  <c r="AB73" i="11" s="1"/>
  <c r="Y110" i="2"/>
  <c r="AA57" i="11" s="1"/>
  <c r="AA73" i="11" s="1"/>
  <c r="X110" i="2"/>
  <c r="Z57" i="11" s="1"/>
  <c r="Z73" i="11" s="1"/>
  <c r="W110" i="2"/>
  <c r="Y57" i="11" s="1"/>
  <c r="Y73" i="11" s="1"/>
  <c r="V110" i="2"/>
  <c r="X57" i="11" s="1"/>
  <c r="X73" i="11" s="1"/>
  <c r="U110" i="2"/>
  <c r="W57" i="11" s="1"/>
  <c r="W73" i="11" s="1"/>
  <c r="T110" i="2"/>
  <c r="V57" i="11" s="1"/>
  <c r="V73" i="11" s="1"/>
  <c r="S110" i="2"/>
  <c r="U57" i="11" s="1"/>
  <c r="U73" i="11" s="1"/>
  <c r="R110" i="2"/>
  <c r="T57" i="11" s="1"/>
  <c r="T73" i="11" s="1"/>
  <c r="Q110" i="2"/>
  <c r="S57" i="11" s="1"/>
  <c r="S73" i="11" s="1"/>
  <c r="P110" i="2"/>
  <c r="R57" i="11" s="1"/>
  <c r="R73" i="11" s="1"/>
  <c r="O110" i="2"/>
  <c r="Q57" i="11" s="1"/>
  <c r="Q73" i="11" s="1"/>
  <c r="N110" i="2"/>
  <c r="P57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1" i="11" s="1"/>
  <c r="AM71" i="11" s="1"/>
  <c r="AJ108" i="2"/>
  <c r="AL51" i="11" s="1"/>
  <c r="AL71" i="11" s="1"/>
  <c r="AI108" i="2"/>
  <c r="AK51" i="11" s="1"/>
  <c r="AK71" i="11" s="1"/>
  <c r="AH108" i="2"/>
  <c r="AJ51" i="11" s="1"/>
  <c r="AJ71" i="11" s="1"/>
  <c r="AG108" i="2"/>
  <c r="AI51" i="11" s="1"/>
  <c r="AI71" i="11" s="1"/>
  <c r="AF108" i="2"/>
  <c r="AH51" i="11" s="1"/>
  <c r="AH71" i="11" s="1"/>
  <c r="AE108" i="2"/>
  <c r="AG51" i="11" s="1"/>
  <c r="AG71" i="11" s="1"/>
  <c r="AD108" i="2"/>
  <c r="AF51" i="11" s="1"/>
  <c r="AF71" i="11" s="1"/>
  <c r="AC108" i="2"/>
  <c r="AE51" i="11" s="1"/>
  <c r="AE71" i="11" s="1"/>
  <c r="AB108" i="2"/>
  <c r="AD51" i="11" s="1"/>
  <c r="AD71" i="11" s="1"/>
  <c r="AA108" i="2"/>
  <c r="AC51" i="11" s="1"/>
  <c r="AC71" i="11" s="1"/>
  <c r="Z108" i="2"/>
  <c r="Y108" i="2"/>
  <c r="AA51" i="11" s="1"/>
  <c r="AA71" i="11" s="1"/>
  <c r="X108" i="2"/>
  <c r="Z51" i="11" s="1"/>
  <c r="Z71" i="11" s="1"/>
  <c r="W108" i="2"/>
  <c r="Y51" i="11" s="1"/>
  <c r="Y71" i="11" s="1"/>
  <c r="V108" i="2"/>
  <c r="X51" i="11" s="1"/>
  <c r="X71" i="11" s="1"/>
  <c r="U108" i="2"/>
  <c r="W51" i="11" s="1"/>
  <c r="W71" i="11" s="1"/>
  <c r="T108" i="2"/>
  <c r="V51" i="11" s="1"/>
  <c r="V71" i="11" s="1"/>
  <c r="S108" i="2"/>
  <c r="U51" i="11" s="1"/>
  <c r="U71" i="11" s="1"/>
  <c r="R108" i="2"/>
  <c r="T51" i="11" s="1"/>
  <c r="T71" i="11" s="1"/>
  <c r="Q108" i="2"/>
  <c r="S51" i="11" s="1"/>
  <c r="S71" i="11" s="1"/>
  <c r="P108" i="2"/>
  <c r="R51" i="11" s="1"/>
  <c r="R71" i="11" s="1"/>
  <c r="O108" i="2"/>
  <c r="Q51" i="11" s="1"/>
  <c r="Q71" i="11" s="1"/>
  <c r="N108" i="2"/>
  <c r="P51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2" i="11" s="1"/>
  <c r="AQ99" i="2"/>
  <c r="AS52" i="11" s="1"/>
  <c r="AP99" i="2"/>
  <c r="AR52" i="11" s="1"/>
  <c r="AO99" i="2"/>
  <c r="AQ52" i="11" s="1"/>
  <c r="AN99" i="2"/>
  <c r="AP52" i="11" s="1"/>
  <c r="AM99" i="2"/>
  <c r="AO52" i="11" s="1"/>
  <c r="AL99" i="2"/>
  <c r="AN52" i="11" s="1"/>
  <c r="AK99" i="2"/>
  <c r="AM52" i="11" s="1"/>
  <c r="AJ99" i="2"/>
  <c r="AL52" i="11" s="1"/>
  <c r="AI99" i="2"/>
  <c r="AK52" i="11" s="1"/>
  <c r="AH99" i="2"/>
  <c r="AJ52" i="11" s="1"/>
  <c r="AG99" i="2"/>
  <c r="AI52" i="11" s="1"/>
  <c r="AF99" i="2"/>
  <c r="AH52" i="11" s="1"/>
  <c r="AE99" i="2"/>
  <c r="AG52" i="11" s="1"/>
  <c r="AD99" i="2"/>
  <c r="AF52" i="11" s="1"/>
  <c r="AC99" i="2"/>
  <c r="AE52" i="11" s="1"/>
  <c r="AB99" i="2"/>
  <c r="AD52" i="11" s="1"/>
  <c r="AA99" i="2"/>
  <c r="AC52" i="11" s="1"/>
  <c r="Z99" i="2"/>
  <c r="AB52" i="11" s="1"/>
  <c r="Y99" i="2"/>
  <c r="AA52" i="11" s="1"/>
  <c r="X99" i="2"/>
  <c r="Z52" i="11" s="1"/>
  <c r="W99" i="2"/>
  <c r="Y52" i="11" s="1"/>
  <c r="V99" i="2"/>
  <c r="X52" i="11" s="1"/>
  <c r="U99" i="2"/>
  <c r="W52" i="11" s="1"/>
  <c r="T99" i="2"/>
  <c r="V52" i="11" s="1"/>
  <c r="S99" i="2"/>
  <c r="U52" i="11" s="1"/>
  <c r="R99" i="2"/>
  <c r="T52" i="11" s="1"/>
  <c r="Q99" i="2"/>
  <c r="S52" i="11" s="1"/>
  <c r="P99" i="2"/>
  <c r="R52" i="11" s="1"/>
  <c r="O99" i="2"/>
  <c r="Q52" i="11" s="1"/>
  <c r="N99" i="2"/>
  <c r="P52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6" i="11" s="1"/>
  <c r="C157" i="11" s="1"/>
  <c r="AQ78" i="2"/>
  <c r="AS56" i="11" s="1"/>
  <c r="AP78" i="2"/>
  <c r="AR56" i="11" s="1"/>
  <c r="AO78" i="2"/>
  <c r="AQ56" i="11" s="1"/>
  <c r="AN78" i="2"/>
  <c r="AP56" i="11" s="1"/>
  <c r="AM78" i="2"/>
  <c r="AO56" i="11" s="1"/>
  <c r="AL78" i="2"/>
  <c r="AN56" i="11" s="1"/>
  <c r="AK78" i="2"/>
  <c r="AM56" i="11" s="1"/>
  <c r="AJ78" i="2"/>
  <c r="AL56" i="11" s="1"/>
  <c r="AI78" i="2"/>
  <c r="AK56" i="11" s="1"/>
  <c r="AH78" i="2"/>
  <c r="AJ56" i="11" s="1"/>
  <c r="AG78" i="2"/>
  <c r="AI56" i="11" s="1"/>
  <c r="AF78" i="2"/>
  <c r="AH56" i="11" s="1"/>
  <c r="AE78" i="2"/>
  <c r="AG56" i="11" s="1"/>
  <c r="AD78" i="2"/>
  <c r="AF56" i="11" s="1"/>
  <c r="AC78" i="2"/>
  <c r="AE56" i="11" s="1"/>
  <c r="AB78" i="2"/>
  <c r="AD56" i="11" s="1"/>
  <c r="AA78" i="2"/>
  <c r="AC56" i="11" s="1"/>
  <c r="Z78" i="2"/>
  <c r="AB56" i="11" s="1"/>
  <c r="Y78" i="2"/>
  <c r="AA56" i="11" s="1"/>
  <c r="X78" i="2"/>
  <c r="Z56" i="11" s="1"/>
  <c r="W78" i="2"/>
  <c r="Y56" i="11" s="1"/>
  <c r="V78" i="2"/>
  <c r="X56" i="11" s="1"/>
  <c r="U78" i="2"/>
  <c r="W56" i="11" s="1"/>
  <c r="T78" i="2"/>
  <c r="V56" i="11" s="1"/>
  <c r="S78" i="2"/>
  <c r="U56" i="11" s="1"/>
  <c r="R78" i="2"/>
  <c r="T56" i="11" s="1"/>
  <c r="Q78" i="2"/>
  <c r="S56" i="11" s="1"/>
  <c r="P78" i="2"/>
  <c r="R56" i="11" s="1"/>
  <c r="O78" i="2"/>
  <c r="Q56" i="11" s="1"/>
  <c r="N78" i="2"/>
  <c r="P56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4" i="11" s="1"/>
  <c r="AQ64" i="2"/>
  <c r="AS54" i="11" s="1"/>
  <c r="AP64" i="2"/>
  <c r="AR54" i="11" s="1"/>
  <c r="AO64" i="2"/>
  <c r="AQ54" i="11" s="1"/>
  <c r="AN64" i="2"/>
  <c r="AP54" i="11" s="1"/>
  <c r="AM64" i="2"/>
  <c r="AO54" i="11" s="1"/>
  <c r="AL64" i="2"/>
  <c r="AN54" i="11" s="1"/>
  <c r="AK64" i="2"/>
  <c r="AM54" i="11" s="1"/>
  <c r="AJ64" i="2"/>
  <c r="AL54" i="11" s="1"/>
  <c r="AI64" i="2"/>
  <c r="AK54" i="11" s="1"/>
  <c r="AH64" i="2"/>
  <c r="AJ54" i="11" s="1"/>
  <c r="AG64" i="2"/>
  <c r="AI54" i="11" s="1"/>
  <c r="AF64" i="2"/>
  <c r="AH54" i="11" s="1"/>
  <c r="AE64" i="2"/>
  <c r="AG54" i="11" s="1"/>
  <c r="AD64" i="2"/>
  <c r="AF54" i="11" s="1"/>
  <c r="AC64" i="2"/>
  <c r="AE54" i="11" s="1"/>
  <c r="AB64" i="2"/>
  <c r="AD54" i="11" s="1"/>
  <c r="AA64" i="2"/>
  <c r="AC54" i="11" s="1"/>
  <c r="Z64" i="2"/>
  <c r="AB54" i="11" s="1"/>
  <c r="Y64" i="2"/>
  <c r="AA54" i="11" s="1"/>
  <c r="X64" i="2"/>
  <c r="Z54" i="11" s="1"/>
  <c r="W64" i="2"/>
  <c r="Y54" i="11" s="1"/>
  <c r="V64" i="2"/>
  <c r="X54" i="11" s="1"/>
  <c r="U64" i="2"/>
  <c r="W54" i="11" s="1"/>
  <c r="T64" i="2"/>
  <c r="V54" i="11" s="1"/>
  <c r="S64" i="2"/>
  <c r="U54" i="11" s="1"/>
  <c r="R64" i="2"/>
  <c r="T54" i="11" s="1"/>
  <c r="Q64" i="2"/>
  <c r="S54" i="11" s="1"/>
  <c r="P64" i="2"/>
  <c r="R54" i="11" s="1"/>
  <c r="O64" i="2"/>
  <c r="Q54" i="11" s="1"/>
  <c r="N64" i="2"/>
  <c r="P54" i="11" s="1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AG44" i="2"/>
  <c r="AI38" i="11" s="1"/>
  <c r="AF44" i="2"/>
  <c r="AH38" i="11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D61" i="11" s="1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5" i="11" s="1"/>
  <c r="AQ40" i="2"/>
  <c r="AS55" i="11" s="1"/>
  <c r="AP40" i="2"/>
  <c r="AR55" i="11" s="1"/>
  <c r="AO40" i="2"/>
  <c r="AQ55" i="11" s="1"/>
  <c r="AN40" i="2"/>
  <c r="AP55" i="11" s="1"/>
  <c r="AM40" i="2"/>
  <c r="AO55" i="11" s="1"/>
  <c r="AL40" i="2"/>
  <c r="AN55" i="11" s="1"/>
  <c r="AK40" i="2"/>
  <c r="AM55" i="11" s="1"/>
  <c r="AJ40" i="2"/>
  <c r="AL55" i="11" s="1"/>
  <c r="AI40" i="2"/>
  <c r="AK55" i="11" s="1"/>
  <c r="AH40" i="2"/>
  <c r="AJ55" i="11" s="1"/>
  <c r="AG40" i="2"/>
  <c r="AI55" i="11" s="1"/>
  <c r="AF40" i="2"/>
  <c r="AH55" i="11" s="1"/>
  <c r="AE40" i="2"/>
  <c r="AG55" i="11" s="1"/>
  <c r="AD40" i="2"/>
  <c r="AF55" i="11" s="1"/>
  <c r="AC40" i="2"/>
  <c r="AE55" i="11" s="1"/>
  <c r="AB40" i="2"/>
  <c r="AD55" i="11" s="1"/>
  <c r="AA40" i="2"/>
  <c r="AC55" i="11" s="1"/>
  <c r="Z40" i="2"/>
  <c r="AB55" i="11" s="1"/>
  <c r="AR38" i="2"/>
  <c r="AQ38" i="2"/>
  <c r="AS34" i="11" s="1"/>
  <c r="AP38" i="2"/>
  <c r="AO38" i="2"/>
  <c r="AN38" i="2"/>
  <c r="AM38" i="2"/>
  <c r="AL38" i="2"/>
  <c r="AR37" i="2"/>
  <c r="AQ37" i="2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R27" i="2"/>
  <c r="AT11" i="11" s="1"/>
  <c r="C113" i="11" s="1"/>
  <c r="K11" i="11" s="1"/>
  <c r="AQ27" i="2"/>
  <c r="AP27" i="2"/>
  <c r="AO27" i="2"/>
  <c r="AN27" i="2"/>
  <c r="AM27" i="2"/>
  <c r="AL27" i="2"/>
  <c r="AK27" i="2"/>
  <c r="AJ27" i="2"/>
  <c r="AL11" i="11" s="1"/>
  <c r="AI27" i="2"/>
  <c r="AK11" i="11" s="1"/>
  <c r="AH27" i="2"/>
  <c r="AD11" i="10" s="1"/>
  <c r="AG27" i="2"/>
  <c r="AI11" i="11" s="1"/>
  <c r="AF27" i="2"/>
  <c r="AE27" i="2"/>
  <c r="AD27" i="2"/>
  <c r="AC27" i="2"/>
  <c r="AB27" i="2"/>
  <c r="AD11" i="11" s="1"/>
  <c r="AA27" i="2"/>
  <c r="Z27" i="2"/>
  <c r="AR26" i="2"/>
  <c r="AT7" i="11" s="1"/>
  <c r="C108" i="11" s="1"/>
  <c r="K7" i="11" s="1"/>
  <c r="AQ26" i="2"/>
  <c r="AS7" i="11" s="1"/>
  <c r="AP26" i="2"/>
  <c r="AO26" i="2"/>
  <c r="AQ7" i="11" s="1"/>
  <c r="AN26" i="2"/>
  <c r="AP7" i="11" s="1"/>
  <c r="AM26" i="2"/>
  <c r="AO7" i="11" s="1"/>
  <c r="AL26" i="2"/>
  <c r="AH6" i="10" s="1"/>
  <c r="AK26" i="2"/>
  <c r="AJ26" i="2"/>
  <c r="AL7" i="11" s="1"/>
  <c r="AI26" i="2"/>
  <c r="AK7" i="11" s="1"/>
  <c r="AH26" i="2"/>
  <c r="AG26" i="2"/>
  <c r="AI7" i="11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Y26" i="2"/>
  <c r="AA7" i="11" s="1"/>
  <c r="X26" i="2"/>
  <c r="Z7" i="11" s="1"/>
  <c r="W26" i="2"/>
  <c r="Y7" i="11" s="1"/>
  <c r="V26" i="2"/>
  <c r="X7" i="11" s="1"/>
  <c r="U26" i="2"/>
  <c r="T26" i="2"/>
  <c r="V7" i="11" s="1"/>
  <c r="S26" i="2"/>
  <c r="U7" i="11" s="1"/>
  <c r="R26" i="2"/>
  <c r="Q26" i="2"/>
  <c r="S7" i="11" s="1"/>
  <c r="P26" i="2"/>
  <c r="R7" i="11" s="1"/>
  <c r="O26" i="2"/>
  <c r="Q7" i="11" s="1"/>
  <c r="N26" i="2"/>
  <c r="P7" i="11" s="1"/>
  <c r="AR25" i="2"/>
  <c r="AQ25" i="2"/>
  <c r="AS12" i="11" s="1"/>
  <c r="AP25" i="2"/>
  <c r="AO25" i="2"/>
  <c r="AN25" i="2"/>
  <c r="AM25" i="2"/>
  <c r="AL25" i="2"/>
  <c r="AK25" i="2"/>
  <c r="AJ25" i="2"/>
  <c r="AL12" i="11" s="1"/>
  <c r="AI25" i="2"/>
  <c r="AK12" i="11" s="1"/>
  <c r="AH25" i="2"/>
  <c r="AJ12" i="11" s="1"/>
  <c r="AG25" i="2"/>
  <c r="AC10" i="10" s="1"/>
  <c r="AF25" i="2"/>
  <c r="AH12" i="11" s="1"/>
  <c r="AE25" i="2"/>
  <c r="AD25" i="2"/>
  <c r="AC25" i="2"/>
  <c r="AB25" i="2"/>
  <c r="AA25" i="2"/>
  <c r="AC12" i="11" s="1"/>
  <c r="Z25" i="2"/>
  <c r="V10" i="10" s="1"/>
  <c r="Y25" i="2"/>
  <c r="X25" i="2"/>
  <c r="W25" i="2"/>
  <c r="V25" i="2"/>
  <c r="U25" i="2"/>
  <c r="T25" i="2"/>
  <c r="V12" i="11" s="1"/>
  <c r="S25" i="2"/>
  <c r="U12" i="11" s="1"/>
  <c r="R25" i="2"/>
  <c r="T12" i="11" s="1"/>
  <c r="Q25" i="2"/>
  <c r="M10" i="10" s="1"/>
  <c r="P25" i="2"/>
  <c r="R12" i="11" s="1"/>
  <c r="O25" i="2"/>
  <c r="N25" i="2"/>
  <c r="AR24" i="2"/>
  <c r="AQ24" i="2"/>
  <c r="AS8" i="11" s="1"/>
  <c r="AP24" i="2"/>
  <c r="AO24" i="2"/>
  <c r="AQ8" i="11" s="1"/>
  <c r="AN24" i="2"/>
  <c r="AP8" i="11" s="1"/>
  <c r="AM24" i="2"/>
  <c r="AL24" i="2"/>
  <c r="AN8" i="11" s="1"/>
  <c r="AK24" i="2"/>
  <c r="AM8" i="11" s="1"/>
  <c r="AJ24" i="2"/>
  <c r="AI24" i="2"/>
  <c r="AK8" i="11" s="1"/>
  <c r="AH24" i="2"/>
  <c r="AJ8" i="11" s="1"/>
  <c r="AG24" i="2"/>
  <c r="AI8" i="11" s="1"/>
  <c r="AF24" i="2"/>
  <c r="AH8" i="11" s="1"/>
  <c r="AE24" i="2"/>
  <c r="AA8" i="10" s="1"/>
  <c r="AD24" i="2"/>
  <c r="AF8" i="11" s="1"/>
  <c r="AC24" i="2"/>
  <c r="AE8" i="11" s="1"/>
  <c r="AB24" i="2"/>
  <c r="AA24" i="2"/>
  <c r="AC8" i="11" s="1"/>
  <c r="Z24" i="2"/>
  <c r="Y24" i="2"/>
  <c r="AA8" i="11" s="1"/>
  <c r="X24" i="2"/>
  <c r="Z8" i="11" s="1"/>
  <c r="W24" i="2"/>
  <c r="V24" i="2"/>
  <c r="X8" i="11" s="1"/>
  <c r="U24" i="2"/>
  <c r="W8" i="11" s="1"/>
  <c r="T24" i="2"/>
  <c r="S24" i="2"/>
  <c r="U8" i="11" s="1"/>
  <c r="R24" i="2"/>
  <c r="T8" i="11" s="1"/>
  <c r="Q24" i="2"/>
  <c r="S8" i="11" s="1"/>
  <c r="P24" i="2"/>
  <c r="R8" i="11" s="1"/>
  <c r="O24" i="2"/>
  <c r="K8" i="10" s="1"/>
  <c r="N24" i="2"/>
  <c r="P8" i="11" s="1"/>
  <c r="AR23" i="2"/>
  <c r="AQ23" i="2"/>
  <c r="AP23" i="2"/>
  <c r="AO23" i="2"/>
  <c r="AN23" i="2"/>
  <c r="AM23" i="2"/>
  <c r="AL23" i="2"/>
  <c r="AK23" i="2"/>
  <c r="AM13" i="11" s="1"/>
  <c r="AJ23" i="2"/>
  <c r="AI23" i="2"/>
  <c r="AE12" i="10" s="1"/>
  <c r="AH23" i="2"/>
  <c r="AJ13" i="11" s="1"/>
  <c r="AG23" i="2"/>
  <c r="AF23" i="2"/>
  <c r="AE23" i="2"/>
  <c r="AD23" i="2"/>
  <c r="AC23" i="2"/>
  <c r="AE13" i="11" s="1"/>
  <c r="AB23" i="2"/>
  <c r="AA23" i="2"/>
  <c r="Z23" i="2"/>
  <c r="Y23" i="2"/>
  <c r="X23" i="2"/>
  <c r="W23" i="2"/>
  <c r="V23" i="2"/>
  <c r="U23" i="2"/>
  <c r="W13" i="11" s="1"/>
  <c r="T23" i="2"/>
  <c r="V13" i="11" s="1"/>
  <c r="S23" i="2"/>
  <c r="O12" i="10" s="1"/>
  <c r="R23" i="2"/>
  <c r="T13" i="11" s="1"/>
  <c r="Q23" i="2"/>
  <c r="P23" i="2"/>
  <c r="O23" i="2"/>
  <c r="N23" i="2"/>
  <c r="AR21" i="2"/>
  <c r="AT9" i="11" s="1"/>
  <c r="C109" i="11" s="1"/>
  <c r="K9" i="11" s="1"/>
  <c r="AQ21" i="2"/>
  <c r="AP21" i="2"/>
  <c r="AR9" i="11" s="1"/>
  <c r="AO21" i="2"/>
  <c r="AQ9" i="11" s="1"/>
  <c r="AN21" i="2"/>
  <c r="AP9" i="11" s="1"/>
  <c r="AM21" i="2"/>
  <c r="AO9" i="11" s="1"/>
  <c r="AL21" i="2"/>
  <c r="AK21" i="2"/>
  <c r="AM9" i="11" s="1"/>
  <c r="AJ21" i="2"/>
  <c r="AL9" i="11" s="1"/>
  <c r="AI21" i="2"/>
  <c r="AH21" i="2"/>
  <c r="AJ9" i="11" s="1"/>
  <c r="AG21" i="2"/>
  <c r="AI9" i="11" s="1"/>
  <c r="AF21" i="2"/>
  <c r="AH9" i="11" s="1"/>
  <c r="AE21" i="2"/>
  <c r="AG9" i="11" s="1"/>
  <c r="AD21" i="2"/>
  <c r="Z7" i="10" s="1"/>
  <c r="AC21" i="2"/>
  <c r="AE9" i="11" s="1"/>
  <c r="AB21" i="2"/>
  <c r="AD9" i="11" s="1"/>
  <c r="AA21" i="2"/>
  <c r="Z21" i="2"/>
  <c r="Y21" i="2"/>
  <c r="AA9" i="11" s="1"/>
  <c r="X21" i="2"/>
  <c r="Z9" i="11" s="1"/>
  <c r="W21" i="2"/>
  <c r="Y9" i="11" s="1"/>
  <c r="V21" i="2"/>
  <c r="U21" i="2"/>
  <c r="W9" i="11" s="1"/>
  <c r="T21" i="2"/>
  <c r="V9" i="11" s="1"/>
  <c r="S21" i="2"/>
  <c r="R21" i="2"/>
  <c r="T9" i="11" s="1"/>
  <c r="Q21" i="2"/>
  <c r="S9" i="11" s="1"/>
  <c r="P21" i="2"/>
  <c r="R9" i="11" s="1"/>
  <c r="O21" i="2"/>
  <c r="Q9" i="11" s="1"/>
  <c r="N21" i="2"/>
  <c r="J7" i="10" s="1"/>
  <c r="AR19" i="2"/>
  <c r="AT10" i="11" s="1"/>
  <c r="AT95" i="11" s="1"/>
  <c r="AQ19" i="2"/>
  <c r="AP19" i="2"/>
  <c r="AR10" i="11" s="1"/>
  <c r="AR95" i="11" s="1"/>
  <c r="AO19" i="2"/>
  <c r="AQ10" i="11" s="1"/>
  <c r="AQ95" i="11" s="1"/>
  <c r="AN19" i="2"/>
  <c r="AM19" i="2"/>
  <c r="AL19" i="2"/>
  <c r="AK19" i="2"/>
  <c r="AJ19" i="2"/>
  <c r="AL10" i="11" s="1"/>
  <c r="AL95" i="11" s="1"/>
  <c r="AI19" i="2"/>
  <c r="AH19" i="2"/>
  <c r="AJ10" i="11" s="1"/>
  <c r="AJ95" i="11" s="1"/>
  <c r="AG19" i="2"/>
  <c r="AI10" i="11" s="1"/>
  <c r="AI95" i="11" s="1"/>
  <c r="AF19" i="2"/>
  <c r="AB9" i="10" s="1"/>
  <c r="AE19" i="2"/>
  <c r="AG10" i="11" s="1"/>
  <c r="AG95" i="11" s="1"/>
  <c r="AD19" i="2"/>
  <c r="AF10" i="11" s="1"/>
  <c r="AF95" i="11" s="1"/>
  <c r="AC19" i="2"/>
  <c r="AB19" i="2"/>
  <c r="AD10" i="11" s="1"/>
  <c r="AD95" i="11" s="1"/>
  <c r="AA19" i="2"/>
  <c r="Z19" i="2"/>
  <c r="V9" i="10" s="1"/>
  <c r="Y19" i="2"/>
  <c r="AA10" i="11" s="1"/>
  <c r="AA95" i="11" s="1"/>
  <c r="X19" i="2"/>
  <c r="W19" i="2"/>
  <c r="Y10" i="11" s="1"/>
  <c r="Y95" i="11" s="1"/>
  <c r="V19" i="2"/>
  <c r="U19" i="2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L9" i="10" s="1"/>
  <c r="O19" i="2"/>
  <c r="Q10" i="11" s="1"/>
  <c r="Q95" i="11" s="1"/>
  <c r="N19" i="2"/>
  <c r="P10" i="11" s="1"/>
  <c r="P95" i="11" s="1"/>
  <c r="AK18" i="2"/>
  <c r="AJ18" i="2"/>
  <c r="AF13" i="10" s="1"/>
  <c r="AI18" i="2"/>
  <c r="AK14" i="11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P13" i="10" s="1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I18" i="10" s="1"/>
  <c r="AL15" i="2"/>
  <c r="AN17" i="11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S18" i="10" s="1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U20" i="10" s="1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J19" i="10" s="1"/>
  <c r="AM13" i="2"/>
  <c r="AO20" i="11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T19" i="10" s="1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G16" i="10" s="1"/>
  <c r="AJ12" i="2"/>
  <c r="AL18" i="11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Q16" i="10" s="1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AA100" i="11" l="1"/>
  <c r="N84" i="11"/>
  <c r="M84" i="11"/>
  <c r="AF22" i="8"/>
  <c r="AB15" i="8"/>
  <c r="AA15" i="8"/>
  <c r="AP15" i="8"/>
  <c r="Z15" i="8"/>
  <c r="Y15" i="8"/>
  <c r="AN15" i="8"/>
  <c r="X15" i="8"/>
  <c r="AK15" i="8"/>
  <c r="U15" i="8"/>
  <c r="AA22" i="8"/>
  <c r="AK22" i="8"/>
  <c r="AK24" i="8" s="1"/>
  <c r="U22" i="8"/>
  <c r="U24" i="8" s="1"/>
  <c r="AJ22" i="8"/>
  <c r="AA24" i="8"/>
  <c r="T22" i="8"/>
  <c r="AI22" i="8"/>
  <c r="S22" i="8"/>
  <c r="AH22" i="8"/>
  <c r="R22" i="8"/>
  <c r="R24" i="8" s="1"/>
  <c r="AO15" i="8"/>
  <c r="AM15" i="8"/>
  <c r="W15" i="8"/>
  <c r="AL15" i="8"/>
  <c r="V15" i="8"/>
  <c r="AD24" i="8"/>
  <c r="AJ15" i="8"/>
  <c r="T15" i="8"/>
  <c r="AI15" i="8"/>
  <c r="S15" i="8"/>
  <c r="AH15" i="8"/>
  <c r="R15" i="8"/>
  <c r="AG15" i="8"/>
  <c r="AG24" i="8" s="1"/>
  <c r="Q15" i="8"/>
  <c r="Q24" i="8" s="1"/>
  <c r="AF15" i="8"/>
  <c r="AF24" i="8" s="1"/>
  <c r="P15" i="8"/>
  <c r="P24" i="8" s="1"/>
  <c r="AE15" i="8"/>
  <c r="AE24" i="8" s="1"/>
  <c r="O15" i="8"/>
  <c r="O24" i="8" s="1"/>
  <c r="AD15" i="8"/>
  <c r="N15" i="8"/>
  <c r="N24" i="8" s="1"/>
  <c r="AC15" i="8"/>
  <c r="M15" i="8"/>
  <c r="AC22" i="8"/>
  <c r="AC24" i="8" s="1"/>
  <c r="M22" i="8"/>
  <c r="M24" i="8" s="1"/>
  <c r="AB22" i="8"/>
  <c r="AB24" i="8" s="1"/>
  <c r="L22" i="8"/>
  <c r="L24" i="8" s="1"/>
  <c r="AP22" i="8"/>
  <c r="AP24" i="8" s="1"/>
  <c r="Z22" i="8"/>
  <c r="AO22" i="8"/>
  <c r="Y22" i="8"/>
  <c r="AN22" i="8"/>
  <c r="X22" i="8"/>
  <c r="AM22" i="8"/>
  <c r="AM24" i="8" s="1"/>
  <c r="W22" i="8"/>
  <c r="W24" i="8" s="1"/>
  <c r="AL22" i="8"/>
  <c r="V22" i="8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D62" i="11" s="1"/>
  <c r="AT46" i="11"/>
  <c r="AE61" i="11"/>
  <c r="AK35" i="11"/>
  <c r="Z61" i="11"/>
  <c r="Z62" i="11" s="1"/>
  <c r="AE46" i="11"/>
  <c r="AF61" i="11"/>
  <c r="AL35" i="11"/>
  <c r="W35" i="11"/>
  <c r="AA61" i="11"/>
  <c r="AA62" i="11" s="1"/>
  <c r="AQ61" i="11"/>
  <c r="AQ62" i="11" s="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T62" i="11" s="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U6" i="10"/>
  <c r="K7" i="10"/>
  <c r="AF7" i="10"/>
  <c r="AG12" i="10"/>
  <c r="AL14" i="11"/>
  <c r="AN20" i="2"/>
  <c r="H84" i="2"/>
  <c r="W8" i="10"/>
  <c r="H66" i="2"/>
  <c r="E97" i="2"/>
  <c r="O9" i="10"/>
  <c r="N10" i="10"/>
  <c r="H34" i="2"/>
  <c r="H32" i="2"/>
  <c r="AC42" i="11"/>
  <c r="AS42" i="11"/>
  <c r="H56" i="2"/>
  <c r="H60" i="2"/>
  <c r="H73" i="2"/>
  <c r="AB51" i="11"/>
  <c r="AB71" i="11" s="1"/>
  <c r="AH17" i="10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X62" i="11"/>
  <c r="P73" i="11"/>
  <c r="AH73" i="11"/>
  <c r="K55" i="11"/>
  <c r="V29" i="11"/>
  <c r="X30" i="11"/>
  <c r="X96" i="11" s="1"/>
  <c r="V27" i="11"/>
  <c r="AA17" i="10"/>
  <c r="AG19" i="11"/>
  <c r="M16" i="10"/>
  <c r="S18" i="11"/>
  <c r="N19" i="10"/>
  <c r="T20" i="11"/>
  <c r="AD19" i="10"/>
  <c r="AJ20" i="11"/>
  <c r="O20" i="10"/>
  <c r="U21" i="11"/>
  <c r="S10" i="10"/>
  <c r="Y12" i="11"/>
  <c r="AI10" i="10"/>
  <c r="AO12" i="11"/>
  <c r="AG11" i="10"/>
  <c r="AM11" i="11"/>
  <c r="V28" i="11"/>
  <c r="AL28" i="11"/>
  <c r="W29" i="11"/>
  <c r="AM29" i="11"/>
  <c r="X33" i="11"/>
  <c r="AN33" i="11"/>
  <c r="Y30" i="11"/>
  <c r="Y96" i="11" s="1"/>
  <c r="Y100" i="11" s="1"/>
  <c r="AO30" i="11"/>
  <c r="AO96" i="11" s="1"/>
  <c r="W27" i="11"/>
  <c r="AM27" i="11"/>
  <c r="H70" i="2"/>
  <c r="AE31" i="11"/>
  <c r="AE83" i="11" s="1"/>
  <c r="H106" i="2"/>
  <c r="W6" i="10"/>
  <c r="L7" i="10"/>
  <c r="AG7" i="10"/>
  <c r="Y8" i="10"/>
  <c r="P9" i="10"/>
  <c r="O10" i="10"/>
  <c r="O13" i="10"/>
  <c r="AC16" i="10"/>
  <c r="AI18" i="11"/>
  <c r="AE19" i="10"/>
  <c r="AK20" i="11"/>
  <c r="R12" i="10"/>
  <c r="X13" i="11"/>
  <c r="AH12" i="10"/>
  <c r="AN13" i="11"/>
  <c r="S8" i="10"/>
  <c r="Y8" i="11"/>
  <c r="AI8" i="10"/>
  <c r="AO8" i="11"/>
  <c r="T10" i="10"/>
  <c r="Z12" i="11"/>
  <c r="AJ10" i="10"/>
  <c r="AP12" i="11"/>
  <c r="AH11" i="10"/>
  <c r="AN11" i="11"/>
  <c r="W28" i="11"/>
  <c r="AM28" i="11"/>
  <c r="X29" i="11"/>
  <c r="AN29" i="11"/>
  <c r="Y33" i="11"/>
  <c r="AO33" i="11"/>
  <c r="Z30" i="11"/>
  <c r="Z96" i="11" s="1"/>
  <c r="AP30" i="11"/>
  <c r="AP96" i="11" s="1"/>
  <c r="I53" i="2"/>
  <c r="X27" i="11"/>
  <c r="AN27" i="11"/>
  <c r="H68" i="2"/>
  <c r="H86" i="2"/>
  <c r="AF32" i="11"/>
  <c r="AF97" i="11" s="1"/>
  <c r="H92" i="2"/>
  <c r="H99" i="2"/>
  <c r="X6" i="10"/>
  <c r="M7" i="10"/>
  <c r="AI7" i="10"/>
  <c r="Z8" i="10"/>
  <c r="S9" i="10"/>
  <c r="P10" i="10"/>
  <c r="R13" i="10"/>
  <c r="AB16" i="10"/>
  <c r="AH18" i="11"/>
  <c r="M19" i="10"/>
  <c r="S20" i="11"/>
  <c r="AC19" i="10"/>
  <c r="AI20" i="11"/>
  <c r="AD20" i="10"/>
  <c r="AJ21" i="11"/>
  <c r="AL18" i="10"/>
  <c r="AR17" i="11"/>
  <c r="H18" i="2"/>
  <c r="V13" i="10"/>
  <c r="AB14" i="11"/>
  <c r="O7" i="10"/>
  <c r="U9" i="11"/>
  <c r="R10" i="10"/>
  <c r="X12" i="11"/>
  <c r="AL29" i="11"/>
  <c r="AD32" i="11"/>
  <c r="AD97" i="11" s="1"/>
  <c r="AE20" i="10"/>
  <c r="AK21" i="11"/>
  <c r="W18" i="10"/>
  <c r="AC17" i="11"/>
  <c r="AM18" i="10"/>
  <c r="AS17" i="11"/>
  <c r="W13" i="10"/>
  <c r="AC14" i="11"/>
  <c r="AK10" i="11"/>
  <c r="AK95" i="11" s="1"/>
  <c r="AB17" i="10"/>
  <c r="AH19" i="11"/>
  <c r="N16" i="10"/>
  <c r="T18" i="11"/>
  <c r="AD16" i="10"/>
  <c r="AJ18" i="11"/>
  <c r="O19" i="10"/>
  <c r="U20" i="11"/>
  <c r="P20" i="10"/>
  <c r="V21" i="11"/>
  <c r="AF20" i="10"/>
  <c r="AL21" i="11"/>
  <c r="X18" i="10"/>
  <c r="AD17" i="11"/>
  <c r="AN18" i="10"/>
  <c r="AT17" i="11"/>
  <c r="X13" i="10"/>
  <c r="AD14" i="11"/>
  <c r="AC17" i="10"/>
  <c r="AI19" i="11"/>
  <c r="O16" i="10"/>
  <c r="U18" i="11"/>
  <c r="AE16" i="10"/>
  <c r="AK18" i="11"/>
  <c r="P19" i="10"/>
  <c r="V20" i="11"/>
  <c r="AF19" i="10"/>
  <c r="AL20" i="11"/>
  <c r="Q20" i="10"/>
  <c r="W21" i="11"/>
  <c r="AG20" i="10"/>
  <c r="AM21" i="11"/>
  <c r="Y18" i="10"/>
  <c r="AE17" i="11"/>
  <c r="Y13" i="10"/>
  <c r="AE14" i="11"/>
  <c r="Q9" i="10"/>
  <c r="W10" i="11"/>
  <c r="W95" i="11" s="1"/>
  <c r="AG9" i="10"/>
  <c r="AM10" i="11"/>
  <c r="AM95" i="11" s="1"/>
  <c r="R7" i="10"/>
  <c r="X9" i="11"/>
  <c r="AH7" i="10"/>
  <c r="AN9" i="11"/>
  <c r="S12" i="10"/>
  <c r="Y13" i="11"/>
  <c r="AI12" i="10"/>
  <c r="AO13" i="11"/>
  <c r="U10" i="10"/>
  <c r="AA12" i="11"/>
  <c r="AK10" i="10"/>
  <c r="AQ12" i="11"/>
  <c r="H26" i="2"/>
  <c r="V6" i="10"/>
  <c r="AB7" i="11"/>
  <c r="AL6" i="10"/>
  <c r="AR7" i="11"/>
  <c r="AI11" i="10"/>
  <c r="AO11" i="11"/>
  <c r="X28" i="11"/>
  <c r="AN28" i="11"/>
  <c r="Y29" i="11"/>
  <c r="AO29" i="11"/>
  <c r="Z33" i="11"/>
  <c r="AP33" i="11"/>
  <c r="Y27" i="11"/>
  <c r="AO27" i="11"/>
  <c r="H67" i="2"/>
  <c r="AB44" i="11"/>
  <c r="AG31" i="11"/>
  <c r="AG83" i="11" s="1"/>
  <c r="I36" i="2"/>
  <c r="Y6" i="10"/>
  <c r="N7" i="10"/>
  <c r="AJ7" i="10"/>
  <c r="AB8" i="10"/>
  <c r="U9" i="10"/>
  <c r="AE13" i="10"/>
  <c r="AB27" i="11"/>
  <c r="AG32" i="11"/>
  <c r="AG97" i="11" s="1"/>
  <c r="AD17" i="10"/>
  <c r="AJ19" i="11"/>
  <c r="H25" i="2"/>
  <c r="AB12" i="11"/>
  <c r="AJ11" i="10"/>
  <c r="AP11" i="11"/>
  <c r="AA33" i="11"/>
  <c r="AQ33" i="11"/>
  <c r="H37" i="2"/>
  <c r="AB30" i="11"/>
  <c r="AB96" i="11" s="1"/>
  <c r="AR30" i="11"/>
  <c r="AR96" i="11" s="1"/>
  <c r="Z27" i="11"/>
  <c r="AP27" i="11"/>
  <c r="AH31" i="11"/>
  <c r="AH83" i="11" s="1"/>
  <c r="AH32" i="11"/>
  <c r="AH97" i="11" s="1"/>
  <c r="Z6" i="10"/>
  <c r="P7" i="10"/>
  <c r="AK7" i="10"/>
  <c r="AC8" i="10"/>
  <c r="W10" i="10"/>
  <c r="AR27" i="11"/>
  <c r="R33" i="11"/>
  <c r="AL10" i="10"/>
  <c r="AR12" i="11"/>
  <c r="K18" i="10"/>
  <c r="Q17" i="11"/>
  <c r="AL8" i="10"/>
  <c r="AR8" i="11"/>
  <c r="AK11" i="10"/>
  <c r="AQ11" i="11"/>
  <c r="Z28" i="11"/>
  <c r="AP28" i="11"/>
  <c r="AA29" i="11"/>
  <c r="AQ29" i="11"/>
  <c r="H36" i="2"/>
  <c r="AB33" i="11"/>
  <c r="AC30" i="11"/>
  <c r="AC96" i="11" s="1"/>
  <c r="AS30" i="11"/>
  <c r="AS96" i="11" s="1"/>
  <c r="AA27" i="11"/>
  <c r="AQ27" i="11"/>
  <c r="AI31" i="11"/>
  <c r="AI83" i="11" s="1"/>
  <c r="AI32" i="11"/>
  <c r="AI97" i="11" s="1"/>
  <c r="I15" i="2"/>
  <c r="AA6" i="10"/>
  <c r="Q7" i="10"/>
  <c r="AL7" i="10"/>
  <c r="AD8" i="10"/>
  <c r="X9" i="10"/>
  <c r="AB10" i="10"/>
  <c r="AC28" i="11"/>
  <c r="AH33" i="11"/>
  <c r="AM33" i="11"/>
  <c r="AG19" i="10"/>
  <c r="AM20" i="11"/>
  <c r="J18" i="10"/>
  <c r="P17" i="11"/>
  <c r="J13" i="10"/>
  <c r="P14" i="11"/>
  <c r="T12" i="10"/>
  <c r="Z13" i="11"/>
  <c r="AJ12" i="10"/>
  <c r="AP13" i="11"/>
  <c r="AE17" i="10"/>
  <c r="AK19" i="11"/>
  <c r="R19" i="10"/>
  <c r="X20" i="11"/>
  <c r="AH19" i="10"/>
  <c r="AN20" i="11"/>
  <c r="S20" i="10"/>
  <c r="Y21" i="11"/>
  <c r="AA18" i="10"/>
  <c r="AG17" i="11"/>
  <c r="K13" i="10"/>
  <c r="Q14" i="11"/>
  <c r="AA13" i="10"/>
  <c r="AG14" i="11"/>
  <c r="AI9" i="10"/>
  <c r="AO10" i="11"/>
  <c r="AO95" i="11" s="1"/>
  <c r="U12" i="10"/>
  <c r="AA13" i="11"/>
  <c r="AK12" i="10"/>
  <c r="AQ13" i="11"/>
  <c r="H24" i="2"/>
  <c r="V8" i="10"/>
  <c r="AB8" i="11"/>
  <c r="AF17" i="10"/>
  <c r="AL19" i="11"/>
  <c r="R16" i="10"/>
  <c r="X18" i="11"/>
  <c r="AH16" i="10"/>
  <c r="AN18" i="11"/>
  <c r="L18" i="10"/>
  <c r="R17" i="11"/>
  <c r="AB18" i="10"/>
  <c r="AH17" i="11"/>
  <c r="L13" i="10"/>
  <c r="R14" i="11"/>
  <c r="AB13" i="10"/>
  <c r="AH14" i="11"/>
  <c r="T9" i="10"/>
  <c r="Z10" i="11"/>
  <c r="Z95" i="11" s="1"/>
  <c r="AJ9" i="10"/>
  <c r="AP10" i="11"/>
  <c r="AP95" i="11" s="1"/>
  <c r="H23" i="2"/>
  <c r="V12" i="10"/>
  <c r="AB13" i="11"/>
  <c r="AL12" i="10"/>
  <c r="AR13" i="11"/>
  <c r="X10" i="10"/>
  <c r="AD12" i="11"/>
  <c r="AN10" i="10"/>
  <c r="AT12" i="11"/>
  <c r="C112" i="11" s="1"/>
  <c r="K12" i="11" s="1"/>
  <c r="H27" i="2"/>
  <c r="V11" i="10"/>
  <c r="AB11" i="11"/>
  <c r="AL11" i="10"/>
  <c r="AR11" i="11"/>
  <c r="AA28" i="11"/>
  <c r="AQ28" i="11"/>
  <c r="H35" i="2"/>
  <c r="AB29" i="11"/>
  <c r="AR29" i="11"/>
  <c r="AC33" i="11"/>
  <c r="AS33" i="11"/>
  <c r="AD30" i="11"/>
  <c r="AD96" i="11" s="1"/>
  <c r="AT30" i="11"/>
  <c r="H53" i="2"/>
  <c r="AJ31" i="11"/>
  <c r="AJ83" i="11" s="1"/>
  <c r="AJ32" i="11"/>
  <c r="AJ97" i="11" s="1"/>
  <c r="AB6" i="10"/>
  <c r="S7" i="10"/>
  <c r="AN7" i="10"/>
  <c r="AE8" i="10"/>
  <c r="Z9" i="10"/>
  <c r="AD10" i="10"/>
  <c r="X11" i="10"/>
  <c r="AN19" i="11"/>
  <c r="AS28" i="11"/>
  <c r="AF31" i="11"/>
  <c r="AF83" i="11" s="1"/>
  <c r="AN30" i="11"/>
  <c r="AN96" i="11" s="1"/>
  <c r="AL27" i="11"/>
  <c r="Q19" i="10"/>
  <c r="W20" i="11"/>
  <c r="R20" i="10"/>
  <c r="X21" i="11"/>
  <c r="Z18" i="10"/>
  <c r="AF17" i="11"/>
  <c r="Z13" i="10"/>
  <c r="AF14" i="11"/>
  <c r="R9" i="10"/>
  <c r="X10" i="11"/>
  <c r="X95" i="11" s="1"/>
  <c r="X100" i="11" s="1"/>
  <c r="AH9" i="10"/>
  <c r="AN10" i="11"/>
  <c r="AN95" i="11" s="1"/>
  <c r="AM19" i="11"/>
  <c r="S16" i="10"/>
  <c r="Y18" i="11"/>
  <c r="AI16" i="10"/>
  <c r="AO18" i="11"/>
  <c r="M18" i="10"/>
  <c r="S17" i="11"/>
  <c r="AC18" i="10"/>
  <c r="AI17" i="11"/>
  <c r="M13" i="10"/>
  <c r="S14" i="11"/>
  <c r="AC13" i="10"/>
  <c r="AI14" i="11"/>
  <c r="H21" i="2"/>
  <c r="AB9" i="11"/>
  <c r="W12" i="10"/>
  <c r="AC13" i="11"/>
  <c r="AM12" i="10"/>
  <c r="AS13" i="11"/>
  <c r="X8" i="10"/>
  <c r="AD8" i="11"/>
  <c r="AN8" i="10"/>
  <c r="AT8" i="11"/>
  <c r="C110" i="11" s="1"/>
  <c r="K8" i="11" s="1"/>
  <c r="Y10" i="10"/>
  <c r="AE12" i="11"/>
  <c r="W11" i="10"/>
  <c r="AC11" i="11"/>
  <c r="AM11" i="10"/>
  <c r="AS11" i="1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3" i="11" s="1"/>
  <c r="AK32" i="11"/>
  <c r="AK97" i="11" s="1"/>
  <c r="H97" i="2"/>
  <c r="J6" i="10"/>
  <c r="AC6" i="10"/>
  <c r="T7" i="10"/>
  <c r="J8" i="10"/>
  <c r="AG8" i="10"/>
  <c r="AA9" i="10"/>
  <c r="AE10" i="10"/>
  <c r="AC11" i="10"/>
  <c r="Y17" i="11"/>
  <c r="AD29" i="11"/>
  <c r="AE7" i="10"/>
  <c r="AK9" i="11"/>
  <c r="AT31" i="11"/>
  <c r="AT83" i="11" s="1"/>
  <c r="AT32" i="11"/>
  <c r="J10" i="10"/>
  <c r="P12" i="11"/>
  <c r="AE33" i="11"/>
  <c r="P30" i="11"/>
  <c r="P96" i="11" s="1"/>
  <c r="P100" i="11" s="1"/>
  <c r="AF30" i="11"/>
  <c r="AF96" i="11" s="1"/>
  <c r="AO34" i="11"/>
  <c r="AD27" i="11"/>
  <c r="AT27" i="11"/>
  <c r="AL31" i="11"/>
  <c r="AL83" i="11" s="1"/>
  <c r="AL32" i="11"/>
  <c r="AL97" i="11" s="1"/>
  <c r="K6" i="10"/>
  <c r="AE6" i="10"/>
  <c r="U7" i="10"/>
  <c r="L8" i="10"/>
  <c r="AH8" i="10"/>
  <c r="AC9" i="10"/>
  <c r="AF10" i="10"/>
  <c r="AE11" i="10"/>
  <c r="P9" i="11"/>
  <c r="W18" i="11"/>
  <c r="AO17" i="11"/>
  <c r="AT29" i="11"/>
  <c r="C129" i="11" s="1"/>
  <c r="K29" i="11" s="1"/>
  <c r="Z17" i="10"/>
  <c r="AF19" i="11"/>
  <c r="L16" i="10"/>
  <c r="R18" i="11"/>
  <c r="N20" i="10"/>
  <c r="T21" i="11"/>
  <c r="V19" i="10"/>
  <c r="AB20" i="11"/>
  <c r="W9" i="10"/>
  <c r="AC10" i="11"/>
  <c r="AC95" i="11" s="1"/>
  <c r="AM9" i="10"/>
  <c r="AS10" i="11"/>
  <c r="AS95" i="11" s="1"/>
  <c r="K10" i="10"/>
  <c r="Q12" i="11"/>
  <c r="AA10" i="10"/>
  <c r="AG12" i="11"/>
  <c r="Y11" i="10"/>
  <c r="AE11" i="11"/>
  <c r="AD28" i="11"/>
  <c r="AT28" i="11"/>
  <c r="C127" i="11" s="1"/>
  <c r="K28" i="11" s="1"/>
  <c r="AE29" i="11"/>
  <c r="P33" i="11"/>
  <c r="AF33" i="11"/>
  <c r="Q30" i="11"/>
  <c r="Q96" i="11" s="1"/>
  <c r="Q100" i="11" s="1"/>
  <c r="AG30" i="11"/>
  <c r="AG96" i="11" s="1"/>
  <c r="AG100" i="11" s="1"/>
  <c r="AP34" i="11"/>
  <c r="H55" i="2"/>
  <c r="H59" i="2"/>
  <c r="AE27" i="11"/>
  <c r="AM31" i="11"/>
  <c r="AM83" i="11" s="1"/>
  <c r="AM32" i="11"/>
  <c r="AM97" i="11" s="1"/>
  <c r="L6" i="10"/>
  <c r="AF6" i="10"/>
  <c r="V7" i="10"/>
  <c r="M8" i="10"/>
  <c r="AJ8" i="10"/>
  <c r="AD9" i="10"/>
  <c r="AM10" i="10"/>
  <c r="AF11" i="10"/>
  <c r="AG17" i="10"/>
  <c r="AF9" i="11"/>
  <c r="AM18" i="11"/>
  <c r="Z20" i="11"/>
  <c r="AE30" i="11"/>
  <c r="AE96" i="11" s="1"/>
  <c r="H15" i="2"/>
  <c r="V18" i="10"/>
  <c r="AB17" i="11"/>
  <c r="E25" i="2"/>
  <c r="U19" i="10"/>
  <c r="AA20" i="11"/>
  <c r="AD18" i="10"/>
  <c r="AJ17" i="11"/>
  <c r="W7" i="10"/>
  <c r="AC9" i="11"/>
  <c r="W20" i="10"/>
  <c r="AC21" i="11"/>
  <c r="AL16" i="10"/>
  <c r="AR18" i="11"/>
  <c r="AM19" i="10"/>
  <c r="AS20" i="11"/>
  <c r="P18" i="10"/>
  <c r="V17" i="11"/>
  <c r="AF18" i="10"/>
  <c r="AL17" i="11"/>
  <c r="J12" i="10"/>
  <c r="P13" i="11"/>
  <c r="Z12" i="10"/>
  <c r="AF13" i="11"/>
  <c r="Z11" i="10"/>
  <c r="AF11" i="11"/>
  <c r="AE28" i="11"/>
  <c r="P29" i="11"/>
  <c r="AF29" i="11"/>
  <c r="Q33" i="11"/>
  <c r="AG33" i="11"/>
  <c r="R30" i="11"/>
  <c r="R96" i="11" s="1"/>
  <c r="AH30" i="11"/>
  <c r="AH96" i="11" s="1"/>
  <c r="AQ34" i="11"/>
  <c r="H58" i="2"/>
  <c r="AN31" i="11"/>
  <c r="AN83" i="11" s="1"/>
  <c r="AN32" i="11"/>
  <c r="AN97" i="11" s="1"/>
  <c r="H110" i="2"/>
  <c r="M6" i="10"/>
  <c r="X7" i="10"/>
  <c r="N8" i="10"/>
  <c r="AK8" i="10"/>
  <c r="AE9" i="10"/>
  <c r="AN11" i="10"/>
  <c r="R18" i="10"/>
  <c r="Q8" i="11"/>
  <c r="AP20" i="11"/>
  <c r="V20" i="10"/>
  <c r="AB21" i="11"/>
  <c r="AK17" i="10"/>
  <c r="AQ19" i="11"/>
  <c r="W16" i="10"/>
  <c r="AC18" i="11"/>
  <c r="AM16" i="10"/>
  <c r="AS18" i="11"/>
  <c r="X19" i="10"/>
  <c r="AD20" i="11"/>
  <c r="AN19" i="10"/>
  <c r="AT20" i="11"/>
  <c r="Y20" i="10"/>
  <c r="AE21" i="11"/>
  <c r="Q18" i="10"/>
  <c r="W17" i="11"/>
  <c r="AG18" i="10"/>
  <c r="AM17" i="11"/>
  <c r="Q13" i="10"/>
  <c r="W14" i="11"/>
  <c r="AG13" i="10"/>
  <c r="AM14" i="11"/>
  <c r="Y9" i="10"/>
  <c r="AE10" i="11"/>
  <c r="AE95" i="11" s="1"/>
  <c r="K12" i="10"/>
  <c r="Q13" i="11"/>
  <c r="AA12" i="10"/>
  <c r="AG13" i="11"/>
  <c r="N6" i="10"/>
  <c r="T7" i="11"/>
  <c r="AD6" i="10"/>
  <c r="AJ7" i="11"/>
  <c r="AA11" i="10"/>
  <c r="AG11" i="11"/>
  <c r="P28" i="11"/>
  <c r="AF28" i="11"/>
  <c r="Q29" i="11"/>
  <c r="AG29" i="11"/>
  <c r="S30" i="11"/>
  <c r="S96" i="11" s="1"/>
  <c r="S100" i="11" s="1"/>
  <c r="AI30" i="11"/>
  <c r="AI96" i="11" s="1"/>
  <c r="AI100" i="11" s="1"/>
  <c r="AR34" i="11"/>
  <c r="Q27" i="11"/>
  <c r="AG27" i="11"/>
  <c r="AO31" i="11"/>
  <c r="AO83" i="11" s="1"/>
  <c r="AO32" i="11"/>
  <c r="AO97" i="11" s="1"/>
  <c r="O6" i="10"/>
  <c r="AI6" i="10"/>
  <c r="Y7" i="10"/>
  <c r="O8" i="10"/>
  <c r="AM8" i="10"/>
  <c r="AF9" i="10"/>
  <c r="N12" i="10"/>
  <c r="P16" i="10"/>
  <c r="AH18" i="10"/>
  <c r="AG8" i="11"/>
  <c r="AA21" i="11"/>
  <c r="T16" i="10"/>
  <c r="Z18" i="11"/>
  <c r="N18" i="10"/>
  <c r="T17" i="11"/>
  <c r="AM7" i="10"/>
  <c r="AS9" i="11"/>
  <c r="AL19" i="10"/>
  <c r="AR20" i="11"/>
  <c r="H8" i="2"/>
  <c r="V17" i="10"/>
  <c r="AB19" i="11"/>
  <c r="L12" i="10"/>
  <c r="R13" i="11"/>
  <c r="AB12" i="10"/>
  <c r="AH13" i="11"/>
  <c r="AB11" i="10"/>
  <c r="AH11" i="11"/>
  <c r="Q28" i="11"/>
  <c r="AG28" i="11"/>
  <c r="R29" i="11"/>
  <c r="AH29" i="11"/>
  <c r="S33" i="11"/>
  <c r="AI33" i="11"/>
  <c r="T30" i="11"/>
  <c r="T96" i="11" s="1"/>
  <c r="T100" i="11" s="1"/>
  <c r="AJ30" i="11"/>
  <c r="AJ96" i="11" s="1"/>
  <c r="H42" i="2"/>
  <c r="H51" i="2"/>
  <c r="R27" i="11"/>
  <c r="AH27" i="11"/>
  <c r="H77" i="2"/>
  <c r="AP31" i="11"/>
  <c r="AP83" i="11" s="1"/>
  <c r="AP32" i="11"/>
  <c r="AP97" i="11" s="1"/>
  <c r="H89" i="2"/>
  <c r="H109" i="2"/>
  <c r="P6" i="10"/>
  <c r="AJ6" i="10"/>
  <c r="AA7" i="10"/>
  <c r="Q8" i="10"/>
  <c r="J9" i="10"/>
  <c r="AK9" i="10"/>
  <c r="P12" i="10"/>
  <c r="AF16" i="10"/>
  <c r="S19" i="10"/>
  <c r="R10" i="11"/>
  <c r="R95" i="11" s="1"/>
  <c r="AJ11" i="11"/>
  <c r="AF12" i="10"/>
  <c r="AL13" i="11"/>
  <c r="AK28" i="11"/>
  <c r="AJ16" i="10"/>
  <c r="AP18" i="11"/>
  <c r="N13" i="10"/>
  <c r="T14" i="11"/>
  <c r="AN12" i="10"/>
  <c r="AT13" i="11"/>
  <c r="C114" i="11" s="1"/>
  <c r="K13" i="11" s="1"/>
  <c r="U16" i="10"/>
  <c r="AA18" i="11"/>
  <c r="AE18" i="10"/>
  <c r="AK17" i="11"/>
  <c r="AJ17" i="10"/>
  <c r="AP19" i="11"/>
  <c r="V16" i="10"/>
  <c r="AB18" i="11"/>
  <c r="W19" i="10"/>
  <c r="AC20" i="11"/>
  <c r="X20" i="10"/>
  <c r="AD21" i="11"/>
  <c r="AL17" i="10"/>
  <c r="AR19" i="11"/>
  <c r="X16" i="10"/>
  <c r="AD18" i="11"/>
  <c r="AN16" i="10"/>
  <c r="AT18" i="11"/>
  <c r="Y19" i="10"/>
  <c r="AE20" i="11"/>
  <c r="Z20" i="10"/>
  <c r="AF21" i="11"/>
  <c r="AM17" i="10"/>
  <c r="AS19" i="11"/>
  <c r="S13" i="10"/>
  <c r="Y14" i="11"/>
  <c r="M12" i="10"/>
  <c r="S13" i="11"/>
  <c r="AC12" i="10"/>
  <c r="AI13" i="11"/>
  <c r="R28" i="11"/>
  <c r="AH28" i="11"/>
  <c r="S29" i="11"/>
  <c r="AI29" i="11"/>
  <c r="T33" i="11"/>
  <c r="AJ33" i="11"/>
  <c r="U30" i="11"/>
  <c r="U96" i="11" s="1"/>
  <c r="U100" i="11" s="1"/>
  <c r="AK30" i="11"/>
  <c r="AK96" i="11" s="1"/>
  <c r="AT34" i="11"/>
  <c r="C132" i="11" s="1"/>
  <c r="K34" i="11" s="1"/>
  <c r="H41" i="2"/>
  <c r="S27" i="11"/>
  <c r="AI27" i="11"/>
  <c r="H76" i="2"/>
  <c r="AB39" i="11"/>
  <c r="AQ31" i="11"/>
  <c r="AQ83" i="11" s="1"/>
  <c r="H82" i="2"/>
  <c r="AQ32" i="11"/>
  <c r="AQ97" i="11" s="1"/>
  <c r="AQ100" i="11" s="1"/>
  <c r="H88" i="2"/>
  <c r="H8" i="10"/>
  <c r="R6" i="10"/>
  <c r="AK6" i="10"/>
  <c r="AB7" i="10"/>
  <c r="R8" i="10"/>
  <c r="K9" i="10"/>
  <c r="AL9" i="10"/>
  <c r="Q12" i="10"/>
  <c r="AI19" i="10"/>
  <c r="AH10" i="11"/>
  <c r="AH95" i="11" s="1"/>
  <c r="AH100" i="11" s="1"/>
  <c r="U13" i="11"/>
  <c r="AH10" i="10"/>
  <c r="AN12" i="11"/>
  <c r="W33" i="11"/>
  <c r="H19" i="2"/>
  <c r="AB10" i="11"/>
  <c r="AB95" i="11" s="1"/>
  <c r="Z10" i="10"/>
  <c r="AF12" i="11"/>
  <c r="AI17" i="10"/>
  <c r="AO19" i="11"/>
  <c r="AK16" i="10"/>
  <c r="AQ18" i="11"/>
  <c r="O18" i="10"/>
  <c r="U17" i="11"/>
  <c r="W17" i="10"/>
  <c r="AC19" i="11"/>
  <c r="Y16" i="10"/>
  <c r="AE18" i="11"/>
  <c r="J19" i="10"/>
  <c r="P20" i="11"/>
  <c r="Z19" i="10"/>
  <c r="AF20" i="11"/>
  <c r="K20" i="10"/>
  <c r="Q21" i="11"/>
  <c r="AA20" i="10"/>
  <c r="AG21" i="11"/>
  <c r="X17" i="10"/>
  <c r="AD19" i="11"/>
  <c r="AN17" i="10"/>
  <c r="AT19" i="11"/>
  <c r="J16" i="10"/>
  <c r="P18" i="11"/>
  <c r="Z16" i="10"/>
  <c r="AF18" i="11"/>
  <c r="K19" i="10"/>
  <c r="Q20" i="11"/>
  <c r="AA19" i="10"/>
  <c r="AG20" i="11"/>
  <c r="L20" i="10"/>
  <c r="R21" i="11"/>
  <c r="AB20" i="10"/>
  <c r="AH21" i="11"/>
  <c r="T18" i="10"/>
  <c r="Z17" i="11"/>
  <c r="AJ18" i="10"/>
  <c r="AP17" i="11"/>
  <c r="T13" i="10"/>
  <c r="Z14" i="11"/>
  <c r="Q6" i="10"/>
  <c r="W7" i="11"/>
  <c r="AG6" i="10"/>
  <c r="AM7" i="11"/>
  <c r="S28" i="11"/>
  <c r="AI28" i="11"/>
  <c r="T29" i="11"/>
  <c r="AJ29" i="11"/>
  <c r="U33" i="11"/>
  <c r="AK33" i="11"/>
  <c r="V30" i="11"/>
  <c r="V96" i="11" s="1"/>
  <c r="V100" i="11" s="1"/>
  <c r="AL30" i="11"/>
  <c r="AL96" i="11" s="1"/>
  <c r="AL100" i="11" s="1"/>
  <c r="K40" i="2"/>
  <c r="T27" i="11"/>
  <c r="AJ27" i="11"/>
  <c r="AB31" i="11"/>
  <c r="AB83" i="11" s="1"/>
  <c r="AR31" i="11"/>
  <c r="AR83" i="11" s="1"/>
  <c r="H87" i="2"/>
  <c r="AB32" i="11"/>
  <c r="AB97" i="11" s="1"/>
  <c r="AR32" i="11"/>
  <c r="AR97" i="11" s="1"/>
  <c r="L45" i="9"/>
  <c r="S6" i="10"/>
  <c r="AM6" i="10"/>
  <c r="AC7" i="10"/>
  <c r="T8" i="10"/>
  <c r="M9" i="10"/>
  <c r="AN9" i="10"/>
  <c r="Y12" i="10"/>
  <c r="T20" i="10"/>
  <c r="S12" i="11"/>
  <c r="AK13" i="11"/>
  <c r="U28" i="11"/>
  <c r="AD31" i="11"/>
  <c r="AD83" i="11" s="1"/>
  <c r="AK19" i="10"/>
  <c r="AQ20" i="11"/>
  <c r="AD13" i="10"/>
  <c r="AJ14" i="11"/>
  <c r="X12" i="10"/>
  <c r="AD13" i="11"/>
  <c r="J20" i="10"/>
  <c r="P21" i="11"/>
  <c r="Y17" i="10"/>
  <c r="AE19" i="11"/>
  <c r="H9" i="2"/>
  <c r="K16" i="10"/>
  <c r="Q18" i="11"/>
  <c r="AA16" i="10"/>
  <c r="AG18" i="11"/>
  <c r="L19" i="10"/>
  <c r="R20" i="11"/>
  <c r="AB19" i="10"/>
  <c r="AH20" i="11"/>
  <c r="M20" i="10"/>
  <c r="S21" i="11"/>
  <c r="AC20" i="10"/>
  <c r="AI21" i="11"/>
  <c r="U18" i="10"/>
  <c r="AA17" i="11"/>
  <c r="AK18" i="10"/>
  <c r="AQ17" i="11"/>
  <c r="U13" i="10"/>
  <c r="AA14" i="11"/>
  <c r="P8" i="10"/>
  <c r="V8" i="11"/>
  <c r="AF8" i="10"/>
  <c r="AL8" i="11"/>
  <c r="Q10" i="10"/>
  <c r="W12" i="11"/>
  <c r="AG10" i="10"/>
  <c r="AM12" i="11"/>
  <c r="AN7" i="11"/>
  <c r="T28" i="11"/>
  <c r="AJ28" i="11"/>
  <c r="U29" i="11"/>
  <c r="AK29" i="11"/>
  <c r="V33" i="11"/>
  <c r="AL33" i="11"/>
  <c r="W30" i="11"/>
  <c r="W96" i="11" s="1"/>
  <c r="AM30" i="11"/>
  <c r="AM96" i="11" s="1"/>
  <c r="H43" i="2"/>
  <c r="U27" i="11"/>
  <c r="AK27" i="11"/>
  <c r="AC31" i="11"/>
  <c r="AC83" i="11" s="1"/>
  <c r="AS31" i="11"/>
  <c r="AS83" i="11" s="1"/>
  <c r="AC32" i="11"/>
  <c r="AC97" i="11" s="1"/>
  <c r="AS32" i="11"/>
  <c r="AS97" i="11" s="1"/>
  <c r="H91" i="2"/>
  <c r="T6" i="10"/>
  <c r="AN6" i="10"/>
  <c r="AD7" i="10"/>
  <c r="U8" i="10"/>
  <c r="N9" i="10"/>
  <c r="L10" i="10"/>
  <c r="AD12" i="10"/>
  <c r="AI12" i="11"/>
  <c r="V14" i="11"/>
  <c r="R5" i="11"/>
  <c r="M45" i="9"/>
  <c r="H13" i="10"/>
  <c r="B44" i="9"/>
  <c r="I43" i="9"/>
  <c r="N43" i="9"/>
  <c r="H12" i="10"/>
  <c r="B28" i="9"/>
  <c r="L42" i="9"/>
  <c r="B35" i="9"/>
  <c r="B34" i="9"/>
  <c r="B33" i="9"/>
  <c r="H11" i="10"/>
  <c r="B31" i="9"/>
  <c r="B29" i="9"/>
  <c r="H10" i="10"/>
  <c r="G44" i="9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B32" i="9"/>
  <c r="B30" i="9"/>
  <c r="B45" i="9"/>
  <c r="B38" i="9"/>
  <c r="M41" i="9"/>
  <c r="N41" i="9"/>
  <c r="H7" i="10"/>
  <c r="G39" i="9"/>
  <c r="K41" i="9"/>
  <c r="L41" i="9"/>
  <c r="O41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L127" i="2" s="1"/>
  <c r="I127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N127" i="2" s="1"/>
  <c r="P127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E127" i="2" s="1"/>
  <c r="K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F100" i="11" l="1"/>
  <c r="AD100" i="11"/>
  <c r="R100" i="11"/>
  <c r="AE100" i="11"/>
  <c r="AJ100" i="11"/>
  <c r="Z100" i="11"/>
  <c r="AN100" i="11"/>
  <c r="AR100" i="11"/>
  <c r="AS100" i="11"/>
  <c r="AO100" i="11"/>
  <c r="AC100" i="11"/>
  <c r="AK100" i="11"/>
  <c r="AB100" i="11"/>
  <c r="AP100" i="11"/>
  <c r="AM100" i="11"/>
  <c r="W100" i="11"/>
  <c r="C130" i="11"/>
  <c r="K32" i="11" s="1"/>
  <c r="K97" i="11" s="1"/>
  <c r="AT97" i="11"/>
  <c r="C133" i="11"/>
  <c r="K30" i="11" s="1"/>
  <c r="K96" i="11" s="1"/>
  <c r="AT96" i="11"/>
  <c r="AT100" i="11" s="1"/>
  <c r="AJ24" i="8"/>
  <c r="V24" i="8"/>
  <c r="AL24" i="8"/>
  <c r="X24" i="8"/>
  <c r="AN24" i="8"/>
  <c r="Y24" i="8"/>
  <c r="AH24" i="8"/>
  <c r="AO24" i="8"/>
  <c r="Z24" i="8"/>
  <c r="AL22" i="11"/>
  <c r="T22" i="11"/>
  <c r="AA22" i="11"/>
  <c r="S24" i="8"/>
  <c r="AI24" i="8"/>
  <c r="T24" i="8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J41" i="9"/>
  <c r="AH62" i="11"/>
  <c r="AS62" i="11"/>
  <c r="AR62" i="11"/>
  <c r="AC62" i="11"/>
  <c r="I41" i="9"/>
  <c r="AN62" i="11"/>
  <c r="AG62" i="11"/>
  <c r="AK62" i="11"/>
  <c r="AO62" i="11"/>
  <c r="AM62" i="11"/>
  <c r="AT62" i="11"/>
  <c r="AP62" i="11"/>
  <c r="AL62" i="11"/>
  <c r="AI62" i="11"/>
  <c r="AE62" i="11"/>
  <c r="G42" i="9"/>
  <c r="AF62" i="11"/>
  <c r="AB62" i="11"/>
  <c r="U79" i="2"/>
  <c r="AK79" i="2"/>
  <c r="AA100" i="2"/>
  <c r="AB42" i="11"/>
  <c r="Q40" i="9"/>
  <c r="AD21" i="10"/>
  <c r="H43" i="9"/>
  <c r="P38" i="9"/>
  <c r="I40" i="9"/>
  <c r="AE15" i="11"/>
  <c r="J40" i="9"/>
  <c r="F27" i="8"/>
  <c r="R21" i="10"/>
  <c r="H40" i="9"/>
  <c r="N21" i="10"/>
  <c r="S14" i="10"/>
  <c r="K40" i="9"/>
  <c r="Z21" i="10"/>
  <c r="P40" i="9"/>
  <c r="K14" i="10"/>
  <c r="O40" i="9"/>
  <c r="P21" i="10"/>
  <c r="Y36" i="11"/>
  <c r="AL15" i="11"/>
  <c r="U36" i="11"/>
  <c r="P36" i="11"/>
  <c r="K45" i="9"/>
  <c r="AL14" i="10"/>
  <c r="AJ21" i="10"/>
  <c r="AN21" i="10"/>
  <c r="G43" i="9"/>
  <c r="R40" i="9"/>
  <c r="O21" i="10"/>
  <c r="AI14" i="10"/>
  <c r="O42" i="9"/>
  <c r="Z36" i="11"/>
  <c r="P42" i="9"/>
  <c r="AG36" i="11"/>
  <c r="AF36" i="11"/>
  <c r="Q36" i="11"/>
  <c r="AD36" i="11"/>
  <c r="U15" i="1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AK36" i="11"/>
  <c r="S36" i="11"/>
  <c r="AE21" i="10"/>
  <c r="AJ14" i="10"/>
  <c r="M14" i="10"/>
  <c r="Q14" i="10"/>
  <c r="Q15" i="11"/>
  <c r="W14" i="10"/>
  <c r="Q41" i="9"/>
  <c r="AG15" i="11"/>
  <c r="AP15" i="11"/>
  <c r="AM21" i="10"/>
  <c r="N40" i="9"/>
  <c r="AI21" i="10"/>
  <c r="O14" i="10"/>
  <c r="O23" i="10" s="1"/>
  <c r="W21" i="10"/>
  <c r="Q21" i="10"/>
  <c r="AI15" i="11"/>
  <c r="AL21" i="10"/>
  <c r="AK21" i="10"/>
  <c r="T15" i="11"/>
  <c r="AN14" i="10"/>
  <c r="P14" i="10"/>
  <c r="AA21" i="10"/>
  <c r="K21" i="10"/>
  <c r="L40" i="9"/>
  <c r="AD15" i="11"/>
  <c r="G45" i="9"/>
  <c r="L21" i="10"/>
  <c r="S21" i="10"/>
  <c r="I27" i="8"/>
  <c r="AE14" i="10"/>
  <c r="G38" i="9"/>
  <c r="AC21" i="10"/>
  <c r="M21" i="10"/>
  <c r="Y15" i="11"/>
  <c r="P41" i="9"/>
  <c r="R15" i="11"/>
  <c r="T21" i="10"/>
  <c r="C111" i="11"/>
  <c r="AF14" i="10"/>
  <c r="AA15" i="11"/>
  <c r="D27" i="8"/>
  <c r="AG14" i="10"/>
  <c r="C27" i="8"/>
  <c r="AF21" i="10"/>
  <c r="AA14" i="10"/>
  <c r="J14" i="10"/>
  <c r="AR15" i="11"/>
  <c r="AO15" i="11"/>
  <c r="X15" i="11"/>
  <c r="AQ15" i="11"/>
  <c r="Z15" i="11"/>
  <c r="G27" i="8"/>
  <c r="U21" i="10"/>
  <c r="Y14" i="10"/>
  <c r="X21" i="10"/>
  <c r="AK14" i="10"/>
  <c r="Y21" i="10"/>
  <c r="AM14" i="10"/>
  <c r="AC14" i="10"/>
  <c r="AF15" i="11"/>
  <c r="AB15" i="11"/>
  <c r="AH15" i="11"/>
  <c r="AG21" i="10"/>
  <c r="AB21" i="10"/>
  <c r="AH14" i="10"/>
  <c r="AN15" i="11"/>
  <c r="P15" i="11"/>
  <c r="T14" i="10"/>
  <c r="AM15" i="11"/>
  <c r="U14" i="10"/>
  <c r="R14" i="10"/>
  <c r="Q44" i="9"/>
  <c r="W15" i="11"/>
  <c r="G41" i="9"/>
  <c r="R41" i="9"/>
  <c r="J21" i="10"/>
  <c r="V15" i="11"/>
  <c r="G40" i="9"/>
  <c r="X14" i="10"/>
  <c r="AC15" i="11"/>
  <c r="S15" i="11"/>
  <c r="Z14" i="10"/>
  <c r="AD14" i="10"/>
  <c r="V14" i="10"/>
  <c r="AH21" i="10"/>
  <c r="Q43" i="9"/>
  <c r="AB14" i="10"/>
  <c r="J27" i="8"/>
  <c r="M38" i="9"/>
  <c r="C120" i="11"/>
  <c r="C123" i="11" s="1"/>
  <c r="N14" i="10"/>
  <c r="AJ15" i="11"/>
  <c r="V21" i="10"/>
  <c r="K33" i="11"/>
  <c r="M40" i="9"/>
  <c r="K44" i="9"/>
  <c r="L44" i="9"/>
  <c r="P43" i="9"/>
  <c r="L14" i="10"/>
  <c r="H41" i="9"/>
  <c r="N38" i="9"/>
  <c r="L38" i="9"/>
  <c r="AT15" i="11"/>
  <c r="L28" i="2"/>
  <c r="AS15" i="1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K16" i="9"/>
  <c r="K34" i="9" s="1"/>
  <c r="J39" i="9"/>
  <c r="I44" i="9"/>
  <c r="P45" i="9"/>
  <c r="H62" i="2"/>
  <c r="Q45" i="9"/>
  <c r="O44" i="9"/>
  <c r="J44" i="9"/>
  <c r="Q42" i="9"/>
  <c r="M43" i="9"/>
  <c r="L16" i="9"/>
  <c r="L29" i="9" s="1"/>
  <c r="R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16" i="9"/>
  <c r="N32" i="9" s="1"/>
  <c r="N42" i="9"/>
  <c r="J16" i="9"/>
  <c r="J28" i="9" s="1"/>
  <c r="J42" i="9"/>
  <c r="O39" i="9"/>
  <c r="P39" i="9"/>
  <c r="R44" i="9"/>
  <c r="O23" i="9"/>
  <c r="R23" i="9"/>
  <c r="M16" i="9"/>
  <c r="M34" i="9" s="1"/>
  <c r="M42" i="9"/>
  <c r="H23" i="9"/>
  <c r="N23" i="9"/>
  <c r="G23" i="9"/>
  <c r="Q16" i="9"/>
  <c r="Q34" i="9" s="1"/>
  <c r="J23" i="9"/>
  <c r="M23" i="9"/>
  <c r="K23" i="9"/>
  <c r="H38" i="9"/>
  <c r="H16" i="9"/>
  <c r="H30" i="9" s="1"/>
  <c r="E16" i="9"/>
  <c r="E35" i="9" s="1"/>
  <c r="H6" i="10"/>
  <c r="H14" i="10" s="1"/>
  <c r="G16" i="9"/>
  <c r="G35" i="9" s="1"/>
  <c r="I45" i="9"/>
  <c r="I38" i="9"/>
  <c r="D18" i="10"/>
  <c r="G12" i="10"/>
  <c r="D17" i="10"/>
  <c r="D16" i="10"/>
  <c r="G17" i="10"/>
  <c r="F20" i="10"/>
  <c r="D19" i="10"/>
  <c r="D20" i="10"/>
  <c r="C16" i="10"/>
  <c r="F7" i="10"/>
  <c r="G7" i="10"/>
  <c r="C12" i="10"/>
  <c r="C17" i="10"/>
  <c r="F10" i="10"/>
  <c r="G18" i="10"/>
  <c r="C13" i="10"/>
  <c r="F6" i="10"/>
  <c r="C19" i="10"/>
  <c r="D7" i="10"/>
  <c r="G11" i="10"/>
  <c r="C20" i="10"/>
  <c r="G8" i="10"/>
  <c r="F8" i="10"/>
  <c r="G19" i="10"/>
  <c r="F19" i="10"/>
  <c r="G13" i="10"/>
  <c r="D9" i="10"/>
  <c r="F18" i="10"/>
  <c r="F13" i="10"/>
  <c r="G16" i="10"/>
  <c r="F12" i="10"/>
  <c r="C6" i="10"/>
  <c r="F11" i="10"/>
  <c r="D10" i="10"/>
  <c r="G9" i="10"/>
  <c r="C11" i="10"/>
  <c r="D8" i="10"/>
  <c r="C7" i="10"/>
  <c r="G6" i="10"/>
  <c r="C18" i="10"/>
  <c r="G20" i="10"/>
  <c r="D6" i="10"/>
  <c r="F16" i="10"/>
  <c r="F9" i="10"/>
  <c r="D13" i="10"/>
  <c r="D12" i="10"/>
  <c r="D11" i="10"/>
  <c r="F17" i="10"/>
  <c r="G10" i="10"/>
  <c r="C10" i="10"/>
  <c r="C9" i="10"/>
  <c r="C8" i="10"/>
  <c r="R38" i="9"/>
  <c r="R16" i="9"/>
  <c r="R29" i="9" s="1"/>
  <c r="Q38" i="9"/>
  <c r="R39" i="9"/>
  <c r="K38" i="9"/>
  <c r="J38" i="9"/>
  <c r="I16" i="9"/>
  <c r="I35" i="9" s="1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K47" i="2" s="1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N128" i="2" s="1"/>
  <c r="P128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L128" i="2" s="1"/>
  <c r="I128" i="2" s="1"/>
  <c r="K10" i="2"/>
  <c r="E112" i="2"/>
  <c r="E128" i="2" s="1"/>
  <c r="K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Q127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K10" i="11" l="1"/>
  <c r="K95" i="11" s="1"/>
  <c r="AD23" i="10"/>
  <c r="AM101" i="2"/>
  <c r="P48" i="2"/>
  <c r="AE24" i="11"/>
  <c r="AE64" i="11" s="1"/>
  <c r="K23" i="10"/>
  <c r="R23" i="10"/>
  <c r="N23" i="10"/>
  <c r="Z23" i="10"/>
  <c r="S23" i="10"/>
  <c r="K28" i="9"/>
  <c r="P23" i="10"/>
  <c r="AJ23" i="10"/>
  <c r="AM23" i="10"/>
  <c r="AN23" i="10"/>
  <c r="Y24" i="11"/>
  <c r="Y64" i="11" s="1"/>
  <c r="P24" i="11"/>
  <c r="P64" i="11" s="1"/>
  <c r="Q23" i="10"/>
  <c r="W23" i="10"/>
  <c r="AH24" i="11"/>
  <c r="AH64" i="11" s="1"/>
  <c r="M23" i="10"/>
  <c r="AG23" i="10"/>
  <c r="AL24" i="11"/>
  <c r="AL64" i="11" s="1"/>
  <c r="U23" i="10"/>
  <c r="AL23" i="10"/>
  <c r="AC23" i="10"/>
  <c r="G46" i="9"/>
  <c r="U24" i="11"/>
  <c r="U64" i="11" s="1"/>
  <c r="K27" i="11"/>
  <c r="AB23" i="10"/>
  <c r="AI24" i="11"/>
  <c r="AI64" i="11" s="1"/>
  <c r="AG24" i="11"/>
  <c r="AG64" i="11" s="1"/>
  <c r="AJ24" i="11"/>
  <c r="AJ64" i="11" s="1"/>
  <c r="AE23" i="10"/>
  <c r="T23" i="10"/>
  <c r="AI23" i="10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L23" i="10"/>
  <c r="AA24" i="11"/>
  <c r="AA64" i="11" s="1"/>
  <c r="Y23" i="10"/>
  <c r="AK23" i="10"/>
  <c r="AA23" i="10"/>
  <c r="W24" i="11"/>
  <c r="W64" i="11" s="1"/>
  <c r="X23" i="10"/>
  <c r="AF24" i="11"/>
  <c r="AF64" i="11" s="1"/>
  <c r="O34" i="9"/>
  <c r="L32" i="9"/>
  <c r="AS24" i="11"/>
  <c r="AS64" i="11" s="1"/>
  <c r="AF23" i="10"/>
  <c r="AN24" i="11"/>
  <c r="AN64" i="11" s="1"/>
  <c r="AR24" i="11"/>
  <c r="AR64" i="11" s="1"/>
  <c r="J23" i="10"/>
  <c r="AC24" i="11"/>
  <c r="AC64" i="11" s="1"/>
  <c r="V23" i="10"/>
  <c r="AH23" i="10"/>
  <c r="AM24" i="11"/>
  <c r="AM64" i="11" s="1"/>
  <c r="K32" i="9"/>
  <c r="K30" i="9"/>
  <c r="K33" i="9"/>
  <c r="K35" i="9"/>
  <c r="K29" i="9"/>
  <c r="K31" i="9"/>
  <c r="K25" i="9"/>
  <c r="K17" i="11"/>
  <c r="K46" i="9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L46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Q31" i="9"/>
  <c r="E28" i="9"/>
  <c r="E30" i="9"/>
  <c r="Q25" i="9"/>
  <c r="E33" i="9"/>
  <c r="Q35" i="9"/>
  <c r="E29" i="9"/>
  <c r="Q30" i="9"/>
  <c r="E34" i="9"/>
  <c r="E31" i="9"/>
  <c r="Q33" i="9"/>
  <c r="Q28" i="9"/>
  <c r="E32" i="9"/>
  <c r="Q32" i="9"/>
  <c r="Q29" i="9"/>
  <c r="I32" i="9"/>
  <c r="R34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I33" i="9"/>
  <c r="I30" i="9"/>
  <c r="P32" i="9"/>
  <c r="R46" i="9"/>
  <c r="R31" i="9"/>
  <c r="R28" i="9"/>
  <c r="R25" i="9"/>
  <c r="R33" i="9"/>
  <c r="R30" i="9"/>
  <c r="P33" i="9"/>
  <c r="R32" i="9"/>
  <c r="F21" i="10"/>
  <c r="D14" i="10"/>
  <c r="C14" i="10"/>
  <c r="C21" i="10"/>
  <c r="G21" i="10"/>
  <c r="F14" i="10"/>
  <c r="G14" i="10"/>
  <c r="D21" i="10"/>
  <c r="P31" i="9"/>
  <c r="I34" i="9"/>
  <c r="I28" i="9"/>
  <c r="P28" i="9"/>
  <c r="I25" i="9"/>
  <c r="P34" i="9"/>
  <c r="P25" i="9"/>
  <c r="I46" i="9"/>
  <c r="P35" i="9"/>
  <c r="Q46" i="9"/>
  <c r="P30" i="9"/>
  <c r="I29" i="2"/>
  <c r="N122" i="2" s="1"/>
  <c r="P122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L129" i="2" s="1"/>
  <c r="I129" i="2" s="1"/>
  <c r="I100" i="2"/>
  <c r="F79" i="2"/>
  <c r="F100" i="2"/>
  <c r="T101" i="2"/>
  <c r="K79" i="2"/>
  <c r="U102" i="2"/>
  <c r="U114" i="2" s="1"/>
  <c r="I113" i="2"/>
  <c r="N129" i="2" s="1"/>
  <c r="P129" i="2" s="1"/>
  <c r="K100" i="2"/>
  <c r="E113" i="2"/>
  <c r="E129" i="2" s="1"/>
  <c r="K129" i="2" s="1"/>
  <c r="L100" i="2"/>
  <c r="AG101" i="2"/>
  <c r="AG102" i="2" s="1"/>
  <c r="AG114" i="2" s="1"/>
  <c r="L113" i="2"/>
  <c r="I47" i="2"/>
  <c r="N123" i="2" s="1"/>
  <c r="P123" i="2" s="1"/>
  <c r="Z48" i="2"/>
  <c r="F29" i="2"/>
  <c r="L122" i="2" s="1"/>
  <c r="I122" i="2" s="1"/>
  <c r="K113" i="2"/>
  <c r="L47" i="2"/>
  <c r="F47" i="2"/>
  <c r="L123" i="2" s="1"/>
  <c r="I123" i="2" s="1"/>
  <c r="T48" i="2"/>
  <c r="E48" i="2" s="1"/>
  <c r="E124" i="2" s="1"/>
  <c r="K124" i="2" s="1"/>
  <c r="K29" i="2"/>
  <c r="E29" i="2"/>
  <c r="E122" i="2" s="1"/>
  <c r="K122" i="2" s="1"/>
  <c r="E47" i="2"/>
  <c r="E123" i="2" s="1"/>
  <c r="K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Q128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K15" i="11" l="1"/>
  <c r="K22" i="11"/>
  <c r="Y67" i="11"/>
  <c r="Y65" i="11"/>
  <c r="Z67" i="11"/>
  <c r="Z65" i="11"/>
  <c r="V67" i="11"/>
  <c r="V65" i="11"/>
  <c r="S67" i="11"/>
  <c r="S65" i="11"/>
  <c r="P67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7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7" i="11"/>
  <c r="AH65" i="11"/>
  <c r="AN67" i="11"/>
  <c r="AN65" i="11"/>
  <c r="AF67" i="11"/>
  <c r="AF65" i="11"/>
  <c r="X67" i="11"/>
  <c r="X65" i="11"/>
  <c r="AC67" i="11"/>
  <c r="AC65" i="11"/>
  <c r="AQ67" i="11"/>
  <c r="AQ65" i="11"/>
  <c r="AF70" i="11"/>
  <c r="AF74" i="11" s="1"/>
  <c r="AF79" i="11" s="1"/>
  <c r="AH70" i="11"/>
  <c r="AH74" i="11" s="1"/>
  <c r="AH79" i="11" s="1"/>
  <c r="AA70" i="11"/>
  <c r="AA74" i="11" s="1"/>
  <c r="AA79" i="11" s="1"/>
  <c r="S70" i="11"/>
  <c r="S74" i="11" s="1"/>
  <c r="S79" i="11" s="1"/>
  <c r="U70" i="11"/>
  <c r="U74" i="11" s="1"/>
  <c r="U79" i="11" s="1"/>
  <c r="AL70" i="11"/>
  <c r="AL74" i="11" s="1"/>
  <c r="AL79" i="11" s="1"/>
  <c r="AO70" i="11"/>
  <c r="AO74" i="11" s="1"/>
  <c r="AO79" i="11" s="1"/>
  <c r="AE70" i="11"/>
  <c r="AE74" i="11" s="1"/>
  <c r="AE79" i="11" s="1"/>
  <c r="AI70" i="11"/>
  <c r="AI74" i="11" s="1"/>
  <c r="AI79" i="11" s="1"/>
  <c r="AD70" i="11"/>
  <c r="AD74" i="11" s="1"/>
  <c r="AD79" i="11" s="1"/>
  <c r="X70" i="11"/>
  <c r="X74" i="11" s="1"/>
  <c r="X79" i="11" s="1"/>
  <c r="Y70" i="11"/>
  <c r="Y74" i="11" s="1"/>
  <c r="Y79" i="11" s="1"/>
  <c r="W70" i="11"/>
  <c r="W74" i="11" s="1"/>
  <c r="W79" i="11" s="1"/>
  <c r="P70" i="11"/>
  <c r="P74" i="11" s="1"/>
  <c r="P79" i="11" s="1"/>
  <c r="AR70" i="11"/>
  <c r="AR74" i="11" s="1"/>
  <c r="AR79" i="11" s="1"/>
  <c r="AC70" i="11"/>
  <c r="AC74" i="11" s="1"/>
  <c r="AC79" i="11" s="1"/>
  <c r="AN70" i="11"/>
  <c r="AN74" i="11" s="1"/>
  <c r="AN79" i="11" s="1"/>
  <c r="AQ70" i="11"/>
  <c r="AQ74" i="11" s="1"/>
  <c r="AQ79" i="11" s="1"/>
  <c r="AP70" i="11"/>
  <c r="AP74" i="11" s="1"/>
  <c r="AP79" i="11" s="1"/>
  <c r="AT70" i="11"/>
  <c r="AT74" i="11" s="1"/>
  <c r="AT79" i="11" s="1"/>
  <c r="AB70" i="11"/>
  <c r="AB74" i="11" s="1"/>
  <c r="AB79" i="11" s="1"/>
  <c r="V70" i="11"/>
  <c r="V74" i="11" s="1"/>
  <c r="V79" i="11" s="1"/>
  <c r="AG70" i="11"/>
  <c r="AG74" i="11" s="1"/>
  <c r="AG79" i="11" s="1"/>
  <c r="Q70" i="11"/>
  <c r="Q74" i="11" s="1"/>
  <c r="Q79" i="11" s="1"/>
  <c r="AS70" i="11"/>
  <c r="AS74" i="11" s="1"/>
  <c r="AS79" i="11" s="1"/>
  <c r="T70" i="11"/>
  <c r="T74" i="11" s="1"/>
  <c r="T79" i="11" s="1"/>
  <c r="R70" i="11"/>
  <c r="R74" i="11" s="1"/>
  <c r="R79" i="11" s="1"/>
  <c r="AM70" i="11"/>
  <c r="AM74" i="11" s="1"/>
  <c r="AM79" i="11" s="1"/>
  <c r="AK70" i="11"/>
  <c r="AK74" i="11" s="1"/>
  <c r="AK79" i="11" s="1"/>
  <c r="Z70" i="11"/>
  <c r="Z74" i="11" s="1"/>
  <c r="Z79" i="11" s="1"/>
  <c r="AJ70" i="11"/>
  <c r="AJ74" i="11" s="1"/>
  <c r="AJ79" i="11" s="1"/>
  <c r="U5" i="11"/>
  <c r="D23" i="10"/>
  <c r="F23" i="10"/>
  <c r="C23" i="10"/>
  <c r="G23" i="10"/>
  <c r="Q129" i="2"/>
  <c r="H101" i="2"/>
  <c r="F48" i="2"/>
  <c r="L124" i="2" s="1"/>
  <c r="I124" i="2" s="1"/>
  <c r="H48" i="2"/>
  <c r="K48" i="2"/>
  <c r="Q123" i="2"/>
  <c r="K101" i="2"/>
  <c r="T102" i="2"/>
  <c r="I101" i="2"/>
  <c r="N125" i="2" s="1"/>
  <c r="P125" i="2" s="1"/>
  <c r="L101" i="2"/>
  <c r="F101" i="2"/>
  <c r="L125" i="2" s="1"/>
  <c r="I125" i="2" s="1"/>
  <c r="E101" i="2"/>
  <c r="E125" i="2" s="1"/>
  <c r="K125" i="2" s="1"/>
  <c r="L48" i="2"/>
  <c r="AF102" i="2"/>
  <c r="N102" i="2"/>
  <c r="Q122" i="2"/>
  <c r="N124" i="2"/>
  <c r="P124" i="2" s="1"/>
  <c r="AL102" i="2"/>
  <c r="I102" i="2" s="1"/>
  <c r="Z102" i="2"/>
  <c r="K24" i="11" l="1"/>
  <c r="AR80" i="11"/>
  <c r="AM80" i="11"/>
  <c r="AS80" i="11"/>
  <c r="AC80" i="11"/>
  <c r="AJ80" i="11"/>
  <c r="P80" i="11"/>
  <c r="V80" i="11"/>
  <c r="AK80" i="11"/>
  <c r="U80" i="11"/>
  <c r="Z80" i="11"/>
  <c r="S80" i="11"/>
  <c r="X80" i="11"/>
  <c r="AD80" i="11"/>
  <c r="Q80" i="11"/>
  <c r="AL80" i="11"/>
  <c r="W80" i="11"/>
  <c r="Y80" i="11"/>
  <c r="R80" i="11"/>
  <c r="T80" i="11"/>
  <c r="AI80" i="11"/>
  <c r="AE80" i="11"/>
  <c r="AG80" i="11"/>
  <c r="AT80" i="11"/>
  <c r="AH80" i="11"/>
  <c r="AO80" i="11"/>
  <c r="AB80" i="11"/>
  <c r="AP80" i="11"/>
  <c r="AA80" i="11"/>
  <c r="AQ80" i="11"/>
  <c r="AN80" i="11"/>
  <c r="AF80" i="11"/>
  <c r="V5" i="11"/>
  <c r="H102" i="2"/>
  <c r="E102" i="2"/>
  <c r="E126" i="2" s="1"/>
  <c r="K126" i="2" s="1"/>
  <c r="Q125" i="2"/>
  <c r="AF114" i="2"/>
  <c r="L102" i="2"/>
  <c r="T114" i="2"/>
  <c r="K102" i="2"/>
  <c r="F102" i="2"/>
  <c r="L126" i="2" s="1"/>
  <c r="I126" i="2" s="1"/>
  <c r="Q124" i="2"/>
  <c r="N114" i="2"/>
  <c r="Z114" i="2"/>
  <c r="H114" i="2" s="1"/>
  <c r="AL114" i="2"/>
  <c r="N126" i="2"/>
  <c r="P126" i="2" s="1"/>
  <c r="W5" i="11" l="1"/>
  <c r="Q126" i="2"/>
  <c r="I114" i="2"/>
  <c r="N130" i="2" s="1"/>
  <c r="P130" i="2" s="1"/>
  <c r="F114" i="2"/>
  <c r="L130" i="2" s="1"/>
  <c r="I130" i="2" s="1"/>
  <c r="E114" i="2"/>
  <c r="E130" i="2" s="1"/>
  <c r="K130" i="2" s="1"/>
  <c r="K114" i="2"/>
  <c r="L114" i="2"/>
  <c r="X5" i="11" l="1"/>
  <c r="Q130" i="2"/>
  <c r="Y5" i="11" l="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8" i="11" l="1"/>
  <c r="G77" i="11"/>
  <c r="J77" i="11"/>
  <c r="C78" i="11"/>
  <c r="I77" i="11"/>
  <c r="J78" i="11"/>
  <c r="G78" i="11"/>
  <c r="D78" i="11"/>
  <c r="C77" i="11"/>
  <c r="F78" i="11"/>
  <c r="F77" i="11"/>
  <c r="D77" i="11"/>
  <c r="D49" i="11"/>
  <c r="D99" i="11" s="1"/>
  <c r="G49" i="11"/>
  <c r="G99" i="11" s="1"/>
  <c r="F49" i="11"/>
  <c r="F99" i="11" s="1"/>
  <c r="J49" i="11"/>
  <c r="I49" i="11"/>
  <c r="I99" i="11" s="1"/>
  <c r="C49" i="11"/>
  <c r="C99" i="11" s="1"/>
  <c r="G60" i="11"/>
  <c r="J60" i="11"/>
  <c r="C161" i="11" s="1"/>
  <c r="K60" i="11" s="1"/>
  <c r="F60" i="11"/>
  <c r="D60" i="11"/>
  <c r="I60" i="11"/>
  <c r="C60" i="11"/>
  <c r="D58" i="11"/>
  <c r="G58" i="11"/>
  <c r="F58" i="11"/>
  <c r="I58" i="11"/>
  <c r="J58" i="11"/>
  <c r="C58" i="11"/>
  <c r="C159" i="11" s="1"/>
  <c r="K58" i="11" s="1"/>
  <c r="D59" i="11"/>
  <c r="G59" i="11"/>
  <c r="F59" i="11"/>
  <c r="I59" i="11"/>
  <c r="J59" i="11"/>
  <c r="C59" i="11"/>
  <c r="D50" i="11"/>
  <c r="G50" i="11"/>
  <c r="F50" i="11"/>
  <c r="J50" i="11"/>
  <c r="C152" i="11" s="1"/>
  <c r="K50" i="11" s="1"/>
  <c r="C50" i="11"/>
  <c r="I50" i="11"/>
  <c r="I41" i="11"/>
  <c r="J41" i="11"/>
  <c r="G41" i="11"/>
  <c r="D41" i="11"/>
  <c r="C41" i="11"/>
  <c r="F41" i="11"/>
  <c r="D57" i="11"/>
  <c r="D73" i="11" s="1"/>
  <c r="G57" i="11"/>
  <c r="G73" i="11" s="1"/>
  <c r="C57" i="11"/>
  <c r="C73" i="11" s="1"/>
  <c r="I57" i="11"/>
  <c r="I73" i="11" s="1"/>
  <c r="J57" i="11"/>
  <c r="J73" i="11" s="1"/>
  <c r="F57" i="11"/>
  <c r="F73" i="11" s="1"/>
  <c r="D51" i="11"/>
  <c r="D71" i="11" s="1"/>
  <c r="I51" i="11"/>
  <c r="I71" i="11" s="1"/>
  <c r="C51" i="11"/>
  <c r="C71" i="11" s="1"/>
  <c r="G51" i="11"/>
  <c r="G71" i="11" s="1"/>
  <c r="J51" i="11"/>
  <c r="F51" i="11"/>
  <c r="F71" i="11" s="1"/>
  <c r="C53" i="11"/>
  <c r="C72" i="11" s="1"/>
  <c r="C56" i="11"/>
  <c r="I55" i="11"/>
  <c r="D56" i="11"/>
  <c r="G53" i="11"/>
  <c r="G72" i="11" s="1"/>
  <c r="F53" i="11"/>
  <c r="F72" i="11" s="1"/>
  <c r="I56" i="11"/>
  <c r="I53" i="11"/>
  <c r="I72" i="11" s="1"/>
  <c r="J56" i="11"/>
  <c r="C158" i="11" s="1"/>
  <c r="K56" i="11" s="1"/>
  <c r="J53" i="11"/>
  <c r="J72" i="11" s="1"/>
  <c r="C55" i="11"/>
  <c r="G55" i="11"/>
  <c r="D53" i="11"/>
  <c r="D72" i="11" s="1"/>
  <c r="D55" i="11"/>
  <c r="F55" i="11"/>
  <c r="J55" i="11"/>
  <c r="G56" i="11"/>
  <c r="F56" i="11"/>
  <c r="F61" i="11"/>
  <c r="D61" i="11"/>
  <c r="D54" i="11"/>
  <c r="J54" i="11"/>
  <c r="C156" i="11" s="1"/>
  <c r="K54" i="11" s="1"/>
  <c r="I54" i="11"/>
  <c r="C54" i="11"/>
  <c r="G54" i="11"/>
  <c r="G61" i="11"/>
  <c r="J61" i="11"/>
  <c r="C162" i="11" s="1"/>
  <c r="K61" i="11" s="1"/>
  <c r="C61" i="11"/>
  <c r="F54" i="11"/>
  <c r="I61" i="11"/>
  <c r="D52" i="11"/>
  <c r="G52" i="11"/>
  <c r="F52" i="11"/>
  <c r="I52" i="11"/>
  <c r="J52" i="11"/>
  <c r="C154" i="11" s="1"/>
  <c r="K52" i="11" s="1"/>
  <c r="C52" i="11"/>
  <c r="D48" i="11"/>
  <c r="I48" i="11"/>
  <c r="G48" i="11"/>
  <c r="J48" i="11"/>
  <c r="C48" i="11"/>
  <c r="F48" i="11"/>
  <c r="C45" i="11"/>
  <c r="C98" i="11" s="1"/>
  <c r="D45" i="11"/>
  <c r="D98" i="11" s="1"/>
  <c r="J45" i="11"/>
  <c r="J98" i="11" s="1"/>
  <c r="G45" i="11"/>
  <c r="G98" i="11" s="1"/>
  <c r="D47" i="11"/>
  <c r="I47" i="11"/>
  <c r="J47" i="11"/>
  <c r="C148" i="11" s="1"/>
  <c r="K47" i="11" s="1"/>
  <c r="F45" i="11"/>
  <c r="F98" i="11" s="1"/>
  <c r="I45" i="11"/>
  <c r="I98" i="11" s="1"/>
  <c r="G47" i="11"/>
  <c r="C47" i="11"/>
  <c r="F47" i="11"/>
  <c r="D40" i="11"/>
  <c r="G40" i="11"/>
  <c r="F40" i="11"/>
  <c r="I40" i="11"/>
  <c r="J40" i="11"/>
  <c r="C40" i="11"/>
  <c r="D46" i="11"/>
  <c r="C35" i="11"/>
  <c r="I46" i="11"/>
  <c r="C46" i="11"/>
  <c r="J35" i="11"/>
  <c r="G46" i="11"/>
  <c r="G35" i="11"/>
  <c r="D35" i="11"/>
  <c r="F35" i="11"/>
  <c r="J46" i="11"/>
  <c r="I35" i="11"/>
  <c r="F46" i="11"/>
  <c r="D39" i="11"/>
  <c r="C39" i="11"/>
  <c r="I39" i="11"/>
  <c r="J39" i="11"/>
  <c r="G39" i="11"/>
  <c r="F39" i="11"/>
  <c r="D32" i="11"/>
  <c r="D97" i="11" s="1"/>
  <c r="J44" i="11"/>
  <c r="J85" i="11" s="1"/>
  <c r="I38" i="11"/>
  <c r="D44" i="11"/>
  <c r="D85" i="11" s="1"/>
  <c r="G38" i="11"/>
  <c r="F38" i="11"/>
  <c r="J38" i="11"/>
  <c r="C44" i="11"/>
  <c r="C167" i="11" s="1"/>
  <c r="G44" i="11"/>
  <c r="C38" i="11"/>
  <c r="D38" i="11"/>
  <c r="I44" i="11"/>
  <c r="I85" i="11" s="1"/>
  <c r="F44" i="11"/>
  <c r="F85" i="11" s="1"/>
  <c r="G31" i="11"/>
  <c r="G83" i="11" s="1"/>
  <c r="J34" i="11"/>
  <c r="G19" i="11"/>
  <c r="D29" i="11"/>
  <c r="C7" i="11"/>
  <c r="I21" i="11"/>
  <c r="C27" i="11"/>
  <c r="C17" i="11"/>
  <c r="F14" i="11"/>
  <c r="D30" i="11"/>
  <c r="D96" i="11" s="1"/>
  <c r="G12" i="11"/>
  <c r="F11" i="11"/>
  <c r="D33" i="11"/>
  <c r="D8" i="11"/>
  <c r="J12" i="11"/>
  <c r="D12" i="11"/>
  <c r="G29" i="11"/>
  <c r="G20" i="11"/>
  <c r="I8" i="11"/>
  <c r="I10" i="11"/>
  <c r="I95" i="11" s="1"/>
  <c r="I17" i="11"/>
  <c r="F18" i="11"/>
  <c r="I32" i="11"/>
  <c r="I97" i="11" s="1"/>
  <c r="D13" i="11"/>
  <c r="C14" i="11"/>
  <c r="I14" i="11"/>
  <c r="G13" i="11"/>
  <c r="F20" i="11"/>
  <c r="C10" i="11"/>
  <c r="C95" i="11" s="1"/>
  <c r="D18" i="11"/>
  <c r="D10" i="11"/>
  <c r="D95" i="11" s="1"/>
  <c r="G17" i="11"/>
  <c r="F28" i="11"/>
  <c r="F10" i="11"/>
  <c r="F95" i="11" s="1"/>
  <c r="F19" i="11"/>
  <c r="C18" i="11"/>
  <c r="C9" i="11"/>
  <c r="C8" i="11"/>
  <c r="C30" i="11"/>
  <c r="C96" i="11" s="1"/>
  <c r="I29" i="11"/>
  <c r="J27" i="11"/>
  <c r="C20" i="11"/>
  <c r="G34" i="11"/>
  <c r="C13" i="11"/>
  <c r="C29" i="11"/>
  <c r="C32" i="11"/>
  <c r="C97" i="11" s="1"/>
  <c r="I27" i="11"/>
  <c r="J13" i="11"/>
  <c r="C31" i="11"/>
  <c r="C83" i="11" s="1"/>
  <c r="C12" i="11"/>
  <c r="J31" i="11"/>
  <c r="C11" i="11"/>
  <c r="F7" i="11"/>
  <c r="F30" i="11"/>
  <c r="F96" i="11" s="1"/>
  <c r="F21" i="11"/>
  <c r="G18" i="11"/>
  <c r="G8" i="11"/>
  <c r="D21" i="11"/>
  <c r="J7" i="11"/>
  <c r="I34" i="11"/>
  <c r="F27" i="11"/>
  <c r="J19" i="11"/>
  <c r="J14" i="11"/>
  <c r="J21" i="11"/>
  <c r="J28" i="11"/>
  <c r="I31" i="11"/>
  <c r="I83" i="11" s="1"/>
  <c r="I89" i="11" s="1"/>
  <c r="J32" i="11"/>
  <c r="J97" i="11" s="1"/>
  <c r="M97" i="11" s="1"/>
  <c r="J11" i="11"/>
  <c r="C34" i="11"/>
  <c r="D34" i="11"/>
  <c r="C28" i="11"/>
  <c r="G30" i="11"/>
  <c r="G96" i="11" s="1"/>
  <c r="J10" i="11"/>
  <c r="J95" i="11" s="1"/>
  <c r="I19" i="11"/>
  <c r="F31" i="11"/>
  <c r="F83" i="11" s="1"/>
  <c r="F89" i="11" s="1"/>
  <c r="I18" i="11"/>
  <c r="D28" i="11"/>
  <c r="I13" i="11"/>
  <c r="G28" i="11"/>
  <c r="F34" i="11"/>
  <c r="G14" i="11"/>
  <c r="D31" i="11"/>
  <c r="D83" i="11" s="1"/>
  <c r="F29" i="11"/>
  <c r="J30" i="11"/>
  <c r="J96" i="11" s="1"/>
  <c r="M96" i="11" s="1"/>
  <c r="I12" i="11"/>
  <c r="I9" i="11"/>
  <c r="I7" i="11"/>
  <c r="J29" i="11"/>
  <c r="J8" i="11"/>
  <c r="I33" i="11"/>
  <c r="I11" i="11"/>
  <c r="I30" i="11"/>
  <c r="I96" i="11" s="1"/>
  <c r="G33" i="11"/>
  <c r="G32" i="11"/>
  <c r="G97" i="11" s="1"/>
  <c r="D14" i="11"/>
  <c r="J33" i="11"/>
  <c r="F12" i="11"/>
  <c r="C21" i="11"/>
  <c r="D27" i="11"/>
  <c r="G9" i="11"/>
  <c r="J17" i="11"/>
  <c r="D17" i="11"/>
  <c r="I20" i="11"/>
  <c r="D20" i="11"/>
  <c r="G27" i="11"/>
  <c r="G7" i="11"/>
  <c r="J18" i="11"/>
  <c r="D9" i="11"/>
  <c r="I28" i="11"/>
  <c r="D19" i="11"/>
  <c r="F33" i="11"/>
  <c r="J9" i="11"/>
  <c r="C33" i="11"/>
  <c r="G21" i="11"/>
  <c r="F17" i="11"/>
  <c r="F9" i="11"/>
  <c r="G10" i="11"/>
  <c r="G95" i="11" s="1"/>
  <c r="D11" i="11"/>
  <c r="F32" i="11"/>
  <c r="F97" i="11" s="1"/>
  <c r="C19" i="11"/>
  <c r="D7" i="11"/>
  <c r="J20" i="11"/>
  <c r="F13" i="11"/>
  <c r="F8" i="11"/>
  <c r="G11" i="11"/>
  <c r="G85" i="11" l="1"/>
  <c r="G89" i="11" s="1"/>
  <c r="Q85" i="11"/>
  <c r="Q89" i="11" s="1"/>
  <c r="Q91" i="11" s="1"/>
  <c r="AG85" i="11"/>
  <c r="AG89" i="11" s="1"/>
  <c r="AG91" i="11" s="1"/>
  <c r="AE85" i="11"/>
  <c r="AE89" i="11" s="1"/>
  <c r="AE91" i="11" s="1"/>
  <c r="X85" i="11"/>
  <c r="X89" i="11" s="1"/>
  <c r="X91" i="11" s="1"/>
  <c r="P85" i="11"/>
  <c r="P89" i="11" s="1"/>
  <c r="P91" i="11" s="1"/>
  <c r="AN85" i="11"/>
  <c r="AN89" i="11" s="1"/>
  <c r="AN91" i="11" s="1"/>
  <c r="AF85" i="11"/>
  <c r="AF89" i="11" s="1"/>
  <c r="AF91" i="11" s="1"/>
  <c r="AO85" i="11"/>
  <c r="AO89" i="11" s="1"/>
  <c r="AO91" i="11" s="1"/>
  <c r="AT85" i="11"/>
  <c r="AT89" i="11" s="1"/>
  <c r="AT91" i="11" s="1"/>
  <c r="Z85" i="11"/>
  <c r="Z89" i="11" s="1"/>
  <c r="Z91" i="11" s="1"/>
  <c r="R85" i="11"/>
  <c r="R89" i="11" s="1"/>
  <c r="R91" i="11" s="1"/>
  <c r="AP85" i="11"/>
  <c r="AP89" i="11" s="1"/>
  <c r="AP91" i="11" s="1"/>
  <c r="AH85" i="11"/>
  <c r="AH89" i="11" s="1"/>
  <c r="AH91" i="11" s="1"/>
  <c r="AA85" i="11"/>
  <c r="AA89" i="11" s="1"/>
  <c r="AA91" i="11" s="1"/>
  <c r="S85" i="11"/>
  <c r="S89" i="11" s="1"/>
  <c r="S91" i="11" s="1"/>
  <c r="AQ85" i="11"/>
  <c r="AQ89" i="11" s="1"/>
  <c r="AQ91" i="11" s="1"/>
  <c r="AI85" i="11"/>
  <c r="AI89" i="11" s="1"/>
  <c r="AI91" i="11" s="1"/>
  <c r="AD85" i="11"/>
  <c r="AD89" i="11" s="1"/>
  <c r="AD91" i="11" s="1"/>
  <c r="T85" i="11"/>
  <c r="T89" i="11" s="1"/>
  <c r="T91" i="11" s="1"/>
  <c r="Y85" i="11"/>
  <c r="Y89" i="11" s="1"/>
  <c r="Y91" i="11" s="1"/>
  <c r="AJ85" i="11"/>
  <c r="AJ89" i="11" s="1"/>
  <c r="AJ91" i="11" s="1"/>
  <c r="AR85" i="11"/>
  <c r="AR89" i="11" s="1"/>
  <c r="AR91" i="11" s="1"/>
  <c r="U85" i="11"/>
  <c r="U89" i="11" s="1"/>
  <c r="U91" i="11" s="1"/>
  <c r="AC85" i="11"/>
  <c r="AC89" i="11" s="1"/>
  <c r="AC91" i="11" s="1"/>
  <c r="AK85" i="11"/>
  <c r="AK89" i="11" s="1"/>
  <c r="AK91" i="11" s="1"/>
  <c r="AS85" i="11"/>
  <c r="AS89" i="11" s="1"/>
  <c r="AS91" i="11" s="1"/>
  <c r="AL85" i="11"/>
  <c r="AL89" i="11" s="1"/>
  <c r="AL91" i="11" s="1"/>
  <c r="V85" i="11"/>
  <c r="V89" i="11" s="1"/>
  <c r="V91" i="11" s="1"/>
  <c r="W85" i="11"/>
  <c r="W89" i="11" s="1"/>
  <c r="W91" i="11" s="1"/>
  <c r="AM85" i="11"/>
  <c r="AM89" i="11" s="1"/>
  <c r="AM91" i="11" s="1"/>
  <c r="AB85" i="11"/>
  <c r="AB89" i="11" s="1"/>
  <c r="AB91" i="11" s="1"/>
  <c r="C128" i="11"/>
  <c r="K31" i="11" s="1"/>
  <c r="K83" i="11" s="1"/>
  <c r="J83" i="11"/>
  <c r="J89" i="11" s="1"/>
  <c r="D100" i="11"/>
  <c r="G100" i="11"/>
  <c r="I100" i="11"/>
  <c r="F100" i="11"/>
  <c r="M95" i="11"/>
  <c r="C100" i="11"/>
  <c r="N97" i="11"/>
  <c r="C150" i="11"/>
  <c r="K49" i="11" s="1"/>
  <c r="K99" i="11" s="1"/>
  <c r="J99" i="11"/>
  <c r="J100" i="11" s="1"/>
  <c r="N96" i="11"/>
  <c r="N95" i="11"/>
  <c r="K78" i="11"/>
  <c r="N78" i="11" s="1"/>
  <c r="C22" i="11"/>
  <c r="I22" i="11"/>
  <c r="D22" i="11"/>
  <c r="F22" i="11"/>
  <c r="G22" i="11"/>
  <c r="J22" i="11"/>
  <c r="N22" i="11" s="1"/>
  <c r="M60" i="11"/>
  <c r="N60" i="11"/>
  <c r="M58" i="11"/>
  <c r="N58" i="11"/>
  <c r="M50" i="11"/>
  <c r="N50" i="11"/>
  <c r="D42" i="11"/>
  <c r="C42" i="11"/>
  <c r="J42" i="11"/>
  <c r="N42" i="11" s="1"/>
  <c r="F42" i="11"/>
  <c r="G42" i="11"/>
  <c r="I42" i="11"/>
  <c r="M41" i="11"/>
  <c r="N41" i="11"/>
  <c r="C153" i="11"/>
  <c r="K51" i="11" s="1"/>
  <c r="K71" i="11" s="1"/>
  <c r="J71" i="11"/>
  <c r="D62" i="11"/>
  <c r="I62" i="11"/>
  <c r="C155" i="11"/>
  <c r="K53" i="11" s="1"/>
  <c r="K72" i="11" s="1"/>
  <c r="N72" i="11" s="1"/>
  <c r="C160" i="11"/>
  <c r="K57" i="11" s="1"/>
  <c r="K73" i="11" s="1"/>
  <c r="N73" i="11" s="1"/>
  <c r="G62" i="11"/>
  <c r="C62" i="11"/>
  <c r="J62" i="11"/>
  <c r="F62" i="11"/>
  <c r="M56" i="11"/>
  <c r="N56" i="11"/>
  <c r="M55" i="11"/>
  <c r="N55" i="11"/>
  <c r="M61" i="11"/>
  <c r="N61" i="11"/>
  <c r="M54" i="11"/>
  <c r="N54" i="11"/>
  <c r="M52" i="11"/>
  <c r="N52" i="11"/>
  <c r="C149" i="11"/>
  <c r="K48" i="11" s="1"/>
  <c r="N48" i="11" s="1"/>
  <c r="M47" i="11"/>
  <c r="N47" i="11"/>
  <c r="C146" i="11"/>
  <c r="M40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M38" i="11"/>
  <c r="N38" i="11"/>
  <c r="M8" i="11"/>
  <c r="N8" i="11"/>
  <c r="M11" i="11"/>
  <c r="N11" i="11"/>
  <c r="M32" i="11"/>
  <c r="N32" i="11"/>
  <c r="M34" i="11"/>
  <c r="N34" i="11"/>
  <c r="M28" i="11"/>
  <c r="N28" i="11"/>
  <c r="M39" i="11"/>
  <c r="N39" i="11"/>
  <c r="M17" i="11"/>
  <c r="N17" i="11"/>
  <c r="M9" i="11"/>
  <c r="N9" i="11"/>
  <c r="M33" i="11"/>
  <c r="N33" i="11"/>
  <c r="M21" i="11"/>
  <c r="N21" i="11"/>
  <c r="M13" i="11"/>
  <c r="N13" i="11"/>
  <c r="M10" i="11"/>
  <c r="N10" i="11"/>
  <c r="M30" i="11"/>
  <c r="N30" i="11"/>
  <c r="M14" i="11"/>
  <c r="N14" i="11"/>
  <c r="M12" i="11"/>
  <c r="N12" i="11"/>
  <c r="M18" i="11"/>
  <c r="N18" i="11"/>
  <c r="M29" i="11"/>
  <c r="N29" i="11"/>
  <c r="M19" i="11"/>
  <c r="N19" i="11"/>
  <c r="C145" i="11"/>
  <c r="K44" i="11" s="1"/>
  <c r="K85" i="11" s="1"/>
  <c r="M27" i="11"/>
  <c r="J15" i="11"/>
  <c r="N15" i="11" s="1"/>
  <c r="D15" i="11"/>
  <c r="I15" i="11"/>
  <c r="F15" i="11"/>
  <c r="C15" i="11"/>
  <c r="G15" i="11"/>
  <c r="AP102" i="11" l="1"/>
  <c r="AP103" i="11" s="1"/>
  <c r="AP92" i="11"/>
  <c r="V102" i="11"/>
  <c r="V103" i="11" s="1"/>
  <c r="V92" i="11"/>
  <c r="AN102" i="11"/>
  <c r="AN103" i="11" s="1"/>
  <c r="AN92" i="11"/>
  <c r="AH102" i="11"/>
  <c r="AH103" i="11" s="1"/>
  <c r="AH92" i="11"/>
  <c r="AS102" i="11"/>
  <c r="AS103" i="11" s="1"/>
  <c r="AS92" i="11"/>
  <c r="W102" i="11"/>
  <c r="W103" i="11" s="1"/>
  <c r="W92" i="11"/>
  <c r="R102" i="11"/>
  <c r="R103" i="11" s="1"/>
  <c r="R92" i="11"/>
  <c r="X102" i="11"/>
  <c r="X103" i="11" s="1"/>
  <c r="X92" i="11"/>
  <c r="Z102" i="11"/>
  <c r="Z103" i="11" s="1"/>
  <c r="Z92" i="11"/>
  <c r="AC102" i="11"/>
  <c r="AC103" i="11" s="1"/>
  <c r="AC92" i="11"/>
  <c r="P102" i="11"/>
  <c r="P103" i="11" s="1"/>
  <c r="P92" i="11"/>
  <c r="T102" i="11"/>
  <c r="T103" i="11" s="1"/>
  <c r="T92" i="11"/>
  <c r="AE102" i="11"/>
  <c r="AE103" i="11" s="1"/>
  <c r="AE92" i="11"/>
  <c r="AT102" i="11"/>
  <c r="AT103" i="11" s="1"/>
  <c r="AT92" i="11"/>
  <c r="AF102" i="11"/>
  <c r="AF103" i="11" s="1"/>
  <c r="AF92" i="11"/>
  <c r="Y102" i="11"/>
  <c r="Y103" i="11" s="1"/>
  <c r="Y92" i="11"/>
  <c r="AD102" i="11"/>
  <c r="AD103" i="11" s="1"/>
  <c r="AD92" i="11"/>
  <c r="AG102" i="11"/>
  <c r="AG103" i="11" s="1"/>
  <c r="AG92" i="11"/>
  <c r="AL102" i="11"/>
  <c r="AL103" i="11" s="1"/>
  <c r="AL92" i="11"/>
  <c r="AK102" i="11"/>
  <c r="AK103" i="11" s="1"/>
  <c r="AK92" i="11"/>
  <c r="U102" i="11"/>
  <c r="U103" i="11" s="1"/>
  <c r="U92" i="11"/>
  <c r="AJ102" i="11"/>
  <c r="AJ103" i="11" s="1"/>
  <c r="AJ92" i="11"/>
  <c r="AI102" i="11"/>
  <c r="AI103" i="11" s="1"/>
  <c r="AI92" i="11"/>
  <c r="Q102" i="11"/>
  <c r="Q103" i="11" s="1"/>
  <c r="Q92" i="11"/>
  <c r="AM102" i="11"/>
  <c r="AM103" i="11" s="1"/>
  <c r="AM92" i="11"/>
  <c r="AO102" i="11"/>
  <c r="AO103" i="11" s="1"/>
  <c r="AO92" i="11"/>
  <c r="AR102" i="11"/>
  <c r="AR103" i="11" s="1"/>
  <c r="AR92" i="11"/>
  <c r="K89" i="11"/>
  <c r="AQ102" i="11"/>
  <c r="AQ103" i="11" s="1"/>
  <c r="AQ92" i="11"/>
  <c r="AA102" i="11"/>
  <c r="AA103" i="11" s="1"/>
  <c r="AA92" i="11"/>
  <c r="AB102" i="11"/>
  <c r="AB103" i="11" s="1"/>
  <c r="AB92" i="11"/>
  <c r="S102" i="11"/>
  <c r="S103" i="11" s="1"/>
  <c r="S92" i="11"/>
  <c r="N89" i="11"/>
  <c r="M78" i="11"/>
  <c r="N31" i="11"/>
  <c r="M31" i="11"/>
  <c r="N83" i="11"/>
  <c r="M83" i="11"/>
  <c r="M89" i="11" s="1"/>
  <c r="N49" i="11"/>
  <c r="M99" i="11"/>
  <c r="N99" i="11"/>
  <c r="K46" i="11"/>
  <c r="N46" i="11" s="1"/>
  <c r="K77" i="11"/>
  <c r="M49" i="11"/>
  <c r="M22" i="11"/>
  <c r="K45" i="11"/>
  <c r="M42" i="11"/>
  <c r="N51" i="11"/>
  <c r="N53" i="11"/>
  <c r="M53" i="11"/>
  <c r="M72" i="11" s="1"/>
  <c r="N71" i="11"/>
  <c r="M57" i="11"/>
  <c r="M73" i="11" s="1"/>
  <c r="M51" i="11"/>
  <c r="M71" i="11" s="1"/>
  <c r="N57" i="11"/>
  <c r="M48" i="11"/>
  <c r="K35" i="11"/>
  <c r="N35" i="11" s="1"/>
  <c r="C135" i="11"/>
  <c r="M15" i="11"/>
  <c r="M44" i="11"/>
  <c r="N44" i="11"/>
  <c r="C24" i="11"/>
  <c r="C64" i="11" s="1"/>
  <c r="I24" i="11"/>
  <c r="I64" i="11" s="1"/>
  <c r="J24" i="11"/>
  <c r="J64" i="11" s="1"/>
  <c r="D24" i="11"/>
  <c r="D64" i="11" s="1"/>
  <c r="F24" i="11"/>
  <c r="F64" i="11" s="1"/>
  <c r="G24" i="11"/>
  <c r="G64" i="11" s="1"/>
  <c r="N45" i="11" l="1"/>
  <c r="K98" i="11"/>
  <c r="M46" i="11"/>
  <c r="N77" i="11"/>
  <c r="M77" i="11"/>
  <c r="M45" i="11"/>
  <c r="K62" i="11"/>
  <c r="F67" i="11"/>
  <c r="F65" i="11"/>
  <c r="G67" i="11"/>
  <c r="G65" i="11"/>
  <c r="J67" i="11"/>
  <c r="J65" i="11"/>
  <c r="D67" i="11"/>
  <c r="D65" i="11"/>
  <c r="I67" i="11"/>
  <c r="I65" i="11"/>
  <c r="C67" i="11"/>
  <c r="C65" i="11"/>
  <c r="N59" i="11"/>
  <c r="M59" i="11"/>
  <c r="J70" i="11"/>
  <c r="J74" i="11" s="1"/>
  <c r="J79" i="11" s="1"/>
  <c r="J91" i="11" s="1"/>
  <c r="J102" i="11" s="1"/>
  <c r="G70" i="11"/>
  <c r="G74" i="11" s="1"/>
  <c r="G79" i="11" s="1"/>
  <c r="G91" i="11" s="1"/>
  <c r="G102" i="11" s="1"/>
  <c r="I70" i="11"/>
  <c r="I74" i="11" s="1"/>
  <c r="I79" i="11" s="1"/>
  <c r="I91" i="11" s="1"/>
  <c r="I102" i="11" s="1"/>
  <c r="F70" i="11"/>
  <c r="F74" i="11" s="1"/>
  <c r="F79" i="11" s="1"/>
  <c r="F91" i="11" s="1"/>
  <c r="F102" i="11" s="1"/>
  <c r="D70" i="11"/>
  <c r="D74" i="11" s="1"/>
  <c r="D79" i="11" s="1"/>
  <c r="C70" i="11"/>
  <c r="C74" i="11" s="1"/>
  <c r="C79" i="11" s="1"/>
  <c r="N24" i="11"/>
  <c r="M24" i="11"/>
  <c r="M35" i="11"/>
  <c r="M36" i="11" s="1"/>
  <c r="K36" i="11"/>
  <c r="K64" i="11" s="1"/>
  <c r="J10" i="8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G9" i="8"/>
  <c r="C8" i="8"/>
  <c r="G7" i="8"/>
  <c r="I9" i="8"/>
  <c r="C10" i="8"/>
  <c r="I11" i="8"/>
  <c r="J7" i="8"/>
  <c r="I7" i="8"/>
  <c r="C19" i="8"/>
  <c r="F19" i="8"/>
  <c r="G20" i="8"/>
  <c r="I14" i="8"/>
  <c r="I19" i="8"/>
  <c r="G19" i="8"/>
  <c r="I20" i="8"/>
  <c r="J18" i="8"/>
  <c r="G17" i="8"/>
  <c r="D19" i="8"/>
  <c r="G18" i="8"/>
  <c r="D21" i="8"/>
  <c r="C12" i="8"/>
  <c r="C20" i="8"/>
  <c r="I21" i="8"/>
  <c r="G13" i="8"/>
  <c r="J21" i="8"/>
  <c r="C17" i="8"/>
  <c r="F21" i="8"/>
  <c r="F20" i="8"/>
  <c r="D18" i="8"/>
  <c r="F18" i="8"/>
  <c r="I17" i="8"/>
  <c r="C21" i="8"/>
  <c r="J17" i="8"/>
  <c r="G21" i="8"/>
  <c r="J14" i="8"/>
  <c r="I18" i="8"/>
  <c r="D14" i="8"/>
  <c r="F14" i="8"/>
  <c r="D13" i="8"/>
  <c r="F13" i="8"/>
  <c r="C13" i="8"/>
  <c r="C14" i="8"/>
  <c r="D17" i="8"/>
  <c r="I13" i="8"/>
  <c r="J12" i="8"/>
  <c r="I12" i="8"/>
  <c r="J13" i="8"/>
  <c r="G14" i="8"/>
  <c r="F12" i="8"/>
  <c r="D12" i="8"/>
  <c r="J20" i="8"/>
  <c r="G12" i="8"/>
  <c r="D10" i="8"/>
  <c r="G11" i="8"/>
  <c r="D20" i="8"/>
  <c r="F8" i="8"/>
  <c r="J8" i="8"/>
  <c r="F7" i="8"/>
  <c r="F103" i="11" l="1"/>
  <c r="F92" i="11"/>
  <c r="J103" i="11"/>
  <c r="J92" i="11"/>
  <c r="I103" i="11"/>
  <c r="I92" i="11"/>
  <c r="G103" i="11"/>
  <c r="G92" i="11"/>
  <c r="M98" i="11"/>
  <c r="M100" i="11" s="1"/>
  <c r="K100" i="11"/>
  <c r="N100" i="11" s="1"/>
  <c r="N98" i="11"/>
  <c r="C80" i="11"/>
  <c r="D80" i="11"/>
  <c r="F80" i="11"/>
  <c r="I80" i="11"/>
  <c r="G80" i="11"/>
  <c r="J80" i="11"/>
  <c r="M62" i="11"/>
  <c r="M64" i="11" s="1"/>
  <c r="M70" i="11" s="1"/>
  <c r="M74" i="11" s="1"/>
  <c r="M79" i="11" s="1"/>
  <c r="M91" i="11" s="1"/>
  <c r="K70" i="11"/>
  <c r="K74" i="11" s="1"/>
  <c r="K65" i="11"/>
  <c r="N36" i="11"/>
  <c r="D8" i="8"/>
  <c r="D7" i="8"/>
  <c r="J19" i="8"/>
  <c r="H18" i="10" s="1"/>
  <c r="H21" i="10" s="1"/>
  <c r="H23" i="10" s="1"/>
  <c r="D32" i="8"/>
  <c r="J32" i="8"/>
  <c r="I32" i="8"/>
  <c r="G32" i="8"/>
  <c r="C32" i="8"/>
  <c r="F32" i="8"/>
  <c r="D9" i="8"/>
  <c r="F17" i="8"/>
  <c r="F22" i="8" s="1"/>
  <c r="C7" i="8"/>
  <c r="C18" i="8"/>
  <c r="C22" i="8" s="1"/>
  <c r="J11" i="8"/>
  <c r="D42" i="9" s="1"/>
  <c r="F10" i="8"/>
  <c r="G8" i="8"/>
  <c r="J9" i="8"/>
  <c r="D40" i="9" s="1"/>
  <c r="I10" i="8"/>
  <c r="D41" i="9" s="1"/>
  <c r="F9" i="8"/>
  <c r="I8" i="8"/>
  <c r="D39" i="9" s="1"/>
  <c r="D31" i="8"/>
  <c r="G31" i="8"/>
  <c r="F31" i="8"/>
  <c r="J31" i="8"/>
  <c r="I31" i="8"/>
  <c r="C31" i="8"/>
  <c r="G10" i="8"/>
  <c r="F11" i="8"/>
  <c r="D11" i="8"/>
  <c r="C11" i="8"/>
  <c r="C9" i="8"/>
  <c r="D28" i="8"/>
  <c r="G30" i="8"/>
  <c r="J33" i="8"/>
  <c r="F33" i="8"/>
  <c r="C34" i="8"/>
  <c r="J30" i="8"/>
  <c r="G34" i="8"/>
  <c r="G29" i="8"/>
  <c r="D29" i="8"/>
  <c r="I28" i="8"/>
  <c r="G28" i="8"/>
  <c r="C33" i="8"/>
  <c r="C28" i="8"/>
  <c r="J34" i="8"/>
  <c r="I34" i="8"/>
  <c r="I33" i="8"/>
  <c r="F30" i="8"/>
  <c r="F29" i="8"/>
  <c r="F34" i="8"/>
  <c r="D34" i="8"/>
  <c r="D30" i="8"/>
  <c r="C29" i="8"/>
  <c r="F28" i="8"/>
  <c r="J29" i="8"/>
  <c r="J28" i="8"/>
  <c r="I30" i="8"/>
  <c r="I29" i="8"/>
  <c r="C30" i="8"/>
  <c r="D33" i="8"/>
  <c r="G33" i="8"/>
  <c r="E41" i="9"/>
  <c r="D43" i="9"/>
  <c r="E43" i="9"/>
  <c r="D45" i="9"/>
  <c r="E45" i="9"/>
  <c r="E39" i="9"/>
  <c r="D38" i="9"/>
  <c r="E38" i="9"/>
  <c r="D44" i="9"/>
  <c r="E44" i="9"/>
  <c r="C23" i="9"/>
  <c r="D22" i="8"/>
  <c r="J22" i="8"/>
  <c r="G22" i="8"/>
  <c r="I22" i="8"/>
  <c r="M102" i="11" l="1"/>
  <c r="N74" i="11"/>
  <c r="K79" i="11"/>
  <c r="K91" i="11" s="1"/>
  <c r="K102" i="11" s="1"/>
  <c r="N70" i="11"/>
  <c r="D23" i="9"/>
  <c r="E23" i="9"/>
  <c r="E25" i="9" s="1"/>
  <c r="N64" i="11"/>
  <c r="N62" i="11"/>
  <c r="G15" i="8"/>
  <c r="G24" i="8" s="1"/>
  <c r="C15" i="8"/>
  <c r="C24" i="8" s="1"/>
  <c r="D15" i="8"/>
  <c r="D24" i="8" s="1"/>
  <c r="F15" i="8"/>
  <c r="F24" i="8" s="1"/>
  <c r="J15" i="8"/>
  <c r="J24" i="8" s="1"/>
  <c r="E42" i="9"/>
  <c r="D16" i="9"/>
  <c r="D31" i="9" s="1"/>
  <c r="I15" i="8"/>
  <c r="I24" i="8" s="1"/>
  <c r="E40" i="9"/>
  <c r="C16" i="9"/>
  <c r="C31" i="9" s="1"/>
  <c r="K103" i="11" l="1"/>
  <c r="N102" i="11"/>
  <c r="N79" i="11"/>
  <c r="K80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N91" i="11" l="1"/>
  <c r="K92" i="11"/>
  <c r="C85" i="11" l="1"/>
  <c r="D89" i="11"/>
  <c r="D91" i="11" s="1"/>
  <c r="C89" i="11"/>
  <c r="C91" i="11" s="1"/>
  <c r="C92" i="11" l="1"/>
  <c r="C102" i="11"/>
  <c r="C103" i="11" s="1"/>
  <c r="D102" i="11"/>
  <c r="D103" i="11" s="1"/>
  <c r="D9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<sst xmlns="http://schemas.openxmlformats.org/spreadsheetml/2006/main" count="786" uniqueCount="340">
  <si>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</si>
  <si>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</si>
  <si>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</si>
  <si>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</si>
  <si>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</si>
  <si>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</si>
  <si>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</si>
  <si>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</si>
  <si>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</si>
  <si>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</si>
  <si>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</si>
  <si>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</si>
  <si>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</si>
  <si>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</si>
  <si>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</si>
  <si>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</si>
  <si>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</si>
  <si>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</si>
  <si>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</si>
  <si>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</si>
  <si>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</si>
  <si>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</si>
  <si>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</si>
  <si>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</si>
  <si>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</si>
  <si>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</si>
  <si>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</si>
  <si>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</si>
  <si>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</si>
  <si>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</si>
  <si>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</si>
  <si>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</si>
  <si>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</si>
  <si>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</si>
  <si>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</si>
  <si>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</si>
  <si>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</si>
  <si>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</si>
  <si>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</si>
  <si>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</si>
  <si>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</si>
  <si>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</si>
  <si>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</si>
  <si>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</si>
  <si>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</si>
  <si>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</si>
  <si>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</si>
  <si>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</si>
  <si>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</si>
  <si>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</si>
  <si>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</si>
  <si>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</si>
  <si>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</si>
  <si>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</si>
  <si>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</si>
  <si>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</si>
  <si>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</si>
  <si>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</si>
  <si>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</si>
  <si>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</si>
  <si>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</si>
  <si>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</si>
  <si>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</si>
  <si>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</si>
  <si>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</si>
  <si>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</si>
  <si>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</si>
  <si>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</si>
  <si>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</si>
  <si>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</si>
  <si>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</si>
  <si>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</si>
  <si>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</si>
  <si>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</si>
  <si>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</si>
  <si>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</si>
  <si>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</si>
  <si>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</si>
  <si>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</si>
  <si>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</si>
  <si>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</si>
  <si>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</si>
  <si>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</si>
  <si>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</si>
  <si>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</si>
  <si>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</si>
  <si>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</si>
  <si>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</si>
  <si>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</si>
  <si>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</si>
  <si>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</si>
  <si>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</si>
  <si>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</si>
  <si>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</si>
  <si>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</si>
  <si>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</si>
  <si>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</si>
  <si>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</si>
  <si>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</si>
  <si>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</si>
  <si>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</si>
  <si>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</si>
  <si>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</si>
  <si>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</si>
  <si>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</si>
  <si>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</si>
  <si>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</si>
  <si>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</si>
  <si>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</si>
  <si>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</si>
  <si>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</si>
  <si>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</si>
  <si>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</si>
  <si>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</si>
  <si>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</si>
  <si>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</si>
  <si>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</si>
  <si>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</si>
  <si>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</si>
  <si>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</si>
  <si>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</si>
  <si>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</si>
  <si>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</si>
  <si>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</si>
  <si>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</si>
  <si>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</si>
  <si>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</si>
  <si>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</si>
  <si>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</si>
  <si>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</si>
  <si>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</si>
  <si>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</si>
  <si>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</si>
  <si>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</si>
  <si>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</si>
  <si>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</si>
  <si>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</si>
  <si>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</si>
  <si>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</si>
  <si>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</si>
  <si>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</si>
  <si>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</si>
  <si>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</si>
  <si>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</si>
  <si>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</si>
  <si>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</si>
  <si>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</si>
  <si>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</si>
  <si>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</si>
  <si>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</si>
  <si>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</si>
  <si>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</si>
  <si>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</si>
  <si>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</si>
  <si>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</si>
  <si>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</si>
  <si>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</si>
  <si>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</si>
  <si>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</si>
  <si>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</si>
  <si>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</si>
  <si>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</si>
  <si>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</si>
  <si>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</si>
  <si>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</si>
  <si>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</si>
  <si>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</si>
  <si>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</si>
  <si>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</si>
  <si>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</si>
  <si>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</si>
  <si>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</si>
  <si>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</si>
  <si>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</si>
  <si>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</si>
  <si>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</si>
  <si>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</si>
  <si>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</si>
  <si>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</si>
  <si>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</si>
  <si>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</si>
  <si>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</si>
  <si>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</si>
  <si>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</si>
  <si>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</si>
  <si>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</si>
  <si>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</si>
  <si>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</si>
  <si>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</si>
  <si>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</si>
  <si>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</si>
  <si>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</si>
  <si>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</si>
  <si>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</si>
  <si>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</si>
  <si>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</si>
  <si>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</si>
  <si>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</si>
  <si>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</si>
  <si>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</si>
  <si>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</si>
  <si>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</si>
  <si>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</si>
  <si>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</si>
  <si>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</si>
  <si>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</si>
  <si>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</si>
  <si>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</si>
  <si>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</si>
  <si>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</si>
  <si>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</si>
  <si>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</si>
  <si>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</si>
  <si>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</si>
  <si>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</si>
  <si>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</si>
  <si>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</si>
  <si>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</si>
  <si>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</si>
  <si>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</si>
  <si>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</si>
  <si>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</si>
  <si>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</si>
  <si>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</si>
  <si>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</si>
  <si>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</si>
  <si>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</si>
  <si>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</si>
  <si>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</si>
  <si>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</si>
  <si>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</si>
  <si>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</si>
  <si>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</si>
  <si>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</si>
  <si>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</si>
  <si>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</si>
  <si>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</si>
  <si>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</si>
  <si>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</si>
  <si>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</si>
  <si>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</si>
  <si>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</si>
  <si>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</si>
  <si>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</si>
  <si>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</si>
  <si>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</si>
  <si>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</si>
  <si>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</si>
  <si>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</si>
  <si>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</si>
  <si>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</si>
  <si>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</si>
  <si>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</si>
  <si>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</si>
  <si>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</si>
  <si>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</si>
  <si>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</si>
  <si>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</si>
  <si>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</si>
  <si>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</si>
  <si>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</si>
  <si>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</si>
  <si>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</si>
  <si>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July'26 PF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</si>
  <si>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</si>
  <si>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</si>
  <si>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</si>
  <si>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</si>
  <si>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</si>
  <si>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</si>
  <si>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</si>
  <si>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</si>
  <si>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</si>
  <si>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</si>
  <si>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</si>
  <si>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</si>
  <si>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</si>
  <si>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</si>
  <si>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</si>
  <si>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</si>
  <si>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</si>
  <si>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</si>
  <si>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</si>
  <si>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</si>
  <si>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</si>
  <si>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</si>
  <si>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</si>
  <si>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</si>
  <si>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</si>
  <si>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</si>
  <si>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</si>
  <si>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</si>
  <si>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</si>
  <si>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</si>
  <si>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</si>
  <si>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</si>
  <si>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</si>
  <si>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</si>
  <si>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</si>
  <si>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</si>
  <si>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</si>
  <si>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EBITDA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</si>
  <si>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</si>
  <si>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</si>
  <si>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</si>
  <si>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</si>
  <si>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</si>
  <si>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</si>
  <si>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</si>
  <si>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</si>
  <si>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</si>
  <si>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</si>
  <si>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</si>
  <si>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</si>
  <si>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</si>
  <si>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</si>
  <si>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</si>
  <si>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</si>
  <si>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</si>
  <si>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</si>
  <si>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</si>
  <si>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</si>
  <si>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Steady-State EBITDA</t>
  </si>
  <si>
    <t>Year-One Adjustments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</si>
  <si>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</si>
  <si>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</si>
  <si>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</si>
  <si>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</si>
  <si>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</si>
  <si>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</si>
  <si>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</si>
  <si>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</si>
  <si>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</si>
  <si>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</si>
  <si>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Total Y1 Adj. EBITDA</t>
  </si>
  <si>
    <t>Total Y1 Adjustments</t>
  </si>
  <si>
    <t>(+) Other Professional Fees</t>
  </si>
  <si>
    <t>Normalized Professional Fees</t>
  </si>
  <si>
    <t>(+) Other Personnel Savings</t>
  </si>
  <si>
    <t>Initial Financial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</si>
</sst>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</numFmts>
  <fonts count="3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6" fillId="0" borderId="0" applyFont="0" applyFill="0" applyBorder="0" applyAlignment="0" applyProtection="0"/>
  </cellStyleXfs>
  <cellXfs count="136">
    <xf numFmtId="0" fontId="0" fillId="0" borderId="0" xfId="0"/>
    <xf numFmtId="0" fontId="6" fillId="2" borderId="0" xfId="0" applyFont="1" applyFill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11" fillId="0" borderId="0" xfId="1" applyFont="1"/>
    <xf numFmtId="0" fontId="5" fillId="0" borderId="0" xfId="1" applyFont="1"/>
    <xf numFmtId="0" fontId="12" fillId="0" borderId="3" xfId="1" applyFont="1" applyBorder="1"/>
    <xf numFmtId="0" fontId="5" fillId="0" borderId="3" xfId="1" applyFont="1" applyBorder="1"/>
    <xf numFmtId="0" fontId="13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center" vertical="center"/>
    </xf>
    <xf numFmtId="17" fontId="13" fillId="3" borderId="0" xfId="1" applyNumberFormat="1" applyFont="1" applyFill="1" applyAlignment="1">
      <alignment horizontal="center" vertical="center"/>
    </xf>
    <xf numFmtId="0" fontId="14" fillId="4" borderId="0" xfId="1" applyFont="1" applyFill="1"/>
    <xf numFmtId="0" fontId="5" fillId="4" borderId="0" xfId="1" applyFont="1" applyFill="1"/>
    <xf numFmtId="0" fontId="15" fillId="0" borderId="0" xfId="1" applyFont="1"/>
    <xf numFmtId="164" fontId="15" fillId="0" borderId="0" xfId="1" applyNumberFormat="1" applyFont="1"/>
    <xf numFmtId="164" fontId="5" fillId="0" borderId="0" xfId="1" applyNumberFormat="1" applyFont="1"/>
    <xf numFmtId="0" fontId="14" fillId="0" borderId="0" xfId="1" applyFont="1"/>
    <xf numFmtId="164" fontId="14" fillId="0" borderId="2" xfId="1" applyNumberFormat="1" applyFont="1" applyBorder="1"/>
    <xf numFmtId="0" fontId="15" fillId="0" borderId="0" xfId="1" applyFont="1" applyAlignment="1">
      <alignment horizontal="left"/>
    </xf>
    <xf numFmtId="164" fontId="5" fillId="4" borderId="0" xfId="1" applyNumberFormat="1" applyFont="1" applyFill="1"/>
    <xf numFmtId="164" fontId="14" fillId="0" borderId="4" xfId="1" applyNumberFormat="1" applyFont="1" applyBorder="1"/>
    <xf numFmtId="0" fontId="13" fillId="3" borderId="0" xfId="1" applyFont="1" applyFill="1"/>
    <xf numFmtId="0" fontId="14" fillId="4" borderId="0" xfId="1" applyFont="1" applyFill="1" applyAlignment="1">
      <alignment horizontal="center"/>
    </xf>
    <xf numFmtId="165" fontId="15" fillId="0" borderId="0" xfId="1" applyNumberFormat="1" applyFont="1"/>
    <xf numFmtId="0" fontId="10" fillId="0" borderId="0" xfId="1"/>
    <xf numFmtId="0" fontId="15" fillId="0" borderId="0" xfId="1" applyFont="1" applyAlignment="1">
      <alignment indent="1"/>
    </xf>
    <xf numFmtId="166" fontId="15" fillId="0" borderId="0" xfId="1" applyNumberFormat="1" applyFont="1"/>
    <xf numFmtId="0" fontId="15" fillId="0" borderId="0" xfId="1" applyFont="1" applyAlignment="1">
      <alignment indent="2"/>
    </xf>
    <xf numFmtId="0" fontId="14" fillId="0" borderId="0" xfId="1" applyFont="1" applyAlignment="1">
      <alignment indent="1"/>
    </xf>
    <xf numFmtId="166" fontId="14" fillId="0" borderId="0" xfId="1" applyNumberFormat="1" applyFont="1"/>
    <xf numFmtId="0" fontId="15" fillId="0" borderId="0" xfId="1" applyFont="1" applyAlignment="1">
      <alignment indent="3"/>
    </xf>
    <xf numFmtId="0" fontId="14" fillId="0" borderId="0" xfId="1" applyFont="1" applyAlignment="1">
      <alignment indent="2"/>
    </xf>
    <xf numFmtId="0" fontId="0" fillId="5" borderId="0" xfId="0" applyFill="1"/>
    <xf numFmtId="14" fontId="21" fillId="0" borderId="0" xfId="1" applyNumberFormat="1" applyFont="1"/>
    <xf numFmtId="14" fontId="15" fillId="0" borderId="0" xfId="1" applyNumberFormat="1" applyFont="1"/>
    <xf numFmtId="14" fontId="23" fillId="0" borderId="0" xfId="1" applyNumberFormat="1" applyFont="1"/>
    <xf numFmtId="0" fontId="4" fillId="0" borderId="0" xfId="0" applyFont="1"/>
    <xf numFmtId="0" fontId="24" fillId="0" borderId="0" xfId="0" applyFont="1"/>
    <xf numFmtId="0" fontId="25" fillId="0" borderId="3" xfId="0" applyFont="1" applyBorder="1"/>
    <xf numFmtId="0" fontId="4" fillId="0" borderId="3" xfId="0" applyFont="1" applyBorder="1"/>
    <xf numFmtId="0" fontId="13" fillId="6" borderId="0" xfId="1" applyFont="1" applyFill="1" applyAlignment="1">
      <alignment horizontal="left" vertical="center"/>
    </xf>
    <xf numFmtId="0" fontId="13" fillId="6" borderId="0" xfId="1" applyFont="1" applyFill="1" applyAlignment="1">
      <alignment horizontal="center" vertical="center"/>
    </xf>
    <xf numFmtId="0" fontId="14" fillId="7" borderId="0" xfId="1" applyFont="1" applyFill="1"/>
    <xf numFmtId="0" fontId="5" fillId="7" borderId="0" xfId="1" applyFont="1" applyFill="1"/>
    <xf numFmtId="17" fontId="13" fillId="6" borderId="0" xfId="1" applyNumberFormat="1" applyFont="1" applyFill="1" applyAlignment="1">
      <alignment horizontal="center" vertical="center"/>
    </xf>
    <xf numFmtId="167" fontId="4" fillId="0" borderId="0" xfId="0" applyNumberFormat="1" applyFont="1"/>
    <xf numFmtId="167" fontId="21" fillId="0" borderId="0" xfId="0" applyNumberFormat="1" applyFont="1"/>
    <xf numFmtId="167" fontId="22" fillId="0" borderId="0" xfId="0" applyNumberFormat="1" applyFont="1"/>
    <xf numFmtId="167" fontId="15" fillId="0" borderId="0" xfId="1" applyNumberFormat="1" applyFont="1"/>
    <xf numFmtId="167" fontId="22" fillId="0" borderId="0" xfId="1" applyNumberFormat="1" applyFont="1"/>
    <xf numFmtId="167" fontId="23" fillId="0" borderId="0" xfId="1" applyNumberFormat="1" applyFont="1"/>
    <xf numFmtId="0" fontId="13" fillId="0" borderId="0" xfId="1" applyFont="1" applyAlignment="1">
      <alignment horizontal="center" vertical="center"/>
    </xf>
    <xf numFmtId="165" fontId="4" fillId="0" borderId="0" xfId="0" applyNumberFormat="1" applyFont="1"/>
    <xf numFmtId="165" fontId="22" fillId="0" borderId="0" xfId="0" applyNumberFormat="1" applyFont="1"/>
    <xf numFmtId="0" fontId="26" fillId="0" borderId="0" xfId="1" applyFont="1" applyAlignment="1">
      <alignment horizontal="left"/>
    </xf>
    <xf numFmtId="0" fontId="26" fillId="0" borderId="0" xfId="1" applyFont="1"/>
    <xf numFmtId="0" fontId="15" fillId="0" borderId="0" xfId="1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9" fillId="0" borderId="2" xfId="0" applyFont="1" applyBorder="1"/>
    <xf numFmtId="167" fontId="19" fillId="0" borderId="2" xfId="0" applyNumberFormat="1" applyFont="1" applyBorder="1"/>
    <xf numFmtId="0" fontId="19" fillId="8" borderId="6" xfId="0" applyFont="1" applyFill="1" applyBorder="1"/>
    <xf numFmtId="167" fontId="19" fillId="8" borderId="7" xfId="0" applyNumberFormat="1" applyFont="1" applyFill="1" applyBorder="1"/>
    <xf numFmtId="167" fontId="19" fillId="8" borderId="8" xfId="0" applyNumberFormat="1" applyFont="1" applyFill="1" applyBorder="1"/>
    <xf numFmtId="167" fontId="19" fillId="8" borderId="6" xfId="0" applyNumberFormat="1" applyFont="1" applyFill="1" applyBorder="1"/>
    <xf numFmtId="165" fontId="22" fillId="0" borderId="0" xfId="1" applyNumberFormat="1" applyFont="1"/>
    <xf numFmtId="165" fontId="23" fillId="0" borderId="0" xfId="1" applyNumberFormat="1" applyFont="1"/>
    <xf numFmtId="168" fontId="15" fillId="0" borderId="0" xfId="1" applyNumberFormat="1" applyFont="1"/>
    <xf numFmtId="168" fontId="19" fillId="8" borderId="7" xfId="0" applyNumberFormat="1" applyFont="1" applyFill="1" applyBorder="1"/>
    <xf numFmtId="168" fontId="19" fillId="8" borderId="8" xfId="0" applyNumberFormat="1" applyFont="1" applyFill="1" applyBorder="1"/>
    <xf numFmtId="168" fontId="19" fillId="8" borderId="6" xfId="0" applyNumberFormat="1" applyFont="1" applyFill="1" applyBorder="1"/>
    <xf numFmtId="165" fontId="21" fillId="0" borderId="0" xfId="1" applyNumberFormat="1" applyFont="1"/>
    <xf numFmtId="167" fontId="19" fillId="0" borderId="0" xfId="0" applyNumberFormat="1" applyFont="1"/>
    <xf numFmtId="168" fontId="19" fillId="0" borderId="0" xfId="0" applyNumberFormat="1" applyFont="1"/>
    <xf numFmtId="0" fontId="4" fillId="9" borderId="0" xfId="0" applyFont="1" applyFill="1"/>
    <xf numFmtId="0" fontId="17" fillId="9" borderId="0" xfId="0" applyFont="1" applyFill="1" applyAlignment="1">
      <alignment horizontal="centerContinuous"/>
    </xf>
    <xf numFmtId="0" fontId="20" fillId="9" borderId="0" xfId="0" applyFont="1" applyFill="1" applyAlignment="1">
      <alignment horizontal="centerContinuous"/>
    </xf>
    <xf numFmtId="0" fontId="17" fillId="9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165" fontId="21" fillId="0" borderId="5" xfId="0" applyNumberFormat="1" applyFont="1" applyBorder="1" applyAlignment="1">
      <alignment horizontal="center"/>
    </xf>
    <xf numFmtId="0" fontId="4" fillId="8" borderId="7" xfId="0" applyFont="1" applyFill="1" applyBorder="1"/>
    <xf numFmtId="0" fontId="4" fillId="0" borderId="0" xfId="0" applyFont="1" applyAlignment="1">
      <alignment horizontal="left"/>
    </xf>
    <xf numFmtId="0" fontId="26" fillId="0" borderId="0" xfId="1" applyFont="1" applyAlignment="1">
      <alignment horizontal="left" indent="1"/>
    </xf>
    <xf numFmtId="0" fontId="15" fillId="0" borderId="0" xfId="1" applyFont="1" applyAlignment="1">
      <alignment horizontal="left" indent="2"/>
    </xf>
    <xf numFmtId="165" fontId="21" fillId="0" borderId="0" xfId="0" applyNumberFormat="1" applyFont="1"/>
    <xf numFmtId="165" fontId="23" fillId="0" borderId="0" xfId="0" applyNumberFormat="1" applyFont="1"/>
    <xf numFmtId="165" fontId="18" fillId="0" borderId="0" xfId="1" applyNumberFormat="1" applyFont="1"/>
    <xf numFmtId="0" fontId="18" fillId="0" borderId="0" xfId="0" applyFont="1"/>
    <xf numFmtId="167" fontId="23" fillId="0" borderId="0" xfId="0" applyNumberFormat="1" applyFont="1"/>
    <xf numFmtId="168" fontId="14" fillId="8" borderId="8" xfId="1" applyNumberFormat="1" applyFont="1" applyFill="1" applyBorder="1"/>
    <xf numFmtId="168" fontId="29" fillId="0" borderId="0" xfId="1" applyNumberFormat="1" applyFont="1"/>
    <xf numFmtId="168" fontId="30" fillId="0" borderId="9" xfId="2" applyNumberFormat="1" applyFont="1" applyFill="1" applyBorder="1" applyAlignment="1"/>
    <xf numFmtId="168" fontId="14" fillId="0" borderId="2" xfId="2" applyNumberFormat="1" applyFont="1" applyBorder="1"/>
    <xf numFmtId="168" fontId="4" fillId="0" borderId="0" xfId="0" applyNumberFormat="1" applyFont="1"/>
    <xf numFmtId="0" fontId="14" fillId="0" borderId="2" xfId="0" applyFont="1" applyBorder="1"/>
    <xf numFmtId="0" fontId="3" fillId="0" borderId="0" xfId="0" applyFont="1" applyAlignment="1">
      <alignment horizontal="left" indent="1"/>
    </xf>
    <xf numFmtId="165" fontId="18" fillId="0" borderId="5" xfId="1" applyNumberFormat="1" applyFont="1" applyBorder="1"/>
    <xf numFmtId="167" fontId="12" fillId="0" borderId="0" xfId="0" applyNumberFormat="1" applyFont="1" applyAlignment="1">
      <alignment horizontal="left" indent="1"/>
    </xf>
    <xf numFmtId="0" fontId="3" fillId="0" borderId="0" xfId="0" applyFont="1"/>
    <xf numFmtId="0" fontId="25" fillId="0" borderId="0" xfId="0" applyFont="1"/>
    <xf numFmtId="164" fontId="14" fillId="0" borderId="0" xfId="1" applyNumberFormat="1" applyFont="1"/>
    <xf numFmtId="0" fontId="13" fillId="0" borderId="0" xfId="1" applyFont="1"/>
    <xf numFmtId="0" fontId="14" fillId="0" borderId="0" xfId="1" applyFont="1" applyAlignment="1">
      <alignment horizontal="center"/>
    </xf>
    <xf numFmtId="167" fontId="31" fillId="0" borderId="0" xfId="0" applyNumberFormat="1" applyFont="1"/>
    <xf numFmtId="167" fontId="32" fillId="0" borderId="0" xfId="0" applyNumberFormat="1" applyFont="1"/>
    <xf numFmtId="167" fontId="33" fillId="0" borderId="0" xfId="0" applyNumberFormat="1" applyFont="1"/>
    <xf numFmtId="0" fontId="19" fillId="8" borderId="10" xfId="0" applyFont="1" applyFill="1" applyBorder="1"/>
    <xf numFmtId="167" fontId="19" fillId="8" borderId="2" xfId="0" applyNumberFormat="1" applyFont="1" applyFill="1" applyBorder="1"/>
    <xf numFmtId="167" fontId="19" fillId="8" borderId="11" xfId="0" applyNumberFormat="1" applyFont="1" applyFill="1" applyBorder="1"/>
    <xf numFmtId="0" fontId="33" fillId="8" borderId="12" xfId="0" applyFont="1" applyFill="1" applyBorder="1"/>
    <xf numFmtId="169" fontId="33" fillId="8" borderId="3" xfId="0" applyNumberFormat="1" applyFont="1" applyFill="1" applyBorder="1"/>
    <xf numFmtId="169" fontId="33" fillId="8" borderId="13" xfId="0" applyNumberFormat="1" applyFont="1" applyFill="1" applyBorder="1"/>
    <xf numFmtId="167" fontId="19" fillId="8" borderId="10" xfId="0" applyNumberFormat="1" applyFont="1" applyFill="1" applyBorder="1"/>
    <xf numFmtId="169" fontId="33" fillId="8" borderId="12" xfId="0" applyNumberFormat="1" applyFont="1" applyFill="1" applyBorder="1"/>
    <xf numFmtId="168" fontId="14" fillId="8" borderId="11" xfId="1" applyNumberFormat="1" applyFont="1" applyFill="1" applyBorder="1"/>
    <xf numFmtId="168" fontId="34" fillId="8" borderId="13" xfId="1" applyNumberFormat="1" applyFont="1" applyFill="1" applyBorder="1"/>
    <xf numFmtId="165" fontId="35" fillId="0" borderId="0" xfId="0" applyNumberFormat="1" applyFont="1"/>
    <xf numFmtId="0" fontId="35" fillId="0" borderId="0" xfId="0" applyFont="1" applyAlignment="1">
      <alignment horizontal="left" indent="1"/>
    </xf>
    <xf numFmtId="165" fontId="18" fillId="0" borderId="0" xfId="0" applyNumberFormat="1" applyFont="1"/>
    <xf numFmtId="0" fontId="2" fillId="0" borderId="0" xfId="0" applyFont="1"/>
    <xf numFmtId="0" fontId="17" fillId="10" borderId="0" xfId="1" applyFont="1" applyFill="1"/>
    <xf numFmtId="0" fontId="20" fillId="10" borderId="0" xfId="1" applyFont="1" applyFill="1"/>
    <xf numFmtId="0" fontId="17" fillId="10" borderId="0" xfId="1" applyFont="1" applyFill="1" applyAlignment="1">
      <alignment horizontal="centerContinuous"/>
    </xf>
    <xf numFmtId="0" fontId="20" fillId="9" borderId="0" xfId="1" applyFont="1" applyFill="1" applyAlignment="1">
      <alignment horizontal="centerContinuous"/>
    </xf>
    <xf numFmtId="0" fontId="15" fillId="7" borderId="0" xfId="1" applyFont="1" applyFill="1"/>
    <xf numFmtId="0" fontId="2" fillId="0" borderId="0" xfId="0" applyFont="1" applyAlignment="1">
      <alignment horizontal="left" indent="1"/>
    </xf>
    <xf numFmtId="0" fontId="25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3" borderId="0" xfId="1" applyFont="1" applyFill="1"/>
    <xf numFmtId="0" fontId="1" fillId="0" borderId="0" xfId="0" applyFont="1"/>
    <xf numFmtId="0" fontId="1" fillId="0" borderId="0" xfId="0" applyFont="1" applyAlignment="1">
      <alignment horizontal="left" indent="1"/>
    </xf>
    <xf numFmtId="167" fontId="14" fillId="8" borderId="8" xfId="0" applyNumberFormat="1" applyFont="1" applyFill="1" applyBorder="1"/>
    <xf numFmtId="167" fontId="14" fillId="0" borderId="2" xfId="0" applyNumberFormat="1" applyFont="1" applyBorder="1"/>
  </cellXfs>
  <cellStyles count="3">
    <cellStyle name="Normal" xfId="0" builtinId="0"/>
    <cellStyle name="Normal 2" xfId="1" xr:uid="{65E2E494-2EC7-4CE2-95B2-560A12CA6477}"/>
    <cellStyle name="Percent" xfId="2" builtinId="5"/>
  </cellStyles>
  <dxfs count="1">
    <dxf>
      <font>
        <color auto="1"/>
      </font>
    </dxf>
  </dxfs>
  <tableStyles count="0" defaultTableStyle="TableStyleMedium2" defaultPivotStyle="PivotStyleLight16"/>
  <colors>
    <mruColors>
      <color rgb="FFFFE1E1"/>
      <color rgb="FF7B0000"/>
      <color rgb="FFFFFF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tabSelected="1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27" t="s">
        <v>0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2:17" ht="25.5" x14ac:dyDescent="0.25">
      <c r="B25" s="129" t="s">
        <v>339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2:17" ht="23.25" x14ac:dyDescent="0.35">
      <c r="B26" s="130" t="str">
        <f ca="1">"As of "&amp;TEXT(TODAY(),"mm/dd/yy")</f>
        <v>As of 09/03/26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dimension ref="B2:AP43"/>
  <sheetViews>
    <sheetView showGridLines="0" zoomScale="130" zoomScaleNormal="13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0" width="11" style="37" customWidth="1"/>
    <col min="11" max="11" width="0.85546875" style="37" customWidth="1"/>
    <col min="12" max="16384" width="9.140625" style="37"/>
  </cols>
  <sheetData>
    <row r="2" spans="2:42" ht="16.5" x14ac:dyDescent="0.25">
      <c r="B2" s="38" t="str">
        <f>+Cover!B24</f>
        <v>Keystone Bookkeepers</v>
      </c>
    </row>
    <row r="3" spans="2:42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5" spans="2:42" x14ac:dyDescent="0.2">
      <c r="B5" s="41" t="s">
        <v>264</v>
      </c>
      <c r="C5" s="42" t="s">
        <v>3</v>
      </c>
      <c r="D5" s="42" t="s">
        <v>4</v>
      </c>
      <c r="E5" s="52"/>
      <c r="F5" s="42" t="s">
        <v>256</v>
      </c>
      <c r="G5" s="42" t="s">
        <v>5</v>
      </c>
      <c r="H5" s="52"/>
      <c r="I5" s="42" t="s">
        <v>254</v>
      </c>
      <c r="J5" s="42" t="s">
        <v>255</v>
      </c>
      <c r="L5" s="45">
        <v>45292</v>
      </c>
      <c r="M5" s="45">
        <f>EOMONTH(L5,0)+1</f>
        <v>45323</v>
      </c>
      <c r="N5" s="45">
        <f t="shared" ref="N5:AP5" si="0">EOMONTH(M5,0)+1</f>
        <v>45352</v>
      </c>
      <c r="O5" s="45">
        <f t="shared" si="0"/>
        <v>45383</v>
      </c>
      <c r="P5" s="45">
        <f t="shared" si="0"/>
        <v>45413</v>
      </c>
      <c r="Q5" s="45">
        <f t="shared" si="0"/>
        <v>45444</v>
      </c>
      <c r="R5" s="45">
        <f t="shared" si="0"/>
        <v>45474</v>
      </c>
      <c r="S5" s="45">
        <f t="shared" si="0"/>
        <v>45505</v>
      </c>
      <c r="T5" s="45">
        <f t="shared" si="0"/>
        <v>45536</v>
      </c>
      <c r="U5" s="45">
        <f t="shared" si="0"/>
        <v>45566</v>
      </c>
      <c r="V5" s="45">
        <f t="shared" si="0"/>
        <v>45597</v>
      </c>
      <c r="W5" s="45">
        <f t="shared" si="0"/>
        <v>45627</v>
      </c>
      <c r="X5" s="45">
        <f t="shared" si="0"/>
        <v>45658</v>
      </c>
      <c r="Y5" s="45">
        <f t="shared" si="0"/>
        <v>45689</v>
      </c>
      <c r="Z5" s="45">
        <f t="shared" si="0"/>
        <v>45717</v>
      </c>
      <c r="AA5" s="45">
        <f t="shared" si="0"/>
        <v>45748</v>
      </c>
      <c r="AB5" s="45">
        <f t="shared" si="0"/>
        <v>45778</v>
      </c>
      <c r="AC5" s="45">
        <f t="shared" si="0"/>
        <v>45809</v>
      </c>
      <c r="AD5" s="45">
        <f t="shared" si="0"/>
        <v>45839</v>
      </c>
      <c r="AE5" s="45">
        <f t="shared" si="0"/>
        <v>45870</v>
      </c>
      <c r="AF5" s="45">
        <f t="shared" si="0"/>
        <v>45901</v>
      </c>
      <c r="AG5" s="45">
        <f t="shared" si="0"/>
        <v>45931</v>
      </c>
      <c r="AH5" s="45">
        <f t="shared" si="0"/>
        <v>45962</v>
      </c>
      <c r="AI5" s="45">
        <f t="shared" si="0"/>
        <v>45992</v>
      </c>
      <c r="AJ5" s="45">
        <f t="shared" si="0"/>
        <v>46023</v>
      </c>
      <c r="AK5" s="45">
        <f t="shared" si="0"/>
        <v>46054</v>
      </c>
      <c r="AL5" s="45">
        <f t="shared" si="0"/>
        <v>46082</v>
      </c>
      <c r="AM5" s="45">
        <f t="shared" si="0"/>
        <v>46113</v>
      </c>
      <c r="AN5" s="45">
        <f t="shared" si="0"/>
        <v>46143</v>
      </c>
      <c r="AO5" s="45">
        <f t="shared" si="0"/>
        <v>46174</v>
      </c>
      <c r="AP5" s="45">
        <f t="shared" si="0"/>
        <v>46204</v>
      </c>
    </row>
    <row r="6" spans="2:42" x14ac:dyDescent="0.2">
      <c r="B6" s="43" t="s">
        <v>258</v>
      </c>
      <c r="C6" s="44"/>
      <c r="D6" s="44"/>
      <c r="E6" s="6"/>
      <c r="F6" s="44"/>
      <c r="G6" s="44"/>
      <c r="H6" s="6"/>
      <c r="I6" s="44"/>
      <c r="J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2:42" x14ac:dyDescent="0.2">
      <c r="B7" s="57" t="s">
        <v>275</v>
      </c>
      <c r="C7" s="49">
        <f t="shared" ref="C7:D14" si="1">SUMIFS($L7:$AP7,$L$5:$AP$5,"&gt;"&amp;C$42,$L$5:$AP$5,"&lt;"&amp;C$43)</f>
        <v>793.47225000000003</v>
      </c>
      <c r="D7" s="49">
        <f t="shared" si="1"/>
        <v>1450.4923499999998</v>
      </c>
      <c r="E7" s="49"/>
      <c r="F7" s="49">
        <f t="shared" ref="F7:G14" si="2">SUMIFS($L7:$AP7,$L$5:$AP$5,"&gt;"&amp;F$42,$L$5:$AP$5,"&lt;"&amp;F$43)</f>
        <v>751.52859999999987</v>
      </c>
      <c r="G7" s="49">
        <f t="shared" si="2"/>
        <v>1261.47685</v>
      </c>
      <c r="H7" s="49"/>
      <c r="I7" s="49">
        <f t="shared" ref="I7:J14" si="3">SUMIFS($L7:$AP7,$L$5:$AP$5,"&gt;"&amp;I$42,$L$5:$AP$5,"&lt;"&amp;I$43)</f>
        <v>1098.5075000000002</v>
      </c>
      <c r="J7" s="49">
        <f t="shared" si="3"/>
        <v>1881.6971000000001</v>
      </c>
      <c r="L7" s="48">
        <f>SUMIFS('Combined P&amp;L'!N:N,'Combined P&amp;L'!$C:$C,'P&amp;L Overview'!$B7)</f>
        <v>44.683500000000002</v>
      </c>
      <c r="M7" s="48">
        <f>SUMIFS('Combined P&amp;L'!O:O,'Combined P&amp;L'!$C:$C,'P&amp;L Overview'!$B7)</f>
        <v>47.045999999999999</v>
      </c>
      <c r="N7" s="48">
        <f>SUMIFS('Combined P&amp;L'!P:P,'Combined P&amp;L'!$C:$C,'P&amp;L Overview'!$B7)</f>
        <v>52.47</v>
      </c>
      <c r="O7" s="48">
        <f>SUMIFS('Combined P&amp;L'!Q:Q,'Combined P&amp;L'!$C:$C,'P&amp;L Overview'!$B7)</f>
        <v>57.169699999999999</v>
      </c>
      <c r="P7" s="48">
        <f>SUMIFS('Combined P&amp;L'!R:R,'Combined P&amp;L'!$C:$C,'P&amp;L Overview'!$B7)</f>
        <v>57.514150000000001</v>
      </c>
      <c r="Q7" s="48">
        <f>SUMIFS('Combined P&amp;L'!S:S,'Combined P&amp;L'!$C:$C,'P&amp;L Overview'!$B7)</f>
        <v>65.516000000000005</v>
      </c>
      <c r="R7" s="48">
        <f>SUMIFS('Combined P&amp;L'!T:T,'Combined P&amp;L'!$C:$C,'P&amp;L Overview'!$B7)</f>
        <v>68.28125</v>
      </c>
      <c r="S7" s="48">
        <f>SUMIFS('Combined P&amp;L'!U:U,'Combined P&amp;L'!$C:$C,'P&amp;L Overview'!$B7)</f>
        <v>73.251350000000002</v>
      </c>
      <c r="T7" s="48">
        <f>SUMIFS('Combined P&amp;L'!V:V,'Combined P&amp;L'!$C:$C,'P&amp;L Overview'!$B7)</f>
        <v>75.551699999999997</v>
      </c>
      <c r="U7" s="48">
        <f>SUMIFS('Combined P&amp;L'!W:W,'Combined P&amp;L'!$C:$C,'P&amp;L Overview'!$B7)</f>
        <v>79.113249999999994</v>
      </c>
      <c r="V7" s="48">
        <f>SUMIFS('Combined P&amp;L'!X:X,'Combined P&amp;L'!$C:$C,'P&amp;L Overview'!$B7)</f>
        <v>83.290800000000004</v>
      </c>
      <c r="W7" s="48">
        <f>SUMIFS('Combined P&amp;L'!Y:Y,'Combined P&amp;L'!$C:$C,'P&amp;L Overview'!$B7)</f>
        <v>89.584550000000007</v>
      </c>
      <c r="X7" s="48">
        <f>SUMIFS('Combined P&amp;L'!Z:Z,'Combined P&amp;L'!$C:$C,'P&amp;L Overview'!$B7)</f>
        <v>92.418899999999994</v>
      </c>
      <c r="Y7" s="48">
        <f>SUMIFS('Combined P&amp;L'!AA:AA,'Combined P&amp;L'!$C:$C,'P&amp;L Overview'!$B7)</f>
        <v>94.00215</v>
      </c>
      <c r="Z7" s="48">
        <f>SUMIFS('Combined P&amp;L'!AB:AB,'Combined P&amp;L'!$C:$C,'P&amp;L Overview'!$B7)</f>
        <v>101.50605</v>
      </c>
      <c r="AA7" s="48">
        <f>SUMIFS('Combined P&amp;L'!AC:AC,'Combined P&amp;L'!$C:$C,'P&amp;L Overview'!$B7)</f>
        <v>106.1375</v>
      </c>
      <c r="AB7" s="48">
        <f>SUMIFS('Combined P&amp;L'!AD:AD,'Combined P&amp;L'!$C:$C,'P&amp;L Overview'!$B7)</f>
        <v>115.93875</v>
      </c>
      <c r="AC7" s="48">
        <f>SUMIFS('Combined P&amp;L'!AE:AE,'Combined P&amp;L'!$C:$C,'P&amp;L Overview'!$B7)</f>
        <v>119.43125000000001</v>
      </c>
      <c r="AD7" s="48">
        <f>SUMIFS('Combined P&amp;L'!AF:AF,'Combined P&amp;L'!$C:$C,'P&amp;L Overview'!$B7)</f>
        <v>122.09399999999999</v>
      </c>
      <c r="AE7" s="48">
        <f>SUMIFS('Combined P&amp;L'!AG:AG,'Combined P&amp;L'!$C:$C,'P&amp;L Overview'!$B7)</f>
        <v>130.08525</v>
      </c>
      <c r="AF7" s="48">
        <f>SUMIFS('Combined P&amp;L'!AH:AH,'Combined P&amp;L'!$C:$C,'P&amp;L Overview'!$B7)</f>
        <v>133.59049999999999</v>
      </c>
      <c r="AG7" s="48">
        <f>SUMIFS('Combined P&amp;L'!AI:AI,'Combined P&amp;L'!$C:$C,'P&amp;L Overview'!$B7)</f>
        <v>139.60900000000001</v>
      </c>
      <c r="AH7" s="48">
        <f>SUMIFS('Combined P&amp;L'!AJ:AJ,'Combined P&amp;L'!$C:$C,'P&amp;L Overview'!$B7)</f>
        <v>145.28075000000001</v>
      </c>
      <c r="AI7" s="48">
        <f>SUMIFS('Combined P&amp;L'!AK:AK,'Combined P&amp;L'!$C:$C,'P&amp;L Overview'!$B7)</f>
        <v>150.39824999999999</v>
      </c>
      <c r="AJ7" s="48">
        <f>SUMIFS('Combined P&amp;L'!AL:AL,'Combined P&amp;L'!$C:$C,'P&amp;L Overview'!$B7)</f>
        <v>156.53879999999998</v>
      </c>
      <c r="AK7" s="48">
        <f>SUMIFS('Combined P&amp;L'!AM:AM,'Combined P&amp;L'!$C:$C,'P&amp;L Overview'!$B7)</f>
        <v>164.9034</v>
      </c>
      <c r="AL7" s="48">
        <f>SUMIFS('Combined P&amp;L'!AN:AN,'Combined P&amp;L'!$C:$C,'P&amp;L Overview'!$B7)</f>
        <v>170.34424999999999</v>
      </c>
      <c r="AM7" s="48">
        <f>SUMIFS('Combined P&amp;L'!AO:AO,'Combined P&amp;L'!$C:$C,'P&amp;L Overview'!$B7)</f>
        <v>183.66200000000001</v>
      </c>
      <c r="AN7" s="48">
        <f>SUMIFS('Combined P&amp;L'!AP:AP,'Combined P&amp;L'!$C:$C,'P&amp;L Overview'!$B7)</f>
        <v>190.78440000000001</v>
      </c>
      <c r="AO7" s="48">
        <f>SUMIFS('Combined P&amp;L'!AQ:AQ,'Combined P&amp;L'!$C:$C,'P&amp;L Overview'!$B7)</f>
        <v>194.40649999999999</v>
      </c>
      <c r="AP7" s="48">
        <f>SUMIFS('Combined P&amp;L'!AR:AR,'Combined P&amp;L'!$C:$C,'P&amp;L Overview'!$B7)</f>
        <v>200.83750000000001</v>
      </c>
    </row>
    <row r="8" spans="2:42" x14ac:dyDescent="0.2">
      <c r="B8" s="57" t="s">
        <v>274</v>
      </c>
      <c r="C8" s="24">
        <f t="shared" si="1"/>
        <v>224.79100000000003</v>
      </c>
      <c r="D8" s="24">
        <f t="shared" si="1"/>
        <v>149.76999999999998</v>
      </c>
      <c r="E8" s="24"/>
      <c r="F8" s="24">
        <f t="shared" si="2"/>
        <v>90.452500000000001</v>
      </c>
      <c r="G8" s="24">
        <f t="shared" si="2"/>
        <v>73.418499999999995</v>
      </c>
      <c r="H8" s="24"/>
      <c r="I8" s="24">
        <f t="shared" si="3"/>
        <v>174.62999999999997</v>
      </c>
      <c r="J8" s="24">
        <f t="shared" si="3"/>
        <v>135.298</v>
      </c>
      <c r="K8" s="53"/>
      <c r="L8" s="54">
        <f>SUMIFS('Combined P&amp;L'!N:N,'Combined P&amp;L'!$C:$C,'P&amp;L Overview'!$B8)</f>
        <v>22.001000000000001</v>
      </c>
      <c r="M8" s="54">
        <f>SUMIFS('Combined P&amp;L'!O:O,'Combined P&amp;L'!$C:$C,'P&amp;L Overview'!$B8)</f>
        <v>22.036000000000001</v>
      </c>
      <c r="N8" s="54">
        <f>SUMIFS('Combined P&amp;L'!P:P,'Combined P&amp;L'!$C:$C,'P&amp;L Overview'!$B8)</f>
        <v>22.111000000000001</v>
      </c>
      <c r="O8" s="54">
        <f>SUMIFS('Combined P&amp;L'!Q:Q,'Combined P&amp;L'!$C:$C,'P&amp;L Overview'!$B8)</f>
        <v>22.146000000000001</v>
      </c>
      <c r="P8" s="54">
        <f>SUMIFS('Combined P&amp;L'!R:R,'Combined P&amp;L'!$C:$C,'P&amp;L Overview'!$B8)</f>
        <v>21.966000000000001</v>
      </c>
      <c r="Q8" s="54">
        <f>SUMIFS('Combined P&amp;L'!S:S,'Combined P&amp;L'!$C:$C,'P&amp;L Overview'!$B8)</f>
        <v>17.815999999999999</v>
      </c>
      <c r="R8" s="54">
        <f>SUMIFS('Combined P&amp;L'!T:T,'Combined P&amp;L'!$C:$C,'P&amp;L Overview'!$B8)</f>
        <v>17.620999999999999</v>
      </c>
      <c r="S8" s="54">
        <f>SUMIFS('Combined P&amp;L'!U:U,'Combined P&amp;L'!$C:$C,'P&amp;L Overview'!$B8)</f>
        <v>17.536000000000001</v>
      </c>
      <c r="T8" s="54">
        <f>SUMIFS('Combined P&amp;L'!V:V,'Combined P&amp;L'!$C:$C,'P&amp;L Overview'!$B8)</f>
        <v>16.425999999999998</v>
      </c>
      <c r="U8" s="54">
        <f>SUMIFS('Combined P&amp;L'!W:W,'Combined P&amp;L'!$C:$C,'P&amp;L Overview'!$B8)</f>
        <v>15.381</v>
      </c>
      <c r="V8" s="54">
        <f>SUMIFS('Combined P&amp;L'!X:X,'Combined P&amp;L'!$C:$C,'P&amp;L Overview'!$B8)</f>
        <v>14.6755</v>
      </c>
      <c r="W8" s="54">
        <f>SUMIFS('Combined P&amp;L'!Y:Y,'Combined P&amp;L'!$C:$C,'P&amp;L Overview'!$B8)</f>
        <v>15.0755</v>
      </c>
      <c r="X8" s="54">
        <f>SUMIFS('Combined P&amp;L'!Z:Z,'Combined P&amp;L'!$C:$C,'P&amp;L Overview'!$B8)</f>
        <v>14.5625</v>
      </c>
      <c r="Y8" s="54">
        <f>SUMIFS('Combined P&amp;L'!AA:AA,'Combined P&amp;L'!$C:$C,'P&amp;L Overview'!$B8)</f>
        <v>12.8025</v>
      </c>
      <c r="Z8" s="54">
        <f>SUMIFS('Combined P&amp;L'!AB:AB,'Combined P&amp;L'!$C:$C,'P&amp;L Overview'!$B8)</f>
        <v>12.4025</v>
      </c>
      <c r="AA8" s="54">
        <f>SUMIFS('Combined P&amp;L'!AC:AC,'Combined P&amp;L'!$C:$C,'P&amp;L Overview'!$B8)</f>
        <v>12.602499999999999</v>
      </c>
      <c r="AB8" s="54">
        <f>SUMIFS('Combined P&amp;L'!AD:AD,'Combined P&amp;L'!$C:$C,'P&amp;L Overview'!$B8)</f>
        <v>12.7525</v>
      </c>
      <c r="AC8" s="54">
        <f>SUMIFS('Combined P&amp;L'!AE:AE,'Combined P&amp;L'!$C:$C,'P&amp;L Overview'!$B8)</f>
        <v>12.7925</v>
      </c>
      <c r="AD8" s="54">
        <f>SUMIFS('Combined P&amp;L'!AF:AF,'Combined P&amp;L'!$C:$C,'P&amp;L Overview'!$B8)</f>
        <v>12.5375</v>
      </c>
      <c r="AE8" s="54">
        <f>SUMIFS('Combined P&amp;L'!AG:AG,'Combined P&amp;L'!$C:$C,'P&amp;L Overview'!$B8)</f>
        <v>11.8575</v>
      </c>
      <c r="AF8" s="54">
        <f>SUMIFS('Combined P&amp;L'!AH:AH,'Combined P&amp;L'!$C:$C,'P&amp;L Overview'!$B8)</f>
        <v>12.3025</v>
      </c>
      <c r="AG8" s="54">
        <f>SUMIFS('Combined P&amp;L'!AI:AI,'Combined P&amp;L'!$C:$C,'P&amp;L Overview'!$B8)</f>
        <v>11.692500000000001</v>
      </c>
      <c r="AH8" s="54">
        <f>SUMIFS('Combined P&amp;L'!AJ:AJ,'Combined P&amp;L'!$C:$C,'P&amp;L Overview'!$B8)</f>
        <v>11.717499999999999</v>
      </c>
      <c r="AI8" s="54">
        <f>SUMIFS('Combined P&amp;L'!AK:AK,'Combined P&amp;L'!$C:$C,'P&amp;L Overview'!$B8)</f>
        <v>11.7475</v>
      </c>
      <c r="AJ8" s="54">
        <f>SUMIFS('Combined P&amp;L'!AL:AL,'Combined P&amp;L'!$C:$C,'P&amp;L Overview'!$B8)</f>
        <v>11.2805</v>
      </c>
      <c r="AK8" s="54">
        <f>SUMIFS('Combined P&amp;L'!AM:AM,'Combined P&amp;L'!$C:$C,'P&amp;L Overview'!$B8)</f>
        <v>10.9305</v>
      </c>
      <c r="AL8" s="54">
        <f>SUMIFS('Combined P&amp;L'!AN:AN,'Combined P&amp;L'!$C:$C,'P&amp;L Overview'!$B8)</f>
        <v>10.625500000000001</v>
      </c>
      <c r="AM8" s="54">
        <f>SUMIFS('Combined P&amp;L'!AO:AO,'Combined P&amp;L'!$C:$C,'P&amp;L Overview'!$B8)</f>
        <v>10.3155</v>
      </c>
      <c r="AN8" s="54">
        <f>SUMIFS('Combined P&amp;L'!AP:AP,'Combined P&amp;L'!$C:$C,'P&amp;L Overview'!$B8)</f>
        <v>10.3155</v>
      </c>
      <c r="AO8" s="54">
        <f>SUMIFS('Combined P&amp;L'!AQ:AQ,'Combined P&amp;L'!$C:$C,'P&amp;L Overview'!$B8)</f>
        <v>9.9755000000000003</v>
      </c>
      <c r="AP8" s="54">
        <f>SUMIFS('Combined P&amp;L'!AR:AR,'Combined P&amp;L'!$C:$C,'P&amp;L Overview'!$B8)</f>
        <v>9.9755000000000003</v>
      </c>
    </row>
    <row r="9" spans="2:42" x14ac:dyDescent="0.2">
      <c r="B9" s="58" t="s">
        <v>24</v>
      </c>
      <c r="C9" s="24">
        <f t="shared" si="1"/>
        <v>0.55999999999999994</v>
      </c>
      <c r="D9" s="24">
        <f t="shared" si="1"/>
        <v>55.080500000000008</v>
      </c>
      <c r="E9" s="24"/>
      <c r="F9" s="24">
        <f t="shared" si="2"/>
        <v>23.225500000000004</v>
      </c>
      <c r="G9" s="24">
        <f t="shared" si="2"/>
        <v>91.651139999999998</v>
      </c>
      <c r="H9" s="24"/>
      <c r="I9" s="24">
        <f t="shared" si="3"/>
        <v>18.727000000000004</v>
      </c>
      <c r="J9" s="24">
        <f t="shared" si="3"/>
        <v>112.49548999999999</v>
      </c>
      <c r="K9" s="53"/>
      <c r="L9" s="54">
        <f>SUMIFS('Combined P&amp;L'!N:N,'Combined P&amp;L'!$C:$C,'P&amp;L Overview'!$B9)</f>
        <v>0</v>
      </c>
      <c r="M9" s="54">
        <f>SUMIFS('Combined P&amp;L'!O:O,'Combined P&amp;L'!$C:$C,'P&amp;L Overview'!$B9)</f>
        <v>0</v>
      </c>
      <c r="N9" s="54">
        <f>SUMIFS('Combined P&amp;L'!P:P,'Combined P&amp;L'!$C:$C,'P&amp;L Overview'!$B9)</f>
        <v>0</v>
      </c>
      <c r="O9" s="54">
        <f>SUMIFS('Combined P&amp;L'!Q:Q,'Combined P&amp;L'!$C:$C,'P&amp;L Overview'!$B9)</f>
        <v>0</v>
      </c>
      <c r="P9" s="54">
        <f>SUMIFS('Combined P&amp;L'!R:R,'Combined P&amp;L'!$C:$C,'P&amp;L Overview'!$B9)</f>
        <v>0</v>
      </c>
      <c r="Q9" s="54">
        <f>SUMIFS('Combined P&amp;L'!S:S,'Combined P&amp;L'!$C:$C,'P&amp;L Overview'!$B9)</f>
        <v>0</v>
      </c>
      <c r="R9" s="54">
        <f>SUMIFS('Combined P&amp;L'!T:T,'Combined P&amp;L'!$C:$C,'P&amp;L Overview'!$B9)</f>
        <v>0</v>
      </c>
      <c r="S9" s="54">
        <f>SUMIFS('Combined P&amp;L'!U:U,'Combined P&amp;L'!$C:$C,'P&amp;L Overview'!$B9)</f>
        <v>0</v>
      </c>
      <c r="T9" s="54">
        <f>SUMIFS('Combined P&amp;L'!V:V,'Combined P&amp;L'!$C:$C,'P&amp;L Overview'!$B9)</f>
        <v>0</v>
      </c>
      <c r="U9" s="54">
        <f>SUMIFS('Combined P&amp;L'!W:W,'Combined P&amp;L'!$C:$C,'P&amp;L Overview'!$B9)</f>
        <v>0</v>
      </c>
      <c r="V9" s="54">
        <f>SUMIFS('Combined P&amp;L'!X:X,'Combined P&amp;L'!$C:$C,'P&amp;L Overview'!$B9)</f>
        <v>0.08</v>
      </c>
      <c r="W9" s="54">
        <f>SUMIFS('Combined P&amp;L'!Y:Y,'Combined P&amp;L'!$C:$C,'P&amp;L Overview'!$B9)</f>
        <v>0.48</v>
      </c>
      <c r="X9" s="54">
        <f>SUMIFS('Combined P&amp;L'!Z:Z,'Combined P&amp;L'!$C:$C,'P&amp;L Overview'!$B9)</f>
        <v>1.1299999999999999</v>
      </c>
      <c r="Y9" s="54">
        <f>SUMIFS('Combined P&amp;L'!AA:AA,'Combined P&amp;L'!$C:$C,'P&amp;L Overview'!$B9)</f>
        <v>2.14</v>
      </c>
      <c r="Z9" s="54">
        <f>SUMIFS('Combined P&amp;L'!AB:AB,'Combined P&amp;L'!$C:$C,'P&amp;L Overview'!$B9)</f>
        <v>2.66</v>
      </c>
      <c r="AA9" s="54">
        <f>SUMIFS('Combined P&amp;L'!AC:AC,'Combined P&amp;L'!$C:$C,'P&amp;L Overview'!$B9)</f>
        <v>3.65</v>
      </c>
      <c r="AB9" s="54">
        <f>SUMIFS('Combined P&amp;L'!AD:AD,'Combined P&amp;L'!$C:$C,'P&amp;L Overview'!$B9)</f>
        <v>3.6230000000000002</v>
      </c>
      <c r="AC9" s="54">
        <f>SUMIFS('Combined P&amp;L'!AE:AE,'Combined P&amp;L'!$C:$C,'P&amp;L Overview'!$B9)</f>
        <v>4.9640000000000004</v>
      </c>
      <c r="AD9" s="54">
        <f>SUMIFS('Combined P&amp;L'!AF:AF,'Combined P&amp;L'!$C:$C,'P&amp;L Overview'!$B9)</f>
        <v>5.0585000000000004</v>
      </c>
      <c r="AE9" s="54">
        <f>SUMIFS('Combined P&amp;L'!AG:AG,'Combined P&amp;L'!$C:$C,'P&amp;L Overview'!$B9)</f>
        <v>4.7300000000000004</v>
      </c>
      <c r="AF9" s="54">
        <f>SUMIFS('Combined P&amp;L'!AH:AH,'Combined P&amp;L'!$C:$C,'P&amp;L Overview'!$B9)</f>
        <v>4.82</v>
      </c>
      <c r="AG9" s="54">
        <f>SUMIFS('Combined P&amp;L'!AI:AI,'Combined P&amp;L'!$C:$C,'P&amp;L Overview'!$B9)</f>
        <v>5.37</v>
      </c>
      <c r="AH9" s="54">
        <f>SUMIFS('Combined P&amp;L'!AJ:AJ,'Combined P&amp;L'!$C:$C,'P&amp;L Overview'!$B9)</f>
        <v>8.0500000000000007</v>
      </c>
      <c r="AI9" s="54">
        <f>SUMIFS('Combined P&amp;L'!AK:AK,'Combined P&amp;L'!$C:$C,'P&amp;L Overview'!$B9)</f>
        <v>8.8849999999999998</v>
      </c>
      <c r="AJ9" s="54">
        <f>SUMIFS('Combined P&amp;L'!AL:AL,'Combined P&amp;L'!$C:$C,'P&amp;L Overview'!$B9)</f>
        <v>10.909520000000001</v>
      </c>
      <c r="AK9" s="54">
        <f>SUMIFS('Combined P&amp;L'!AM:AM,'Combined P&amp;L'!$C:$C,'P&amp;L Overview'!$B9)</f>
        <v>10.33497</v>
      </c>
      <c r="AL9" s="54">
        <f>SUMIFS('Combined P&amp;L'!AN:AN,'Combined P&amp;L'!$C:$C,'P&amp;L Overview'!$B9)</f>
        <v>11.175000000000001</v>
      </c>
      <c r="AM9" s="54">
        <f>SUMIFS('Combined P&amp;L'!AO:AO,'Combined P&amp;L'!$C:$C,'P&amp;L Overview'!$B9)</f>
        <v>11.953110000000001</v>
      </c>
      <c r="AN9" s="54">
        <f>SUMIFS('Combined P&amp;L'!AP:AP,'Combined P&amp;L'!$C:$C,'P&amp;L Overview'!$B9)</f>
        <v>15.040709999999999</v>
      </c>
      <c r="AO9" s="54">
        <f>SUMIFS('Combined P&amp;L'!AQ:AQ,'Combined P&amp;L'!$C:$C,'P&amp;L Overview'!$B9)</f>
        <v>16.168680000000002</v>
      </c>
      <c r="AP9" s="54">
        <f>SUMIFS('Combined P&amp;L'!AR:AR,'Combined P&amp;L'!$C:$C,'P&amp;L Overview'!$B9)</f>
        <v>16.06915</v>
      </c>
    </row>
    <row r="10" spans="2:42" x14ac:dyDescent="0.2">
      <c r="B10" s="58" t="s">
        <v>19</v>
      </c>
      <c r="C10" s="24">
        <f t="shared" si="1"/>
        <v>44.058500000000002</v>
      </c>
      <c r="D10" s="24">
        <f t="shared" si="1"/>
        <v>74.519299999999987</v>
      </c>
      <c r="E10" s="24"/>
      <c r="F10" s="24">
        <f t="shared" si="2"/>
        <v>42.254049999999999</v>
      </c>
      <c r="G10" s="24">
        <f t="shared" si="2"/>
        <v>59.055000000000007</v>
      </c>
      <c r="H10" s="24"/>
      <c r="I10" s="24">
        <f t="shared" si="3"/>
        <v>55.660549999999994</v>
      </c>
      <c r="J10" s="24">
        <f t="shared" si="3"/>
        <v>91.655749999999998</v>
      </c>
      <c r="K10" s="53"/>
      <c r="L10" s="54">
        <f>SUMIFS('Combined P&amp;L'!N:N,'Combined P&amp;L'!$C:$C,'P&amp;L Overview'!$B10)</f>
        <v>5.4649999999999999</v>
      </c>
      <c r="M10" s="54">
        <f>SUMIFS('Combined P&amp;L'!O:O,'Combined P&amp;L'!$C:$C,'P&amp;L Overview'!$B10)</f>
        <v>3.9</v>
      </c>
      <c r="N10" s="54">
        <f>SUMIFS('Combined P&amp;L'!P:P,'Combined P&amp;L'!$C:$C,'P&amp;L Overview'!$B10)</f>
        <v>2.7549999999999999</v>
      </c>
      <c r="O10" s="54">
        <f>SUMIFS('Combined P&amp;L'!Q:Q,'Combined P&amp;L'!$C:$C,'P&amp;L Overview'!$B10)</f>
        <v>3.5019999999999998</v>
      </c>
      <c r="P10" s="54">
        <f>SUMIFS('Combined P&amp;L'!R:R,'Combined P&amp;L'!$C:$C,'P&amp;L Overview'!$B10)</f>
        <v>4.6589999999999998</v>
      </c>
      <c r="Q10" s="54">
        <f>SUMIFS('Combined P&amp;L'!S:S,'Combined P&amp;L'!$C:$C,'P&amp;L Overview'!$B10)</f>
        <v>3.9369999999999998</v>
      </c>
      <c r="R10" s="54">
        <f>SUMIFS('Combined P&amp;L'!T:T,'Combined P&amp;L'!$C:$C,'P&amp;L Overview'!$B10)</f>
        <v>4.6020000000000003</v>
      </c>
      <c r="S10" s="54">
        <f>SUMIFS('Combined P&amp;L'!U:U,'Combined P&amp;L'!$C:$C,'P&amp;L Overview'!$B10)</f>
        <v>4.7380000000000004</v>
      </c>
      <c r="T10" s="54">
        <f>SUMIFS('Combined P&amp;L'!V:V,'Combined P&amp;L'!$C:$C,'P&amp;L Overview'!$B10)</f>
        <v>2.1190000000000002</v>
      </c>
      <c r="U10" s="54">
        <f>SUMIFS('Combined P&amp;L'!W:W,'Combined P&amp;L'!$C:$C,'P&amp;L Overview'!$B10)</f>
        <v>2.0640000000000001</v>
      </c>
      <c r="V10" s="54">
        <f>SUMIFS('Combined P&amp;L'!X:X,'Combined P&amp;L'!$C:$C,'P&amp;L Overview'!$B10)</f>
        <v>3.0125000000000002</v>
      </c>
      <c r="W10" s="54">
        <f>SUMIFS('Combined P&amp;L'!Y:Y,'Combined P&amp;L'!$C:$C,'P&amp;L Overview'!$B10)</f>
        <v>3.3050000000000002</v>
      </c>
      <c r="X10" s="54">
        <f>SUMIFS('Combined P&amp;L'!Z:Z,'Combined P&amp;L'!$C:$C,'P&amp;L Overview'!$B10)</f>
        <v>3.0790000000000002</v>
      </c>
      <c r="Y10" s="54">
        <f>SUMIFS('Combined P&amp;L'!AA:AA,'Combined P&amp;L'!$C:$C,'P&amp;L Overview'!$B10)</f>
        <v>0.7</v>
      </c>
      <c r="Z10" s="54">
        <f>SUMIFS('Combined P&amp;L'!AB:AB,'Combined P&amp;L'!$C:$C,'P&amp;L Overview'!$B10)</f>
        <v>10.438549999999999</v>
      </c>
      <c r="AA10" s="54">
        <f>SUMIFS('Combined P&amp;L'!AC:AC,'Combined P&amp;L'!$C:$C,'P&amp;L Overview'!$B10)</f>
        <v>4.3</v>
      </c>
      <c r="AB10" s="54">
        <f>SUMIFS('Combined P&amp;L'!AD:AD,'Combined P&amp;L'!$C:$C,'P&amp;L Overview'!$B10)</f>
        <v>11.14</v>
      </c>
      <c r="AC10" s="54">
        <f>SUMIFS('Combined P&amp;L'!AE:AE,'Combined P&amp;L'!$C:$C,'P&amp;L Overview'!$B10)</f>
        <v>6.1624999999999996</v>
      </c>
      <c r="AD10" s="54">
        <f>SUMIFS('Combined P&amp;L'!AF:AF,'Combined P&amp;L'!$C:$C,'P&amp;L Overview'!$B10)</f>
        <v>6.4340000000000002</v>
      </c>
      <c r="AE10" s="54">
        <f>SUMIFS('Combined P&amp;L'!AG:AG,'Combined P&amp;L'!$C:$C,'P&amp;L Overview'!$B10)</f>
        <v>3.9649999999999999</v>
      </c>
      <c r="AF10" s="54">
        <f>SUMIFS('Combined P&amp;L'!AH:AH,'Combined P&amp;L'!$C:$C,'P&amp;L Overview'!$B10)</f>
        <v>3.92</v>
      </c>
      <c r="AG10" s="54">
        <f>SUMIFS('Combined P&amp;L'!AI:AI,'Combined P&amp;L'!$C:$C,'P&amp;L Overview'!$B10)</f>
        <v>9.1364999999999998</v>
      </c>
      <c r="AH10" s="54">
        <f>SUMIFS('Combined P&amp;L'!AJ:AJ,'Combined P&amp;L'!$C:$C,'P&amp;L Overview'!$B10)</f>
        <v>5.2537500000000001</v>
      </c>
      <c r="AI10" s="54">
        <f>SUMIFS('Combined P&amp;L'!AK:AK,'Combined P&amp;L'!$C:$C,'P&amp;L Overview'!$B10)</f>
        <v>9.99</v>
      </c>
      <c r="AJ10" s="54">
        <f>SUMIFS('Combined P&amp;L'!AL:AL,'Combined P&amp;L'!$C:$C,'P&amp;L Overview'!$B10)</f>
        <v>10.2105</v>
      </c>
      <c r="AK10" s="54">
        <f>SUMIFS('Combined P&amp;L'!AM:AM,'Combined P&amp;L'!$C:$C,'P&amp;L Overview'!$B10)</f>
        <v>6.6749999999999998</v>
      </c>
      <c r="AL10" s="54">
        <f>SUMIFS('Combined P&amp;L'!AN:AN,'Combined P&amp;L'!$C:$C,'P&amp;L Overview'!$B10)</f>
        <v>9.0990000000000002</v>
      </c>
      <c r="AM10" s="54">
        <f>SUMIFS('Combined P&amp;L'!AO:AO,'Combined P&amp;L'!$C:$C,'P&amp;L Overview'!$B10)</f>
        <v>8.9544999999999995</v>
      </c>
      <c r="AN10" s="54">
        <f>SUMIFS('Combined P&amp;L'!AP:AP,'Combined P&amp;L'!$C:$C,'P&amp;L Overview'!$B10)</f>
        <v>12.606</v>
      </c>
      <c r="AO10" s="54">
        <f>SUMIFS('Combined P&amp;L'!AQ:AQ,'Combined P&amp;L'!$C:$C,'P&amp;L Overview'!$B10)</f>
        <v>5.4115000000000002</v>
      </c>
      <c r="AP10" s="54">
        <f>SUMIFS('Combined P&amp;L'!AR:AR,'Combined P&amp;L'!$C:$C,'P&amp;L Overview'!$B10)</f>
        <v>6.0984999999999996</v>
      </c>
    </row>
    <row r="11" spans="2:42" x14ac:dyDescent="0.2">
      <c r="B11" s="57" t="s">
        <v>25</v>
      </c>
      <c r="C11" s="24">
        <f t="shared" si="1"/>
        <v>0.06</v>
      </c>
      <c r="D11" s="24">
        <f t="shared" si="1"/>
        <v>36.606499999999997</v>
      </c>
      <c r="E11" s="24"/>
      <c r="F11" s="24">
        <f t="shared" si="2"/>
        <v>15.4915</v>
      </c>
      <c r="G11" s="24">
        <f t="shared" si="2"/>
        <v>45.129999999999995</v>
      </c>
      <c r="H11" s="24"/>
      <c r="I11" s="24">
        <f t="shared" si="3"/>
        <v>11.631500000000001</v>
      </c>
      <c r="J11" s="24">
        <f t="shared" si="3"/>
        <v>63.209999999999994</v>
      </c>
      <c r="K11" s="53"/>
      <c r="L11" s="54">
        <f>SUMIFS('Combined P&amp;L'!N:N,'Combined P&amp;L'!$C:$C,'P&amp;L Overview'!$B11)</f>
        <v>0</v>
      </c>
      <c r="M11" s="54">
        <f>SUMIFS('Combined P&amp;L'!O:O,'Combined P&amp;L'!$C:$C,'P&amp;L Overview'!$B11)</f>
        <v>0</v>
      </c>
      <c r="N11" s="54">
        <f>SUMIFS('Combined P&amp;L'!P:P,'Combined P&amp;L'!$C:$C,'P&amp;L Overview'!$B11)</f>
        <v>0</v>
      </c>
      <c r="O11" s="54">
        <f>SUMIFS('Combined P&amp;L'!Q:Q,'Combined P&amp;L'!$C:$C,'P&amp;L Overview'!$B11)</f>
        <v>0</v>
      </c>
      <c r="P11" s="54">
        <f>SUMIFS('Combined P&amp;L'!R:R,'Combined P&amp;L'!$C:$C,'P&amp;L Overview'!$B11)</f>
        <v>0</v>
      </c>
      <c r="Q11" s="54">
        <f>SUMIFS('Combined P&amp;L'!S:S,'Combined P&amp;L'!$C:$C,'P&amp;L Overview'!$B11)</f>
        <v>0</v>
      </c>
      <c r="R11" s="54">
        <f>SUMIFS('Combined P&amp;L'!T:T,'Combined P&amp;L'!$C:$C,'P&amp;L Overview'!$B11)</f>
        <v>0</v>
      </c>
      <c r="S11" s="54">
        <f>SUMIFS('Combined P&amp;L'!U:U,'Combined P&amp;L'!$C:$C,'P&amp;L Overview'!$B11)</f>
        <v>0</v>
      </c>
      <c r="T11" s="54">
        <f>SUMIFS('Combined P&amp;L'!V:V,'Combined P&amp;L'!$C:$C,'P&amp;L Overview'!$B11)</f>
        <v>0</v>
      </c>
      <c r="U11" s="54">
        <f>SUMIFS('Combined P&amp;L'!W:W,'Combined P&amp;L'!$C:$C,'P&amp;L Overview'!$B11)</f>
        <v>0</v>
      </c>
      <c r="V11" s="54">
        <f>SUMIFS('Combined P&amp;L'!X:X,'Combined P&amp;L'!$C:$C,'P&amp;L Overview'!$B11)</f>
        <v>0</v>
      </c>
      <c r="W11" s="54">
        <f>SUMIFS('Combined P&amp;L'!Y:Y,'Combined P&amp;L'!$C:$C,'P&amp;L Overview'!$B11)</f>
        <v>0.06</v>
      </c>
      <c r="X11" s="54">
        <f>SUMIFS('Combined P&amp;L'!Z:Z,'Combined P&amp;L'!$C:$C,'P&amp;L Overview'!$B11)</f>
        <v>0.97</v>
      </c>
      <c r="Y11" s="54">
        <f>SUMIFS('Combined P&amp;L'!AA:AA,'Combined P&amp;L'!$C:$C,'P&amp;L Overview'!$B11)</f>
        <v>1.1000000000000001</v>
      </c>
      <c r="Z11" s="54">
        <f>SUMIFS('Combined P&amp;L'!AB:AB,'Combined P&amp;L'!$C:$C,'P&amp;L Overview'!$B11)</f>
        <v>1.7350000000000001</v>
      </c>
      <c r="AA11" s="54">
        <f>SUMIFS('Combined P&amp;L'!AC:AC,'Combined P&amp;L'!$C:$C,'P&amp;L Overview'!$B11)</f>
        <v>2.14</v>
      </c>
      <c r="AB11" s="54">
        <f>SUMIFS('Combined P&amp;L'!AD:AD,'Combined P&amp;L'!$C:$C,'P&amp;L Overview'!$B11)</f>
        <v>2.363</v>
      </c>
      <c r="AC11" s="54">
        <f>SUMIFS('Combined P&amp;L'!AE:AE,'Combined P&amp;L'!$C:$C,'P&amp;L Overview'!$B11)</f>
        <v>3.2635000000000001</v>
      </c>
      <c r="AD11" s="54">
        <f>SUMIFS('Combined P&amp;L'!AF:AF,'Combined P&amp;L'!$C:$C,'P&amp;L Overview'!$B11)</f>
        <v>3.92</v>
      </c>
      <c r="AE11" s="54">
        <f>SUMIFS('Combined P&amp;L'!AG:AG,'Combined P&amp;L'!$C:$C,'P&amp;L Overview'!$B11)</f>
        <v>3.9049999999999998</v>
      </c>
      <c r="AF11" s="54">
        <f>SUMIFS('Combined P&amp;L'!AH:AH,'Combined P&amp;L'!$C:$C,'P&amp;L Overview'!$B11)</f>
        <v>3.78</v>
      </c>
      <c r="AG11" s="54">
        <f>SUMIFS('Combined P&amp;L'!AI:AI,'Combined P&amp;L'!$C:$C,'P&amp;L Overview'!$B11)</f>
        <v>3.7949999999999999</v>
      </c>
      <c r="AH11" s="54">
        <f>SUMIFS('Combined P&amp;L'!AJ:AJ,'Combined P&amp;L'!$C:$C,'P&amp;L Overview'!$B11)</f>
        <v>4.33</v>
      </c>
      <c r="AI11" s="54">
        <f>SUMIFS('Combined P&amp;L'!AK:AK,'Combined P&amp;L'!$C:$C,'P&amp;L Overview'!$B11)</f>
        <v>5.3049999999999997</v>
      </c>
      <c r="AJ11" s="54">
        <f>SUMIFS('Combined P&amp;L'!AL:AL,'Combined P&amp;L'!$C:$C,'P&amp;L Overview'!$B11)</f>
        <v>6.3</v>
      </c>
      <c r="AK11" s="54">
        <f>SUMIFS('Combined P&amp;L'!AM:AM,'Combined P&amp;L'!$C:$C,'P&amp;L Overview'!$B11)</f>
        <v>6.39</v>
      </c>
      <c r="AL11" s="54">
        <f>SUMIFS('Combined P&amp;L'!AN:AN,'Combined P&amp;L'!$C:$C,'P&amp;L Overview'!$B11)</f>
        <v>6.4249999999999998</v>
      </c>
      <c r="AM11" s="54">
        <f>SUMIFS('Combined P&amp;L'!AO:AO,'Combined P&amp;L'!$C:$C,'P&amp;L Overview'!$B11)</f>
        <v>6.08</v>
      </c>
      <c r="AN11" s="54">
        <f>SUMIFS('Combined P&amp;L'!AP:AP,'Combined P&amp;L'!$C:$C,'P&amp;L Overview'!$B11)</f>
        <v>6.3250000000000002</v>
      </c>
      <c r="AO11" s="54">
        <f>SUMIFS('Combined P&amp;L'!AQ:AQ,'Combined P&amp;L'!$C:$C,'P&amp;L Overview'!$B11)</f>
        <v>6.6550000000000002</v>
      </c>
      <c r="AP11" s="54">
        <f>SUMIFS('Combined P&amp;L'!AR:AR,'Combined P&amp;L'!$C:$C,'P&amp;L Overview'!$B11)</f>
        <v>6.9550000000000001</v>
      </c>
    </row>
    <row r="12" spans="2:42" x14ac:dyDescent="0.2">
      <c r="B12" s="57" t="s">
        <v>27</v>
      </c>
      <c r="C12" s="24">
        <f t="shared" si="1"/>
        <v>0</v>
      </c>
      <c r="D12" s="24">
        <f t="shared" si="1"/>
        <v>9.947000000000001</v>
      </c>
      <c r="E12" s="24"/>
      <c r="F12" s="24">
        <f t="shared" si="2"/>
        <v>0</v>
      </c>
      <c r="G12" s="24">
        <f t="shared" si="2"/>
        <v>45.085999999999991</v>
      </c>
      <c r="H12" s="24"/>
      <c r="I12" s="24">
        <f t="shared" si="3"/>
        <v>0</v>
      </c>
      <c r="J12" s="24">
        <f t="shared" si="3"/>
        <v>47.129999999999995</v>
      </c>
      <c r="K12" s="53"/>
      <c r="L12" s="54">
        <f>SUMIFS('Combined P&amp;L'!N:N,'Combined P&amp;L'!$C:$C,'P&amp;L Overview'!$B12)</f>
        <v>0</v>
      </c>
      <c r="M12" s="54">
        <f>SUMIFS('Combined P&amp;L'!O:O,'Combined P&amp;L'!$C:$C,'P&amp;L Overview'!$B12)</f>
        <v>0</v>
      </c>
      <c r="N12" s="54">
        <f>SUMIFS('Combined P&amp;L'!P:P,'Combined P&amp;L'!$C:$C,'P&amp;L Overview'!$B12)</f>
        <v>0</v>
      </c>
      <c r="O12" s="54">
        <f>SUMIFS('Combined P&amp;L'!Q:Q,'Combined P&amp;L'!$C:$C,'P&amp;L Overview'!$B12)</f>
        <v>0</v>
      </c>
      <c r="P12" s="54">
        <f>SUMIFS('Combined P&amp;L'!R:R,'Combined P&amp;L'!$C:$C,'P&amp;L Overview'!$B12)</f>
        <v>0</v>
      </c>
      <c r="Q12" s="54">
        <f>SUMIFS('Combined P&amp;L'!S:S,'Combined P&amp;L'!$C:$C,'P&amp;L Overview'!$B12)</f>
        <v>0</v>
      </c>
      <c r="R12" s="54">
        <f>SUMIFS('Combined P&amp;L'!T:T,'Combined P&amp;L'!$C:$C,'P&amp;L Overview'!$B12)</f>
        <v>0</v>
      </c>
      <c r="S12" s="54">
        <f>SUMIFS('Combined P&amp;L'!U:U,'Combined P&amp;L'!$C:$C,'P&amp;L Overview'!$B12)</f>
        <v>0</v>
      </c>
      <c r="T12" s="54">
        <f>SUMIFS('Combined P&amp;L'!V:V,'Combined P&amp;L'!$C:$C,'P&amp;L Overview'!$B12)</f>
        <v>0</v>
      </c>
      <c r="U12" s="54">
        <f>SUMIFS('Combined P&amp;L'!W:W,'Combined P&amp;L'!$C:$C,'P&amp;L Overview'!$B12)</f>
        <v>0</v>
      </c>
      <c r="V12" s="54">
        <f>SUMIFS('Combined P&amp;L'!X:X,'Combined P&amp;L'!$C:$C,'P&amp;L Overview'!$B12)</f>
        <v>0</v>
      </c>
      <c r="W12" s="54">
        <f>SUMIFS('Combined P&amp;L'!Y:Y,'Combined P&amp;L'!$C:$C,'P&amp;L Overview'!$B12)</f>
        <v>0</v>
      </c>
      <c r="X12" s="54">
        <f>SUMIFS('Combined P&amp;L'!Z:Z,'Combined P&amp;L'!$C:$C,'P&amp;L Overview'!$B12)</f>
        <v>0</v>
      </c>
      <c r="Y12" s="54">
        <f>SUMIFS('Combined P&amp;L'!AA:AA,'Combined P&amp;L'!$C:$C,'P&amp;L Overview'!$B12)</f>
        <v>0</v>
      </c>
      <c r="Z12" s="54">
        <f>SUMIFS('Combined P&amp;L'!AB:AB,'Combined P&amp;L'!$C:$C,'P&amp;L Overview'!$B12)</f>
        <v>0</v>
      </c>
      <c r="AA12" s="54">
        <f>SUMIFS('Combined P&amp;L'!AC:AC,'Combined P&amp;L'!$C:$C,'P&amp;L Overview'!$B12)</f>
        <v>0</v>
      </c>
      <c r="AB12" s="54">
        <f>SUMIFS('Combined P&amp;L'!AD:AD,'Combined P&amp;L'!$C:$C,'P&amp;L Overview'!$B12)</f>
        <v>0</v>
      </c>
      <c r="AC12" s="54">
        <f>SUMIFS('Combined P&amp;L'!AE:AE,'Combined P&amp;L'!$C:$C,'P&amp;L Overview'!$B12)</f>
        <v>0</v>
      </c>
      <c r="AD12" s="54">
        <f>SUMIFS('Combined P&amp;L'!AF:AF,'Combined P&amp;L'!$C:$C,'P&amp;L Overview'!$B12)</f>
        <v>0</v>
      </c>
      <c r="AE12" s="54">
        <f>SUMIFS('Combined P&amp;L'!AG:AG,'Combined P&amp;L'!$C:$C,'P&amp;L Overview'!$B12)</f>
        <v>0</v>
      </c>
      <c r="AF12" s="54">
        <f>SUMIFS('Combined P&amp;L'!AH:AH,'Combined P&amp;L'!$C:$C,'P&amp;L Overview'!$B12)</f>
        <v>0.52</v>
      </c>
      <c r="AG12" s="54">
        <f>SUMIFS('Combined P&amp;L'!AI:AI,'Combined P&amp;L'!$C:$C,'P&amp;L Overview'!$B12)</f>
        <v>2.3570000000000002</v>
      </c>
      <c r="AH12" s="54">
        <f>SUMIFS('Combined P&amp;L'!AJ:AJ,'Combined P&amp;L'!$C:$C,'P&amp;L Overview'!$B12)</f>
        <v>2.8109999999999999</v>
      </c>
      <c r="AI12" s="54">
        <f>SUMIFS('Combined P&amp;L'!AK:AK,'Combined P&amp;L'!$C:$C,'P&amp;L Overview'!$B12)</f>
        <v>4.2590000000000003</v>
      </c>
      <c r="AJ12" s="54">
        <f>SUMIFS('Combined P&amp;L'!AL:AL,'Combined P&amp;L'!$C:$C,'P&amp;L Overview'!$B12)</f>
        <v>5.2539999999999996</v>
      </c>
      <c r="AK12" s="54">
        <f>SUMIFS('Combined P&amp;L'!AM:AM,'Combined P&amp;L'!$C:$C,'P&amp;L Overview'!$B12)</f>
        <v>5.6520000000000001</v>
      </c>
      <c r="AL12" s="54">
        <f>SUMIFS('Combined P&amp;L'!AN:AN,'Combined P&amp;L'!$C:$C,'P&amp;L Overview'!$B12)</f>
        <v>5.3239999999999998</v>
      </c>
      <c r="AM12" s="54">
        <f>SUMIFS('Combined P&amp;L'!AO:AO,'Combined P&amp;L'!$C:$C,'P&amp;L Overview'!$B12)</f>
        <v>6.3209999999999997</v>
      </c>
      <c r="AN12" s="54">
        <f>SUMIFS('Combined P&amp;L'!AP:AP,'Combined P&amp;L'!$C:$C,'P&amp;L Overview'!$B12)</f>
        <v>6.9589999999999996</v>
      </c>
      <c r="AO12" s="54">
        <f>SUMIFS('Combined P&amp;L'!AQ:AQ,'Combined P&amp;L'!$C:$C,'P&amp;L Overview'!$B12)</f>
        <v>7.673</v>
      </c>
      <c r="AP12" s="54">
        <f>SUMIFS('Combined P&amp;L'!AR:AR,'Combined P&amp;L'!$C:$C,'P&amp;L Overview'!$B12)</f>
        <v>7.9029999999999996</v>
      </c>
    </row>
    <row r="13" spans="2:42" x14ac:dyDescent="0.2">
      <c r="B13" s="58" t="s">
        <v>23</v>
      </c>
      <c r="C13" s="24">
        <f t="shared" si="1"/>
        <v>13.75</v>
      </c>
      <c r="D13" s="24">
        <f t="shared" si="1"/>
        <v>46.400000000000006</v>
      </c>
      <c r="E13" s="24"/>
      <c r="F13" s="24">
        <f t="shared" si="2"/>
        <v>31.5</v>
      </c>
      <c r="G13" s="24">
        <f t="shared" si="2"/>
        <v>24.25</v>
      </c>
      <c r="H13" s="24"/>
      <c r="I13" s="24">
        <f t="shared" si="3"/>
        <v>41.25</v>
      </c>
      <c r="J13" s="24">
        <f t="shared" si="3"/>
        <v>39.65</v>
      </c>
      <c r="K13" s="53"/>
      <c r="L13" s="54">
        <f>SUMIFS('Combined P&amp;L'!N:N,'Combined P&amp;L'!$C:$C,'P&amp;L Overview'!$B13)</f>
        <v>0</v>
      </c>
      <c r="M13" s="54">
        <f>SUMIFS('Combined P&amp;L'!O:O,'Combined P&amp;L'!$C:$C,'P&amp;L Overview'!$B13)</f>
        <v>0</v>
      </c>
      <c r="N13" s="54">
        <f>SUMIFS('Combined P&amp;L'!P:P,'Combined P&amp;L'!$C:$C,'P&amp;L Overview'!$B13)</f>
        <v>0</v>
      </c>
      <c r="O13" s="54">
        <f>SUMIFS('Combined P&amp;L'!Q:Q,'Combined P&amp;L'!$C:$C,'P&amp;L Overview'!$B13)</f>
        <v>0</v>
      </c>
      <c r="P13" s="54">
        <f>SUMIFS('Combined P&amp;L'!R:R,'Combined P&amp;L'!$C:$C,'P&amp;L Overview'!$B13)</f>
        <v>0</v>
      </c>
      <c r="Q13" s="54">
        <f>SUMIFS('Combined P&amp;L'!S:S,'Combined P&amp;L'!$C:$C,'P&amp;L Overview'!$B13)</f>
        <v>0</v>
      </c>
      <c r="R13" s="54">
        <f>SUMIFS('Combined P&amp;L'!T:T,'Combined P&amp;L'!$C:$C,'P&amp;L Overview'!$B13)</f>
        <v>1.25</v>
      </c>
      <c r="S13" s="54">
        <f>SUMIFS('Combined P&amp;L'!U:U,'Combined P&amp;L'!$C:$C,'P&amp;L Overview'!$B13)</f>
        <v>1.25</v>
      </c>
      <c r="T13" s="54">
        <f>SUMIFS('Combined P&amp;L'!V:V,'Combined P&amp;L'!$C:$C,'P&amp;L Overview'!$B13)</f>
        <v>1.25</v>
      </c>
      <c r="U13" s="54">
        <f>SUMIFS('Combined P&amp;L'!W:W,'Combined P&amp;L'!$C:$C,'P&amp;L Overview'!$B13)</f>
        <v>1.25</v>
      </c>
      <c r="V13" s="54">
        <f>SUMIFS('Combined P&amp;L'!X:X,'Combined P&amp;L'!$C:$C,'P&amp;L Overview'!$B13)</f>
        <v>5.75</v>
      </c>
      <c r="W13" s="54">
        <f>SUMIFS('Combined P&amp;L'!Y:Y,'Combined P&amp;L'!$C:$C,'P&amp;L Overview'!$B13)</f>
        <v>3</v>
      </c>
      <c r="X13" s="54">
        <f>SUMIFS('Combined P&amp;L'!Z:Z,'Combined P&amp;L'!$C:$C,'P&amp;L Overview'!$B13)</f>
        <v>4.45</v>
      </c>
      <c r="Y13" s="54">
        <f>SUMIFS('Combined P&amp;L'!AA:AA,'Combined P&amp;L'!$C:$C,'P&amp;L Overview'!$B13)</f>
        <v>3.45</v>
      </c>
      <c r="Z13" s="54">
        <f>SUMIFS('Combined P&amp;L'!AB:AB,'Combined P&amp;L'!$C:$C,'P&amp;L Overview'!$B13)</f>
        <v>3.45</v>
      </c>
      <c r="AA13" s="54">
        <f>SUMIFS('Combined P&amp;L'!AC:AC,'Combined P&amp;L'!$C:$C,'P&amp;L Overview'!$B13)</f>
        <v>5.95</v>
      </c>
      <c r="AB13" s="54">
        <f>SUMIFS('Combined P&amp;L'!AD:AD,'Combined P&amp;L'!$C:$C,'P&amp;L Overview'!$B13)</f>
        <v>5.2</v>
      </c>
      <c r="AC13" s="54">
        <f>SUMIFS('Combined P&amp;L'!AE:AE,'Combined P&amp;L'!$C:$C,'P&amp;L Overview'!$B13)</f>
        <v>5</v>
      </c>
      <c r="AD13" s="54">
        <f>SUMIFS('Combined P&amp;L'!AF:AF,'Combined P&amp;L'!$C:$C,'P&amp;L Overview'!$B13)</f>
        <v>4</v>
      </c>
      <c r="AE13" s="54">
        <f>SUMIFS('Combined P&amp;L'!AG:AG,'Combined P&amp;L'!$C:$C,'P&amp;L Overview'!$B13)</f>
        <v>2.95</v>
      </c>
      <c r="AF13" s="54">
        <f>SUMIFS('Combined P&amp;L'!AH:AH,'Combined P&amp;L'!$C:$C,'P&amp;L Overview'!$B13)</f>
        <v>3.0249999999999999</v>
      </c>
      <c r="AG13" s="54">
        <f>SUMIFS('Combined P&amp;L'!AI:AI,'Combined P&amp;L'!$C:$C,'P&amp;L Overview'!$B13)</f>
        <v>3.0249999999999999</v>
      </c>
      <c r="AH13" s="54">
        <f>SUMIFS('Combined P&amp;L'!AJ:AJ,'Combined P&amp;L'!$C:$C,'P&amp;L Overview'!$B13)</f>
        <v>2.95</v>
      </c>
      <c r="AI13" s="54">
        <f>SUMIFS('Combined P&amp;L'!AK:AK,'Combined P&amp;L'!$C:$C,'P&amp;L Overview'!$B13)</f>
        <v>2.95</v>
      </c>
      <c r="AJ13" s="54">
        <f>SUMIFS('Combined P&amp;L'!AL:AL,'Combined P&amp;L'!$C:$C,'P&amp;L Overview'!$B13)</f>
        <v>2.75</v>
      </c>
      <c r="AK13" s="54">
        <f>SUMIFS('Combined P&amp;L'!AM:AM,'Combined P&amp;L'!$C:$C,'P&amp;L Overview'!$B13)</f>
        <v>3.5</v>
      </c>
      <c r="AL13" s="54">
        <f>SUMIFS('Combined P&amp;L'!AN:AN,'Combined P&amp;L'!$C:$C,'P&amp;L Overview'!$B13)</f>
        <v>2.75</v>
      </c>
      <c r="AM13" s="54">
        <f>SUMIFS('Combined P&amp;L'!AO:AO,'Combined P&amp;L'!$C:$C,'P&amp;L Overview'!$B13)</f>
        <v>4.75</v>
      </c>
      <c r="AN13" s="54">
        <f>SUMIFS('Combined P&amp;L'!AP:AP,'Combined P&amp;L'!$C:$C,'P&amp;L Overview'!$B13)</f>
        <v>3.5</v>
      </c>
      <c r="AO13" s="54">
        <f>SUMIFS('Combined P&amp;L'!AQ:AQ,'Combined P&amp;L'!$C:$C,'P&amp;L Overview'!$B13)</f>
        <v>3.5</v>
      </c>
      <c r="AP13" s="54">
        <f>SUMIFS('Combined P&amp;L'!AR:AR,'Combined P&amp;L'!$C:$C,'P&amp;L Overview'!$B13)</f>
        <v>3.5</v>
      </c>
    </row>
    <row r="14" spans="2:42" x14ac:dyDescent="0.2">
      <c r="B14" s="58" t="s">
        <v>18</v>
      </c>
      <c r="C14" s="24">
        <f t="shared" si="1"/>
        <v>17.624000000000002</v>
      </c>
      <c r="D14" s="24">
        <f t="shared" si="1"/>
        <v>5.0337500000000004</v>
      </c>
      <c r="E14" s="24"/>
      <c r="F14" s="24">
        <f t="shared" si="2"/>
        <v>4.4387500000000006</v>
      </c>
      <c r="G14" s="24">
        <f t="shared" si="2"/>
        <v>0</v>
      </c>
      <c r="H14" s="24"/>
      <c r="I14" s="24">
        <f t="shared" si="3"/>
        <v>14.305250000000001</v>
      </c>
      <c r="J14" s="24">
        <f t="shared" si="3"/>
        <v>0.59499999999999997</v>
      </c>
      <c r="K14" s="53"/>
      <c r="L14" s="54">
        <f>SUMIFS('Combined P&amp;L'!N:N,'Combined P&amp;L'!$C:$C,'P&amp;L Overview'!$B14)</f>
        <v>1.2</v>
      </c>
      <c r="M14" s="54">
        <f>SUMIFS('Combined P&amp;L'!O:O,'Combined P&amp;L'!$C:$C,'P&amp;L Overview'!$B14)</f>
        <v>1.7625</v>
      </c>
      <c r="N14" s="54">
        <f>SUMIFS('Combined P&amp;L'!P:P,'Combined P&amp;L'!$C:$C,'P&amp;L Overview'!$B14)</f>
        <v>0.66</v>
      </c>
      <c r="O14" s="54">
        <f>SUMIFS('Combined P&amp;L'!Q:Q,'Combined P&amp;L'!$C:$C,'P&amp;L Overview'!$B14)</f>
        <v>0.39500000000000002</v>
      </c>
      <c r="P14" s="54">
        <f>SUMIFS('Combined P&amp;L'!R:R,'Combined P&amp;L'!$C:$C,'P&amp;L Overview'!$B14)</f>
        <v>2.4649999999999999</v>
      </c>
      <c r="Q14" s="54">
        <f>SUMIFS('Combined P&amp;L'!S:S,'Combined P&amp;L'!$C:$C,'P&amp;L Overview'!$B14)</f>
        <v>1.2749999999999999</v>
      </c>
      <c r="R14" s="54">
        <f>SUMIFS('Combined P&amp;L'!T:T,'Combined P&amp;L'!$C:$C,'P&amp;L Overview'!$B14)</f>
        <v>1.4624999999999999</v>
      </c>
      <c r="S14" s="54">
        <f>SUMIFS('Combined P&amp;L'!U:U,'Combined P&amp;L'!$C:$C,'P&amp;L Overview'!$B14)</f>
        <v>0</v>
      </c>
      <c r="T14" s="54">
        <f>SUMIFS('Combined P&amp;L'!V:V,'Combined P&amp;L'!$C:$C,'P&amp;L Overview'!$B14)</f>
        <v>1.1452500000000001</v>
      </c>
      <c r="U14" s="54">
        <f>SUMIFS('Combined P&amp;L'!W:W,'Combined P&amp;L'!$C:$C,'P&amp;L Overview'!$B14)</f>
        <v>1.3552500000000001</v>
      </c>
      <c r="V14" s="54">
        <f>SUMIFS('Combined P&amp;L'!X:X,'Combined P&amp;L'!$C:$C,'P&amp;L Overview'!$B14)</f>
        <v>1.9035</v>
      </c>
      <c r="W14" s="54">
        <f>SUMIFS('Combined P&amp;L'!Y:Y,'Combined P&amp;L'!$C:$C,'P&amp;L Overview'!$B14)</f>
        <v>4</v>
      </c>
      <c r="X14" s="54">
        <f>SUMIFS('Combined P&amp;L'!Z:Z,'Combined P&amp;L'!$C:$C,'P&amp;L Overview'!$B14)</f>
        <v>1.08375</v>
      </c>
      <c r="Y14" s="54">
        <f>SUMIFS('Combined P&amp;L'!AA:AA,'Combined P&amp;L'!$C:$C,'P&amp;L Overview'!$B14)</f>
        <v>2</v>
      </c>
      <c r="Z14" s="54">
        <f>SUMIFS('Combined P&amp;L'!AB:AB,'Combined P&amp;L'!$C:$C,'P&amp;L Overview'!$B14)</f>
        <v>1.355</v>
      </c>
      <c r="AA14" s="54">
        <f>SUMIFS('Combined P&amp;L'!AC:AC,'Combined P&amp;L'!$C:$C,'P&amp;L Overview'!$B14)</f>
        <v>0</v>
      </c>
      <c r="AB14" s="54">
        <f>SUMIFS('Combined P&amp;L'!AD:AD,'Combined P&amp;L'!$C:$C,'P&amp;L Overview'!$B14)</f>
        <v>0</v>
      </c>
      <c r="AC14" s="54">
        <f>SUMIFS('Combined P&amp;L'!AE:AE,'Combined P&amp;L'!$C:$C,'P&amp;L Overview'!$B14)</f>
        <v>0</v>
      </c>
      <c r="AD14" s="54">
        <f>SUMIFS('Combined P&amp;L'!AF:AF,'Combined P&amp;L'!$C:$C,'P&amp;L Overview'!$B14)</f>
        <v>0</v>
      </c>
      <c r="AE14" s="54">
        <f>SUMIFS('Combined P&amp;L'!AG:AG,'Combined P&amp;L'!$C:$C,'P&amp;L Overview'!$B14)</f>
        <v>0</v>
      </c>
      <c r="AF14" s="54">
        <f>SUMIFS('Combined P&amp;L'!AH:AH,'Combined P&amp;L'!$C:$C,'P&amp;L Overview'!$B14)</f>
        <v>0</v>
      </c>
      <c r="AG14" s="54">
        <f>SUMIFS('Combined P&amp;L'!AI:AI,'Combined P&amp;L'!$C:$C,'P&amp;L Overview'!$B14)</f>
        <v>0.59499999999999997</v>
      </c>
      <c r="AH14" s="54">
        <f>SUMIFS('Combined P&amp;L'!AJ:AJ,'Combined P&amp;L'!$C:$C,'P&amp;L Overview'!$B14)</f>
        <v>0</v>
      </c>
      <c r="AI14" s="54">
        <f>SUMIFS('Combined P&amp;L'!AK:AK,'Combined P&amp;L'!$C:$C,'P&amp;L Overview'!$B14)</f>
        <v>0</v>
      </c>
      <c r="AJ14" s="54">
        <f>SUMIFS('Combined P&amp;L'!AL:AL,'Combined P&amp;L'!$C:$C,'P&amp;L Overview'!$B14)</f>
        <v>0</v>
      </c>
      <c r="AK14" s="54">
        <f>SUMIFS('Combined P&amp;L'!AM:AM,'Combined P&amp;L'!$C:$C,'P&amp;L Overview'!$B14)</f>
        <v>0</v>
      </c>
      <c r="AL14" s="54">
        <f>SUMIFS('Combined P&amp;L'!AN:AN,'Combined P&amp;L'!$C:$C,'P&amp;L Overview'!$B14)</f>
        <v>0</v>
      </c>
      <c r="AM14" s="54">
        <f>SUMIFS('Combined P&amp;L'!AO:AO,'Combined P&amp;L'!$C:$C,'P&amp;L Overview'!$B14)</f>
        <v>0</v>
      </c>
      <c r="AN14" s="54">
        <f>SUMIFS('Combined P&amp;L'!AP:AP,'Combined P&amp;L'!$C:$C,'P&amp;L Overview'!$B14)</f>
        <v>0</v>
      </c>
      <c r="AO14" s="54">
        <f>SUMIFS('Combined P&amp;L'!AQ:AQ,'Combined P&amp;L'!$C:$C,'P&amp;L Overview'!$B14)</f>
        <v>0</v>
      </c>
      <c r="AP14" s="54">
        <f>SUMIFS('Combined P&amp;L'!AR:AR,'Combined P&amp;L'!$C:$C,'P&amp;L Overview'!$B14)</f>
        <v>0</v>
      </c>
    </row>
    <row r="15" spans="2:42" x14ac:dyDescent="0.2">
      <c r="B15" s="61" t="s">
        <v>260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1600.0674900000001</v>
      </c>
      <c r="I15" s="64">
        <f t="shared" ref="I15:J15" si="4">SUM(I7:I14)</f>
        <v>1414.7118</v>
      </c>
      <c r="J15" s="63">
        <f t="shared" si="4"/>
        <v>2371.7313399999998</v>
      </c>
      <c r="L15" s="64">
        <f t="shared" ref="L15:AP15" si="5">SUM(L7:L14)</f>
        <v>73.349500000000006</v>
      </c>
      <c r="M15" s="62">
        <f t="shared" si="5"/>
        <v>74.744500000000002</v>
      </c>
      <c r="N15" s="62">
        <f t="shared" si="5"/>
        <v>77.995999999999995</v>
      </c>
      <c r="O15" s="62">
        <f t="shared" si="5"/>
        <v>83.212699999999984</v>
      </c>
      <c r="P15" s="62">
        <f t="shared" si="5"/>
        <v>86.604150000000018</v>
      </c>
      <c r="Q15" s="62">
        <f t="shared" si="5"/>
        <v>88.544000000000011</v>
      </c>
      <c r="R15" s="62">
        <f t="shared" si="5"/>
        <v>93.216750000000005</v>
      </c>
      <c r="S15" s="62">
        <f t="shared" si="5"/>
        <v>96.775350000000003</v>
      </c>
      <c r="T15" s="62">
        <f t="shared" si="5"/>
        <v>96.491950000000003</v>
      </c>
      <c r="U15" s="62">
        <f t="shared" si="5"/>
        <v>99.163499999999985</v>
      </c>
      <c r="V15" s="62">
        <f t="shared" si="5"/>
        <v>108.7123</v>
      </c>
      <c r="W15" s="62">
        <f t="shared" si="5"/>
        <v>115.50505000000003</v>
      </c>
      <c r="X15" s="62">
        <f t="shared" si="5"/>
        <v>117.69414999999998</v>
      </c>
      <c r="Y15" s="62">
        <f t="shared" si="5"/>
        <v>116.19465</v>
      </c>
      <c r="Z15" s="62">
        <f t="shared" si="5"/>
        <v>133.5471</v>
      </c>
      <c r="AA15" s="62">
        <f t="shared" si="5"/>
        <v>134.78</v>
      </c>
      <c r="AB15" s="62">
        <f t="shared" si="5"/>
        <v>151.01724999999999</v>
      </c>
      <c r="AC15" s="62">
        <f t="shared" si="5"/>
        <v>151.61374999999998</v>
      </c>
      <c r="AD15" s="62">
        <f t="shared" si="5"/>
        <v>154.04399999999998</v>
      </c>
      <c r="AE15" s="62">
        <f t="shared" si="5"/>
        <v>157.49274999999997</v>
      </c>
      <c r="AF15" s="62">
        <f t="shared" si="5"/>
        <v>161.958</v>
      </c>
      <c r="AG15" s="62">
        <f t="shared" si="5"/>
        <v>175.58</v>
      </c>
      <c r="AH15" s="62">
        <f t="shared" si="5"/>
        <v>180.39300000000003</v>
      </c>
      <c r="AI15" s="62">
        <f t="shared" si="5"/>
        <v>193.53474999999997</v>
      </c>
      <c r="AJ15" s="62">
        <f t="shared" si="5"/>
        <v>203.24331999999998</v>
      </c>
      <c r="AK15" s="62">
        <f t="shared" si="5"/>
        <v>208.38586999999998</v>
      </c>
      <c r="AL15" s="62">
        <f t="shared" si="5"/>
        <v>215.74275</v>
      </c>
      <c r="AM15" s="62">
        <f t="shared" si="5"/>
        <v>232.03611000000004</v>
      </c>
      <c r="AN15" s="62">
        <f t="shared" si="5"/>
        <v>245.53060999999997</v>
      </c>
      <c r="AO15" s="62">
        <f t="shared" si="5"/>
        <v>243.79017999999999</v>
      </c>
      <c r="AP15" s="63">
        <f t="shared" si="5"/>
        <v>251.33865000000003</v>
      </c>
    </row>
    <row r="16" spans="2:42" ht="3.95" customHeight="1" x14ac:dyDescent="0.2"/>
    <row r="17" spans="2:42" x14ac:dyDescent="0.2">
      <c r="B17" s="58" t="s">
        <v>12</v>
      </c>
      <c r="C17" s="24">
        <f t="shared" ref="C17:D21" si="6">SUMIFS($L17:$AP17,$L$5:$AP$5,"&gt;"&amp;C$42,$L$5:$AP$5,"&lt;"&amp;C$43)</f>
        <v>10.475000000000001</v>
      </c>
      <c r="D17" s="24">
        <f t="shared" si="6"/>
        <v>23.55</v>
      </c>
      <c r="E17" s="24"/>
      <c r="F17" s="24">
        <f t="shared" ref="F17:G21" si="7">SUMIFS($L17:$AP17,$L$5:$AP$5,"&gt;"&amp;F$42,$L$5:$AP$5,"&lt;"&amp;F$43)</f>
        <v>23.49</v>
      </c>
      <c r="G17" s="24">
        <f t="shared" si="7"/>
        <v>38.701499999999996</v>
      </c>
      <c r="H17" s="24"/>
      <c r="I17" s="24">
        <f t="shared" ref="I17:J21" si="8">SUMIFS($L17:$AP17,$L$5:$AP$5,"&gt;"&amp;I$42,$L$5:$AP$5,"&lt;"&amp;I$43)</f>
        <v>23.52</v>
      </c>
      <c r="J17" s="24">
        <f t="shared" si="8"/>
        <v>38.761499999999998</v>
      </c>
      <c r="K17" s="53"/>
      <c r="L17" s="54">
        <f>SUMIFS('Combined P&amp;L'!N:N,'Combined P&amp;L'!$C:$C,'P&amp;L Overview'!$B17)</f>
        <v>6.9450000000000003</v>
      </c>
      <c r="M17" s="54">
        <f>SUMIFS('Combined P&amp;L'!O:O,'Combined P&amp;L'!$C:$C,'P&amp;L Overview'!$B17)</f>
        <v>3.38</v>
      </c>
      <c r="N17" s="54">
        <f>SUMIFS('Combined P&amp;L'!P:P,'Combined P&amp;L'!$C:$C,'P&amp;L Overview'!$B17)</f>
        <v>4.4999999999999998E-2</v>
      </c>
      <c r="O17" s="54">
        <f>SUMIFS('Combined P&amp;L'!Q:Q,'Combined P&amp;L'!$C:$C,'P&amp;L Overview'!$B17)</f>
        <v>0.06</v>
      </c>
      <c r="P17" s="54">
        <f>SUMIFS('Combined P&amp;L'!R:R,'Combined P&amp;L'!$C:$C,'P&amp;L Overview'!$B17)</f>
        <v>1.4999999999999999E-2</v>
      </c>
      <c r="Q17" s="54">
        <f>SUMIFS('Combined P&amp;L'!S:S,'Combined P&amp;L'!$C:$C,'P&amp;L Overview'!$B17)</f>
        <v>0</v>
      </c>
      <c r="R17" s="54">
        <f>SUMIFS('Combined P&amp;L'!T:T,'Combined P&amp;L'!$C:$C,'P&amp;L Overview'!$B17)</f>
        <v>0</v>
      </c>
      <c r="S17" s="54">
        <f>SUMIFS('Combined P&amp;L'!U:U,'Combined P&amp;L'!$C:$C,'P&amp;L Overview'!$B17)</f>
        <v>1.4999999999999999E-2</v>
      </c>
      <c r="T17" s="54">
        <f>SUMIFS('Combined P&amp;L'!V:V,'Combined P&amp;L'!$C:$C,'P&amp;L Overview'!$B17)</f>
        <v>0</v>
      </c>
      <c r="U17" s="54">
        <f>SUMIFS('Combined P&amp;L'!W:W,'Combined P&amp;L'!$C:$C,'P&amp;L Overview'!$B17)</f>
        <v>0</v>
      </c>
      <c r="V17" s="54">
        <f>SUMIFS('Combined P&amp;L'!X:X,'Combined P&amp;L'!$C:$C,'P&amp;L Overview'!$B17)</f>
        <v>1.4999999999999999E-2</v>
      </c>
      <c r="W17" s="54">
        <f>SUMIFS('Combined P&amp;L'!Y:Y,'Combined P&amp;L'!$C:$C,'P&amp;L Overview'!$B17)</f>
        <v>0</v>
      </c>
      <c r="X17" s="54">
        <f>SUMIFS('Combined P&amp;L'!Z:Z,'Combined P&amp;L'!$C:$C,'P&amp;L Overview'!$B17)</f>
        <v>13.484999999999999</v>
      </c>
      <c r="Y17" s="54">
        <f>SUMIFS('Combined P&amp;L'!AA:AA,'Combined P&amp;L'!$C:$C,'P&amp;L Overview'!$B17)</f>
        <v>9.9149999999999991</v>
      </c>
      <c r="Z17" s="54">
        <f>SUMIFS('Combined P&amp;L'!AB:AB,'Combined P&amp;L'!$C:$C,'P&amp;L Overview'!$B17)</f>
        <v>0.06</v>
      </c>
      <c r="AA17" s="54">
        <f>SUMIFS('Combined P&amp;L'!AC:AC,'Combined P&amp;L'!$C:$C,'P&amp;L Overview'!$B17)</f>
        <v>0.03</v>
      </c>
      <c r="AB17" s="54">
        <f>SUMIFS('Combined P&amp;L'!AD:AD,'Combined P&amp;L'!$C:$C,'P&amp;L Overview'!$B17)</f>
        <v>0</v>
      </c>
      <c r="AC17" s="54">
        <f>SUMIFS('Combined P&amp;L'!AE:AE,'Combined P&amp;L'!$C:$C,'P&amp;L Overview'!$B17)</f>
        <v>0</v>
      </c>
      <c r="AD17" s="54">
        <f>SUMIFS('Combined P&amp;L'!AF:AF,'Combined P&amp;L'!$C:$C,'P&amp;L Overview'!$B17)</f>
        <v>0</v>
      </c>
      <c r="AE17" s="54">
        <f>SUMIFS('Combined P&amp;L'!AG:AG,'Combined P&amp;L'!$C:$C,'P&amp;L Overview'!$B17)</f>
        <v>0.03</v>
      </c>
      <c r="AF17" s="54">
        <f>SUMIFS('Combined P&amp;L'!AH:AH,'Combined P&amp;L'!$C:$C,'P&amp;L Overview'!$B17)</f>
        <v>0.03</v>
      </c>
      <c r="AG17" s="54">
        <f>SUMIFS('Combined P&amp;L'!AI:AI,'Combined P&amp;L'!$C:$C,'P&amp;L Overview'!$B17)</f>
        <v>0</v>
      </c>
      <c r="AH17" s="54">
        <f>SUMIFS('Combined P&amp;L'!AJ:AJ,'Combined P&amp;L'!$C:$C,'P&amp;L Overview'!$B17)</f>
        <v>0</v>
      </c>
      <c r="AI17" s="54">
        <f>SUMIFS('Combined P&amp;L'!AK:AK,'Combined P&amp;L'!$C:$C,'P&amp;L Overview'!$B17)</f>
        <v>0</v>
      </c>
      <c r="AJ17" s="54">
        <f>SUMIFS('Combined P&amp;L'!AL:AL,'Combined P&amp;L'!$C:$C,'P&amp;L Overview'!$B17)</f>
        <v>6.1050000000000004</v>
      </c>
      <c r="AK17" s="54">
        <f>SUMIFS('Combined P&amp;L'!AM:AM,'Combined P&amp;L'!$C:$C,'P&amp;L Overview'!$B17)</f>
        <v>31.156500000000001</v>
      </c>
      <c r="AL17" s="54">
        <f>SUMIFS('Combined P&amp;L'!AN:AN,'Combined P&amp;L'!$C:$C,'P&amp;L Overview'!$B17)</f>
        <v>1.26</v>
      </c>
      <c r="AM17" s="54">
        <f>SUMIFS('Combined P&amp;L'!AO:AO,'Combined P&amp;L'!$C:$C,'P&amp;L Overview'!$B17)</f>
        <v>0.18</v>
      </c>
      <c r="AN17" s="54">
        <f>SUMIFS('Combined P&amp;L'!AP:AP,'Combined P&amp;L'!$C:$C,'P&amp;L Overview'!$B17)</f>
        <v>0</v>
      </c>
      <c r="AO17" s="54">
        <f>SUMIFS('Combined P&amp;L'!AQ:AQ,'Combined P&amp;L'!$C:$C,'P&amp;L Overview'!$B17)</f>
        <v>0</v>
      </c>
      <c r="AP17" s="54">
        <f>SUMIFS('Combined P&amp;L'!AR:AR,'Combined P&amp;L'!$C:$C,'P&amp;L Overview'!$B17)</f>
        <v>0</v>
      </c>
    </row>
    <row r="18" spans="2:42" x14ac:dyDescent="0.2">
      <c r="B18" s="58" t="s">
        <v>261</v>
      </c>
      <c r="C18" s="24">
        <f t="shared" si="6"/>
        <v>0</v>
      </c>
      <c r="D18" s="24">
        <f t="shared" si="6"/>
        <v>3.4</v>
      </c>
      <c r="E18" s="24"/>
      <c r="F18" s="24">
        <f t="shared" si="7"/>
        <v>0</v>
      </c>
      <c r="G18" s="24">
        <f t="shared" si="7"/>
        <v>23.914999999999999</v>
      </c>
      <c r="H18" s="24"/>
      <c r="I18" s="24">
        <f t="shared" si="8"/>
        <v>0</v>
      </c>
      <c r="J18" s="24">
        <f t="shared" si="8"/>
        <v>27.315000000000001</v>
      </c>
      <c r="K18" s="53"/>
      <c r="L18" s="54">
        <f>SUMIFS('Combined P&amp;L'!N:N,'Combined P&amp;L'!$C:$C,'P&amp;L Overview'!$B18)</f>
        <v>0</v>
      </c>
      <c r="M18" s="54">
        <f>SUMIFS('Combined P&amp;L'!O:O,'Combined P&amp;L'!$C:$C,'P&amp;L Overview'!$B18)</f>
        <v>0</v>
      </c>
      <c r="N18" s="54">
        <f>SUMIFS('Combined P&amp;L'!P:P,'Combined P&amp;L'!$C:$C,'P&amp;L Overview'!$B18)</f>
        <v>0</v>
      </c>
      <c r="O18" s="54">
        <f>SUMIFS('Combined P&amp;L'!Q:Q,'Combined P&amp;L'!$C:$C,'P&amp;L Overview'!$B18)</f>
        <v>0</v>
      </c>
      <c r="P18" s="54">
        <f>SUMIFS('Combined P&amp;L'!R:R,'Combined P&amp;L'!$C:$C,'P&amp;L Overview'!$B18)</f>
        <v>0</v>
      </c>
      <c r="Q18" s="54">
        <f>SUMIFS('Combined P&amp;L'!S:S,'Combined P&amp;L'!$C:$C,'P&amp;L Overview'!$B18)</f>
        <v>0</v>
      </c>
      <c r="R18" s="54">
        <f>SUMIFS('Combined P&amp;L'!T:T,'Combined P&amp;L'!$C:$C,'P&amp;L Overview'!$B18)</f>
        <v>0</v>
      </c>
      <c r="S18" s="54">
        <f>SUMIFS('Combined P&amp;L'!U:U,'Combined P&amp;L'!$C:$C,'P&amp;L Overview'!$B18)</f>
        <v>0</v>
      </c>
      <c r="T18" s="54">
        <f>SUMIFS('Combined P&amp;L'!V:V,'Combined P&amp;L'!$C:$C,'P&amp;L Overview'!$B18)</f>
        <v>0</v>
      </c>
      <c r="U18" s="54">
        <f>SUMIFS('Combined P&amp;L'!W:W,'Combined P&amp;L'!$C:$C,'P&amp;L Overview'!$B18)</f>
        <v>0</v>
      </c>
      <c r="V18" s="54">
        <f>SUMIFS('Combined P&amp;L'!X:X,'Combined P&amp;L'!$C:$C,'P&amp;L Overview'!$B18)</f>
        <v>0</v>
      </c>
      <c r="W18" s="54">
        <f>SUMIFS('Combined P&amp;L'!Y:Y,'Combined P&amp;L'!$C:$C,'P&amp;L Overview'!$B18)</f>
        <v>0</v>
      </c>
      <c r="X18" s="54">
        <f>SUMIFS('Combined P&amp;L'!Z:Z,'Combined P&amp;L'!$C:$C,'P&amp;L Overview'!$B18)</f>
        <v>0</v>
      </c>
      <c r="Y18" s="54">
        <f>SUMIFS('Combined P&amp;L'!AA:AA,'Combined P&amp;L'!$C:$C,'P&amp;L Overview'!$B18)</f>
        <v>0</v>
      </c>
      <c r="Z18" s="54">
        <f>SUMIFS('Combined P&amp;L'!AB:AB,'Combined P&amp;L'!$C:$C,'P&amp;L Overview'!$B18)</f>
        <v>0</v>
      </c>
      <c r="AA18" s="54">
        <f>SUMIFS('Combined P&amp;L'!AC:AC,'Combined P&amp;L'!$C:$C,'P&amp;L Overview'!$B18)</f>
        <v>0</v>
      </c>
      <c r="AB18" s="54">
        <f>SUMIFS('Combined P&amp;L'!AD:AD,'Combined P&amp;L'!$C:$C,'P&amp;L Overview'!$B18)</f>
        <v>0</v>
      </c>
      <c r="AC18" s="54">
        <f>SUMIFS('Combined P&amp;L'!AE:AE,'Combined P&amp;L'!$C:$C,'P&amp;L Overview'!$B18)</f>
        <v>0</v>
      </c>
      <c r="AD18" s="54">
        <f>SUMIFS('Combined P&amp;L'!AF:AF,'Combined P&amp;L'!$C:$C,'P&amp;L Overview'!$B18)</f>
        <v>0</v>
      </c>
      <c r="AE18" s="54">
        <f>SUMIFS('Combined P&amp;L'!AG:AG,'Combined P&amp;L'!$C:$C,'P&amp;L Overview'!$B18)</f>
        <v>0</v>
      </c>
      <c r="AF18" s="54">
        <f>SUMIFS('Combined P&amp;L'!AH:AH,'Combined P&amp;L'!$C:$C,'P&amp;L Overview'!$B18)</f>
        <v>0.875</v>
      </c>
      <c r="AG18" s="54">
        <f>SUMIFS('Combined P&amp;L'!AI:AI,'Combined P&amp;L'!$C:$C,'P&amp;L Overview'!$B18)</f>
        <v>1.65</v>
      </c>
      <c r="AH18" s="54">
        <f>SUMIFS('Combined P&amp;L'!AJ:AJ,'Combined P&amp;L'!$C:$C,'P&amp;L Overview'!$B18)</f>
        <v>0</v>
      </c>
      <c r="AI18" s="54">
        <f>SUMIFS('Combined P&amp;L'!AK:AK,'Combined P&amp;L'!$C:$C,'P&amp;L Overview'!$B18)</f>
        <v>0.875</v>
      </c>
      <c r="AJ18" s="54">
        <f>SUMIFS('Combined P&amp;L'!AL:AL,'Combined P&amp;L'!$C:$C,'P&amp;L Overview'!$B18)</f>
        <v>0</v>
      </c>
      <c r="AK18" s="54">
        <f>SUMIFS('Combined P&amp;L'!AM:AM,'Combined P&amp;L'!$C:$C,'P&amp;L Overview'!$B18)</f>
        <v>0</v>
      </c>
      <c r="AL18" s="54">
        <f>SUMIFS('Combined P&amp;L'!AN:AN,'Combined P&amp;L'!$C:$C,'P&amp;L Overview'!$B18)</f>
        <v>14.19</v>
      </c>
      <c r="AM18" s="54">
        <f>SUMIFS('Combined P&amp;L'!AO:AO,'Combined P&amp;L'!$C:$C,'P&amp;L Overview'!$B18)</f>
        <v>6.625</v>
      </c>
      <c r="AN18" s="54">
        <f>SUMIFS('Combined P&amp;L'!AP:AP,'Combined P&amp;L'!$C:$C,'P&amp;L Overview'!$B18)</f>
        <v>0</v>
      </c>
      <c r="AO18" s="54">
        <f>SUMIFS('Combined P&amp;L'!AQ:AQ,'Combined P&amp;L'!$C:$C,'P&amp;L Overview'!$B18)</f>
        <v>3.1</v>
      </c>
      <c r="AP18" s="54">
        <f>SUMIFS('Combined P&amp;L'!AR:AR,'Combined P&amp;L'!$C:$C,'P&amp;L Overview'!$B18)</f>
        <v>0</v>
      </c>
    </row>
    <row r="19" spans="2:42" x14ac:dyDescent="0.2">
      <c r="B19" s="58" t="s">
        <v>15</v>
      </c>
      <c r="C19" s="24">
        <f t="shared" si="6"/>
        <v>6.2004000000000001</v>
      </c>
      <c r="D19" s="24">
        <f t="shared" si="6"/>
        <v>23.261789999999998</v>
      </c>
      <c r="E19" s="24"/>
      <c r="F19" s="24">
        <f t="shared" si="7"/>
        <v>14.504949999999999</v>
      </c>
      <c r="G19" s="24">
        <f t="shared" si="7"/>
        <v>8.0793799999999987</v>
      </c>
      <c r="H19" s="24"/>
      <c r="I19" s="24">
        <f t="shared" si="8"/>
        <v>17.947879999999998</v>
      </c>
      <c r="J19" s="24">
        <f t="shared" si="8"/>
        <v>17.796090000000003</v>
      </c>
      <c r="K19" s="53"/>
      <c r="L19" s="54">
        <f>SUMIFS('Combined P&amp;L'!N:N,'Combined P&amp;L'!$C:$C,'P&amp;L Overview'!$B19)</f>
        <v>6.8599999999999994E-2</v>
      </c>
      <c r="M19" s="54">
        <f>SUMIFS('Combined P&amp;L'!O:O,'Combined P&amp;L'!$C:$C,'P&amp;L Overview'!$B19)</f>
        <v>0.13119999999999998</v>
      </c>
      <c r="N19" s="54">
        <f>SUMIFS('Combined P&amp;L'!P:P,'Combined P&amp;L'!$C:$C,'P&amp;L Overview'!$B19)</f>
        <v>7.1199999999999999E-2</v>
      </c>
      <c r="O19" s="54">
        <f>SUMIFS('Combined P&amp;L'!Q:Q,'Combined P&amp;L'!$C:$C,'P&amp;L Overview'!$B19)</f>
        <v>5.5600000000000004E-2</v>
      </c>
      <c r="P19" s="54">
        <f>SUMIFS('Combined P&amp;L'!R:R,'Combined P&amp;L'!$C:$C,'P&amp;L Overview'!$B19)</f>
        <v>0.57699999999999996</v>
      </c>
      <c r="Q19" s="54">
        <f>SUMIFS('Combined P&amp;L'!S:S,'Combined P&amp;L'!$C:$C,'P&amp;L Overview'!$B19)</f>
        <v>0.80679999999999996</v>
      </c>
      <c r="R19" s="54">
        <f>SUMIFS('Combined P&amp;L'!T:T,'Combined P&amp;L'!$C:$C,'P&amp;L Overview'!$B19)</f>
        <v>0.66559999999999997</v>
      </c>
      <c r="S19" s="54">
        <f>SUMIFS('Combined P&amp;L'!U:U,'Combined P&amp;L'!$C:$C,'P&amp;L Overview'!$B19)</f>
        <v>0.82640000000000002</v>
      </c>
      <c r="T19" s="54">
        <f>SUMIFS('Combined P&amp;L'!V:V,'Combined P&amp;L'!$C:$C,'P&amp;L Overview'!$B19)</f>
        <v>1.3808</v>
      </c>
      <c r="U19" s="54">
        <f>SUMIFS('Combined P&amp;L'!W:W,'Combined P&amp;L'!$C:$C,'P&amp;L Overview'!$B19)</f>
        <v>0.86039999999999994</v>
      </c>
      <c r="V19" s="54">
        <f>SUMIFS('Combined P&amp;L'!X:X,'Combined P&amp;L'!$C:$C,'P&amp;L Overview'!$B19)</f>
        <v>0.51</v>
      </c>
      <c r="W19" s="54">
        <f>SUMIFS('Combined P&amp;L'!Y:Y,'Combined P&amp;L'!$C:$C,'P&amp;L Overview'!$B19)</f>
        <v>0.24680000000000002</v>
      </c>
      <c r="X19" s="54">
        <f>SUMIFS('Combined P&amp;L'!Z:Z,'Combined P&amp;L'!$C:$C,'P&amp;L Overview'!$B19)</f>
        <v>7.3583999999999996</v>
      </c>
      <c r="Y19" s="54">
        <f>SUMIFS('Combined P&amp;L'!AA:AA,'Combined P&amp;L'!$C:$C,'P&amp;L Overview'!$B19)</f>
        <v>1.29335</v>
      </c>
      <c r="Z19" s="54">
        <f>SUMIFS('Combined P&amp;L'!AB:AB,'Combined P&amp;L'!$C:$C,'P&amp;L Overview'!$B19)</f>
        <v>0.96833000000000002</v>
      </c>
      <c r="AA19" s="54">
        <f>SUMIFS('Combined P&amp;L'!AC:AC,'Combined P&amp;L'!$C:$C,'P&amp;L Overview'!$B19)</f>
        <v>1.1656</v>
      </c>
      <c r="AB19" s="54">
        <f>SUMIFS('Combined P&amp;L'!AD:AD,'Combined P&amp;L'!$C:$C,'P&amp;L Overview'!$B19)</f>
        <v>0.96092999999999995</v>
      </c>
      <c r="AC19" s="54">
        <f>SUMIFS('Combined P&amp;L'!AE:AE,'Combined P&amp;L'!$C:$C,'P&amp;L Overview'!$B19)</f>
        <v>1.7112700000000001</v>
      </c>
      <c r="AD19" s="54">
        <f>SUMIFS('Combined P&amp;L'!AF:AF,'Combined P&amp;L'!$C:$C,'P&amp;L Overview'!$B19)</f>
        <v>1.0470699999999999</v>
      </c>
      <c r="AE19" s="54">
        <f>SUMIFS('Combined P&amp;L'!AG:AG,'Combined P&amp;L'!$C:$C,'P&amp;L Overview'!$B19)</f>
        <v>2.04088</v>
      </c>
      <c r="AF19" s="54">
        <f>SUMIFS('Combined P&amp;L'!AH:AH,'Combined P&amp;L'!$C:$C,'P&amp;L Overview'!$B19)</f>
        <v>1.1362099999999999</v>
      </c>
      <c r="AG19" s="54">
        <f>SUMIFS('Combined P&amp;L'!AI:AI,'Combined P&amp;L'!$C:$C,'P&amp;L Overview'!$B19)</f>
        <v>2.01424</v>
      </c>
      <c r="AH19" s="54">
        <f>SUMIFS('Combined P&amp;L'!AJ:AJ,'Combined P&amp;L'!$C:$C,'P&amp;L Overview'!$B19)</f>
        <v>1.29758</v>
      </c>
      <c r="AI19" s="54">
        <f>SUMIFS('Combined P&amp;L'!AK:AK,'Combined P&amp;L'!$C:$C,'P&amp;L Overview'!$B19)</f>
        <v>2.2679299999999998</v>
      </c>
      <c r="AJ19" s="54">
        <f>SUMIFS('Combined P&amp;L'!AL:AL,'Combined P&amp;L'!$C:$C,'P&amp;L Overview'!$B19)</f>
        <v>2.6778400000000002</v>
      </c>
      <c r="AK19" s="54">
        <f>SUMIFS('Combined P&amp;L'!AM:AM,'Combined P&amp;L'!$C:$C,'P&amp;L Overview'!$B19)</f>
        <v>2.3540100000000002</v>
      </c>
      <c r="AL19" s="54">
        <f>SUMIFS('Combined P&amp;L'!AN:AN,'Combined P&amp;L'!$C:$C,'P&amp;L Overview'!$B19)</f>
        <v>0.2276</v>
      </c>
      <c r="AM19" s="54">
        <f>SUMIFS('Combined P&amp;L'!AO:AO,'Combined P&amp;L'!$C:$C,'P&amp;L Overview'!$B19)</f>
        <v>1.4783599999999999</v>
      </c>
      <c r="AN19" s="54">
        <f>SUMIFS('Combined P&amp;L'!AP:AP,'Combined P&amp;L'!$C:$C,'P&amp;L Overview'!$B19)</f>
        <v>0.66824000000000006</v>
      </c>
      <c r="AO19" s="54">
        <f>SUMIFS('Combined P&amp;L'!AQ:AQ,'Combined P&amp;L'!$C:$C,'P&amp;L Overview'!$B19)</f>
        <v>0.58613000000000004</v>
      </c>
      <c r="AP19" s="54">
        <f>SUMIFS('Combined P&amp;L'!AR:AR,'Combined P&amp;L'!$C:$C,'P&amp;L Overview'!$B19)</f>
        <v>8.72E-2</v>
      </c>
    </row>
    <row r="20" spans="2:42" x14ac:dyDescent="0.2">
      <c r="B20" s="58" t="s">
        <v>13</v>
      </c>
      <c r="C20" s="24">
        <f t="shared" si="6"/>
        <v>0.37469999999999998</v>
      </c>
      <c r="D20" s="24">
        <f t="shared" si="6"/>
        <v>1.1219399999999999</v>
      </c>
      <c r="E20" s="24"/>
      <c r="F20" s="24">
        <f t="shared" si="7"/>
        <v>0.78725000000000001</v>
      </c>
      <c r="G20" s="24">
        <f t="shared" si="7"/>
        <v>0.25783</v>
      </c>
      <c r="H20" s="24"/>
      <c r="I20" s="24">
        <f t="shared" si="8"/>
        <v>0.79723999999999995</v>
      </c>
      <c r="J20" s="24">
        <f t="shared" si="8"/>
        <v>0.88222999999999985</v>
      </c>
      <c r="K20" s="53"/>
      <c r="L20" s="54">
        <f>SUMIFS('Combined P&amp;L'!N:N,'Combined P&amp;L'!$C:$C,'P&amp;L Overview'!$B20)</f>
        <v>0.05</v>
      </c>
      <c r="M20" s="54">
        <f>SUMIFS('Combined P&amp;L'!O:O,'Combined P&amp;L'!$C:$C,'P&amp;L Overview'!$B20)</f>
        <v>0</v>
      </c>
      <c r="N20" s="54">
        <f>SUMIFS('Combined P&amp;L'!P:P,'Combined P&amp;L'!$C:$C,'P&amp;L Overview'!$B20)</f>
        <v>0</v>
      </c>
      <c r="O20" s="54">
        <f>SUMIFS('Combined P&amp;L'!Q:Q,'Combined P&amp;L'!$C:$C,'P&amp;L Overview'!$B20)</f>
        <v>2.5000000000000001E-2</v>
      </c>
      <c r="P20" s="54">
        <f>SUMIFS('Combined P&amp;L'!R:R,'Combined P&amp;L'!$C:$C,'P&amp;L Overview'!$B20)</f>
        <v>0</v>
      </c>
      <c r="Q20" s="54">
        <f>SUMIFS('Combined P&amp;L'!S:S,'Combined P&amp;L'!$C:$C,'P&amp;L Overview'!$B20)</f>
        <v>0</v>
      </c>
      <c r="R20" s="54">
        <f>SUMIFS('Combined P&amp;L'!T:T,'Combined P&amp;L'!$C:$C,'P&amp;L Overview'!$B20)</f>
        <v>0.29969999999999997</v>
      </c>
      <c r="S20" s="54">
        <f>SUMIFS('Combined P&amp;L'!U:U,'Combined P&amp;L'!$C:$C,'P&amp;L Overview'!$B20)</f>
        <v>0</v>
      </c>
      <c r="T20" s="54">
        <f>SUMIFS('Combined P&amp;L'!V:V,'Combined P&amp;L'!$C:$C,'P&amp;L Overview'!$B20)</f>
        <v>0</v>
      </c>
      <c r="U20" s="54">
        <f>SUMIFS('Combined P&amp;L'!W:W,'Combined P&amp;L'!$C:$C,'P&amp;L Overview'!$B20)</f>
        <v>0</v>
      </c>
      <c r="V20" s="54">
        <f>SUMIFS('Combined P&amp;L'!X:X,'Combined P&amp;L'!$C:$C,'P&amp;L Overview'!$B20)</f>
        <v>0</v>
      </c>
      <c r="W20" s="54">
        <f>SUMIFS('Combined P&amp;L'!Y:Y,'Combined P&amp;L'!$C:$C,'P&amp;L Overview'!$B20)</f>
        <v>0</v>
      </c>
      <c r="X20" s="54">
        <f>SUMIFS('Combined P&amp;L'!Z:Z,'Combined P&amp;L'!$C:$C,'P&amp;L Overview'!$B20)</f>
        <v>2.5000000000000001E-2</v>
      </c>
      <c r="Y20" s="54">
        <f>SUMIFS('Combined P&amp;L'!AA:AA,'Combined P&amp;L'!$C:$C,'P&amp;L Overview'!$B20)</f>
        <v>0.39960000000000001</v>
      </c>
      <c r="Z20" s="54">
        <f>SUMIFS('Combined P&amp;L'!AB:AB,'Combined P&amp;L'!$C:$C,'P&amp;L Overview'!$B20)</f>
        <v>0</v>
      </c>
      <c r="AA20" s="54">
        <f>SUMIFS('Combined P&amp;L'!AC:AC,'Combined P&amp;L'!$C:$C,'P&amp;L Overview'!$B20)</f>
        <v>0</v>
      </c>
      <c r="AB20" s="54">
        <f>SUMIFS('Combined P&amp;L'!AD:AD,'Combined P&amp;L'!$C:$C,'P&amp;L Overview'!$B20)</f>
        <v>7.2939999999999991E-2</v>
      </c>
      <c r="AC20" s="54">
        <f>SUMIFS('Combined P&amp;L'!AE:AE,'Combined P&amp;L'!$C:$C,'P&amp;L Overview'!$B20)</f>
        <v>0</v>
      </c>
      <c r="AD20" s="54">
        <f>SUMIFS('Combined P&amp;L'!AF:AF,'Combined P&amp;L'!$C:$C,'P&amp;L Overview'!$B20)</f>
        <v>0.28970999999999997</v>
      </c>
      <c r="AE20" s="54">
        <f>SUMIFS('Combined P&amp;L'!AG:AG,'Combined P&amp;L'!$C:$C,'P&amp;L Overview'!$B20)</f>
        <v>0.30969000000000002</v>
      </c>
      <c r="AF20" s="54">
        <f>SUMIFS('Combined P&amp;L'!AH:AH,'Combined P&amp;L'!$C:$C,'P&amp;L Overview'!$B20)</f>
        <v>0</v>
      </c>
      <c r="AG20" s="54">
        <f>SUMIFS('Combined P&amp;L'!AI:AI,'Combined P&amp;L'!$C:$C,'P&amp;L Overview'!$B20)</f>
        <v>0</v>
      </c>
      <c r="AH20" s="54">
        <f>SUMIFS('Combined P&amp;L'!AJ:AJ,'Combined P&amp;L'!$C:$C,'P&amp;L Overview'!$B20)</f>
        <v>0</v>
      </c>
      <c r="AI20" s="54">
        <f>SUMIFS('Combined P&amp;L'!AK:AK,'Combined P&amp;L'!$C:$C,'P&amp;L Overview'!$B20)</f>
        <v>2.5000000000000001E-2</v>
      </c>
      <c r="AJ20" s="54">
        <f>SUMIFS('Combined P&amp;L'!AL:AL,'Combined P&amp;L'!$C:$C,'P&amp;L Overview'!$B20)</f>
        <v>0.15984000000000001</v>
      </c>
      <c r="AK20" s="54">
        <f>SUMIFS('Combined P&amp;L'!AM:AM,'Combined P&amp;L'!$C:$C,'P&amp;L Overview'!$B20)</f>
        <v>0</v>
      </c>
      <c r="AL20" s="54">
        <f>SUMIFS('Combined P&amp;L'!AN:AN,'Combined P&amp;L'!$C:$C,'P&amp;L Overview'!$B20)</f>
        <v>7.4999999999999997E-2</v>
      </c>
      <c r="AM20" s="54">
        <f>SUMIFS('Combined P&amp;L'!AO:AO,'Combined P&amp;L'!$C:$C,'P&amp;L Overview'!$B20)</f>
        <v>0</v>
      </c>
      <c r="AN20" s="54">
        <f>SUMIFS('Combined P&amp;L'!AP:AP,'Combined P&amp;L'!$C:$C,'P&amp;L Overview'!$B20)</f>
        <v>0</v>
      </c>
      <c r="AO20" s="54">
        <f>SUMIFS('Combined P&amp;L'!AQ:AQ,'Combined P&amp;L'!$C:$C,'P&amp;L Overview'!$B20)</f>
        <v>2.299E-2</v>
      </c>
      <c r="AP20" s="54">
        <f>SUMIFS('Combined P&amp;L'!AR:AR,'Combined P&amp;L'!$C:$C,'P&amp;L Overview'!$B20)</f>
        <v>0</v>
      </c>
    </row>
    <row r="21" spans="2:42" x14ac:dyDescent="0.2">
      <c r="B21" s="58" t="s">
        <v>14</v>
      </c>
      <c r="C21" s="24">
        <f t="shared" si="6"/>
        <v>23.599999999999998</v>
      </c>
      <c r="D21" s="24">
        <f t="shared" si="6"/>
        <v>0.2</v>
      </c>
      <c r="E21" s="24"/>
      <c r="F21" s="24">
        <f t="shared" si="7"/>
        <v>0.2</v>
      </c>
      <c r="G21" s="24">
        <f t="shared" si="7"/>
        <v>0</v>
      </c>
      <c r="H21" s="24"/>
      <c r="I21" s="24">
        <f t="shared" si="8"/>
        <v>16.735000000000003</v>
      </c>
      <c r="J21" s="24">
        <f t="shared" si="8"/>
        <v>0</v>
      </c>
      <c r="K21" s="53"/>
      <c r="L21" s="54">
        <f>SUMIFS('Combined P&amp;L'!N:N,'Combined P&amp;L'!$C:$C,'P&amp;L Overview'!$B21)</f>
        <v>0.5</v>
      </c>
      <c r="M21" s="54">
        <f>SUMIFS('Combined P&amp;L'!O:O,'Combined P&amp;L'!$C:$C,'P&amp;L Overview'!$B21)</f>
        <v>3</v>
      </c>
      <c r="N21" s="54">
        <f>SUMIFS('Combined P&amp;L'!P:P,'Combined P&amp;L'!$C:$C,'P&amp;L Overview'!$B21)</f>
        <v>0</v>
      </c>
      <c r="O21" s="54">
        <f>SUMIFS('Combined P&amp;L'!Q:Q,'Combined P&amp;L'!$C:$C,'P&amp;L Overview'!$B21)</f>
        <v>0</v>
      </c>
      <c r="P21" s="54">
        <f>SUMIFS('Combined P&amp;L'!R:R,'Combined P&amp;L'!$C:$C,'P&amp;L Overview'!$B21)</f>
        <v>3</v>
      </c>
      <c r="Q21" s="54">
        <f>SUMIFS('Combined P&amp;L'!S:S,'Combined P&amp;L'!$C:$C,'P&amp;L Overview'!$B21)</f>
        <v>0.56499999999999995</v>
      </c>
      <c r="R21" s="54">
        <f>SUMIFS('Combined P&amp;L'!T:T,'Combined P&amp;L'!$C:$C,'P&amp;L Overview'!$B21)</f>
        <v>10.5</v>
      </c>
      <c r="S21" s="54">
        <f>SUMIFS('Combined P&amp;L'!U:U,'Combined P&amp;L'!$C:$C,'P&amp;L Overview'!$B21)</f>
        <v>6.5</v>
      </c>
      <c r="T21" s="54">
        <f>SUMIFS('Combined P&amp;L'!V:V,'Combined P&amp;L'!$C:$C,'P&amp;L Overview'!$B21)</f>
        <v>0.5</v>
      </c>
      <c r="U21" s="54">
        <f>SUMIFS('Combined P&amp;L'!W:W,'Combined P&amp;L'!$C:$C,'P&amp;L Overview'!$B21)</f>
        <v>-0.96499999999999997</v>
      </c>
      <c r="V21" s="54">
        <f>SUMIFS('Combined P&amp;L'!X:X,'Combined P&amp;L'!$C:$C,'P&amp;L Overview'!$B21)</f>
        <v>0</v>
      </c>
      <c r="W21" s="54">
        <f>SUMIFS('Combined P&amp;L'!Y:Y,'Combined P&amp;L'!$C:$C,'P&amp;L Overview'!$B21)</f>
        <v>0</v>
      </c>
      <c r="X21" s="54">
        <f>SUMIFS('Combined P&amp;L'!Z:Z,'Combined P&amp;L'!$C:$C,'P&amp;L Overview'!$B21)</f>
        <v>0.1</v>
      </c>
      <c r="Y21" s="54">
        <f>SUMIFS('Combined P&amp;L'!AA:AA,'Combined P&amp;L'!$C:$C,'P&amp;L Overview'!$B21)</f>
        <v>0</v>
      </c>
      <c r="Z21" s="54">
        <f>SUMIFS('Combined P&amp;L'!AB:AB,'Combined P&amp;L'!$C:$C,'P&amp;L Overview'!$B21)</f>
        <v>0.1</v>
      </c>
      <c r="AA21" s="54">
        <f>SUMIFS('Combined P&amp;L'!AC:AC,'Combined P&amp;L'!$C:$C,'P&amp;L Overview'!$B21)</f>
        <v>0</v>
      </c>
      <c r="AB21" s="54">
        <f>SUMIFS('Combined P&amp;L'!AD:AD,'Combined P&amp;L'!$C:$C,'P&amp;L Overview'!$B21)</f>
        <v>0</v>
      </c>
      <c r="AC21" s="54">
        <f>SUMIFS('Combined P&amp;L'!AE:AE,'Combined P&amp;L'!$C:$C,'P&amp;L Overview'!$B21)</f>
        <v>0</v>
      </c>
      <c r="AD21" s="54">
        <f>SUMIFS('Combined P&amp;L'!AF:AF,'Combined P&amp;L'!$C:$C,'P&amp;L Overview'!$B21)</f>
        <v>0</v>
      </c>
      <c r="AE21" s="54">
        <f>SUMIFS('Combined P&amp;L'!AG:AG,'Combined P&amp;L'!$C:$C,'P&amp;L Overview'!$B21)</f>
        <v>0</v>
      </c>
      <c r="AF21" s="54">
        <f>SUMIFS('Combined P&amp;L'!AH:AH,'Combined P&amp;L'!$C:$C,'P&amp;L Overview'!$B21)</f>
        <v>0</v>
      </c>
      <c r="AG21" s="54">
        <f>SUMIFS('Combined P&amp;L'!AI:AI,'Combined P&amp;L'!$C:$C,'P&amp;L Overview'!$B21)</f>
        <v>0</v>
      </c>
      <c r="AH21" s="54">
        <f>SUMIFS('Combined P&amp;L'!AJ:AJ,'Combined P&amp;L'!$C:$C,'P&amp;L Overview'!$B21)</f>
        <v>0</v>
      </c>
      <c r="AI21" s="54">
        <f>SUMIFS('Combined P&amp;L'!AK:AK,'Combined P&amp;L'!$C:$C,'P&amp;L Overview'!$B21)</f>
        <v>0</v>
      </c>
      <c r="AJ21" s="54">
        <f>SUMIFS('Combined P&amp;L'!AL:AL,'Combined P&amp;L'!$C:$C,'P&amp;L Overview'!$B21)</f>
        <v>0</v>
      </c>
      <c r="AK21" s="54">
        <f>SUMIFS('Combined P&amp;L'!AM:AM,'Combined P&amp;L'!$C:$C,'P&amp;L Overview'!$B21)</f>
        <v>0</v>
      </c>
      <c r="AL21" s="54">
        <f>SUMIFS('Combined P&amp;L'!AN:AN,'Combined P&amp;L'!$C:$C,'P&amp;L Overview'!$B21)</f>
        <v>0</v>
      </c>
      <c r="AM21" s="54">
        <f>SUMIFS('Combined P&amp;L'!AO:AO,'Combined P&amp;L'!$C:$C,'P&amp;L Overview'!$B21)</f>
        <v>0</v>
      </c>
      <c r="AN21" s="54">
        <f>SUMIFS('Combined P&amp;L'!AP:AP,'Combined P&amp;L'!$C:$C,'P&amp;L Overview'!$B21)</f>
        <v>0</v>
      </c>
      <c r="AO21" s="54">
        <f>SUMIFS('Combined P&amp;L'!AQ:AQ,'Combined P&amp;L'!$C:$C,'P&amp;L Overview'!$B21)</f>
        <v>0</v>
      </c>
      <c r="AP21" s="54">
        <f>SUMIFS('Combined P&amp;L'!AR:AR,'Combined P&amp;L'!$C:$C,'P&amp;L Overview'!$B21)</f>
        <v>0</v>
      </c>
    </row>
    <row r="22" spans="2:42" x14ac:dyDescent="0.2">
      <c r="B22" s="59" t="s">
        <v>260</v>
      </c>
      <c r="C22" s="60">
        <f>SUM(C17:C21)</f>
        <v>40.650100000000002</v>
      </c>
      <c r="D22" s="60">
        <f>SUM(D17:D21)</f>
        <v>51.533729999999998</v>
      </c>
      <c r="F22" s="60">
        <f t="shared" ref="F22:G22" si="9">SUM(F17:F21)</f>
        <v>38.982199999999999</v>
      </c>
      <c r="G22" s="60">
        <f t="shared" si="9"/>
        <v>70.953709999999987</v>
      </c>
      <c r="I22" s="60">
        <f t="shared" ref="I22:J22" si="10">SUM(I17:I21)</f>
        <v>59.000119999999995</v>
      </c>
      <c r="J22" s="60">
        <f t="shared" si="10"/>
        <v>84.754819999999995</v>
      </c>
      <c r="L22" s="60">
        <f>SUM(L17:L21)</f>
        <v>7.5636000000000001</v>
      </c>
      <c r="M22" s="60">
        <f t="shared" ref="M22:AP22" si="11">SUM(M17:M21)</f>
        <v>6.5111999999999997</v>
      </c>
      <c r="N22" s="60">
        <f t="shared" si="11"/>
        <v>0.1162</v>
      </c>
      <c r="O22" s="60">
        <f t="shared" si="11"/>
        <v>0.1406</v>
      </c>
      <c r="P22" s="60">
        <f t="shared" si="11"/>
        <v>3.5920000000000001</v>
      </c>
      <c r="Q22" s="60">
        <f t="shared" si="11"/>
        <v>1.3717999999999999</v>
      </c>
      <c r="R22" s="60">
        <f t="shared" si="11"/>
        <v>11.465299999999999</v>
      </c>
      <c r="S22" s="60">
        <f t="shared" si="11"/>
        <v>7.3414000000000001</v>
      </c>
      <c r="T22" s="60">
        <f t="shared" si="11"/>
        <v>1.8808</v>
      </c>
      <c r="U22" s="60">
        <f t="shared" si="11"/>
        <v>-0.10460000000000003</v>
      </c>
      <c r="V22" s="60">
        <f t="shared" si="11"/>
        <v>0.52500000000000002</v>
      </c>
      <c r="W22" s="60">
        <f t="shared" si="11"/>
        <v>0.24680000000000002</v>
      </c>
      <c r="X22" s="60">
        <f t="shared" si="11"/>
        <v>20.968399999999999</v>
      </c>
      <c r="Y22" s="60">
        <f t="shared" si="11"/>
        <v>11.607949999999999</v>
      </c>
      <c r="Z22" s="60">
        <f t="shared" si="11"/>
        <v>1.1283300000000001</v>
      </c>
      <c r="AA22" s="60">
        <f t="shared" si="11"/>
        <v>1.1956</v>
      </c>
      <c r="AB22" s="60">
        <f t="shared" si="11"/>
        <v>1.0338699999999998</v>
      </c>
      <c r="AC22" s="60">
        <f t="shared" si="11"/>
        <v>1.7112700000000001</v>
      </c>
      <c r="AD22" s="60">
        <f t="shared" si="11"/>
        <v>1.3367799999999999</v>
      </c>
      <c r="AE22" s="60">
        <f t="shared" si="11"/>
        <v>2.3805699999999996</v>
      </c>
      <c r="AF22" s="60">
        <f t="shared" si="11"/>
        <v>2.04121</v>
      </c>
      <c r="AG22" s="60">
        <f t="shared" si="11"/>
        <v>3.6642399999999999</v>
      </c>
      <c r="AH22" s="60">
        <f t="shared" si="11"/>
        <v>1.29758</v>
      </c>
      <c r="AI22" s="60">
        <f t="shared" si="11"/>
        <v>3.1679299999999997</v>
      </c>
      <c r="AJ22" s="60">
        <f t="shared" si="11"/>
        <v>8.9426800000000011</v>
      </c>
      <c r="AK22" s="60">
        <f t="shared" si="11"/>
        <v>33.510510000000004</v>
      </c>
      <c r="AL22" s="60">
        <f t="shared" si="11"/>
        <v>15.752599999999999</v>
      </c>
      <c r="AM22" s="60">
        <f t="shared" si="11"/>
        <v>8.2833600000000001</v>
      </c>
      <c r="AN22" s="60">
        <f t="shared" si="11"/>
        <v>0.66824000000000006</v>
      </c>
      <c r="AO22" s="60">
        <f t="shared" si="11"/>
        <v>3.7091200000000004</v>
      </c>
      <c r="AP22" s="60">
        <f t="shared" si="11"/>
        <v>8.72E-2</v>
      </c>
    </row>
    <row r="23" spans="2:42" ht="5.0999999999999996" customHeight="1" x14ac:dyDescent="0.2"/>
    <row r="24" spans="2:42" x14ac:dyDescent="0.2">
      <c r="B24" s="61" t="s">
        <v>262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1671.0212000000001</v>
      </c>
      <c r="I24" s="64">
        <f>+I22+I15</f>
        <v>1473.71192</v>
      </c>
      <c r="J24" s="63">
        <f>+J22+J15</f>
        <v>2456.4861599999999</v>
      </c>
      <c r="L24" s="64">
        <f t="shared" ref="L24:AP24" si="12">+L22+L15</f>
        <v>80.9131</v>
      </c>
      <c r="M24" s="62">
        <f t="shared" si="12"/>
        <v>81.255700000000004</v>
      </c>
      <c r="N24" s="62">
        <f t="shared" si="12"/>
        <v>78.112200000000001</v>
      </c>
      <c r="O24" s="62">
        <f t="shared" si="12"/>
        <v>83.35329999999999</v>
      </c>
      <c r="P24" s="62">
        <f t="shared" si="12"/>
        <v>90.196150000000017</v>
      </c>
      <c r="Q24" s="62">
        <f t="shared" si="12"/>
        <v>89.915800000000004</v>
      </c>
      <c r="R24" s="62">
        <f t="shared" si="12"/>
        <v>104.68205</v>
      </c>
      <c r="S24" s="62">
        <f t="shared" si="12"/>
        <v>104.11675</v>
      </c>
      <c r="T24" s="62">
        <f t="shared" si="12"/>
        <v>98.372749999999996</v>
      </c>
      <c r="U24" s="62">
        <f t="shared" si="12"/>
        <v>99.05889999999998</v>
      </c>
      <c r="V24" s="62">
        <f t="shared" si="12"/>
        <v>109.2373</v>
      </c>
      <c r="W24" s="62">
        <f t="shared" si="12"/>
        <v>115.75185000000002</v>
      </c>
      <c r="X24" s="62">
        <f t="shared" si="12"/>
        <v>138.66254999999998</v>
      </c>
      <c r="Y24" s="62">
        <f t="shared" si="12"/>
        <v>127.8026</v>
      </c>
      <c r="Z24" s="62">
        <f t="shared" si="12"/>
        <v>134.67543000000001</v>
      </c>
      <c r="AA24" s="62">
        <f t="shared" si="12"/>
        <v>135.97560000000001</v>
      </c>
      <c r="AB24" s="62">
        <f t="shared" si="12"/>
        <v>152.05112</v>
      </c>
      <c r="AC24" s="62">
        <f t="shared" si="12"/>
        <v>153.32501999999999</v>
      </c>
      <c r="AD24" s="62">
        <f t="shared" si="12"/>
        <v>155.38077999999999</v>
      </c>
      <c r="AE24" s="62">
        <f t="shared" si="12"/>
        <v>159.87331999999998</v>
      </c>
      <c r="AF24" s="62">
        <f t="shared" si="12"/>
        <v>163.99921000000001</v>
      </c>
      <c r="AG24" s="62">
        <f t="shared" si="12"/>
        <v>179.24424000000002</v>
      </c>
      <c r="AH24" s="62">
        <f t="shared" si="12"/>
        <v>181.69058000000004</v>
      </c>
      <c r="AI24" s="62">
        <f t="shared" si="12"/>
        <v>196.70267999999999</v>
      </c>
      <c r="AJ24" s="62">
        <f t="shared" si="12"/>
        <v>212.18599999999998</v>
      </c>
      <c r="AK24" s="62">
        <f t="shared" si="12"/>
        <v>241.89637999999999</v>
      </c>
      <c r="AL24" s="62">
        <f t="shared" si="12"/>
        <v>231.49535</v>
      </c>
      <c r="AM24" s="62">
        <f t="shared" si="12"/>
        <v>240.31947000000002</v>
      </c>
      <c r="AN24" s="62">
        <f t="shared" si="12"/>
        <v>246.19884999999996</v>
      </c>
      <c r="AO24" s="62">
        <f t="shared" si="12"/>
        <v>247.49930000000001</v>
      </c>
      <c r="AP24" s="63">
        <f t="shared" si="12"/>
        <v>251.42585000000003</v>
      </c>
    </row>
    <row r="25" spans="2:42" ht="3.95" customHeight="1" x14ac:dyDescent="0.2"/>
    <row r="26" spans="2:42" x14ac:dyDescent="0.2">
      <c r="B26" s="43" t="s">
        <v>49</v>
      </c>
      <c r="C26" s="44"/>
      <c r="D26" s="44"/>
      <c r="E26" s="6"/>
      <c r="F26" s="44"/>
      <c r="G26" s="44"/>
      <c r="H26" s="6"/>
      <c r="I26" s="44"/>
      <c r="J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 spans="2:42" s="14" customFormat="1" x14ac:dyDescent="0.2">
      <c r="B27" s="57" t="s">
        <v>63</v>
      </c>
      <c r="C27" s="24">
        <f t="shared" ref="C27:D34" si="13">SUMIFS($L27:$AP27,$L$5:$AP$5,"&gt;"&amp;C$42,$L$5:$AP$5,"&lt;"&amp;C$43)</f>
        <v>101.37520000000001</v>
      </c>
      <c r="D27" s="24">
        <f t="shared" si="13"/>
        <v>281.24054000000001</v>
      </c>
      <c r="E27" s="24"/>
      <c r="F27" s="24">
        <f t="shared" ref="F27:G34" si="14">SUMIFS($L27:$AP27,$L$5:$AP$5,"&gt;"&amp;F$42,$L$5:$AP$5,"&lt;"&amp;F$43)</f>
        <v>136.29648</v>
      </c>
      <c r="G27" s="24">
        <f t="shared" si="14"/>
        <v>357.27472</v>
      </c>
      <c r="H27" s="24"/>
      <c r="I27" s="24">
        <f t="shared" ref="I27:J34" si="15">SUMIFS($L27:$AP27,$L$5:$AP$5,"&gt;"&amp;I$42,$L$5:$AP$5,"&lt;"&amp;I$43)</f>
        <v>184.76374000000001</v>
      </c>
      <c r="J27" s="24">
        <f t="shared" si="15"/>
        <v>466.92603999999994</v>
      </c>
      <c r="K27" s="53"/>
      <c r="L27" s="54">
        <f>SUMIFS('Combined P&amp;L'!N:N,'Combined P&amp;L'!$C:$C,'P&amp;L Overview'!$B27)</f>
        <v>3.0934599999999999</v>
      </c>
      <c r="M27" s="54">
        <f>SUMIFS('Combined P&amp;L'!O:O,'Combined P&amp;L'!$C:$C,'P&amp;L Overview'!$B27)</f>
        <v>4.6301699999999997</v>
      </c>
      <c r="N27" s="54">
        <f>SUMIFS('Combined P&amp;L'!P:P,'Combined P&amp;L'!$C:$C,'P&amp;L Overview'!$B27)</f>
        <v>4.3950699999999996</v>
      </c>
      <c r="O27" s="54">
        <f>SUMIFS('Combined P&amp;L'!Q:Q,'Combined P&amp;L'!$C:$C,'P&amp;L Overview'!$B27)</f>
        <v>5.8638699999999995</v>
      </c>
      <c r="P27" s="54">
        <f>SUMIFS('Combined P&amp;L'!R:R,'Combined P&amp;L'!$C:$C,'P&amp;L Overview'!$B27)</f>
        <v>7.3723299999999998</v>
      </c>
      <c r="Q27" s="54">
        <f>SUMIFS('Combined P&amp;L'!S:S,'Combined P&amp;L'!$C:$C,'P&amp;L Overview'!$B27)</f>
        <v>4.9503999999999992</v>
      </c>
      <c r="R27" s="54">
        <f>SUMIFS('Combined P&amp;L'!T:T,'Combined P&amp;L'!$C:$C,'P&amp;L Overview'!$B27)</f>
        <v>4.9503999999999992</v>
      </c>
      <c r="S27" s="54">
        <f>SUMIFS('Combined P&amp;L'!U:U,'Combined P&amp;L'!$C:$C,'P&amp;L Overview'!$B27)</f>
        <v>4.7003500000000003</v>
      </c>
      <c r="T27" s="54">
        <f>SUMIFS('Combined P&amp;L'!V:V,'Combined P&amp;L'!$C:$C,'P&amp;L Overview'!$B27)</f>
        <v>4.9503999999999992</v>
      </c>
      <c r="U27" s="54">
        <f>SUMIFS('Combined P&amp;L'!W:W,'Combined P&amp;L'!$C:$C,'P&amp;L Overview'!$B27)</f>
        <v>5.9998699999999996</v>
      </c>
      <c r="V27" s="54">
        <f>SUMIFS('Combined P&amp;L'!X:X,'Combined P&amp;L'!$C:$C,'P&amp;L Overview'!$B27)</f>
        <v>26.028759999999998</v>
      </c>
      <c r="W27" s="54">
        <f>SUMIFS('Combined P&amp;L'!Y:Y,'Combined P&amp;L'!$C:$C,'P&amp;L Overview'!$B27)</f>
        <v>24.44012</v>
      </c>
      <c r="X27" s="54">
        <f>SUMIFS('Combined P&amp;L'!Z:Z,'Combined P&amp;L'!$C:$C,'P&amp;L Overview'!$B27)</f>
        <v>21.052340000000001</v>
      </c>
      <c r="Y27" s="54">
        <f>SUMIFS('Combined P&amp;L'!AA:AA,'Combined P&amp;L'!$C:$C,'P&amp;L Overview'!$B27)</f>
        <v>19.916029999999999</v>
      </c>
      <c r="Z27" s="54">
        <f>SUMIFS('Combined P&amp;L'!AB:AB,'Combined P&amp;L'!$C:$C,'P&amp;L Overview'!$B27)</f>
        <v>11.743870000000001</v>
      </c>
      <c r="AA27" s="54">
        <f>SUMIFS('Combined P&amp;L'!AC:AC,'Combined P&amp;L'!$C:$C,'P&amp;L Overview'!$B27)</f>
        <v>19.617919999999998</v>
      </c>
      <c r="AB27" s="54">
        <f>SUMIFS('Combined P&amp;L'!AD:AD,'Combined P&amp;L'!$C:$C,'P&amp;L Overview'!$B27)</f>
        <v>20.669779999999999</v>
      </c>
      <c r="AC27" s="54">
        <f>SUMIFS('Combined P&amp;L'!AE:AE,'Combined P&amp;L'!$C:$C,'P&amp;L Overview'!$B27)</f>
        <v>20.693900000000003</v>
      </c>
      <c r="AD27" s="54">
        <f>SUMIFS('Combined P&amp;L'!AF:AF,'Combined P&amp;L'!$C:$C,'P&amp;L Overview'!$B27)</f>
        <v>22.602640000000001</v>
      </c>
      <c r="AE27" s="54">
        <f>SUMIFS('Combined P&amp;L'!AG:AG,'Combined P&amp;L'!$C:$C,'P&amp;L Overview'!$B27)</f>
        <v>19.961279999999999</v>
      </c>
      <c r="AF27" s="54">
        <f>SUMIFS('Combined P&amp;L'!AH:AH,'Combined P&amp;L'!$C:$C,'P&amp;L Overview'!$B27)</f>
        <v>27.605630000000001</v>
      </c>
      <c r="AG27" s="54">
        <f>SUMIFS('Combined P&amp;L'!AI:AI,'Combined P&amp;L'!$C:$C,'P&amp;L Overview'!$B27)</f>
        <v>34.185890000000001</v>
      </c>
      <c r="AH27" s="54">
        <f>SUMIFS('Combined P&amp;L'!AJ:AJ,'Combined P&amp;L'!$C:$C,'P&amp;L Overview'!$B27)</f>
        <v>29.731570000000001</v>
      </c>
      <c r="AI27" s="54">
        <f>SUMIFS('Combined P&amp;L'!AK:AK,'Combined P&amp;L'!$C:$C,'P&amp;L Overview'!$B27)</f>
        <v>33.459690000000002</v>
      </c>
      <c r="AJ27" s="54">
        <f>SUMIFS('Combined P&amp;L'!AL:AL,'Combined P&amp;L'!$C:$C,'P&amp;L Overview'!$B27)</f>
        <v>36.253599999999999</v>
      </c>
      <c r="AK27" s="54">
        <f>SUMIFS('Combined P&amp;L'!AM:AM,'Combined P&amp;L'!$C:$C,'P&amp;L Overview'!$B27)</f>
        <v>33.607510000000005</v>
      </c>
      <c r="AL27" s="54">
        <f>SUMIFS('Combined P&amp;L'!AN:AN,'Combined P&amp;L'!$C:$C,'P&amp;L Overview'!$B27)</f>
        <v>57.199239999999996</v>
      </c>
      <c r="AM27" s="54">
        <f>SUMIFS('Combined P&amp;L'!AO:AO,'Combined P&amp;L'!$C:$C,'P&amp;L Overview'!$B27)</f>
        <v>58.245950000000001</v>
      </c>
      <c r="AN27" s="54">
        <f>SUMIFS('Combined P&amp;L'!AP:AP,'Combined P&amp;L'!$C:$C,'P&amp;L Overview'!$B27)</f>
        <v>54.069230000000005</v>
      </c>
      <c r="AO27" s="54">
        <f>SUMIFS('Combined P&amp;L'!AQ:AQ,'Combined P&amp;L'!$C:$C,'P&amp;L Overview'!$B27)</f>
        <v>60.003809999999994</v>
      </c>
      <c r="AP27" s="54">
        <f>SUMIFS('Combined P&amp;L'!AR:AR,'Combined P&amp;L'!$C:$C,'P&amp;L Overview'!$B27)</f>
        <v>57.895379999999996</v>
      </c>
    </row>
    <row r="28" spans="2:42" x14ac:dyDescent="0.2">
      <c r="B28" s="58" t="s">
        <v>34</v>
      </c>
      <c r="C28" s="24">
        <f t="shared" si="13"/>
        <v>183.36902999999998</v>
      </c>
      <c r="D28" s="24">
        <f t="shared" si="13"/>
        <v>316.18462</v>
      </c>
      <c r="E28" s="24"/>
      <c r="F28" s="24">
        <f t="shared" si="14"/>
        <v>147.26813000000001</v>
      </c>
      <c r="G28" s="24">
        <f t="shared" si="14"/>
        <v>267.75739999999996</v>
      </c>
      <c r="H28" s="24"/>
      <c r="I28" s="24">
        <f t="shared" si="15"/>
        <v>226.32031000000001</v>
      </c>
      <c r="J28" s="24">
        <f t="shared" si="15"/>
        <v>420.09519999999998</v>
      </c>
      <c r="K28" s="53"/>
      <c r="L28" s="54">
        <f>SUMIFS('Combined P&amp;L'!N:N,'Combined P&amp;L'!$C:$C,'P&amp;L Overview'!$B28)</f>
        <v>9.5549999999999997</v>
      </c>
      <c r="M28" s="54">
        <f>SUMIFS('Combined P&amp;L'!O:O,'Combined P&amp;L'!$C:$C,'P&amp;L Overview'!$B28)</f>
        <v>9.5549999999999997</v>
      </c>
      <c r="N28" s="54">
        <f>SUMIFS('Combined P&amp;L'!P:P,'Combined P&amp;L'!$C:$C,'P&amp;L Overview'!$B28)</f>
        <v>10.397200000000002</v>
      </c>
      <c r="O28" s="54">
        <f>SUMIFS('Combined P&amp;L'!Q:Q,'Combined P&amp;L'!$C:$C,'P&amp;L Overview'!$B28)</f>
        <v>14.99967</v>
      </c>
      <c r="P28" s="54">
        <f>SUMIFS('Combined P&amp;L'!R:R,'Combined P&amp;L'!$C:$C,'P&amp;L Overview'!$B28)</f>
        <v>18.009799999999998</v>
      </c>
      <c r="Q28" s="54">
        <f>SUMIFS('Combined P&amp;L'!S:S,'Combined P&amp;L'!$C:$C,'P&amp;L Overview'!$B28)</f>
        <v>13.89127</v>
      </c>
      <c r="R28" s="54">
        <f>SUMIFS('Combined P&amp;L'!T:T,'Combined P&amp;L'!$C:$C,'P&amp;L Overview'!$B28)</f>
        <v>14.04824</v>
      </c>
      <c r="S28" s="54">
        <f>SUMIFS('Combined P&amp;L'!U:U,'Combined P&amp;L'!$C:$C,'P&amp;L Overview'!$B28)</f>
        <v>13.39091</v>
      </c>
      <c r="T28" s="54">
        <f>SUMIFS('Combined P&amp;L'!V:V,'Combined P&amp;L'!$C:$C,'P&amp;L Overview'!$B28)</f>
        <v>14.669309999999999</v>
      </c>
      <c r="U28" s="54">
        <f>SUMIFS('Combined P&amp;L'!W:W,'Combined P&amp;L'!$C:$C,'P&amp;L Overview'!$B28)</f>
        <v>15.882530000000001</v>
      </c>
      <c r="V28" s="54">
        <f>SUMIFS('Combined P&amp;L'!X:X,'Combined P&amp;L'!$C:$C,'P&amp;L Overview'!$B28)</f>
        <v>27.188669999999998</v>
      </c>
      <c r="W28" s="54">
        <f>SUMIFS('Combined P&amp;L'!Y:Y,'Combined P&amp;L'!$C:$C,'P&amp;L Overview'!$B28)</f>
        <v>21.78143</v>
      </c>
      <c r="X28" s="54">
        <f>SUMIFS('Combined P&amp;L'!Z:Z,'Combined P&amp;L'!$C:$C,'P&amp;L Overview'!$B28)</f>
        <v>19.402330000000003</v>
      </c>
      <c r="Y28" s="54">
        <f>SUMIFS('Combined P&amp;L'!AA:AA,'Combined P&amp;L'!$C:$C,'P&amp;L Overview'!$B28)</f>
        <v>16.40053</v>
      </c>
      <c r="Z28" s="54">
        <f>SUMIFS('Combined P&amp;L'!AB:AB,'Combined P&amp;L'!$C:$C,'P&amp;L Overview'!$B28)</f>
        <v>19.569830000000003</v>
      </c>
      <c r="AA28" s="54">
        <f>SUMIFS('Combined P&amp;L'!AC:AC,'Combined P&amp;L'!$C:$C,'P&amp;L Overview'!$B28)</f>
        <v>22.154199999999999</v>
      </c>
      <c r="AB28" s="54">
        <f>SUMIFS('Combined P&amp;L'!AD:AD,'Combined P&amp;L'!$C:$C,'P&amp;L Overview'!$B28)</f>
        <v>20.791540000000001</v>
      </c>
      <c r="AC28" s="54">
        <f>SUMIFS('Combined P&amp;L'!AE:AE,'Combined P&amp;L'!$C:$C,'P&amp;L Overview'!$B28)</f>
        <v>21.040790000000001</v>
      </c>
      <c r="AD28" s="54">
        <f>SUMIFS('Combined P&amp;L'!AF:AF,'Combined P&amp;L'!$C:$C,'P&amp;L Overview'!$B28)</f>
        <v>27.908909999999999</v>
      </c>
      <c r="AE28" s="54">
        <f>SUMIFS('Combined P&amp;L'!AG:AG,'Combined P&amp;L'!$C:$C,'P&amp;L Overview'!$B28)</f>
        <v>29.547000000000001</v>
      </c>
      <c r="AF28" s="54">
        <f>SUMIFS('Combined P&amp;L'!AH:AH,'Combined P&amp;L'!$C:$C,'P&amp;L Overview'!$B28)</f>
        <v>33.447269999999996</v>
      </c>
      <c r="AG28" s="54">
        <f>SUMIFS('Combined P&amp;L'!AI:AI,'Combined P&amp;L'!$C:$C,'P&amp;L Overview'!$B28)</f>
        <v>37.794319999999999</v>
      </c>
      <c r="AH28" s="54">
        <f>SUMIFS('Combined P&amp;L'!AJ:AJ,'Combined P&amp;L'!$C:$C,'P&amp;L Overview'!$B28)</f>
        <v>34.063319999999997</v>
      </c>
      <c r="AI28" s="54">
        <f>SUMIFS('Combined P&amp;L'!AK:AK,'Combined P&amp;L'!$C:$C,'P&amp;L Overview'!$B28)</f>
        <v>34.064579999999999</v>
      </c>
      <c r="AJ28" s="54">
        <f>SUMIFS('Combined P&amp;L'!AL:AL,'Combined P&amp;L'!$C:$C,'P&amp;L Overview'!$B28)</f>
        <v>38.378879999999995</v>
      </c>
      <c r="AK28" s="54">
        <f>SUMIFS('Combined P&amp;L'!AM:AM,'Combined P&amp;L'!$C:$C,'P&amp;L Overview'!$B28)</f>
        <v>29.701520000000002</v>
      </c>
      <c r="AL28" s="54">
        <f>SUMIFS('Combined P&amp;L'!AN:AN,'Combined P&amp;L'!$C:$C,'P&amp;L Overview'!$B28)</f>
        <v>37.422499999999999</v>
      </c>
      <c r="AM28" s="54">
        <f>SUMIFS('Combined P&amp;L'!AO:AO,'Combined P&amp;L'!$C:$C,'P&amp;L Overview'!$B28)</f>
        <v>38.772300000000001</v>
      </c>
      <c r="AN28" s="54">
        <f>SUMIFS('Combined P&amp;L'!AP:AP,'Combined P&amp;L'!$C:$C,'P&amp;L Overview'!$B28)</f>
        <v>38.29477</v>
      </c>
      <c r="AO28" s="54">
        <f>SUMIFS('Combined P&amp;L'!AQ:AQ,'Combined P&amp;L'!$C:$C,'P&amp;L Overview'!$B28)</f>
        <v>40.699829999999999</v>
      </c>
      <c r="AP28" s="54">
        <f>SUMIFS('Combined P&amp;L'!AR:AR,'Combined P&amp;L'!$C:$C,'P&amp;L Overview'!$B28)</f>
        <v>44.4876</v>
      </c>
    </row>
    <row r="29" spans="2:42" x14ac:dyDescent="0.2">
      <c r="B29" s="58" t="s">
        <v>35</v>
      </c>
      <c r="C29" s="24">
        <f t="shared" si="13"/>
        <v>286.16129000000001</v>
      </c>
      <c r="D29" s="24">
        <f t="shared" si="13"/>
        <v>352.95844</v>
      </c>
      <c r="E29" s="24"/>
      <c r="F29" s="24">
        <f t="shared" si="14"/>
        <v>201.27983</v>
      </c>
      <c r="G29" s="24">
        <f t="shared" si="14"/>
        <v>202.05309</v>
      </c>
      <c r="H29" s="24"/>
      <c r="I29" s="24">
        <f t="shared" si="15"/>
        <v>351.95998999999995</v>
      </c>
      <c r="J29" s="24">
        <f t="shared" si="15"/>
        <v>350.46762000000001</v>
      </c>
      <c r="K29" s="53"/>
      <c r="L29" s="54">
        <f>SUMIFS('Combined P&amp;L'!N:N,'Combined P&amp;L'!$C:$C,'P&amp;L Overview'!$B29)</f>
        <v>9.961079999999999</v>
      </c>
      <c r="M29" s="54">
        <f>SUMIFS('Combined P&amp;L'!O:O,'Combined P&amp;L'!$C:$C,'P&amp;L Overview'!$B29)</f>
        <v>13.85026</v>
      </c>
      <c r="N29" s="54">
        <f>SUMIFS('Combined P&amp;L'!P:P,'Combined P&amp;L'!$C:$C,'P&amp;L Overview'!$B29)</f>
        <v>12.79054</v>
      </c>
      <c r="O29" s="54">
        <f>SUMIFS('Combined P&amp;L'!Q:Q,'Combined P&amp;L'!$C:$C,'P&amp;L Overview'!$B29)</f>
        <v>14.57145</v>
      </c>
      <c r="P29" s="54">
        <f>SUMIFS('Combined P&amp;L'!R:R,'Combined P&amp;L'!$C:$C,'P&amp;L Overview'!$B29)</f>
        <v>28.285630000000001</v>
      </c>
      <c r="Q29" s="54">
        <f>SUMIFS('Combined P&amp;L'!S:S,'Combined P&amp;L'!$C:$C,'P&amp;L Overview'!$B29)</f>
        <v>26.542540000000002</v>
      </c>
      <c r="R29" s="54">
        <f>SUMIFS('Combined P&amp;L'!T:T,'Combined P&amp;L'!$C:$C,'P&amp;L Overview'!$B29)</f>
        <v>28.31119</v>
      </c>
      <c r="S29" s="54">
        <f>SUMIFS('Combined P&amp;L'!U:U,'Combined P&amp;L'!$C:$C,'P&amp;L Overview'!$B29)</f>
        <v>28.187459999999998</v>
      </c>
      <c r="T29" s="54">
        <f>SUMIFS('Combined P&amp;L'!V:V,'Combined P&amp;L'!$C:$C,'P&amp;L Overview'!$B29)</f>
        <v>30.868009999999998</v>
      </c>
      <c r="U29" s="54">
        <f>SUMIFS('Combined P&amp;L'!W:W,'Combined P&amp;L'!$C:$C,'P&amp;L Overview'!$B29)</f>
        <v>31.621279999999999</v>
      </c>
      <c r="V29" s="54">
        <f>SUMIFS('Combined P&amp;L'!X:X,'Combined P&amp;L'!$C:$C,'P&amp;L Overview'!$B29)</f>
        <v>28.449740000000002</v>
      </c>
      <c r="W29" s="54">
        <f>SUMIFS('Combined P&amp;L'!Y:Y,'Combined P&amp;L'!$C:$C,'P&amp;L Overview'!$B29)</f>
        <v>32.722110000000001</v>
      </c>
      <c r="X29" s="54">
        <f>SUMIFS('Combined P&amp;L'!Z:Z,'Combined P&amp;L'!$C:$C,'P&amp;L Overview'!$B29)</f>
        <v>32.780760000000001</v>
      </c>
      <c r="Y29" s="54">
        <f>SUMIFS('Combined P&amp;L'!AA:AA,'Combined P&amp;L'!$C:$C,'P&amp;L Overview'!$B29)</f>
        <v>23.361840000000001</v>
      </c>
      <c r="Z29" s="54">
        <f>SUMIFS('Combined P&amp;L'!AB:AB,'Combined P&amp;L'!$C:$C,'P&amp;L Overview'!$B29)</f>
        <v>26.914270000000002</v>
      </c>
      <c r="AA29" s="54">
        <f>SUMIFS('Combined P&amp;L'!AC:AC,'Combined P&amp;L'!$C:$C,'P&amp;L Overview'!$B29)</f>
        <v>28.81298</v>
      </c>
      <c r="AB29" s="54">
        <f>SUMIFS('Combined P&amp;L'!AD:AD,'Combined P&amp;L'!$C:$C,'P&amp;L Overview'!$B29)</f>
        <v>30.658750000000001</v>
      </c>
      <c r="AC29" s="54">
        <f>SUMIFS('Combined P&amp;L'!AE:AE,'Combined P&amp;L'!$C:$C,'P&amp;L Overview'!$B29)</f>
        <v>29.271599999999999</v>
      </c>
      <c r="AD29" s="54">
        <f>SUMIFS('Combined P&amp;L'!AF:AF,'Combined P&amp;L'!$C:$C,'P&amp;L Overview'!$B29)</f>
        <v>29.47963</v>
      </c>
      <c r="AE29" s="54">
        <f>SUMIFS('Combined P&amp;L'!AG:AG,'Combined P&amp;L'!$C:$C,'P&amp;L Overview'!$B29)</f>
        <v>26.830639999999999</v>
      </c>
      <c r="AF29" s="54">
        <f>SUMIFS('Combined P&amp;L'!AH:AH,'Combined P&amp;L'!$C:$C,'P&amp;L Overview'!$B29)</f>
        <v>29.785550000000001</v>
      </c>
      <c r="AG29" s="54">
        <f>SUMIFS('Combined P&amp;L'!AI:AI,'Combined P&amp;L'!$C:$C,'P&amp;L Overview'!$B29)</f>
        <v>32.899370000000005</v>
      </c>
      <c r="AH29" s="54">
        <f>SUMIFS('Combined P&amp;L'!AJ:AJ,'Combined P&amp;L'!$C:$C,'P&amp;L Overview'!$B29)</f>
        <v>29.49334</v>
      </c>
      <c r="AI29" s="54">
        <f>SUMIFS('Combined P&amp;L'!AK:AK,'Combined P&amp;L'!$C:$C,'P&amp;L Overview'!$B29)</f>
        <v>32.669710000000002</v>
      </c>
      <c r="AJ29" s="54">
        <f>SUMIFS('Combined P&amp;L'!AL:AL,'Combined P&amp;L'!$C:$C,'P&amp;L Overview'!$B29)</f>
        <v>26.114900000000002</v>
      </c>
      <c r="AK29" s="54">
        <f>SUMIFS('Combined P&amp;L'!AM:AM,'Combined P&amp;L'!$C:$C,'P&amp;L Overview'!$B29)</f>
        <v>21.9055</v>
      </c>
      <c r="AL29" s="54">
        <f>SUMIFS('Combined P&amp;L'!AN:AN,'Combined P&amp;L'!$C:$C,'P&amp;L Overview'!$B29)</f>
        <v>30.75844</v>
      </c>
      <c r="AM29" s="54">
        <f>SUMIFS('Combined P&amp;L'!AO:AO,'Combined P&amp;L'!$C:$C,'P&amp;L Overview'!$B29)</f>
        <v>31.59038</v>
      </c>
      <c r="AN29" s="54">
        <f>SUMIFS('Combined P&amp;L'!AP:AP,'Combined P&amp;L'!$C:$C,'P&amp;L Overview'!$B29)</f>
        <v>27.699919999999999</v>
      </c>
      <c r="AO29" s="54">
        <f>SUMIFS('Combined P&amp;L'!AQ:AQ,'Combined P&amp;L'!$C:$C,'P&amp;L Overview'!$B29)</f>
        <v>31.24024</v>
      </c>
      <c r="AP29" s="54">
        <f>SUMIFS('Combined P&amp;L'!AR:AR,'Combined P&amp;L'!$C:$C,'P&amp;L Overview'!$B29)</f>
        <v>32.74371</v>
      </c>
    </row>
    <row r="30" spans="2:42" x14ac:dyDescent="0.2">
      <c r="B30" s="58" t="s">
        <v>37</v>
      </c>
      <c r="C30" s="24">
        <f t="shared" si="13"/>
        <v>122.81254999999999</v>
      </c>
      <c r="D30" s="24">
        <f t="shared" si="13"/>
        <v>152.16972000000001</v>
      </c>
      <c r="E30" s="24"/>
      <c r="F30" s="24">
        <f t="shared" si="14"/>
        <v>73.949619999999996</v>
      </c>
      <c r="G30" s="24">
        <f t="shared" si="14"/>
        <v>111.27999</v>
      </c>
      <c r="H30" s="24"/>
      <c r="I30" s="24">
        <f t="shared" si="15"/>
        <v>115.8168</v>
      </c>
      <c r="J30" s="24">
        <f t="shared" si="15"/>
        <v>186.54353999999998</v>
      </c>
      <c r="K30" s="53"/>
      <c r="L30" s="54">
        <f>SUMIFS('Combined P&amp;L'!N:N,'Combined P&amp;L'!$C:$C,'P&amp;L Overview'!$B30)</f>
        <v>9.1372800000000005</v>
      </c>
      <c r="M30" s="54">
        <f>SUMIFS('Combined P&amp;L'!O:O,'Combined P&amp;L'!$C:$C,'P&amp;L Overview'!$B30)</f>
        <v>8.9629599999999989</v>
      </c>
      <c r="N30" s="54">
        <f>SUMIFS('Combined P&amp;L'!P:P,'Combined P&amp;L'!$C:$C,'P&amp;L Overview'!$B30)</f>
        <v>10.19584</v>
      </c>
      <c r="O30" s="54">
        <f>SUMIFS('Combined P&amp;L'!Q:Q,'Combined P&amp;L'!$C:$C,'P&amp;L Overview'!$B30)</f>
        <v>15.04429</v>
      </c>
      <c r="P30" s="54">
        <f>SUMIFS('Combined P&amp;L'!R:R,'Combined P&amp;L'!$C:$C,'P&amp;L Overview'!$B30)</f>
        <v>16.637439999999998</v>
      </c>
      <c r="Q30" s="54">
        <f>SUMIFS('Combined P&amp;L'!S:S,'Combined P&amp;L'!$C:$C,'P&amp;L Overview'!$B30)</f>
        <v>7.4949899999999996</v>
      </c>
      <c r="R30" s="54">
        <f>SUMIFS('Combined P&amp;L'!T:T,'Combined P&amp;L'!$C:$C,'P&amp;L Overview'!$B30)</f>
        <v>7.9820200000000003</v>
      </c>
      <c r="S30" s="54">
        <f>SUMIFS('Combined P&amp;L'!U:U,'Combined P&amp;L'!$C:$C,'P&amp;L Overview'!$B30)</f>
        <v>5.9027399999999997</v>
      </c>
      <c r="T30" s="54">
        <f>SUMIFS('Combined P&amp;L'!V:V,'Combined P&amp;L'!$C:$C,'P&amp;L Overview'!$B30)</f>
        <v>7.7676300000000005</v>
      </c>
      <c r="U30" s="54">
        <f>SUMIFS('Combined P&amp;L'!W:W,'Combined P&amp;L'!$C:$C,'P&amp;L Overview'!$B30)</f>
        <v>8.2141699999999993</v>
      </c>
      <c r="V30" s="54">
        <f>SUMIFS('Combined P&amp;L'!X:X,'Combined P&amp;L'!$C:$C,'P&amp;L Overview'!$B30)</f>
        <v>12.622719999999999</v>
      </c>
      <c r="W30" s="54">
        <f>SUMIFS('Combined P&amp;L'!Y:Y,'Combined P&amp;L'!$C:$C,'P&amp;L Overview'!$B30)</f>
        <v>12.85047</v>
      </c>
      <c r="X30" s="54">
        <f>SUMIFS('Combined P&amp;L'!Z:Z,'Combined P&amp;L'!$C:$C,'P&amp;L Overview'!$B30)</f>
        <v>10.345559999999999</v>
      </c>
      <c r="Y30" s="54">
        <f>SUMIFS('Combined P&amp;L'!AA:AA,'Combined P&amp;L'!$C:$C,'P&amp;L Overview'!$B30)</f>
        <v>8.0879799999999999</v>
      </c>
      <c r="Z30" s="54">
        <f>SUMIFS('Combined P&amp;L'!AB:AB,'Combined P&amp;L'!$C:$C,'P&amp;L Overview'!$B30)</f>
        <v>9.7528700000000015</v>
      </c>
      <c r="AA30" s="54">
        <f>SUMIFS('Combined P&amp;L'!AC:AC,'Combined P&amp;L'!$C:$C,'P&amp;L Overview'!$B30)</f>
        <v>10.28</v>
      </c>
      <c r="AB30" s="54">
        <f>SUMIFS('Combined P&amp;L'!AD:AD,'Combined P&amp;L'!$C:$C,'P&amp;L Overview'!$B30)</f>
        <v>11.13632</v>
      </c>
      <c r="AC30" s="54">
        <f>SUMIFS('Combined P&amp;L'!AE:AE,'Combined P&amp;L'!$C:$C,'P&amp;L Overview'!$B30)</f>
        <v>10.874319999999999</v>
      </c>
      <c r="AD30" s="54">
        <f>SUMIFS('Combined P&amp;L'!AF:AF,'Combined P&amp;L'!$C:$C,'P&amp;L Overview'!$B30)</f>
        <v>13.472569999999999</v>
      </c>
      <c r="AE30" s="54">
        <f>SUMIFS('Combined P&amp;L'!AG:AG,'Combined P&amp;L'!$C:$C,'P&amp;L Overview'!$B30)</f>
        <v>12.70407</v>
      </c>
      <c r="AF30" s="54">
        <f>SUMIFS('Combined P&amp;L'!AH:AH,'Combined P&amp;L'!$C:$C,'P&amp;L Overview'!$B30)</f>
        <v>14.698840000000001</v>
      </c>
      <c r="AG30" s="54">
        <f>SUMIFS('Combined P&amp;L'!AI:AI,'Combined P&amp;L'!$C:$C,'P&amp;L Overview'!$B30)</f>
        <v>15.543059999999999</v>
      </c>
      <c r="AH30" s="54">
        <f>SUMIFS('Combined P&amp;L'!AJ:AJ,'Combined P&amp;L'!$C:$C,'P&amp;L Overview'!$B30)</f>
        <v>14.34361</v>
      </c>
      <c r="AI30" s="54">
        <f>SUMIFS('Combined P&amp;L'!AK:AK,'Combined P&amp;L'!$C:$C,'P&amp;L Overview'!$B30)</f>
        <v>20.930520000000001</v>
      </c>
      <c r="AJ30" s="54">
        <f>SUMIFS('Combined P&amp;L'!AL:AL,'Combined P&amp;L'!$C:$C,'P&amp;L Overview'!$B30)</f>
        <v>16.553939999999997</v>
      </c>
      <c r="AK30" s="54">
        <f>SUMIFS('Combined P&amp;L'!AM:AM,'Combined P&amp;L'!$C:$C,'P&amp;L Overview'!$B30)</f>
        <v>11.52661</v>
      </c>
      <c r="AL30" s="54">
        <f>SUMIFS('Combined P&amp;L'!AN:AN,'Combined P&amp;L'!$C:$C,'P&amp;L Overview'!$B30)</f>
        <v>14.938829999999999</v>
      </c>
      <c r="AM30" s="54">
        <f>SUMIFS('Combined P&amp;L'!AO:AO,'Combined P&amp;L'!$C:$C,'P&amp;L Overview'!$B30)</f>
        <v>15.58352</v>
      </c>
      <c r="AN30" s="54">
        <f>SUMIFS('Combined P&amp;L'!AP:AP,'Combined P&amp;L'!$C:$C,'P&amp;L Overview'!$B30)</f>
        <v>19.603400000000001</v>
      </c>
      <c r="AO30" s="54">
        <f>SUMIFS('Combined P&amp;L'!AQ:AQ,'Combined P&amp;L'!$C:$C,'P&amp;L Overview'!$B30)</f>
        <v>16.644569999999998</v>
      </c>
      <c r="AP30" s="54">
        <f>SUMIFS('Combined P&amp;L'!AR:AR,'Combined P&amp;L'!$C:$C,'P&amp;L Overview'!$B30)</f>
        <v>16.429119999999998</v>
      </c>
    </row>
    <row r="31" spans="2:42" s="14" customFormat="1" x14ac:dyDescent="0.2">
      <c r="B31" s="57" t="s">
        <v>278</v>
      </c>
      <c r="C31" s="24">
        <f t="shared" si="13"/>
        <v>0</v>
      </c>
      <c r="D31" s="24">
        <f t="shared" si="13"/>
        <v>90.66704</v>
      </c>
      <c r="E31" s="24"/>
      <c r="F31" s="24">
        <f t="shared" si="14"/>
        <v>45.466120000000004</v>
      </c>
      <c r="G31" s="24">
        <f t="shared" si="14"/>
        <v>63.143019999999993</v>
      </c>
      <c r="H31" s="24"/>
      <c r="I31" s="24">
        <f t="shared" si="15"/>
        <v>35.943250000000006</v>
      </c>
      <c r="J31" s="24">
        <f t="shared" si="15"/>
        <v>108.34394</v>
      </c>
      <c r="K31" s="53"/>
      <c r="L31" s="54">
        <f>SUMIFS('Combined P&amp;L'!N:N,'Combined P&amp;L'!$C:$C,'P&amp;L Overview'!$B31)</f>
        <v>0</v>
      </c>
      <c r="M31" s="54">
        <f>SUMIFS('Combined P&amp;L'!O:O,'Combined P&amp;L'!$C:$C,'P&amp;L Overview'!$B31)</f>
        <v>0</v>
      </c>
      <c r="N31" s="54">
        <f>SUMIFS('Combined P&amp;L'!P:P,'Combined P&amp;L'!$C:$C,'P&amp;L Overview'!$B31)</f>
        <v>0</v>
      </c>
      <c r="O31" s="54">
        <f>SUMIFS('Combined P&amp;L'!Q:Q,'Combined P&amp;L'!$C:$C,'P&amp;L Overview'!$B31)</f>
        <v>0</v>
      </c>
      <c r="P31" s="54">
        <f>SUMIFS('Combined P&amp;L'!R:R,'Combined P&amp;L'!$C:$C,'P&amp;L Overview'!$B31)</f>
        <v>0</v>
      </c>
      <c r="Q31" s="54">
        <f>SUMIFS('Combined P&amp;L'!S:S,'Combined P&amp;L'!$C:$C,'P&amp;L Overview'!$B31)</f>
        <v>0</v>
      </c>
      <c r="R31" s="54">
        <f>SUMIFS('Combined P&amp;L'!T:T,'Combined P&amp;L'!$C:$C,'P&amp;L Overview'!$B31)</f>
        <v>0</v>
      </c>
      <c r="S31" s="54">
        <f>SUMIFS('Combined P&amp;L'!U:U,'Combined P&amp;L'!$C:$C,'P&amp;L Overview'!$B31)</f>
        <v>0</v>
      </c>
      <c r="T31" s="54">
        <f>SUMIFS('Combined P&amp;L'!V:V,'Combined P&amp;L'!$C:$C,'P&amp;L Overview'!$B31)</f>
        <v>0</v>
      </c>
      <c r="U31" s="54">
        <f>SUMIFS('Combined P&amp;L'!W:W,'Combined P&amp;L'!$C:$C,'P&amp;L Overview'!$B31)</f>
        <v>0</v>
      </c>
      <c r="V31" s="54">
        <f>SUMIFS('Combined P&amp;L'!X:X,'Combined P&amp;L'!$C:$C,'P&amp;L Overview'!$B31)</f>
        <v>0</v>
      </c>
      <c r="W31" s="54">
        <f>SUMIFS('Combined P&amp;L'!Y:Y,'Combined P&amp;L'!$C:$C,'P&amp;L Overview'!$B31)</f>
        <v>0</v>
      </c>
      <c r="X31" s="54">
        <f>SUMIFS('Combined P&amp;L'!Z:Z,'Combined P&amp;L'!$C:$C,'P&amp;L Overview'!$B31)</f>
        <v>0</v>
      </c>
      <c r="Y31" s="54">
        <f>SUMIFS('Combined P&amp;L'!AA:AA,'Combined P&amp;L'!$C:$C,'P&amp;L Overview'!$B31)</f>
        <v>0</v>
      </c>
      <c r="Z31" s="54">
        <f>SUMIFS('Combined P&amp;L'!AB:AB,'Combined P&amp;L'!$C:$C,'P&amp;L Overview'!$B31)</f>
        <v>8.90639</v>
      </c>
      <c r="AA31" s="54">
        <f>SUMIFS('Combined P&amp;L'!AC:AC,'Combined P&amp;L'!$C:$C,'P&amp;L Overview'!$B31)</f>
        <v>9.2332299999999989</v>
      </c>
      <c r="AB31" s="54">
        <f>SUMIFS('Combined P&amp;L'!AD:AD,'Combined P&amp;L'!$C:$C,'P&amp;L Overview'!$B31)</f>
        <v>9.1088400000000007</v>
      </c>
      <c r="AC31" s="54">
        <f>SUMIFS('Combined P&amp;L'!AE:AE,'Combined P&amp;L'!$C:$C,'P&amp;L Overview'!$B31)</f>
        <v>8.6947900000000011</v>
      </c>
      <c r="AD31" s="54">
        <f>SUMIFS('Combined P&amp;L'!AF:AF,'Combined P&amp;L'!$C:$C,'P&amp;L Overview'!$B31)</f>
        <v>9.5228700000000011</v>
      </c>
      <c r="AE31" s="54">
        <f>SUMIFS('Combined P&amp;L'!AG:AG,'Combined P&amp;L'!$C:$C,'P&amp;L Overview'!$B31)</f>
        <v>8.6948100000000004</v>
      </c>
      <c r="AF31" s="54">
        <f>SUMIFS('Combined P&amp;L'!AH:AH,'Combined P&amp;L'!$C:$C,'P&amp;L Overview'!$B31)</f>
        <v>9.1088400000000007</v>
      </c>
      <c r="AG31" s="54">
        <f>SUMIFS('Combined P&amp;L'!AI:AI,'Combined P&amp;L'!$C:$C,'P&amp;L Overview'!$B31)</f>
        <v>9.5228700000000011</v>
      </c>
      <c r="AH31" s="54">
        <f>SUMIFS('Combined P&amp;L'!AJ:AJ,'Combined P&amp;L'!$C:$C,'P&amp;L Overview'!$B31)</f>
        <v>8.2807600000000008</v>
      </c>
      <c r="AI31" s="54">
        <f>SUMIFS('Combined P&amp;L'!AK:AK,'Combined P&amp;L'!$C:$C,'P&amp;L Overview'!$B31)</f>
        <v>9.5936399999999988</v>
      </c>
      <c r="AJ31" s="54">
        <f>SUMIFS('Combined P&amp;L'!AL:AL,'Combined P&amp;L'!$C:$C,'P&amp;L Overview'!$B31)</f>
        <v>9.276209999999999</v>
      </c>
      <c r="AK31" s="54">
        <f>SUMIFS('Combined P&amp;L'!AM:AM,'Combined P&amp;L'!$C:$C,'P&amp;L Overview'!$B31)</f>
        <v>8.3226299999999984</v>
      </c>
      <c r="AL31" s="54">
        <f>SUMIFS('Combined P&amp;L'!AN:AN,'Combined P&amp;L'!$C:$C,'P&amp;L Overview'!$B31)</f>
        <v>9.1088299999999993</v>
      </c>
      <c r="AM31" s="54">
        <f>SUMIFS('Combined P&amp;L'!AO:AO,'Combined P&amp;L'!$C:$C,'P&amp;L Overview'!$B31)</f>
        <v>9.1088299999999993</v>
      </c>
      <c r="AN31" s="54">
        <f>SUMIFS('Combined P&amp;L'!AP:AP,'Combined P&amp;L'!$C:$C,'P&amp;L Overview'!$B31)</f>
        <v>8.6948100000000004</v>
      </c>
      <c r="AO31" s="54">
        <f>SUMIFS('Combined P&amp;L'!AQ:AQ,'Combined P&amp;L'!$C:$C,'P&amp;L Overview'!$B31)</f>
        <v>9.1088400000000007</v>
      </c>
      <c r="AP31" s="54">
        <f>SUMIFS('Combined P&amp;L'!AR:AR,'Combined P&amp;L'!$C:$C,'P&amp;L Overview'!$B31)</f>
        <v>9.5228700000000011</v>
      </c>
    </row>
    <row r="32" spans="2:42" s="14" customFormat="1" x14ac:dyDescent="0.2">
      <c r="B32" s="57" t="s">
        <v>279</v>
      </c>
      <c r="C32" s="24">
        <f t="shared" si="13"/>
        <v>0</v>
      </c>
      <c r="D32" s="24">
        <f t="shared" si="13"/>
        <v>19.149630000000002</v>
      </c>
      <c r="E32" s="24"/>
      <c r="F32" s="24">
        <f t="shared" si="14"/>
        <v>3.09945</v>
      </c>
      <c r="G32" s="24">
        <f t="shared" si="14"/>
        <v>51.941310000000001</v>
      </c>
      <c r="H32" s="24"/>
      <c r="I32" s="24">
        <f t="shared" si="15"/>
        <v>1.4667999999999999</v>
      </c>
      <c r="J32" s="24">
        <f t="shared" si="15"/>
        <v>61.428380000000004</v>
      </c>
      <c r="K32" s="53"/>
      <c r="L32" s="54">
        <f>SUMIFS('Combined P&amp;L'!N:N,'Combined P&amp;L'!$C:$C,'P&amp;L Overview'!$B32)</f>
        <v>0</v>
      </c>
      <c r="M32" s="54">
        <f>SUMIFS('Combined P&amp;L'!O:O,'Combined P&amp;L'!$C:$C,'P&amp;L Overview'!$B32)</f>
        <v>0</v>
      </c>
      <c r="N32" s="54">
        <f>SUMIFS('Combined P&amp;L'!P:P,'Combined P&amp;L'!$C:$C,'P&amp;L Overview'!$B32)</f>
        <v>0</v>
      </c>
      <c r="O32" s="54">
        <f>SUMIFS('Combined P&amp;L'!Q:Q,'Combined P&amp;L'!$C:$C,'P&amp;L Overview'!$B32)</f>
        <v>0</v>
      </c>
      <c r="P32" s="54">
        <f>SUMIFS('Combined P&amp;L'!R:R,'Combined P&amp;L'!$C:$C,'P&amp;L Overview'!$B32)</f>
        <v>0</v>
      </c>
      <c r="Q32" s="54">
        <f>SUMIFS('Combined P&amp;L'!S:S,'Combined P&amp;L'!$C:$C,'P&amp;L Overview'!$B32)</f>
        <v>0</v>
      </c>
      <c r="R32" s="54">
        <f>SUMIFS('Combined P&amp;L'!T:T,'Combined P&amp;L'!$C:$C,'P&amp;L Overview'!$B32)</f>
        <v>0</v>
      </c>
      <c r="S32" s="54">
        <f>SUMIFS('Combined P&amp;L'!U:U,'Combined P&amp;L'!$C:$C,'P&amp;L Overview'!$B32)</f>
        <v>0</v>
      </c>
      <c r="T32" s="54">
        <f>SUMIFS('Combined P&amp;L'!V:V,'Combined P&amp;L'!$C:$C,'P&amp;L Overview'!$B32)</f>
        <v>0</v>
      </c>
      <c r="U32" s="54">
        <f>SUMIFS('Combined P&amp;L'!W:W,'Combined P&amp;L'!$C:$C,'P&amp;L Overview'!$B32)</f>
        <v>0</v>
      </c>
      <c r="V32" s="54">
        <f>SUMIFS('Combined P&amp;L'!X:X,'Combined P&amp;L'!$C:$C,'P&amp;L Overview'!$B32)</f>
        <v>0</v>
      </c>
      <c r="W32" s="54">
        <f>SUMIFS('Combined P&amp;L'!Y:Y,'Combined P&amp;L'!$C:$C,'P&amp;L Overview'!$B32)</f>
        <v>0</v>
      </c>
      <c r="X32" s="54">
        <f>SUMIFS('Combined P&amp;L'!Z:Z,'Combined P&amp;L'!$C:$C,'P&amp;L Overview'!$B32)</f>
        <v>0</v>
      </c>
      <c r="Y32" s="54">
        <f>SUMIFS('Combined P&amp;L'!AA:AA,'Combined P&amp;L'!$C:$C,'P&amp;L Overview'!$B32)</f>
        <v>0</v>
      </c>
      <c r="Z32" s="54">
        <f>SUMIFS('Combined P&amp;L'!AB:AB,'Combined P&amp;L'!$C:$C,'P&amp;L Overview'!$B32)</f>
        <v>0</v>
      </c>
      <c r="AA32" s="54">
        <f>SUMIFS('Combined P&amp;L'!AC:AC,'Combined P&amp;L'!$C:$C,'P&amp;L Overview'!$B32)</f>
        <v>0</v>
      </c>
      <c r="AB32" s="54">
        <f>SUMIFS('Combined P&amp;L'!AD:AD,'Combined P&amp;L'!$C:$C,'P&amp;L Overview'!$B32)</f>
        <v>0</v>
      </c>
      <c r="AC32" s="54">
        <f>SUMIFS('Combined P&amp;L'!AE:AE,'Combined P&amp;L'!$C:$C,'P&amp;L Overview'!$B32)</f>
        <v>1.4667999999999999</v>
      </c>
      <c r="AD32" s="54">
        <f>SUMIFS('Combined P&amp;L'!AF:AF,'Combined P&amp;L'!$C:$C,'P&amp;L Overview'!$B32)</f>
        <v>1.6326500000000002</v>
      </c>
      <c r="AE32" s="54">
        <f>SUMIFS('Combined P&amp;L'!AG:AG,'Combined P&amp;L'!$C:$C,'P&amp;L Overview'!$B32)</f>
        <v>1.7180499999999999</v>
      </c>
      <c r="AF32" s="54">
        <f>SUMIFS('Combined P&amp;L'!AH:AH,'Combined P&amp;L'!$C:$C,'P&amp;L Overview'!$B32)</f>
        <v>1.9145999999999999</v>
      </c>
      <c r="AG32" s="54">
        <f>SUMIFS('Combined P&amp;L'!AI:AI,'Combined P&amp;L'!$C:$C,'P&amp;L Overview'!$B32)</f>
        <v>2.3529</v>
      </c>
      <c r="AH32" s="54">
        <f>SUMIFS('Combined P&amp;L'!AJ:AJ,'Combined P&amp;L'!$C:$C,'P&amp;L Overview'!$B32)</f>
        <v>2.2452399999999999</v>
      </c>
      <c r="AI32" s="54">
        <f>SUMIFS('Combined P&amp;L'!AK:AK,'Combined P&amp;L'!$C:$C,'P&amp;L Overview'!$B32)</f>
        <v>7.8193900000000003</v>
      </c>
      <c r="AJ32" s="54">
        <f>SUMIFS('Combined P&amp;L'!AL:AL,'Combined P&amp;L'!$C:$C,'P&amp;L Overview'!$B32)</f>
        <v>5.6533999999999995</v>
      </c>
      <c r="AK32" s="54">
        <f>SUMIFS('Combined P&amp;L'!AM:AM,'Combined P&amp;L'!$C:$C,'P&amp;L Overview'!$B32)</f>
        <v>5.9568900000000005</v>
      </c>
      <c r="AL32" s="54">
        <f>SUMIFS('Combined P&amp;L'!AN:AN,'Combined P&amp;L'!$C:$C,'P&amp;L Overview'!$B32)</f>
        <v>7.7827999999999999</v>
      </c>
      <c r="AM32" s="54">
        <f>SUMIFS('Combined P&amp;L'!AO:AO,'Combined P&amp;L'!$C:$C,'P&amp;L Overview'!$B32)</f>
        <v>8.1370100000000001</v>
      </c>
      <c r="AN32" s="54">
        <f>SUMIFS('Combined P&amp;L'!AP:AP,'Combined P&amp;L'!$C:$C,'P&amp;L Overview'!$B32)</f>
        <v>7.8082500000000001</v>
      </c>
      <c r="AO32" s="54">
        <f>SUMIFS('Combined P&amp;L'!AQ:AQ,'Combined P&amp;L'!$C:$C,'P&amp;L Overview'!$B32)</f>
        <v>8.4072000000000013</v>
      </c>
      <c r="AP32" s="54">
        <f>SUMIFS('Combined P&amp;L'!AR:AR,'Combined P&amp;L'!$C:$C,'P&amp;L Overview'!$B32)</f>
        <v>8.1957599999999999</v>
      </c>
    </row>
    <row r="33" spans="2:42" x14ac:dyDescent="0.2">
      <c r="B33" s="58" t="s">
        <v>36</v>
      </c>
      <c r="C33" s="24">
        <f t="shared" si="13"/>
        <v>1.1133499999999998</v>
      </c>
      <c r="D33" s="24">
        <f t="shared" si="13"/>
        <v>29.564150000000001</v>
      </c>
      <c r="E33" s="24"/>
      <c r="F33" s="24">
        <f t="shared" si="14"/>
        <v>14.275850000000002</v>
      </c>
      <c r="G33" s="24">
        <f t="shared" si="14"/>
        <v>42.085049999999995</v>
      </c>
      <c r="H33" s="24"/>
      <c r="I33" s="24">
        <f t="shared" si="15"/>
        <v>13.21003</v>
      </c>
      <c r="J33" s="24">
        <f t="shared" si="15"/>
        <v>53.876419999999996</v>
      </c>
      <c r="K33" s="53"/>
      <c r="L33" s="54">
        <f>SUMIFS('Combined P&amp;L'!N:N,'Combined P&amp;L'!$C:$C,'P&amp;L Overview'!$B33)</f>
        <v>0</v>
      </c>
      <c r="M33" s="54">
        <f>SUMIFS('Combined P&amp;L'!O:O,'Combined P&amp;L'!$C:$C,'P&amp;L Overview'!$B33)</f>
        <v>0</v>
      </c>
      <c r="N33" s="54">
        <f>SUMIFS('Combined P&amp;L'!P:P,'Combined P&amp;L'!$C:$C,'P&amp;L Overview'!$B33)</f>
        <v>0</v>
      </c>
      <c r="O33" s="54">
        <f>SUMIFS('Combined P&amp;L'!Q:Q,'Combined P&amp;L'!$C:$C,'P&amp;L Overview'!$B33)</f>
        <v>0</v>
      </c>
      <c r="P33" s="54">
        <f>SUMIFS('Combined P&amp;L'!R:R,'Combined P&amp;L'!$C:$C,'P&amp;L Overview'!$B33)</f>
        <v>0</v>
      </c>
      <c r="Q33" s="54">
        <f>SUMIFS('Combined P&amp;L'!S:S,'Combined P&amp;L'!$C:$C,'P&amp;L Overview'!$B33)</f>
        <v>0</v>
      </c>
      <c r="R33" s="54">
        <f>SUMIFS('Combined P&amp;L'!T:T,'Combined P&amp;L'!$C:$C,'P&amp;L Overview'!$B33)</f>
        <v>0</v>
      </c>
      <c r="S33" s="54">
        <f>SUMIFS('Combined P&amp;L'!U:U,'Combined P&amp;L'!$C:$C,'P&amp;L Overview'!$B33)</f>
        <v>0</v>
      </c>
      <c r="T33" s="54">
        <f>SUMIFS('Combined P&amp;L'!V:V,'Combined P&amp;L'!$C:$C,'P&amp;L Overview'!$B33)</f>
        <v>0</v>
      </c>
      <c r="U33" s="54">
        <f>SUMIFS('Combined P&amp;L'!W:W,'Combined P&amp;L'!$C:$C,'P&amp;L Overview'!$B33)</f>
        <v>0</v>
      </c>
      <c r="V33" s="54">
        <f>SUMIFS('Combined P&amp;L'!X:X,'Combined P&amp;L'!$C:$C,'P&amp;L Overview'!$B33)</f>
        <v>0</v>
      </c>
      <c r="W33" s="54">
        <f>SUMIFS('Combined P&amp;L'!Y:Y,'Combined P&amp;L'!$C:$C,'P&amp;L Overview'!$B33)</f>
        <v>1.1133499999999998</v>
      </c>
      <c r="X33" s="54">
        <f>SUMIFS('Combined P&amp;L'!Z:Z,'Combined P&amp;L'!$C:$C,'P&amp;L Overview'!$B33)</f>
        <v>2.1791700000000001</v>
      </c>
      <c r="Y33" s="54">
        <f>SUMIFS('Combined P&amp;L'!AA:AA,'Combined P&amp;L'!$C:$C,'P&amp;L Overview'!$B33)</f>
        <v>1.82504</v>
      </c>
      <c r="Z33" s="54">
        <f>SUMIFS('Combined P&amp;L'!AB:AB,'Combined P&amp;L'!$C:$C,'P&amp;L Overview'!$B33)</f>
        <v>1.9785299999999999</v>
      </c>
      <c r="AA33" s="54">
        <f>SUMIFS('Combined P&amp;L'!AC:AC,'Combined P&amp;L'!$C:$C,'P&amp;L Overview'!$B33)</f>
        <v>2.0621300000000002</v>
      </c>
      <c r="AB33" s="54">
        <f>SUMIFS('Combined P&amp;L'!AD:AD,'Combined P&amp;L'!$C:$C,'P&amp;L Overview'!$B33)</f>
        <v>2.0621300000000002</v>
      </c>
      <c r="AC33" s="54">
        <f>SUMIFS('Combined P&amp;L'!AE:AE,'Combined P&amp;L'!$C:$C,'P&amp;L Overview'!$B33)</f>
        <v>1.9896800000000001</v>
      </c>
      <c r="AD33" s="54">
        <f>SUMIFS('Combined P&amp;L'!AF:AF,'Combined P&amp;L'!$C:$C,'P&amp;L Overview'!$B33)</f>
        <v>2.1791700000000001</v>
      </c>
      <c r="AE33" s="54">
        <f>SUMIFS('Combined P&amp;L'!AG:AG,'Combined P&amp;L'!$C:$C,'P&amp;L Overview'!$B33)</f>
        <v>2.1229299999999998</v>
      </c>
      <c r="AF33" s="54">
        <f>SUMIFS('Combined P&amp;L'!AH:AH,'Combined P&amp;L'!$C:$C,'P&amp;L Overview'!$B33)</f>
        <v>3.1041999999999996</v>
      </c>
      <c r="AG33" s="54">
        <f>SUMIFS('Combined P&amp;L'!AI:AI,'Combined P&amp;L'!$C:$C,'P&amp;L Overview'!$B33)</f>
        <v>3.2713700000000001</v>
      </c>
      <c r="AH33" s="54">
        <f>SUMIFS('Combined P&amp;L'!AJ:AJ,'Combined P&amp;L'!$C:$C,'P&amp;L Overview'!$B33)</f>
        <v>3.6394699999999998</v>
      </c>
      <c r="AI33" s="54">
        <f>SUMIFS('Combined P&amp;L'!AK:AK,'Combined P&amp;L'!$C:$C,'P&amp;L Overview'!$B33)</f>
        <v>3.1503299999999999</v>
      </c>
      <c r="AJ33" s="54">
        <f>SUMIFS('Combined P&amp;L'!AL:AL,'Combined P&amp;L'!$C:$C,'P&amp;L Overview'!$B33)</f>
        <v>1.69116</v>
      </c>
      <c r="AK33" s="54">
        <f>SUMIFS('Combined P&amp;L'!AM:AM,'Combined P&amp;L'!$C:$C,'P&amp;L Overview'!$B33)</f>
        <v>5.5491899999999994</v>
      </c>
      <c r="AL33" s="54">
        <f>SUMIFS('Combined P&amp;L'!AN:AN,'Combined P&amp;L'!$C:$C,'P&amp;L Overview'!$B33)</f>
        <v>7.1998999999999995</v>
      </c>
      <c r="AM33" s="54">
        <f>SUMIFS('Combined P&amp;L'!AO:AO,'Combined P&amp;L'!$C:$C,'P&amp;L Overview'!$B33)</f>
        <v>8.1927000000000003</v>
      </c>
      <c r="AN33" s="54">
        <f>SUMIFS('Combined P&amp;L'!AP:AP,'Combined P&amp;L'!$C:$C,'P&amp;L Overview'!$B33)</f>
        <v>8.2833500000000004</v>
      </c>
      <c r="AO33" s="54">
        <f>SUMIFS('Combined P&amp;L'!AQ:AQ,'Combined P&amp;L'!$C:$C,'P&amp;L Overview'!$B33)</f>
        <v>5.4926499999999994</v>
      </c>
      <c r="AP33" s="54">
        <f>SUMIFS('Combined P&amp;L'!AR:AR,'Combined P&amp;L'!$C:$C,'P&amp;L Overview'!$B33)</f>
        <v>5.6760999999999999</v>
      </c>
    </row>
    <row r="34" spans="2:42" x14ac:dyDescent="0.2">
      <c r="B34" s="58" t="s">
        <v>38</v>
      </c>
      <c r="C34" s="24">
        <f t="shared" si="13"/>
        <v>0</v>
      </c>
      <c r="D34" s="24">
        <f t="shared" si="13"/>
        <v>0</v>
      </c>
      <c r="E34" s="24"/>
      <c r="F34" s="24">
        <f t="shared" si="14"/>
        <v>0</v>
      </c>
      <c r="G34" s="24">
        <f t="shared" si="14"/>
        <v>7.9949999999999992</v>
      </c>
      <c r="H34" s="24"/>
      <c r="I34" s="24">
        <f t="shared" si="15"/>
        <v>0</v>
      </c>
      <c r="J34" s="24">
        <f t="shared" si="15"/>
        <v>5.2382299999999997</v>
      </c>
      <c r="K34" s="53"/>
      <c r="L34" s="54">
        <f>SUMIFS('Combined P&amp;L'!N:N,'Combined P&amp;L'!$C:$C,'P&amp;L Overview'!$B34)</f>
        <v>0</v>
      </c>
      <c r="M34" s="54">
        <f>SUMIFS('Combined P&amp;L'!O:O,'Combined P&amp;L'!$C:$C,'P&amp;L Overview'!$B34)</f>
        <v>0</v>
      </c>
      <c r="N34" s="54">
        <f>SUMIFS('Combined P&amp;L'!P:P,'Combined P&amp;L'!$C:$C,'P&amp;L Overview'!$B34)</f>
        <v>0</v>
      </c>
      <c r="O34" s="54">
        <f>SUMIFS('Combined P&amp;L'!Q:Q,'Combined P&amp;L'!$C:$C,'P&amp;L Overview'!$B34)</f>
        <v>0</v>
      </c>
      <c r="P34" s="54">
        <f>SUMIFS('Combined P&amp;L'!R:R,'Combined P&amp;L'!$C:$C,'P&amp;L Overview'!$B34)</f>
        <v>0</v>
      </c>
      <c r="Q34" s="54">
        <f>SUMIFS('Combined P&amp;L'!S:S,'Combined P&amp;L'!$C:$C,'P&amp;L Overview'!$B34)</f>
        <v>0</v>
      </c>
      <c r="R34" s="54">
        <f>SUMIFS('Combined P&amp;L'!T:T,'Combined P&amp;L'!$C:$C,'P&amp;L Overview'!$B34)</f>
        <v>0</v>
      </c>
      <c r="S34" s="54">
        <f>SUMIFS('Combined P&amp;L'!U:U,'Combined P&amp;L'!$C:$C,'P&amp;L Overview'!$B34)</f>
        <v>0</v>
      </c>
      <c r="T34" s="54">
        <f>SUMIFS('Combined P&amp;L'!V:V,'Combined P&amp;L'!$C:$C,'P&amp;L Overview'!$B34)</f>
        <v>0</v>
      </c>
      <c r="U34" s="54">
        <f>SUMIFS('Combined P&amp;L'!W:W,'Combined P&amp;L'!$C:$C,'P&amp;L Overview'!$B34)</f>
        <v>0</v>
      </c>
      <c r="V34" s="54">
        <f>SUMIFS('Combined P&amp;L'!X:X,'Combined P&amp;L'!$C:$C,'P&amp;L Overview'!$B34)</f>
        <v>0</v>
      </c>
      <c r="W34" s="54">
        <f>SUMIFS('Combined P&amp;L'!Y:Y,'Combined P&amp;L'!$C:$C,'P&amp;L Overview'!$B34)</f>
        <v>0</v>
      </c>
      <c r="X34" s="54">
        <f>SUMIFS('Combined P&amp;L'!Z:Z,'Combined P&amp;L'!$C:$C,'P&amp;L Overview'!$B34)</f>
        <v>0</v>
      </c>
      <c r="Y34" s="54">
        <f>SUMIFS('Combined P&amp;L'!AA:AA,'Combined P&amp;L'!$C:$C,'P&amp;L Overview'!$B34)</f>
        <v>0</v>
      </c>
      <c r="Z34" s="54">
        <f>SUMIFS('Combined P&amp;L'!AB:AB,'Combined P&amp;L'!$C:$C,'P&amp;L Overview'!$B34)</f>
        <v>0</v>
      </c>
      <c r="AA34" s="54">
        <f>SUMIFS('Combined P&amp;L'!AC:AC,'Combined P&amp;L'!$C:$C,'P&amp;L Overview'!$B34)</f>
        <v>0</v>
      </c>
      <c r="AB34" s="54">
        <f>SUMIFS('Combined P&amp;L'!AD:AD,'Combined P&amp;L'!$C:$C,'P&amp;L Overview'!$B34)</f>
        <v>0</v>
      </c>
      <c r="AC34" s="54">
        <f>SUMIFS('Combined P&amp;L'!AE:AE,'Combined P&amp;L'!$C:$C,'P&amp;L Overview'!$B34)</f>
        <v>0</v>
      </c>
      <c r="AD34" s="54">
        <f>SUMIFS('Combined P&amp;L'!AF:AF,'Combined P&amp;L'!$C:$C,'P&amp;L Overview'!$B34)</f>
        <v>0</v>
      </c>
      <c r="AE34" s="54">
        <f>SUMIFS('Combined P&amp;L'!AG:AG,'Combined P&amp;L'!$C:$C,'P&amp;L Overview'!$B34)</f>
        <v>0</v>
      </c>
      <c r="AF34" s="54">
        <f>SUMIFS('Combined P&amp;L'!AH:AH,'Combined P&amp;L'!$C:$C,'P&amp;L Overview'!$B34)</f>
        <v>0</v>
      </c>
      <c r="AG34" s="54">
        <f>SUMIFS('Combined P&amp;L'!AI:AI,'Combined P&amp;L'!$C:$C,'P&amp;L Overview'!$B34)</f>
        <v>0</v>
      </c>
      <c r="AH34" s="54">
        <f>SUMIFS('Combined P&amp;L'!AJ:AJ,'Combined P&amp;L'!$C:$C,'P&amp;L Overview'!$B34)</f>
        <v>0</v>
      </c>
      <c r="AI34" s="54">
        <f>SUMIFS('Combined P&amp;L'!AK:AK,'Combined P&amp;L'!$C:$C,'P&amp;L Overview'!$B34)</f>
        <v>0</v>
      </c>
      <c r="AJ34" s="54">
        <f>SUMIFS('Combined P&amp;L'!AL:AL,'Combined P&amp;L'!$C:$C,'P&amp;L Overview'!$B34)</f>
        <v>0</v>
      </c>
      <c r="AK34" s="54">
        <f>SUMIFS('Combined P&amp;L'!AM:AM,'Combined P&amp;L'!$C:$C,'P&amp;L Overview'!$B34)</f>
        <v>0</v>
      </c>
      <c r="AL34" s="54">
        <f>SUMIFS('Combined P&amp;L'!AN:AN,'Combined P&amp;L'!$C:$C,'P&amp;L Overview'!$B34)</f>
        <v>0</v>
      </c>
      <c r="AM34" s="54">
        <f>SUMIFS('Combined P&amp;L'!AO:AO,'Combined P&amp;L'!$C:$C,'P&amp;L Overview'!$B34)</f>
        <v>0</v>
      </c>
      <c r="AN34" s="54">
        <f>SUMIFS('Combined P&amp;L'!AP:AP,'Combined P&amp;L'!$C:$C,'P&amp;L Overview'!$B34)</f>
        <v>2.5170599999999999</v>
      </c>
      <c r="AO34" s="54">
        <f>SUMIFS('Combined P&amp;L'!AQ:AQ,'Combined P&amp;L'!$C:$C,'P&amp;L Overview'!$B34)</f>
        <v>2.7211699999999999</v>
      </c>
      <c r="AP34" s="54">
        <f>SUMIFS('Combined P&amp;L'!AR:AR,'Combined P&amp;L'!$C:$C,'P&amp;L Overview'!$B34)</f>
        <v>2.7567699999999999</v>
      </c>
    </row>
    <row r="37" spans="2:42" x14ac:dyDescent="0.2">
      <c r="C37" s="34"/>
      <c r="D37" s="36"/>
      <c r="E37" s="36"/>
      <c r="F37" s="36"/>
      <c r="G37" s="36"/>
      <c r="H37" s="36"/>
      <c r="I37" s="34"/>
      <c r="J37" s="36"/>
    </row>
    <row r="38" spans="2:42" x14ac:dyDescent="0.2">
      <c r="C38" s="35"/>
      <c r="D38" s="35"/>
      <c r="E38" s="35"/>
      <c r="F38" s="35"/>
      <c r="G38" s="35"/>
      <c r="H38" s="35"/>
      <c r="I38" s="35"/>
      <c r="J38" s="35"/>
    </row>
    <row r="42" spans="2:42" x14ac:dyDescent="0.2">
      <c r="C42" s="34">
        <v>45291</v>
      </c>
      <c r="D42" s="36">
        <f>C43</f>
        <v>45657</v>
      </c>
      <c r="E42" s="36"/>
      <c r="F42" s="34">
        <v>45657</v>
      </c>
      <c r="G42" s="34">
        <v>46022</v>
      </c>
      <c r="H42" s="34"/>
      <c r="I42" s="34">
        <v>45473</v>
      </c>
      <c r="J42" s="36">
        <f>I43</f>
        <v>45838</v>
      </c>
    </row>
    <row r="43" spans="2:42" x14ac:dyDescent="0.2">
      <c r="C43" s="35">
        <f>EOMONTH(C42,12)</f>
        <v>45657</v>
      </c>
      <c r="D43" s="35">
        <f>EOMONTH(D42,12)</f>
        <v>46022</v>
      </c>
      <c r="E43" s="35"/>
      <c r="F43" s="35">
        <v>45869</v>
      </c>
      <c r="G43" s="35">
        <f>EOMONTH(G42,12)</f>
        <v>46387</v>
      </c>
      <c r="H43" s="35"/>
      <c r="I43" s="35">
        <f>EOMONTH(I42,12)</f>
        <v>45838</v>
      </c>
      <c r="J43" s="35">
        <f>EOMONTH(J42,12)</f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topLeftCell="N1" zoomScale="145" zoomScaleNormal="145" workbookViewId="0">
      <pane ySplit="5" topLeftCell="A6" activePane="bottomLeft" state="frozen"/>
      <selection pane="bottomLeft"/>
    </sheetView>
  </sheetViews>
  <sheetFormatPr defaultRowHeight="12" x14ac:dyDescent="0.2"/>
  <cols>
    <col min="1" max="1" width="1.7109375" style="37" customWidth="1"/>
    <col min="2" max="2" width="33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1" width="11" style="37" customWidth="1"/>
    <col min="12" max="12" width="0.85546875" style="37" customWidth="1"/>
    <col min="13" max="14" width="11" style="37" customWidth="1"/>
    <col min="15" max="15" width="0.85546875" style="37" customWidth="1"/>
    <col min="16" max="46" width="10.140625" style="37" customWidth="1"/>
    <col min="47" max="16384" width="9.140625" style="37"/>
  </cols>
  <sheetData>
    <row r="2" spans="1:46" ht="16.5" x14ac:dyDescent="0.25">
      <c r="B2" s="38" t="str">
        <f>+Cover!B24</f>
        <v>Keystone Bookkeepers</v>
      </c>
    </row>
    <row r="3" spans="1:46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5" spans="1:46" x14ac:dyDescent="0.2">
      <c r="A5" s="98"/>
      <c r="B5" s="41" t="s">
        <v>264</v>
      </c>
      <c r="C5" s="42" t="s">
        <v>3</v>
      </c>
      <c r="D5" s="42" t="s">
        <v>4</v>
      </c>
      <c r="E5" s="52"/>
      <c r="F5" s="42" t="s">
        <v>256</v>
      </c>
      <c r="G5" s="42" t="s">
        <v>5</v>
      </c>
      <c r="H5" s="52"/>
      <c r="I5" s="42" t="s">
        <v>254</v>
      </c>
      <c r="J5" s="42" t="s">
        <v>255</v>
      </c>
      <c r="K5" s="42" t="s">
        <v>282</v>
      </c>
      <c r="L5" s="52"/>
      <c r="M5" s="42" t="s">
        <v>285</v>
      </c>
      <c r="N5" s="42" t="s">
        <v>286</v>
      </c>
      <c r="P5" s="45">
        <v>45292</v>
      </c>
      <c r="Q5" s="45">
        <f>EOMONTH(P5,0)+1</f>
        <v>45323</v>
      </c>
      <c r="R5" s="45">
        <f t="shared" ref="R5:AT5" si="0">EOMONTH(Q5,0)+1</f>
        <v>45352</v>
      </c>
      <c r="S5" s="45">
        <f t="shared" si="0"/>
        <v>45383</v>
      </c>
      <c r="T5" s="45">
        <f t="shared" si="0"/>
        <v>45413</v>
      </c>
      <c r="U5" s="45">
        <f t="shared" si="0"/>
        <v>45444</v>
      </c>
      <c r="V5" s="45">
        <f t="shared" si="0"/>
        <v>45474</v>
      </c>
      <c r="W5" s="45">
        <f t="shared" si="0"/>
        <v>45505</v>
      </c>
      <c r="X5" s="45">
        <f t="shared" si="0"/>
        <v>45536</v>
      </c>
      <c r="Y5" s="45">
        <f t="shared" si="0"/>
        <v>45566</v>
      </c>
      <c r="Z5" s="45">
        <f t="shared" si="0"/>
        <v>45597</v>
      </c>
      <c r="AA5" s="45">
        <f t="shared" si="0"/>
        <v>45627</v>
      </c>
      <c r="AB5" s="45">
        <f t="shared" si="0"/>
        <v>45658</v>
      </c>
      <c r="AC5" s="45">
        <f t="shared" si="0"/>
        <v>45689</v>
      </c>
      <c r="AD5" s="45">
        <f t="shared" si="0"/>
        <v>45717</v>
      </c>
      <c r="AE5" s="45">
        <f t="shared" si="0"/>
        <v>45748</v>
      </c>
      <c r="AF5" s="45">
        <f t="shared" si="0"/>
        <v>45778</v>
      </c>
      <c r="AG5" s="45">
        <f t="shared" si="0"/>
        <v>45809</v>
      </c>
      <c r="AH5" s="45">
        <f t="shared" si="0"/>
        <v>45839</v>
      </c>
      <c r="AI5" s="45">
        <f t="shared" si="0"/>
        <v>45870</v>
      </c>
      <c r="AJ5" s="45">
        <f t="shared" si="0"/>
        <v>45901</v>
      </c>
      <c r="AK5" s="45">
        <f t="shared" si="0"/>
        <v>45931</v>
      </c>
      <c r="AL5" s="45">
        <f t="shared" si="0"/>
        <v>45962</v>
      </c>
      <c r="AM5" s="45">
        <f t="shared" si="0"/>
        <v>45992</v>
      </c>
      <c r="AN5" s="45">
        <f t="shared" si="0"/>
        <v>46023</v>
      </c>
      <c r="AO5" s="45">
        <f t="shared" si="0"/>
        <v>46054</v>
      </c>
      <c r="AP5" s="45">
        <f t="shared" si="0"/>
        <v>46082</v>
      </c>
      <c r="AQ5" s="45">
        <f t="shared" si="0"/>
        <v>46113</v>
      </c>
      <c r="AR5" s="45">
        <f t="shared" si="0"/>
        <v>46143</v>
      </c>
      <c r="AS5" s="45">
        <f t="shared" si="0"/>
        <v>46174</v>
      </c>
      <c r="AT5" s="45">
        <f t="shared" si="0"/>
        <v>46204</v>
      </c>
    </row>
    <row r="6" spans="1:46" x14ac:dyDescent="0.2">
      <c r="A6" s="98"/>
      <c r="B6" s="43" t="s">
        <v>258</v>
      </c>
      <c r="C6" s="44"/>
      <c r="D6" s="44"/>
      <c r="E6" s="6"/>
      <c r="F6" s="44"/>
      <c r="G6" s="44"/>
      <c r="H6" s="6"/>
      <c r="I6" s="44"/>
      <c r="J6" s="44"/>
      <c r="K6" s="44"/>
      <c r="L6" s="6"/>
      <c r="M6" s="44"/>
      <c r="N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</row>
    <row r="7" spans="1:46" x14ac:dyDescent="0.2">
      <c r="B7" s="57" t="s">
        <v>275</v>
      </c>
      <c r="C7" s="49">
        <f>SUMIFS($P7:$AT7,$P$5:$AT$5,"&gt;"&amp;C$172,$P$5:$AT$5,"&lt;"&amp;C$173)</f>
        <v>793.47225000000003</v>
      </c>
      <c r="D7" s="49">
        <f>SUMIFS($P7:$AT7,$P$5:$AT$5,"&gt;"&amp;D$172,$P$5:$AT$5,"&lt;"&amp;D$173)</f>
        <v>1450.4923499999998</v>
      </c>
      <c r="E7" s="49"/>
      <c r="F7" s="49">
        <f>SUMIFS($P7:$AT7,$P$5:$AT$5,"&gt;"&amp;F$172,$P$5:$AT$5,"&lt;"&amp;F$173)</f>
        <v>751.52859999999987</v>
      </c>
      <c r="G7" s="49">
        <f>SUMIFS($P7:$AT7,$P$5:$AT$5,"&gt;"&amp;G$172,$P$5:$AT$5,"&lt;"&amp;G$173)</f>
        <v>1261.47685</v>
      </c>
      <c r="H7" s="49"/>
      <c r="I7" s="49">
        <f>SUMIFS($P7:$AT7,$P$5:$AT$5,"&gt;"&amp;I$172,$P$5:$AT$5,"&lt;"&amp;I$173)</f>
        <v>1098.5075000000002</v>
      </c>
      <c r="J7" s="49">
        <f>SUMIFS($P7:$AT7,$P$5:$AT$5,"&gt;"&amp;J$172,$P$5:$AT$5,"&lt;"&amp;J$173)</f>
        <v>1881.6971000000001</v>
      </c>
      <c r="K7" s="51">
        <f>+C108</f>
        <v>2410.0500000000002</v>
      </c>
      <c r="L7" s="51"/>
      <c r="M7" s="49">
        <f t="shared" ref="M7:M14" si="1">K7-J7</f>
        <v>528.35290000000009</v>
      </c>
      <c r="N7" s="67">
        <f>IFERROR(K7/J7-1,0)</f>
        <v>0.28078530811361735</v>
      </c>
      <c r="P7" s="48">
        <f>SUMIFS('Combined P&amp;L'!N:N,'Combined P&amp;L'!$C:$C,'P&amp;L Forecast'!$B7)</f>
        <v>44.683500000000002</v>
      </c>
      <c r="Q7" s="48">
        <f>SUMIFS('Combined P&amp;L'!O:O,'Combined P&amp;L'!$C:$C,'P&amp;L Forecast'!$B7)</f>
        <v>47.045999999999999</v>
      </c>
      <c r="R7" s="48">
        <f>SUMIFS('Combined P&amp;L'!P:P,'Combined P&amp;L'!$C:$C,'P&amp;L Forecast'!$B7)</f>
        <v>52.47</v>
      </c>
      <c r="S7" s="48">
        <f>SUMIFS('Combined P&amp;L'!Q:Q,'Combined P&amp;L'!$C:$C,'P&amp;L Forecast'!$B7)</f>
        <v>57.169699999999999</v>
      </c>
      <c r="T7" s="48">
        <f>SUMIFS('Combined P&amp;L'!R:R,'Combined P&amp;L'!$C:$C,'P&amp;L Forecast'!$B7)</f>
        <v>57.514150000000001</v>
      </c>
      <c r="U7" s="48">
        <f>SUMIFS('Combined P&amp;L'!S:S,'Combined P&amp;L'!$C:$C,'P&amp;L Forecast'!$B7)</f>
        <v>65.516000000000005</v>
      </c>
      <c r="V7" s="48">
        <f>SUMIFS('Combined P&amp;L'!T:T,'Combined P&amp;L'!$C:$C,'P&amp;L Forecast'!$B7)</f>
        <v>68.28125</v>
      </c>
      <c r="W7" s="48">
        <f>SUMIFS('Combined P&amp;L'!U:U,'Combined P&amp;L'!$C:$C,'P&amp;L Forecast'!$B7)</f>
        <v>73.251350000000002</v>
      </c>
      <c r="X7" s="48">
        <f>SUMIFS('Combined P&amp;L'!V:V,'Combined P&amp;L'!$C:$C,'P&amp;L Forecast'!$B7)</f>
        <v>75.551699999999997</v>
      </c>
      <c r="Y7" s="48">
        <f>SUMIFS('Combined P&amp;L'!W:W,'Combined P&amp;L'!$C:$C,'P&amp;L Forecast'!$B7)</f>
        <v>79.113249999999994</v>
      </c>
      <c r="Z7" s="48">
        <f>SUMIFS('Combined P&amp;L'!X:X,'Combined P&amp;L'!$C:$C,'P&amp;L Forecast'!$B7)</f>
        <v>83.290800000000004</v>
      </c>
      <c r="AA7" s="48">
        <f>SUMIFS('Combined P&amp;L'!Y:Y,'Combined P&amp;L'!$C:$C,'P&amp;L Forecast'!$B7)</f>
        <v>89.584550000000007</v>
      </c>
      <c r="AB7" s="48">
        <f>SUMIFS('Combined P&amp;L'!Z:Z,'Combined P&amp;L'!$C:$C,'P&amp;L Forecast'!$B7)</f>
        <v>92.418899999999994</v>
      </c>
      <c r="AC7" s="48">
        <f>SUMIFS('Combined P&amp;L'!AA:AA,'Combined P&amp;L'!$C:$C,'P&amp;L Forecast'!$B7)</f>
        <v>94.00215</v>
      </c>
      <c r="AD7" s="48">
        <f>SUMIFS('Combined P&amp;L'!AB:AB,'Combined P&amp;L'!$C:$C,'P&amp;L Forecast'!$B7)</f>
        <v>101.50605</v>
      </c>
      <c r="AE7" s="48">
        <f>SUMIFS('Combined P&amp;L'!AC:AC,'Combined P&amp;L'!$C:$C,'P&amp;L Forecast'!$B7)</f>
        <v>106.1375</v>
      </c>
      <c r="AF7" s="48">
        <f>SUMIFS('Combined P&amp;L'!AD:AD,'Combined P&amp;L'!$C:$C,'P&amp;L Forecast'!$B7)</f>
        <v>115.93875</v>
      </c>
      <c r="AG7" s="48">
        <f>SUMIFS('Combined P&amp;L'!AE:AE,'Combined P&amp;L'!$C:$C,'P&amp;L Forecast'!$B7)</f>
        <v>119.43125000000001</v>
      </c>
      <c r="AH7" s="48">
        <f>SUMIFS('Combined P&amp;L'!AF:AF,'Combined P&amp;L'!$C:$C,'P&amp;L Forecast'!$B7)</f>
        <v>122.09399999999999</v>
      </c>
      <c r="AI7" s="48">
        <f>SUMIFS('Combined P&amp;L'!AG:AG,'Combined P&amp;L'!$C:$C,'P&amp;L Forecast'!$B7)</f>
        <v>130.08525</v>
      </c>
      <c r="AJ7" s="48">
        <f>SUMIFS('Combined P&amp;L'!AH:AH,'Combined P&amp;L'!$C:$C,'P&amp;L Forecast'!$B7)</f>
        <v>133.59049999999999</v>
      </c>
      <c r="AK7" s="48">
        <f>SUMIFS('Combined P&amp;L'!AI:AI,'Combined P&amp;L'!$C:$C,'P&amp;L Forecast'!$B7)</f>
        <v>139.60900000000001</v>
      </c>
      <c r="AL7" s="48">
        <f>SUMIFS('Combined P&amp;L'!AJ:AJ,'Combined P&amp;L'!$C:$C,'P&amp;L Forecast'!$B7)</f>
        <v>145.28075000000001</v>
      </c>
      <c r="AM7" s="48">
        <f>SUMIFS('Combined P&amp;L'!AK:AK,'Combined P&amp;L'!$C:$C,'P&amp;L Forecast'!$B7)</f>
        <v>150.39824999999999</v>
      </c>
      <c r="AN7" s="48">
        <f>SUMIFS('Combined P&amp;L'!AL:AL,'Combined P&amp;L'!$C:$C,'P&amp;L Forecast'!$B7)</f>
        <v>156.53879999999998</v>
      </c>
      <c r="AO7" s="48">
        <f>SUMIFS('Combined P&amp;L'!AM:AM,'Combined P&amp;L'!$C:$C,'P&amp;L Forecast'!$B7)</f>
        <v>164.9034</v>
      </c>
      <c r="AP7" s="48">
        <f>SUMIFS('Combined P&amp;L'!AN:AN,'Combined P&amp;L'!$C:$C,'P&amp;L Forecast'!$B7)</f>
        <v>170.34424999999999</v>
      </c>
      <c r="AQ7" s="48">
        <f>SUMIFS('Combined P&amp;L'!AO:AO,'Combined P&amp;L'!$C:$C,'P&amp;L Forecast'!$B7)</f>
        <v>183.66200000000001</v>
      </c>
      <c r="AR7" s="48">
        <f>SUMIFS('Combined P&amp;L'!AP:AP,'Combined P&amp;L'!$C:$C,'P&amp;L Forecast'!$B7)</f>
        <v>190.78440000000001</v>
      </c>
      <c r="AS7" s="48">
        <f>SUMIFS('Combined P&amp;L'!AQ:AQ,'Combined P&amp;L'!$C:$C,'P&amp;L Forecast'!$B7)</f>
        <v>194.40649999999999</v>
      </c>
      <c r="AT7" s="48">
        <f>SUMIFS('Combined P&amp;L'!AR:AR,'Combined P&amp;L'!$C:$C,'P&amp;L Forecast'!$B7)</f>
        <v>200.83750000000001</v>
      </c>
    </row>
    <row r="8" spans="1:46" x14ac:dyDescent="0.2">
      <c r="B8" s="58" t="s">
        <v>24</v>
      </c>
      <c r="C8" s="24">
        <f>SUMIFS($P8:$AT8,$P$5:$AT$5,"&gt;"&amp;C$172,$P$5:$AT$5,"&lt;"&amp;C$173)</f>
        <v>0.55999999999999994</v>
      </c>
      <c r="D8" s="24">
        <f>SUMIFS($P8:$AT8,$P$5:$AT$5,"&gt;"&amp;D$172,$P$5:$AT$5,"&lt;"&amp;D$173)</f>
        <v>55.080500000000008</v>
      </c>
      <c r="E8" s="24"/>
      <c r="F8" s="24">
        <f>SUMIFS($P8:$AT8,$P$5:$AT$5,"&gt;"&amp;F$172,$P$5:$AT$5,"&lt;"&amp;F$173)</f>
        <v>23.225500000000004</v>
      </c>
      <c r="G8" s="24">
        <f>SUMIFS($P8:$AT8,$P$5:$AT$5,"&gt;"&amp;G$172,$P$5:$AT$5,"&lt;"&amp;G$173)</f>
        <v>91.651139999999998</v>
      </c>
      <c r="H8" s="24"/>
      <c r="I8" s="24">
        <f>SUMIFS($P8:$AT8,$P$5:$AT$5,"&gt;"&amp;I$172,$P$5:$AT$5,"&lt;"&amp;I$173)</f>
        <v>18.727000000000004</v>
      </c>
      <c r="J8" s="24">
        <f>SUMIFS($P8:$AT8,$P$5:$AT$5,"&gt;"&amp;J$172,$P$5:$AT$5,"&lt;"&amp;J$173)</f>
        <v>112.49548999999999</v>
      </c>
      <c r="K8" s="66">
        <f>+C110</f>
        <v>192.82980000000001</v>
      </c>
      <c r="L8" s="66"/>
      <c r="M8" s="24">
        <f>K8-J8</f>
        <v>80.334310000000016</v>
      </c>
      <c r="N8" s="67">
        <f>IFERROR(K8/J8-1,0)</f>
        <v>0.71411138348746261</v>
      </c>
      <c r="O8" s="53"/>
      <c r="P8" s="54">
        <f>SUMIFS('Combined P&amp;L'!N:N,'Combined P&amp;L'!$C:$C,'P&amp;L Forecast'!$B8)</f>
        <v>0</v>
      </c>
      <c r="Q8" s="54">
        <f>SUMIFS('Combined P&amp;L'!O:O,'Combined P&amp;L'!$C:$C,'P&amp;L Forecast'!$B8)</f>
        <v>0</v>
      </c>
      <c r="R8" s="54">
        <f>SUMIFS('Combined P&amp;L'!P:P,'Combined P&amp;L'!$C:$C,'P&amp;L Forecast'!$B8)</f>
        <v>0</v>
      </c>
      <c r="S8" s="54">
        <f>SUMIFS('Combined P&amp;L'!Q:Q,'Combined P&amp;L'!$C:$C,'P&amp;L Forecast'!$B8)</f>
        <v>0</v>
      </c>
      <c r="T8" s="54">
        <f>SUMIFS('Combined P&amp;L'!R:R,'Combined P&amp;L'!$C:$C,'P&amp;L Forecast'!$B8)</f>
        <v>0</v>
      </c>
      <c r="U8" s="54">
        <f>SUMIFS('Combined P&amp;L'!S:S,'Combined P&amp;L'!$C:$C,'P&amp;L Forecast'!$B8)</f>
        <v>0</v>
      </c>
      <c r="V8" s="54">
        <f>SUMIFS('Combined P&amp;L'!T:T,'Combined P&amp;L'!$C:$C,'P&amp;L Forecast'!$B8)</f>
        <v>0</v>
      </c>
      <c r="W8" s="54">
        <f>SUMIFS('Combined P&amp;L'!U:U,'Combined P&amp;L'!$C:$C,'P&amp;L Forecast'!$B8)</f>
        <v>0</v>
      </c>
      <c r="X8" s="54">
        <f>SUMIFS('Combined P&amp;L'!V:V,'Combined P&amp;L'!$C:$C,'P&amp;L Forecast'!$B8)</f>
        <v>0</v>
      </c>
      <c r="Y8" s="54">
        <f>SUMIFS('Combined P&amp;L'!W:W,'Combined P&amp;L'!$C:$C,'P&amp;L Forecast'!$B8)</f>
        <v>0</v>
      </c>
      <c r="Z8" s="54">
        <f>SUMIFS('Combined P&amp;L'!X:X,'Combined P&amp;L'!$C:$C,'P&amp;L Forecast'!$B8)</f>
        <v>0.08</v>
      </c>
      <c r="AA8" s="54">
        <f>SUMIFS('Combined P&amp;L'!Y:Y,'Combined P&amp;L'!$C:$C,'P&amp;L Forecast'!$B8)</f>
        <v>0.48</v>
      </c>
      <c r="AB8" s="54">
        <f>SUMIFS('Combined P&amp;L'!Z:Z,'Combined P&amp;L'!$C:$C,'P&amp;L Forecast'!$B8)</f>
        <v>1.1299999999999999</v>
      </c>
      <c r="AC8" s="54">
        <f>SUMIFS('Combined P&amp;L'!AA:AA,'Combined P&amp;L'!$C:$C,'P&amp;L Forecast'!$B8)</f>
        <v>2.14</v>
      </c>
      <c r="AD8" s="54">
        <f>SUMIFS('Combined P&amp;L'!AB:AB,'Combined P&amp;L'!$C:$C,'P&amp;L Forecast'!$B8)</f>
        <v>2.66</v>
      </c>
      <c r="AE8" s="54">
        <f>SUMIFS('Combined P&amp;L'!AC:AC,'Combined P&amp;L'!$C:$C,'P&amp;L Forecast'!$B8)</f>
        <v>3.65</v>
      </c>
      <c r="AF8" s="54">
        <f>SUMIFS('Combined P&amp;L'!AD:AD,'Combined P&amp;L'!$C:$C,'P&amp;L Forecast'!$B8)</f>
        <v>3.6230000000000002</v>
      </c>
      <c r="AG8" s="54">
        <f>SUMIFS('Combined P&amp;L'!AE:AE,'Combined P&amp;L'!$C:$C,'P&amp;L Forecast'!$B8)</f>
        <v>4.9640000000000004</v>
      </c>
      <c r="AH8" s="54">
        <f>SUMIFS('Combined P&amp;L'!AF:AF,'Combined P&amp;L'!$C:$C,'P&amp;L Forecast'!$B8)</f>
        <v>5.0585000000000004</v>
      </c>
      <c r="AI8" s="54">
        <f>SUMIFS('Combined P&amp;L'!AG:AG,'Combined P&amp;L'!$C:$C,'P&amp;L Forecast'!$B8)</f>
        <v>4.7300000000000004</v>
      </c>
      <c r="AJ8" s="54">
        <f>SUMIFS('Combined P&amp;L'!AH:AH,'Combined P&amp;L'!$C:$C,'P&amp;L Forecast'!$B8)</f>
        <v>4.82</v>
      </c>
      <c r="AK8" s="54">
        <f>SUMIFS('Combined P&amp;L'!AI:AI,'Combined P&amp;L'!$C:$C,'P&amp;L Forecast'!$B8)</f>
        <v>5.37</v>
      </c>
      <c r="AL8" s="54">
        <f>SUMIFS('Combined P&amp;L'!AJ:AJ,'Combined P&amp;L'!$C:$C,'P&amp;L Forecast'!$B8)</f>
        <v>8.0500000000000007</v>
      </c>
      <c r="AM8" s="54">
        <f>SUMIFS('Combined P&amp;L'!AK:AK,'Combined P&amp;L'!$C:$C,'P&amp;L Forecast'!$B8)</f>
        <v>8.8849999999999998</v>
      </c>
      <c r="AN8" s="54">
        <f>SUMIFS('Combined P&amp;L'!AL:AL,'Combined P&amp;L'!$C:$C,'P&amp;L Forecast'!$B8)</f>
        <v>10.909520000000001</v>
      </c>
      <c r="AO8" s="54">
        <f>SUMIFS('Combined P&amp;L'!AM:AM,'Combined P&amp;L'!$C:$C,'P&amp;L Forecast'!$B8)</f>
        <v>10.33497</v>
      </c>
      <c r="AP8" s="54">
        <f>SUMIFS('Combined P&amp;L'!AN:AN,'Combined P&amp;L'!$C:$C,'P&amp;L Forecast'!$B8)</f>
        <v>11.175000000000001</v>
      </c>
      <c r="AQ8" s="54">
        <f>SUMIFS('Combined P&amp;L'!AO:AO,'Combined P&amp;L'!$C:$C,'P&amp;L Forecast'!$B8)</f>
        <v>11.953110000000001</v>
      </c>
      <c r="AR8" s="54">
        <f>SUMIFS('Combined P&amp;L'!AP:AP,'Combined P&amp;L'!$C:$C,'P&amp;L Forecast'!$B8)</f>
        <v>15.040709999999999</v>
      </c>
      <c r="AS8" s="54">
        <f>SUMIFS('Combined P&amp;L'!AQ:AQ,'Combined P&amp;L'!$C:$C,'P&amp;L Forecast'!$B8)</f>
        <v>16.168680000000002</v>
      </c>
      <c r="AT8" s="54">
        <f>SUMIFS('Combined P&amp;L'!AR:AR,'Combined P&amp;L'!$C:$C,'P&amp;L Forecast'!$B8)</f>
        <v>16.06915</v>
      </c>
    </row>
    <row r="9" spans="1:46" x14ac:dyDescent="0.2">
      <c r="B9" s="57" t="s">
        <v>274</v>
      </c>
      <c r="C9" s="24">
        <f>SUMIFS($P9:$AT9,$P$5:$AT$5,"&gt;"&amp;C$172,$P$5:$AT$5,"&lt;"&amp;C$173)</f>
        <v>224.79100000000003</v>
      </c>
      <c r="D9" s="24">
        <f>SUMIFS($P9:$AT9,$P$5:$AT$5,"&gt;"&amp;D$172,$P$5:$AT$5,"&lt;"&amp;D$173)</f>
        <v>149.76999999999998</v>
      </c>
      <c r="E9" s="24"/>
      <c r="F9" s="24">
        <f>SUMIFS($P9:$AT9,$P$5:$AT$5,"&gt;"&amp;F$172,$P$5:$AT$5,"&lt;"&amp;F$173)</f>
        <v>90.452500000000001</v>
      </c>
      <c r="G9" s="24">
        <f>SUMIFS($P9:$AT9,$P$5:$AT$5,"&gt;"&amp;G$172,$P$5:$AT$5,"&lt;"&amp;G$173)</f>
        <v>73.418499999999995</v>
      </c>
      <c r="H9" s="24"/>
      <c r="I9" s="24">
        <f>SUMIFS($P9:$AT9,$P$5:$AT$5,"&gt;"&amp;I$172,$P$5:$AT$5,"&lt;"&amp;I$173)</f>
        <v>174.62999999999997</v>
      </c>
      <c r="J9" s="24">
        <f>SUMIFS($P9:$AT9,$P$5:$AT$5,"&gt;"&amp;J$172,$P$5:$AT$5,"&lt;"&amp;J$173)</f>
        <v>135.298</v>
      </c>
      <c r="K9" s="66">
        <f>+C109</f>
        <v>119.706</v>
      </c>
      <c r="L9" s="66"/>
      <c r="M9" s="24">
        <f t="shared" si="1"/>
        <v>-15.591999999999999</v>
      </c>
      <c r="N9" s="67">
        <f t="shared" ref="N9:N15" si="2">IFERROR(K9/J9-1,0)</f>
        <v>-0.11524191044952625</v>
      </c>
      <c r="O9" s="53"/>
      <c r="P9" s="54">
        <f>SUMIFS('Combined P&amp;L'!N:N,'Combined P&amp;L'!$C:$C,'P&amp;L Forecast'!$B9)</f>
        <v>22.001000000000001</v>
      </c>
      <c r="Q9" s="54">
        <f>SUMIFS('Combined P&amp;L'!O:O,'Combined P&amp;L'!$C:$C,'P&amp;L Forecast'!$B9)</f>
        <v>22.036000000000001</v>
      </c>
      <c r="R9" s="54">
        <f>SUMIFS('Combined P&amp;L'!P:P,'Combined P&amp;L'!$C:$C,'P&amp;L Forecast'!$B9)</f>
        <v>22.111000000000001</v>
      </c>
      <c r="S9" s="54">
        <f>SUMIFS('Combined P&amp;L'!Q:Q,'Combined P&amp;L'!$C:$C,'P&amp;L Forecast'!$B9)</f>
        <v>22.146000000000001</v>
      </c>
      <c r="T9" s="54">
        <f>SUMIFS('Combined P&amp;L'!R:R,'Combined P&amp;L'!$C:$C,'P&amp;L Forecast'!$B9)</f>
        <v>21.966000000000001</v>
      </c>
      <c r="U9" s="54">
        <f>SUMIFS('Combined P&amp;L'!S:S,'Combined P&amp;L'!$C:$C,'P&amp;L Forecast'!$B9)</f>
        <v>17.815999999999999</v>
      </c>
      <c r="V9" s="54">
        <f>SUMIFS('Combined P&amp;L'!T:T,'Combined P&amp;L'!$C:$C,'P&amp;L Forecast'!$B9)</f>
        <v>17.620999999999999</v>
      </c>
      <c r="W9" s="54">
        <f>SUMIFS('Combined P&amp;L'!U:U,'Combined P&amp;L'!$C:$C,'P&amp;L Forecast'!$B9)</f>
        <v>17.536000000000001</v>
      </c>
      <c r="X9" s="54">
        <f>SUMIFS('Combined P&amp;L'!V:V,'Combined P&amp;L'!$C:$C,'P&amp;L Forecast'!$B9)</f>
        <v>16.425999999999998</v>
      </c>
      <c r="Y9" s="54">
        <f>SUMIFS('Combined P&amp;L'!W:W,'Combined P&amp;L'!$C:$C,'P&amp;L Forecast'!$B9)</f>
        <v>15.381</v>
      </c>
      <c r="Z9" s="54">
        <f>SUMIFS('Combined P&amp;L'!X:X,'Combined P&amp;L'!$C:$C,'P&amp;L Forecast'!$B9)</f>
        <v>14.6755</v>
      </c>
      <c r="AA9" s="54">
        <f>SUMIFS('Combined P&amp;L'!Y:Y,'Combined P&amp;L'!$C:$C,'P&amp;L Forecast'!$B9)</f>
        <v>15.0755</v>
      </c>
      <c r="AB9" s="54">
        <f>SUMIFS('Combined P&amp;L'!Z:Z,'Combined P&amp;L'!$C:$C,'P&amp;L Forecast'!$B9)</f>
        <v>14.5625</v>
      </c>
      <c r="AC9" s="54">
        <f>SUMIFS('Combined P&amp;L'!AA:AA,'Combined P&amp;L'!$C:$C,'P&amp;L Forecast'!$B9)</f>
        <v>12.8025</v>
      </c>
      <c r="AD9" s="54">
        <f>SUMIFS('Combined P&amp;L'!AB:AB,'Combined P&amp;L'!$C:$C,'P&amp;L Forecast'!$B9)</f>
        <v>12.4025</v>
      </c>
      <c r="AE9" s="54">
        <f>SUMIFS('Combined P&amp;L'!AC:AC,'Combined P&amp;L'!$C:$C,'P&amp;L Forecast'!$B9)</f>
        <v>12.602499999999999</v>
      </c>
      <c r="AF9" s="54">
        <f>SUMIFS('Combined P&amp;L'!AD:AD,'Combined P&amp;L'!$C:$C,'P&amp;L Forecast'!$B9)</f>
        <v>12.7525</v>
      </c>
      <c r="AG9" s="54">
        <f>SUMIFS('Combined P&amp;L'!AE:AE,'Combined P&amp;L'!$C:$C,'P&amp;L Forecast'!$B9)</f>
        <v>12.7925</v>
      </c>
      <c r="AH9" s="54">
        <f>SUMIFS('Combined P&amp;L'!AF:AF,'Combined P&amp;L'!$C:$C,'P&amp;L Forecast'!$B9)</f>
        <v>12.5375</v>
      </c>
      <c r="AI9" s="54">
        <f>SUMIFS('Combined P&amp;L'!AG:AG,'Combined P&amp;L'!$C:$C,'P&amp;L Forecast'!$B9)</f>
        <v>11.8575</v>
      </c>
      <c r="AJ9" s="54">
        <f>SUMIFS('Combined P&amp;L'!AH:AH,'Combined P&amp;L'!$C:$C,'P&amp;L Forecast'!$B9)</f>
        <v>12.3025</v>
      </c>
      <c r="AK9" s="54">
        <f>SUMIFS('Combined P&amp;L'!AI:AI,'Combined P&amp;L'!$C:$C,'P&amp;L Forecast'!$B9)</f>
        <v>11.692500000000001</v>
      </c>
      <c r="AL9" s="54">
        <f>SUMIFS('Combined P&amp;L'!AJ:AJ,'Combined P&amp;L'!$C:$C,'P&amp;L Forecast'!$B9)</f>
        <v>11.717499999999999</v>
      </c>
      <c r="AM9" s="54">
        <f>SUMIFS('Combined P&amp;L'!AK:AK,'Combined P&amp;L'!$C:$C,'P&amp;L Forecast'!$B9)</f>
        <v>11.7475</v>
      </c>
      <c r="AN9" s="54">
        <f>SUMIFS('Combined P&amp;L'!AL:AL,'Combined P&amp;L'!$C:$C,'P&amp;L Forecast'!$B9)</f>
        <v>11.2805</v>
      </c>
      <c r="AO9" s="54">
        <f>SUMIFS('Combined P&amp;L'!AM:AM,'Combined P&amp;L'!$C:$C,'P&amp;L Forecast'!$B9)</f>
        <v>10.9305</v>
      </c>
      <c r="AP9" s="54">
        <f>SUMIFS('Combined P&amp;L'!AN:AN,'Combined P&amp;L'!$C:$C,'P&amp;L Forecast'!$B9)</f>
        <v>10.625500000000001</v>
      </c>
      <c r="AQ9" s="54">
        <f>SUMIFS('Combined P&amp;L'!AO:AO,'Combined P&amp;L'!$C:$C,'P&amp;L Forecast'!$B9)</f>
        <v>10.3155</v>
      </c>
      <c r="AR9" s="54">
        <f>SUMIFS('Combined P&amp;L'!AP:AP,'Combined P&amp;L'!$C:$C,'P&amp;L Forecast'!$B9)</f>
        <v>10.3155</v>
      </c>
      <c r="AS9" s="54">
        <f>SUMIFS('Combined P&amp;L'!AQ:AQ,'Combined P&amp;L'!$C:$C,'P&amp;L Forecast'!$B9)</f>
        <v>9.9755000000000003</v>
      </c>
      <c r="AT9" s="54">
        <f>SUMIFS('Combined P&amp;L'!AR:AR,'Combined P&amp;L'!$C:$C,'P&amp;L Forecast'!$B9)</f>
        <v>9.9755000000000003</v>
      </c>
    </row>
    <row r="10" spans="1:46" x14ac:dyDescent="0.2">
      <c r="B10" s="58" t="s">
        <v>19</v>
      </c>
      <c r="C10" s="24">
        <f>SUMIFS($P10:$AT10,$P$5:$AT$5,"&gt;"&amp;C$172,$P$5:$AT$5,"&lt;"&amp;C$173)</f>
        <v>44.058500000000002</v>
      </c>
      <c r="D10" s="24">
        <f>SUMIFS($P10:$AT10,$P$5:$AT$5,"&gt;"&amp;D$172,$P$5:$AT$5,"&lt;"&amp;D$173)</f>
        <v>74.519299999999987</v>
      </c>
      <c r="E10" s="24"/>
      <c r="F10" s="24">
        <f>SUMIFS($P10:$AT10,$P$5:$AT$5,"&gt;"&amp;F$172,$P$5:$AT$5,"&lt;"&amp;F$173)</f>
        <v>42.254049999999999</v>
      </c>
      <c r="G10" s="24">
        <f>SUMIFS($P10:$AT10,$P$5:$AT$5,"&gt;"&amp;G$172,$P$5:$AT$5,"&lt;"&amp;G$173)</f>
        <v>59.055000000000007</v>
      </c>
      <c r="H10" s="24"/>
      <c r="I10" s="24">
        <f>SUMIFS($P10:$AT10,$P$5:$AT$5,"&gt;"&amp;I$172,$P$5:$AT$5,"&lt;"&amp;I$173)</f>
        <v>55.660549999999994</v>
      </c>
      <c r="J10" s="24">
        <f>SUMIFS($P10:$AT10,$P$5:$AT$5,"&gt;"&amp;J$172,$P$5:$AT$5,"&lt;"&amp;J$173)</f>
        <v>91.655749999999998</v>
      </c>
      <c r="K10" s="96">
        <f>+C111</f>
        <v>103.5675</v>
      </c>
      <c r="L10" s="86"/>
      <c r="M10" s="24">
        <f t="shared" si="1"/>
        <v>11.911749999999998</v>
      </c>
      <c r="N10" s="67">
        <f t="shared" si="2"/>
        <v>0.12996184091014484</v>
      </c>
      <c r="O10" s="53"/>
      <c r="P10" s="54">
        <f>SUMIFS('Combined P&amp;L'!N:N,'Combined P&amp;L'!$C:$C,'P&amp;L Forecast'!$B10)</f>
        <v>5.4649999999999999</v>
      </c>
      <c r="Q10" s="54">
        <f>SUMIFS('Combined P&amp;L'!O:O,'Combined P&amp;L'!$C:$C,'P&amp;L Forecast'!$B10)</f>
        <v>3.9</v>
      </c>
      <c r="R10" s="54">
        <f>SUMIFS('Combined P&amp;L'!P:P,'Combined P&amp;L'!$C:$C,'P&amp;L Forecast'!$B10)</f>
        <v>2.7549999999999999</v>
      </c>
      <c r="S10" s="54">
        <f>SUMIFS('Combined P&amp;L'!Q:Q,'Combined P&amp;L'!$C:$C,'P&amp;L Forecast'!$B10)</f>
        <v>3.5019999999999998</v>
      </c>
      <c r="T10" s="54">
        <f>SUMIFS('Combined P&amp;L'!R:R,'Combined P&amp;L'!$C:$C,'P&amp;L Forecast'!$B10)</f>
        <v>4.6589999999999998</v>
      </c>
      <c r="U10" s="54">
        <f>SUMIFS('Combined P&amp;L'!S:S,'Combined P&amp;L'!$C:$C,'P&amp;L Forecast'!$B10)</f>
        <v>3.9369999999999998</v>
      </c>
      <c r="V10" s="54">
        <f>SUMIFS('Combined P&amp;L'!T:T,'Combined P&amp;L'!$C:$C,'P&amp;L Forecast'!$B10)</f>
        <v>4.6020000000000003</v>
      </c>
      <c r="W10" s="54">
        <f>SUMIFS('Combined P&amp;L'!U:U,'Combined P&amp;L'!$C:$C,'P&amp;L Forecast'!$B10)</f>
        <v>4.7380000000000004</v>
      </c>
      <c r="X10" s="54">
        <f>SUMIFS('Combined P&amp;L'!V:V,'Combined P&amp;L'!$C:$C,'P&amp;L Forecast'!$B10)</f>
        <v>2.1190000000000002</v>
      </c>
      <c r="Y10" s="54">
        <f>SUMIFS('Combined P&amp;L'!W:W,'Combined P&amp;L'!$C:$C,'P&amp;L Forecast'!$B10)</f>
        <v>2.0640000000000001</v>
      </c>
      <c r="Z10" s="54">
        <f>SUMIFS('Combined P&amp;L'!X:X,'Combined P&amp;L'!$C:$C,'P&amp;L Forecast'!$B10)</f>
        <v>3.0125000000000002</v>
      </c>
      <c r="AA10" s="54">
        <f>SUMIFS('Combined P&amp;L'!Y:Y,'Combined P&amp;L'!$C:$C,'P&amp;L Forecast'!$B10)</f>
        <v>3.3050000000000002</v>
      </c>
      <c r="AB10" s="54">
        <f>SUMIFS('Combined P&amp;L'!Z:Z,'Combined P&amp;L'!$C:$C,'P&amp;L Forecast'!$B10)</f>
        <v>3.0790000000000002</v>
      </c>
      <c r="AC10" s="54">
        <f>SUMIFS('Combined P&amp;L'!AA:AA,'Combined P&amp;L'!$C:$C,'P&amp;L Forecast'!$B10)</f>
        <v>0.7</v>
      </c>
      <c r="AD10" s="54">
        <f>SUMIFS('Combined P&amp;L'!AB:AB,'Combined P&amp;L'!$C:$C,'P&amp;L Forecast'!$B10)</f>
        <v>10.438549999999999</v>
      </c>
      <c r="AE10" s="54">
        <f>SUMIFS('Combined P&amp;L'!AC:AC,'Combined P&amp;L'!$C:$C,'P&amp;L Forecast'!$B10)</f>
        <v>4.3</v>
      </c>
      <c r="AF10" s="54">
        <f>SUMIFS('Combined P&amp;L'!AD:AD,'Combined P&amp;L'!$C:$C,'P&amp;L Forecast'!$B10)</f>
        <v>11.14</v>
      </c>
      <c r="AG10" s="54">
        <f>SUMIFS('Combined P&amp;L'!AE:AE,'Combined P&amp;L'!$C:$C,'P&amp;L Forecast'!$B10)</f>
        <v>6.1624999999999996</v>
      </c>
      <c r="AH10" s="54">
        <f>SUMIFS('Combined P&amp;L'!AF:AF,'Combined P&amp;L'!$C:$C,'P&amp;L Forecast'!$B10)</f>
        <v>6.4340000000000002</v>
      </c>
      <c r="AI10" s="54">
        <f>SUMIFS('Combined P&amp;L'!AG:AG,'Combined P&amp;L'!$C:$C,'P&amp;L Forecast'!$B10)</f>
        <v>3.9649999999999999</v>
      </c>
      <c r="AJ10" s="54">
        <f>SUMIFS('Combined P&amp;L'!AH:AH,'Combined P&amp;L'!$C:$C,'P&amp;L Forecast'!$B10)</f>
        <v>3.92</v>
      </c>
      <c r="AK10" s="54">
        <f>SUMIFS('Combined P&amp;L'!AI:AI,'Combined P&amp;L'!$C:$C,'P&amp;L Forecast'!$B10)</f>
        <v>9.1364999999999998</v>
      </c>
      <c r="AL10" s="54">
        <f>SUMIFS('Combined P&amp;L'!AJ:AJ,'Combined P&amp;L'!$C:$C,'P&amp;L Forecast'!$B10)</f>
        <v>5.2537500000000001</v>
      </c>
      <c r="AM10" s="54">
        <f>SUMIFS('Combined P&amp;L'!AK:AK,'Combined P&amp;L'!$C:$C,'P&amp;L Forecast'!$B10)</f>
        <v>9.99</v>
      </c>
      <c r="AN10" s="54">
        <f>SUMIFS('Combined P&amp;L'!AL:AL,'Combined P&amp;L'!$C:$C,'P&amp;L Forecast'!$B10)</f>
        <v>10.2105</v>
      </c>
      <c r="AO10" s="54">
        <f>SUMIFS('Combined P&amp;L'!AM:AM,'Combined P&amp;L'!$C:$C,'P&amp;L Forecast'!$B10)</f>
        <v>6.6749999999999998</v>
      </c>
      <c r="AP10" s="54">
        <f>SUMIFS('Combined P&amp;L'!AN:AN,'Combined P&amp;L'!$C:$C,'P&amp;L Forecast'!$B10)</f>
        <v>9.0990000000000002</v>
      </c>
      <c r="AQ10" s="54">
        <f>SUMIFS('Combined P&amp;L'!AO:AO,'Combined P&amp;L'!$C:$C,'P&amp;L Forecast'!$B10)</f>
        <v>8.9544999999999995</v>
      </c>
      <c r="AR10" s="54">
        <f>SUMIFS('Combined P&amp;L'!AP:AP,'Combined P&amp;L'!$C:$C,'P&amp;L Forecast'!$B10)</f>
        <v>12.606</v>
      </c>
      <c r="AS10" s="54">
        <f>SUMIFS('Combined P&amp;L'!AQ:AQ,'Combined P&amp;L'!$C:$C,'P&amp;L Forecast'!$B10)</f>
        <v>5.4115000000000002</v>
      </c>
      <c r="AT10" s="54">
        <f>SUMIFS('Combined P&amp;L'!AR:AR,'Combined P&amp;L'!$C:$C,'P&amp;L Forecast'!$B10)</f>
        <v>6.0984999999999996</v>
      </c>
    </row>
    <row r="11" spans="1:46" x14ac:dyDescent="0.2">
      <c r="B11" s="57" t="s">
        <v>27</v>
      </c>
      <c r="C11" s="24">
        <f>SUMIFS($P11:$AT11,$P$5:$AT$5,"&gt;"&amp;C$172,$P$5:$AT$5,"&lt;"&amp;C$173)</f>
        <v>0</v>
      </c>
      <c r="D11" s="24">
        <f>SUMIFS($P11:$AT11,$P$5:$AT$5,"&gt;"&amp;D$172,$P$5:$AT$5,"&lt;"&amp;D$173)</f>
        <v>9.947000000000001</v>
      </c>
      <c r="E11" s="24"/>
      <c r="F11" s="24">
        <f>SUMIFS($P11:$AT11,$P$5:$AT$5,"&gt;"&amp;F$172,$P$5:$AT$5,"&lt;"&amp;F$173)</f>
        <v>0</v>
      </c>
      <c r="G11" s="24">
        <f>SUMIFS($P11:$AT11,$P$5:$AT$5,"&gt;"&amp;G$172,$P$5:$AT$5,"&lt;"&amp;G$173)</f>
        <v>45.085999999999991</v>
      </c>
      <c r="H11" s="24"/>
      <c r="I11" s="24">
        <f>SUMIFS($P11:$AT11,$P$5:$AT$5,"&gt;"&amp;I$172,$P$5:$AT$5,"&lt;"&amp;I$173)</f>
        <v>0</v>
      </c>
      <c r="J11" s="24">
        <f>SUMIFS($P11:$AT11,$P$5:$AT$5,"&gt;"&amp;J$172,$P$5:$AT$5,"&lt;"&amp;J$173)</f>
        <v>47.129999999999995</v>
      </c>
      <c r="K11" s="66">
        <f>+C113</f>
        <v>94.835999999999999</v>
      </c>
      <c r="L11" s="66"/>
      <c r="M11" s="24">
        <f>K11-J11</f>
        <v>47.706000000000003</v>
      </c>
      <c r="N11" s="67">
        <f>IFERROR(K11/J11-1,0)</f>
        <v>1.0122215149586253</v>
      </c>
      <c r="O11" s="53"/>
      <c r="P11" s="54">
        <f>SUMIFS('Combined P&amp;L'!N:N,'Combined P&amp;L'!$C:$C,'P&amp;L Forecast'!$B11)</f>
        <v>0</v>
      </c>
      <c r="Q11" s="54">
        <f>SUMIFS('Combined P&amp;L'!O:O,'Combined P&amp;L'!$C:$C,'P&amp;L Forecast'!$B11)</f>
        <v>0</v>
      </c>
      <c r="R11" s="54">
        <f>SUMIFS('Combined P&amp;L'!P:P,'Combined P&amp;L'!$C:$C,'P&amp;L Forecast'!$B11)</f>
        <v>0</v>
      </c>
      <c r="S11" s="54">
        <f>SUMIFS('Combined P&amp;L'!Q:Q,'Combined P&amp;L'!$C:$C,'P&amp;L Forecast'!$B11)</f>
        <v>0</v>
      </c>
      <c r="T11" s="54">
        <f>SUMIFS('Combined P&amp;L'!R:R,'Combined P&amp;L'!$C:$C,'P&amp;L Forecast'!$B11)</f>
        <v>0</v>
      </c>
      <c r="U11" s="54">
        <f>SUMIFS('Combined P&amp;L'!S:S,'Combined P&amp;L'!$C:$C,'P&amp;L Forecast'!$B11)</f>
        <v>0</v>
      </c>
      <c r="V11" s="54">
        <f>SUMIFS('Combined P&amp;L'!T:T,'Combined P&amp;L'!$C:$C,'P&amp;L Forecast'!$B11)</f>
        <v>0</v>
      </c>
      <c r="W11" s="54">
        <f>SUMIFS('Combined P&amp;L'!U:U,'Combined P&amp;L'!$C:$C,'P&amp;L Forecast'!$B11)</f>
        <v>0</v>
      </c>
      <c r="X11" s="54">
        <f>SUMIFS('Combined P&amp;L'!V:V,'Combined P&amp;L'!$C:$C,'P&amp;L Forecast'!$B11)</f>
        <v>0</v>
      </c>
      <c r="Y11" s="54">
        <f>SUMIFS('Combined P&amp;L'!W:W,'Combined P&amp;L'!$C:$C,'P&amp;L Forecast'!$B11)</f>
        <v>0</v>
      </c>
      <c r="Z11" s="54">
        <f>SUMIFS('Combined P&amp;L'!X:X,'Combined P&amp;L'!$C:$C,'P&amp;L Forecast'!$B11)</f>
        <v>0</v>
      </c>
      <c r="AA11" s="54">
        <f>SUMIFS('Combined P&amp;L'!Y:Y,'Combined P&amp;L'!$C:$C,'P&amp;L Forecast'!$B11)</f>
        <v>0</v>
      </c>
      <c r="AB11" s="54">
        <f>SUMIFS('Combined P&amp;L'!Z:Z,'Combined P&amp;L'!$C:$C,'P&amp;L Forecast'!$B11)</f>
        <v>0</v>
      </c>
      <c r="AC11" s="54">
        <f>SUMIFS('Combined P&amp;L'!AA:AA,'Combined P&amp;L'!$C:$C,'P&amp;L Forecast'!$B11)</f>
        <v>0</v>
      </c>
      <c r="AD11" s="54">
        <f>SUMIFS('Combined P&amp;L'!AB:AB,'Combined P&amp;L'!$C:$C,'P&amp;L Forecast'!$B11)</f>
        <v>0</v>
      </c>
      <c r="AE11" s="54">
        <f>SUMIFS('Combined P&amp;L'!AC:AC,'Combined P&amp;L'!$C:$C,'P&amp;L Forecast'!$B11)</f>
        <v>0</v>
      </c>
      <c r="AF11" s="54">
        <f>SUMIFS('Combined P&amp;L'!AD:AD,'Combined P&amp;L'!$C:$C,'P&amp;L Forecast'!$B11)</f>
        <v>0</v>
      </c>
      <c r="AG11" s="54">
        <f>SUMIFS('Combined P&amp;L'!AE:AE,'Combined P&amp;L'!$C:$C,'P&amp;L Forecast'!$B11)</f>
        <v>0</v>
      </c>
      <c r="AH11" s="54">
        <f>SUMIFS('Combined P&amp;L'!AF:AF,'Combined P&amp;L'!$C:$C,'P&amp;L Forecast'!$B11)</f>
        <v>0</v>
      </c>
      <c r="AI11" s="54">
        <f>SUMIFS('Combined P&amp;L'!AG:AG,'Combined P&amp;L'!$C:$C,'P&amp;L Forecast'!$B11)</f>
        <v>0</v>
      </c>
      <c r="AJ11" s="54">
        <f>SUMIFS('Combined P&amp;L'!AH:AH,'Combined P&amp;L'!$C:$C,'P&amp;L Forecast'!$B11)</f>
        <v>0.52</v>
      </c>
      <c r="AK11" s="54">
        <f>SUMIFS('Combined P&amp;L'!AI:AI,'Combined P&amp;L'!$C:$C,'P&amp;L Forecast'!$B11)</f>
        <v>2.3570000000000002</v>
      </c>
      <c r="AL11" s="54">
        <f>SUMIFS('Combined P&amp;L'!AJ:AJ,'Combined P&amp;L'!$C:$C,'P&amp;L Forecast'!$B11)</f>
        <v>2.8109999999999999</v>
      </c>
      <c r="AM11" s="54">
        <f>SUMIFS('Combined P&amp;L'!AK:AK,'Combined P&amp;L'!$C:$C,'P&amp;L Forecast'!$B11)</f>
        <v>4.2590000000000003</v>
      </c>
      <c r="AN11" s="54">
        <f>SUMIFS('Combined P&amp;L'!AL:AL,'Combined P&amp;L'!$C:$C,'P&amp;L Forecast'!$B11)</f>
        <v>5.2539999999999996</v>
      </c>
      <c r="AO11" s="54">
        <f>SUMIFS('Combined P&amp;L'!AM:AM,'Combined P&amp;L'!$C:$C,'P&amp;L Forecast'!$B11)</f>
        <v>5.6520000000000001</v>
      </c>
      <c r="AP11" s="54">
        <f>SUMIFS('Combined P&amp;L'!AN:AN,'Combined P&amp;L'!$C:$C,'P&amp;L Forecast'!$B11)</f>
        <v>5.3239999999999998</v>
      </c>
      <c r="AQ11" s="54">
        <f>SUMIFS('Combined P&amp;L'!AO:AO,'Combined P&amp;L'!$C:$C,'P&amp;L Forecast'!$B11)</f>
        <v>6.3209999999999997</v>
      </c>
      <c r="AR11" s="54">
        <f>SUMIFS('Combined P&amp;L'!AP:AP,'Combined P&amp;L'!$C:$C,'P&amp;L Forecast'!$B11)</f>
        <v>6.9589999999999996</v>
      </c>
      <c r="AS11" s="54">
        <f>SUMIFS('Combined P&amp;L'!AQ:AQ,'Combined P&amp;L'!$C:$C,'P&amp;L Forecast'!$B11)</f>
        <v>7.673</v>
      </c>
      <c r="AT11" s="54">
        <f>SUMIFS('Combined P&amp;L'!AR:AR,'Combined P&amp;L'!$C:$C,'P&amp;L Forecast'!$B11)</f>
        <v>7.9029999999999996</v>
      </c>
    </row>
    <row r="12" spans="1:46" x14ac:dyDescent="0.2">
      <c r="B12" s="57" t="s">
        <v>25</v>
      </c>
      <c r="C12" s="24">
        <f>SUMIFS($P12:$AT12,$P$5:$AT$5,"&gt;"&amp;C$172,$P$5:$AT$5,"&lt;"&amp;C$173)</f>
        <v>0.06</v>
      </c>
      <c r="D12" s="24">
        <f>SUMIFS($P12:$AT12,$P$5:$AT$5,"&gt;"&amp;D$172,$P$5:$AT$5,"&lt;"&amp;D$173)</f>
        <v>36.606499999999997</v>
      </c>
      <c r="E12" s="24"/>
      <c r="F12" s="24">
        <f>SUMIFS($P12:$AT12,$P$5:$AT$5,"&gt;"&amp;F$172,$P$5:$AT$5,"&lt;"&amp;F$173)</f>
        <v>15.4915</v>
      </c>
      <c r="G12" s="24">
        <f>SUMIFS($P12:$AT12,$P$5:$AT$5,"&gt;"&amp;G$172,$P$5:$AT$5,"&lt;"&amp;G$173)</f>
        <v>45.129999999999995</v>
      </c>
      <c r="H12" s="24"/>
      <c r="I12" s="24">
        <f>SUMIFS($P12:$AT12,$P$5:$AT$5,"&gt;"&amp;I$172,$P$5:$AT$5,"&lt;"&amp;I$173)</f>
        <v>11.631500000000001</v>
      </c>
      <c r="J12" s="24">
        <f>SUMIFS($P12:$AT12,$P$5:$AT$5,"&gt;"&amp;J$172,$P$5:$AT$5,"&lt;"&amp;J$173)</f>
        <v>63.209999999999994</v>
      </c>
      <c r="K12" s="66">
        <f>+C112</f>
        <v>83.460000000000008</v>
      </c>
      <c r="L12" s="66"/>
      <c r="M12" s="24">
        <f t="shared" si="1"/>
        <v>20.250000000000014</v>
      </c>
      <c r="N12" s="67">
        <f t="shared" si="2"/>
        <v>0.3203607024205033</v>
      </c>
      <c r="O12" s="53"/>
      <c r="P12" s="54">
        <f>SUMIFS('Combined P&amp;L'!N:N,'Combined P&amp;L'!$C:$C,'P&amp;L Forecast'!$B12)</f>
        <v>0</v>
      </c>
      <c r="Q12" s="54">
        <f>SUMIFS('Combined P&amp;L'!O:O,'Combined P&amp;L'!$C:$C,'P&amp;L Forecast'!$B12)</f>
        <v>0</v>
      </c>
      <c r="R12" s="54">
        <f>SUMIFS('Combined P&amp;L'!P:P,'Combined P&amp;L'!$C:$C,'P&amp;L Forecast'!$B12)</f>
        <v>0</v>
      </c>
      <c r="S12" s="54">
        <f>SUMIFS('Combined P&amp;L'!Q:Q,'Combined P&amp;L'!$C:$C,'P&amp;L Forecast'!$B12)</f>
        <v>0</v>
      </c>
      <c r="T12" s="54">
        <f>SUMIFS('Combined P&amp;L'!R:R,'Combined P&amp;L'!$C:$C,'P&amp;L Forecast'!$B12)</f>
        <v>0</v>
      </c>
      <c r="U12" s="54">
        <f>SUMIFS('Combined P&amp;L'!S:S,'Combined P&amp;L'!$C:$C,'P&amp;L Forecast'!$B12)</f>
        <v>0</v>
      </c>
      <c r="V12" s="54">
        <f>SUMIFS('Combined P&amp;L'!T:T,'Combined P&amp;L'!$C:$C,'P&amp;L Forecast'!$B12)</f>
        <v>0</v>
      </c>
      <c r="W12" s="54">
        <f>SUMIFS('Combined P&amp;L'!U:U,'Combined P&amp;L'!$C:$C,'P&amp;L Forecast'!$B12)</f>
        <v>0</v>
      </c>
      <c r="X12" s="54">
        <f>SUMIFS('Combined P&amp;L'!V:V,'Combined P&amp;L'!$C:$C,'P&amp;L Forecast'!$B12)</f>
        <v>0</v>
      </c>
      <c r="Y12" s="54">
        <f>SUMIFS('Combined P&amp;L'!W:W,'Combined P&amp;L'!$C:$C,'P&amp;L Forecast'!$B12)</f>
        <v>0</v>
      </c>
      <c r="Z12" s="54">
        <f>SUMIFS('Combined P&amp;L'!X:X,'Combined P&amp;L'!$C:$C,'P&amp;L Forecast'!$B12)</f>
        <v>0</v>
      </c>
      <c r="AA12" s="54">
        <f>SUMIFS('Combined P&amp;L'!Y:Y,'Combined P&amp;L'!$C:$C,'P&amp;L Forecast'!$B12)</f>
        <v>0.06</v>
      </c>
      <c r="AB12" s="54">
        <f>SUMIFS('Combined P&amp;L'!Z:Z,'Combined P&amp;L'!$C:$C,'P&amp;L Forecast'!$B12)</f>
        <v>0.97</v>
      </c>
      <c r="AC12" s="54">
        <f>SUMIFS('Combined P&amp;L'!AA:AA,'Combined P&amp;L'!$C:$C,'P&amp;L Forecast'!$B12)</f>
        <v>1.1000000000000001</v>
      </c>
      <c r="AD12" s="54">
        <f>SUMIFS('Combined P&amp;L'!AB:AB,'Combined P&amp;L'!$C:$C,'P&amp;L Forecast'!$B12)</f>
        <v>1.7350000000000001</v>
      </c>
      <c r="AE12" s="54">
        <f>SUMIFS('Combined P&amp;L'!AC:AC,'Combined P&amp;L'!$C:$C,'P&amp;L Forecast'!$B12)</f>
        <v>2.14</v>
      </c>
      <c r="AF12" s="54">
        <f>SUMIFS('Combined P&amp;L'!AD:AD,'Combined P&amp;L'!$C:$C,'P&amp;L Forecast'!$B12)</f>
        <v>2.363</v>
      </c>
      <c r="AG12" s="54">
        <f>SUMIFS('Combined P&amp;L'!AE:AE,'Combined P&amp;L'!$C:$C,'P&amp;L Forecast'!$B12)</f>
        <v>3.2635000000000001</v>
      </c>
      <c r="AH12" s="54">
        <f>SUMIFS('Combined P&amp;L'!AF:AF,'Combined P&amp;L'!$C:$C,'P&amp;L Forecast'!$B12)</f>
        <v>3.92</v>
      </c>
      <c r="AI12" s="54">
        <f>SUMIFS('Combined P&amp;L'!AG:AG,'Combined P&amp;L'!$C:$C,'P&amp;L Forecast'!$B12)</f>
        <v>3.9049999999999998</v>
      </c>
      <c r="AJ12" s="54">
        <f>SUMIFS('Combined P&amp;L'!AH:AH,'Combined P&amp;L'!$C:$C,'P&amp;L Forecast'!$B12)</f>
        <v>3.78</v>
      </c>
      <c r="AK12" s="54">
        <f>SUMIFS('Combined P&amp;L'!AI:AI,'Combined P&amp;L'!$C:$C,'P&amp;L Forecast'!$B12)</f>
        <v>3.7949999999999999</v>
      </c>
      <c r="AL12" s="54">
        <f>SUMIFS('Combined P&amp;L'!AJ:AJ,'Combined P&amp;L'!$C:$C,'P&amp;L Forecast'!$B12)</f>
        <v>4.33</v>
      </c>
      <c r="AM12" s="54">
        <f>SUMIFS('Combined P&amp;L'!AK:AK,'Combined P&amp;L'!$C:$C,'P&amp;L Forecast'!$B12)</f>
        <v>5.3049999999999997</v>
      </c>
      <c r="AN12" s="54">
        <f>SUMIFS('Combined P&amp;L'!AL:AL,'Combined P&amp;L'!$C:$C,'P&amp;L Forecast'!$B12)</f>
        <v>6.3</v>
      </c>
      <c r="AO12" s="54">
        <f>SUMIFS('Combined P&amp;L'!AM:AM,'Combined P&amp;L'!$C:$C,'P&amp;L Forecast'!$B12)</f>
        <v>6.39</v>
      </c>
      <c r="AP12" s="54">
        <f>SUMIFS('Combined P&amp;L'!AN:AN,'Combined P&amp;L'!$C:$C,'P&amp;L Forecast'!$B12)</f>
        <v>6.4249999999999998</v>
      </c>
      <c r="AQ12" s="54">
        <f>SUMIFS('Combined P&amp;L'!AO:AO,'Combined P&amp;L'!$C:$C,'P&amp;L Forecast'!$B12)</f>
        <v>6.08</v>
      </c>
      <c r="AR12" s="54">
        <f>SUMIFS('Combined P&amp;L'!AP:AP,'Combined P&amp;L'!$C:$C,'P&amp;L Forecast'!$B12)</f>
        <v>6.3250000000000002</v>
      </c>
      <c r="AS12" s="54">
        <f>SUMIFS('Combined P&amp;L'!AQ:AQ,'Combined P&amp;L'!$C:$C,'P&amp;L Forecast'!$B12)</f>
        <v>6.6550000000000002</v>
      </c>
      <c r="AT12" s="54">
        <f>SUMIFS('Combined P&amp;L'!AR:AR,'Combined P&amp;L'!$C:$C,'P&amp;L Forecast'!$B12)</f>
        <v>6.9550000000000001</v>
      </c>
    </row>
    <row r="13" spans="1:46" x14ac:dyDescent="0.2">
      <c r="B13" s="58" t="s">
        <v>23</v>
      </c>
      <c r="C13" s="24">
        <f>SUMIFS($P13:$AT13,$P$5:$AT$5,"&gt;"&amp;C$172,$P$5:$AT$5,"&lt;"&amp;C$173)</f>
        <v>13.75</v>
      </c>
      <c r="D13" s="24">
        <f>SUMIFS($P13:$AT13,$P$5:$AT$5,"&gt;"&amp;D$172,$P$5:$AT$5,"&lt;"&amp;D$173)</f>
        <v>46.400000000000006</v>
      </c>
      <c r="E13" s="24"/>
      <c r="F13" s="24">
        <f>SUMIFS($P13:$AT13,$P$5:$AT$5,"&gt;"&amp;F$172,$P$5:$AT$5,"&lt;"&amp;F$173)</f>
        <v>31.5</v>
      </c>
      <c r="G13" s="24">
        <f>SUMIFS($P13:$AT13,$P$5:$AT$5,"&gt;"&amp;G$172,$P$5:$AT$5,"&lt;"&amp;G$173)</f>
        <v>24.25</v>
      </c>
      <c r="H13" s="24"/>
      <c r="I13" s="24">
        <f>SUMIFS($P13:$AT13,$P$5:$AT$5,"&gt;"&amp;I$172,$P$5:$AT$5,"&lt;"&amp;I$173)</f>
        <v>41.25</v>
      </c>
      <c r="J13" s="24">
        <f>SUMIFS($P13:$AT13,$P$5:$AT$5,"&gt;"&amp;J$172,$P$5:$AT$5,"&lt;"&amp;J$173)</f>
        <v>39.65</v>
      </c>
      <c r="K13" s="66">
        <f>+C114</f>
        <v>42</v>
      </c>
      <c r="L13" s="66"/>
      <c r="M13" s="24">
        <f t="shared" si="1"/>
        <v>2.3500000000000014</v>
      </c>
      <c r="N13" s="67">
        <f t="shared" si="2"/>
        <v>5.9268600252206927E-2</v>
      </c>
      <c r="O13" s="53"/>
      <c r="P13" s="54">
        <f>SUMIFS('Combined P&amp;L'!N:N,'Combined P&amp;L'!$C:$C,'P&amp;L Forecast'!$B13)</f>
        <v>0</v>
      </c>
      <c r="Q13" s="54">
        <f>SUMIFS('Combined P&amp;L'!O:O,'Combined P&amp;L'!$C:$C,'P&amp;L Forecast'!$B13)</f>
        <v>0</v>
      </c>
      <c r="R13" s="54">
        <f>SUMIFS('Combined P&amp;L'!P:P,'Combined P&amp;L'!$C:$C,'P&amp;L Forecast'!$B13)</f>
        <v>0</v>
      </c>
      <c r="S13" s="54">
        <f>SUMIFS('Combined P&amp;L'!Q:Q,'Combined P&amp;L'!$C:$C,'P&amp;L Forecast'!$B13)</f>
        <v>0</v>
      </c>
      <c r="T13" s="54">
        <f>SUMIFS('Combined P&amp;L'!R:R,'Combined P&amp;L'!$C:$C,'P&amp;L Forecast'!$B13)</f>
        <v>0</v>
      </c>
      <c r="U13" s="54">
        <f>SUMIFS('Combined P&amp;L'!S:S,'Combined P&amp;L'!$C:$C,'P&amp;L Forecast'!$B13)</f>
        <v>0</v>
      </c>
      <c r="V13" s="54">
        <f>SUMIFS('Combined P&amp;L'!T:T,'Combined P&amp;L'!$C:$C,'P&amp;L Forecast'!$B13)</f>
        <v>1.25</v>
      </c>
      <c r="W13" s="54">
        <f>SUMIFS('Combined P&amp;L'!U:U,'Combined P&amp;L'!$C:$C,'P&amp;L Forecast'!$B13)</f>
        <v>1.25</v>
      </c>
      <c r="X13" s="54">
        <f>SUMIFS('Combined P&amp;L'!V:V,'Combined P&amp;L'!$C:$C,'P&amp;L Forecast'!$B13)</f>
        <v>1.25</v>
      </c>
      <c r="Y13" s="54">
        <f>SUMIFS('Combined P&amp;L'!W:W,'Combined P&amp;L'!$C:$C,'P&amp;L Forecast'!$B13)</f>
        <v>1.25</v>
      </c>
      <c r="Z13" s="54">
        <f>SUMIFS('Combined P&amp;L'!X:X,'Combined P&amp;L'!$C:$C,'P&amp;L Forecast'!$B13)</f>
        <v>5.75</v>
      </c>
      <c r="AA13" s="54">
        <f>SUMIFS('Combined P&amp;L'!Y:Y,'Combined P&amp;L'!$C:$C,'P&amp;L Forecast'!$B13)</f>
        <v>3</v>
      </c>
      <c r="AB13" s="54">
        <f>SUMIFS('Combined P&amp;L'!Z:Z,'Combined P&amp;L'!$C:$C,'P&amp;L Forecast'!$B13)</f>
        <v>4.45</v>
      </c>
      <c r="AC13" s="54">
        <f>SUMIFS('Combined P&amp;L'!AA:AA,'Combined P&amp;L'!$C:$C,'P&amp;L Forecast'!$B13)</f>
        <v>3.45</v>
      </c>
      <c r="AD13" s="54">
        <f>SUMIFS('Combined P&amp;L'!AB:AB,'Combined P&amp;L'!$C:$C,'P&amp;L Forecast'!$B13)</f>
        <v>3.45</v>
      </c>
      <c r="AE13" s="54">
        <f>SUMIFS('Combined P&amp;L'!AC:AC,'Combined P&amp;L'!$C:$C,'P&amp;L Forecast'!$B13)</f>
        <v>5.95</v>
      </c>
      <c r="AF13" s="54">
        <f>SUMIFS('Combined P&amp;L'!AD:AD,'Combined P&amp;L'!$C:$C,'P&amp;L Forecast'!$B13)</f>
        <v>5.2</v>
      </c>
      <c r="AG13" s="54">
        <f>SUMIFS('Combined P&amp;L'!AE:AE,'Combined P&amp;L'!$C:$C,'P&amp;L Forecast'!$B13)</f>
        <v>5</v>
      </c>
      <c r="AH13" s="54">
        <f>SUMIFS('Combined P&amp;L'!AF:AF,'Combined P&amp;L'!$C:$C,'P&amp;L Forecast'!$B13)</f>
        <v>4</v>
      </c>
      <c r="AI13" s="54">
        <f>SUMIFS('Combined P&amp;L'!AG:AG,'Combined P&amp;L'!$C:$C,'P&amp;L Forecast'!$B13)</f>
        <v>2.95</v>
      </c>
      <c r="AJ13" s="54">
        <f>SUMIFS('Combined P&amp;L'!AH:AH,'Combined P&amp;L'!$C:$C,'P&amp;L Forecast'!$B13)</f>
        <v>3.0249999999999999</v>
      </c>
      <c r="AK13" s="54">
        <f>SUMIFS('Combined P&amp;L'!AI:AI,'Combined P&amp;L'!$C:$C,'P&amp;L Forecast'!$B13)</f>
        <v>3.0249999999999999</v>
      </c>
      <c r="AL13" s="54">
        <f>SUMIFS('Combined P&amp;L'!AJ:AJ,'Combined P&amp;L'!$C:$C,'P&amp;L Forecast'!$B13)</f>
        <v>2.95</v>
      </c>
      <c r="AM13" s="54">
        <f>SUMIFS('Combined P&amp;L'!AK:AK,'Combined P&amp;L'!$C:$C,'P&amp;L Forecast'!$B13)</f>
        <v>2.95</v>
      </c>
      <c r="AN13" s="54">
        <f>SUMIFS('Combined P&amp;L'!AL:AL,'Combined P&amp;L'!$C:$C,'P&amp;L Forecast'!$B13)</f>
        <v>2.75</v>
      </c>
      <c r="AO13" s="54">
        <f>SUMIFS('Combined P&amp;L'!AM:AM,'Combined P&amp;L'!$C:$C,'P&amp;L Forecast'!$B13)</f>
        <v>3.5</v>
      </c>
      <c r="AP13" s="54">
        <f>SUMIFS('Combined P&amp;L'!AN:AN,'Combined P&amp;L'!$C:$C,'P&amp;L Forecast'!$B13)</f>
        <v>2.75</v>
      </c>
      <c r="AQ13" s="54">
        <f>SUMIFS('Combined P&amp;L'!AO:AO,'Combined P&amp;L'!$C:$C,'P&amp;L Forecast'!$B13)</f>
        <v>4.75</v>
      </c>
      <c r="AR13" s="54">
        <f>SUMIFS('Combined P&amp;L'!AP:AP,'Combined P&amp;L'!$C:$C,'P&amp;L Forecast'!$B13)</f>
        <v>3.5</v>
      </c>
      <c r="AS13" s="54">
        <f>SUMIFS('Combined P&amp;L'!AQ:AQ,'Combined P&amp;L'!$C:$C,'P&amp;L Forecast'!$B13)</f>
        <v>3.5</v>
      </c>
      <c r="AT13" s="54">
        <f>SUMIFS('Combined P&amp;L'!AR:AR,'Combined P&amp;L'!$C:$C,'P&amp;L Forecast'!$B13)</f>
        <v>3.5</v>
      </c>
    </row>
    <row r="14" spans="1:46" x14ac:dyDescent="0.2">
      <c r="B14" s="58" t="s">
        <v>18</v>
      </c>
      <c r="C14" s="24">
        <f>SUMIFS($P14:$AT14,$P$5:$AT$5,"&gt;"&amp;C$172,$P$5:$AT$5,"&lt;"&amp;C$173)</f>
        <v>17.624000000000002</v>
      </c>
      <c r="D14" s="24">
        <f>SUMIFS($P14:$AT14,$P$5:$AT$5,"&gt;"&amp;D$172,$P$5:$AT$5,"&lt;"&amp;D$173)</f>
        <v>5.0337500000000004</v>
      </c>
      <c r="E14" s="24"/>
      <c r="F14" s="24">
        <f>SUMIFS($P14:$AT14,$P$5:$AT$5,"&gt;"&amp;F$172,$P$5:$AT$5,"&lt;"&amp;F$173)</f>
        <v>4.4387500000000006</v>
      </c>
      <c r="G14" s="24">
        <f>SUMIFS($P14:$AT14,$P$5:$AT$5,"&gt;"&amp;G$172,$P$5:$AT$5,"&lt;"&amp;G$173)</f>
        <v>0</v>
      </c>
      <c r="H14" s="24"/>
      <c r="I14" s="24">
        <f>SUMIFS($P14:$AT14,$P$5:$AT$5,"&gt;"&amp;I$172,$P$5:$AT$5,"&lt;"&amp;I$173)</f>
        <v>14.305250000000001</v>
      </c>
      <c r="J14" s="24">
        <f>SUMIFS($P14:$AT14,$P$5:$AT$5,"&gt;"&amp;J$172,$P$5:$AT$5,"&lt;"&amp;J$173)</f>
        <v>0.59499999999999997</v>
      </c>
      <c r="K14" s="66">
        <f>+C115</f>
        <v>0</v>
      </c>
      <c r="L14" s="66"/>
      <c r="M14" s="24">
        <f t="shared" si="1"/>
        <v>-0.59499999999999997</v>
      </c>
      <c r="N14" s="67">
        <f t="shared" si="2"/>
        <v>-1</v>
      </c>
      <c r="O14" s="53"/>
      <c r="P14" s="54">
        <f>SUMIFS('Combined P&amp;L'!N:N,'Combined P&amp;L'!$C:$C,'P&amp;L Forecast'!$B14)</f>
        <v>1.2</v>
      </c>
      <c r="Q14" s="54">
        <f>SUMIFS('Combined P&amp;L'!O:O,'Combined P&amp;L'!$C:$C,'P&amp;L Forecast'!$B14)</f>
        <v>1.7625</v>
      </c>
      <c r="R14" s="54">
        <f>SUMIFS('Combined P&amp;L'!P:P,'Combined P&amp;L'!$C:$C,'P&amp;L Forecast'!$B14)</f>
        <v>0.66</v>
      </c>
      <c r="S14" s="54">
        <f>SUMIFS('Combined P&amp;L'!Q:Q,'Combined P&amp;L'!$C:$C,'P&amp;L Forecast'!$B14)</f>
        <v>0.39500000000000002</v>
      </c>
      <c r="T14" s="54">
        <f>SUMIFS('Combined P&amp;L'!R:R,'Combined P&amp;L'!$C:$C,'P&amp;L Forecast'!$B14)</f>
        <v>2.4649999999999999</v>
      </c>
      <c r="U14" s="54">
        <f>SUMIFS('Combined P&amp;L'!S:S,'Combined P&amp;L'!$C:$C,'P&amp;L Forecast'!$B14)</f>
        <v>1.2749999999999999</v>
      </c>
      <c r="V14" s="54">
        <f>SUMIFS('Combined P&amp;L'!T:T,'Combined P&amp;L'!$C:$C,'P&amp;L Forecast'!$B14)</f>
        <v>1.4624999999999999</v>
      </c>
      <c r="W14" s="54">
        <f>SUMIFS('Combined P&amp;L'!U:U,'Combined P&amp;L'!$C:$C,'P&amp;L Forecast'!$B14)</f>
        <v>0</v>
      </c>
      <c r="X14" s="54">
        <f>SUMIFS('Combined P&amp;L'!V:V,'Combined P&amp;L'!$C:$C,'P&amp;L Forecast'!$B14)</f>
        <v>1.1452500000000001</v>
      </c>
      <c r="Y14" s="54">
        <f>SUMIFS('Combined P&amp;L'!W:W,'Combined P&amp;L'!$C:$C,'P&amp;L Forecast'!$B14)</f>
        <v>1.3552500000000001</v>
      </c>
      <c r="Z14" s="54">
        <f>SUMIFS('Combined P&amp;L'!X:X,'Combined P&amp;L'!$C:$C,'P&amp;L Forecast'!$B14)</f>
        <v>1.9035</v>
      </c>
      <c r="AA14" s="54">
        <f>SUMIFS('Combined P&amp;L'!Y:Y,'Combined P&amp;L'!$C:$C,'P&amp;L Forecast'!$B14)</f>
        <v>4</v>
      </c>
      <c r="AB14" s="54">
        <f>SUMIFS('Combined P&amp;L'!Z:Z,'Combined P&amp;L'!$C:$C,'P&amp;L Forecast'!$B14)</f>
        <v>1.08375</v>
      </c>
      <c r="AC14" s="54">
        <f>SUMIFS('Combined P&amp;L'!AA:AA,'Combined P&amp;L'!$C:$C,'P&amp;L Forecast'!$B14)</f>
        <v>2</v>
      </c>
      <c r="AD14" s="54">
        <f>SUMIFS('Combined P&amp;L'!AB:AB,'Combined P&amp;L'!$C:$C,'P&amp;L Forecast'!$B14)</f>
        <v>1.355</v>
      </c>
      <c r="AE14" s="54">
        <f>SUMIFS('Combined P&amp;L'!AC:AC,'Combined P&amp;L'!$C:$C,'P&amp;L Forecast'!$B14)</f>
        <v>0</v>
      </c>
      <c r="AF14" s="54">
        <f>SUMIFS('Combined P&amp;L'!AD:AD,'Combined P&amp;L'!$C:$C,'P&amp;L Forecast'!$B14)</f>
        <v>0</v>
      </c>
      <c r="AG14" s="54">
        <f>SUMIFS('Combined P&amp;L'!AE:AE,'Combined P&amp;L'!$C:$C,'P&amp;L Forecast'!$B14)</f>
        <v>0</v>
      </c>
      <c r="AH14" s="54">
        <f>SUMIFS('Combined P&amp;L'!AF:AF,'Combined P&amp;L'!$C:$C,'P&amp;L Forecast'!$B14)</f>
        <v>0</v>
      </c>
      <c r="AI14" s="54">
        <f>SUMIFS('Combined P&amp;L'!AG:AG,'Combined P&amp;L'!$C:$C,'P&amp;L Forecast'!$B14)</f>
        <v>0</v>
      </c>
      <c r="AJ14" s="54">
        <f>SUMIFS('Combined P&amp;L'!AH:AH,'Combined P&amp;L'!$C:$C,'P&amp;L Forecast'!$B14)</f>
        <v>0</v>
      </c>
      <c r="AK14" s="54">
        <f>SUMIFS('Combined P&amp;L'!AI:AI,'Combined P&amp;L'!$C:$C,'P&amp;L Forecast'!$B14)</f>
        <v>0.59499999999999997</v>
      </c>
      <c r="AL14" s="54">
        <f>SUMIFS('Combined P&amp;L'!AJ:AJ,'Combined P&amp;L'!$C:$C,'P&amp;L Forecast'!$B14)</f>
        <v>0</v>
      </c>
      <c r="AM14" s="54">
        <f>SUMIFS('Combined P&amp;L'!AK:AK,'Combined P&amp;L'!$C:$C,'P&amp;L Forecast'!$B14)</f>
        <v>0</v>
      </c>
      <c r="AN14" s="54">
        <f>SUMIFS('Combined P&amp;L'!AL:AL,'Combined P&amp;L'!$C:$C,'P&amp;L Forecast'!$B14)</f>
        <v>0</v>
      </c>
      <c r="AO14" s="54">
        <f>SUMIFS('Combined P&amp;L'!AM:AM,'Combined P&amp;L'!$C:$C,'P&amp;L Forecast'!$B14)</f>
        <v>0</v>
      </c>
      <c r="AP14" s="54">
        <f>SUMIFS('Combined P&amp;L'!AN:AN,'Combined P&amp;L'!$C:$C,'P&amp;L Forecast'!$B14)</f>
        <v>0</v>
      </c>
      <c r="AQ14" s="54">
        <f>SUMIFS('Combined P&amp;L'!AO:AO,'Combined P&amp;L'!$C:$C,'P&amp;L Forecast'!$B14)</f>
        <v>0</v>
      </c>
      <c r="AR14" s="54">
        <f>SUMIFS('Combined P&amp;L'!AP:AP,'Combined P&amp;L'!$C:$C,'P&amp;L Forecast'!$B14)</f>
        <v>0</v>
      </c>
      <c r="AS14" s="54">
        <f>SUMIFS('Combined P&amp;L'!AQ:AQ,'Combined P&amp;L'!$C:$C,'P&amp;L Forecast'!$B14)</f>
        <v>0</v>
      </c>
      <c r="AT14" s="54">
        <f>SUMIFS('Combined P&amp;L'!AR:AR,'Combined P&amp;L'!$C:$C,'P&amp;L Forecast'!$B14)</f>
        <v>0</v>
      </c>
    </row>
    <row r="15" spans="1:46" x14ac:dyDescent="0.2">
      <c r="B15" s="61" t="s">
        <v>260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1600.0674899999999</v>
      </c>
      <c r="I15" s="64">
        <f>SUM(I7:I14)</f>
        <v>1414.7118</v>
      </c>
      <c r="J15" s="62">
        <f>SUM(J7:J14)</f>
        <v>2371.7313400000003</v>
      </c>
      <c r="K15" s="63">
        <f>SUM(K7:K14)</f>
        <v>3046.4493000000002</v>
      </c>
      <c r="L15" s="72"/>
      <c r="M15" s="64">
        <f>SUM(M7:M14)</f>
        <v>674.71796000000006</v>
      </c>
      <c r="N15" s="89">
        <f t="shared" si="2"/>
        <v>0.28448330070976757</v>
      </c>
      <c r="P15" s="64">
        <f t="shared" ref="P15:AT15" si="3">SUM(P7:P14)</f>
        <v>73.349500000000006</v>
      </c>
      <c r="Q15" s="62">
        <f t="shared" si="3"/>
        <v>74.744500000000002</v>
      </c>
      <c r="R15" s="62">
        <f t="shared" si="3"/>
        <v>77.995999999999995</v>
      </c>
      <c r="S15" s="62">
        <f t="shared" si="3"/>
        <v>83.212699999999984</v>
      </c>
      <c r="T15" s="62">
        <f t="shared" si="3"/>
        <v>86.604150000000018</v>
      </c>
      <c r="U15" s="62">
        <f t="shared" si="3"/>
        <v>88.544000000000011</v>
      </c>
      <c r="V15" s="62">
        <f t="shared" si="3"/>
        <v>93.216750000000005</v>
      </c>
      <c r="W15" s="62">
        <f t="shared" si="3"/>
        <v>96.775350000000003</v>
      </c>
      <c r="X15" s="62">
        <f t="shared" si="3"/>
        <v>96.491950000000003</v>
      </c>
      <c r="Y15" s="62">
        <f t="shared" si="3"/>
        <v>99.163499999999985</v>
      </c>
      <c r="Z15" s="62">
        <f t="shared" si="3"/>
        <v>108.7123</v>
      </c>
      <c r="AA15" s="62">
        <f t="shared" si="3"/>
        <v>115.50505000000003</v>
      </c>
      <c r="AB15" s="62">
        <f t="shared" si="3"/>
        <v>117.69414999999998</v>
      </c>
      <c r="AC15" s="62">
        <f t="shared" si="3"/>
        <v>116.19465</v>
      </c>
      <c r="AD15" s="62">
        <f t="shared" si="3"/>
        <v>133.5471</v>
      </c>
      <c r="AE15" s="62">
        <f t="shared" si="3"/>
        <v>134.78</v>
      </c>
      <c r="AF15" s="62">
        <f t="shared" si="3"/>
        <v>151.01724999999999</v>
      </c>
      <c r="AG15" s="62">
        <f t="shared" si="3"/>
        <v>151.61374999999998</v>
      </c>
      <c r="AH15" s="62">
        <f t="shared" si="3"/>
        <v>154.04399999999998</v>
      </c>
      <c r="AI15" s="62">
        <f t="shared" si="3"/>
        <v>157.49274999999997</v>
      </c>
      <c r="AJ15" s="62">
        <f t="shared" si="3"/>
        <v>161.958</v>
      </c>
      <c r="AK15" s="62">
        <f t="shared" si="3"/>
        <v>175.58</v>
      </c>
      <c r="AL15" s="62">
        <f t="shared" si="3"/>
        <v>180.39300000000003</v>
      </c>
      <c r="AM15" s="62">
        <f t="shared" si="3"/>
        <v>193.53474999999997</v>
      </c>
      <c r="AN15" s="62">
        <f t="shared" si="3"/>
        <v>203.24331999999995</v>
      </c>
      <c r="AO15" s="62">
        <f t="shared" si="3"/>
        <v>208.38586999999998</v>
      </c>
      <c r="AP15" s="62">
        <f t="shared" si="3"/>
        <v>215.74275</v>
      </c>
      <c r="AQ15" s="62">
        <f t="shared" si="3"/>
        <v>232.03611000000001</v>
      </c>
      <c r="AR15" s="62">
        <f t="shared" si="3"/>
        <v>245.53060999999997</v>
      </c>
      <c r="AS15" s="62">
        <f t="shared" si="3"/>
        <v>243.79017999999999</v>
      </c>
      <c r="AT15" s="63">
        <f t="shared" si="3"/>
        <v>251.33865000000003</v>
      </c>
    </row>
    <row r="16" spans="1:46" ht="3.95" customHeight="1" x14ac:dyDescent="0.2"/>
    <row r="17" spans="2:46" ht="12" customHeight="1" x14ac:dyDescent="0.2">
      <c r="B17" s="58" t="s">
        <v>15</v>
      </c>
      <c r="C17" s="24">
        <f>SUMIFS($P17:$AT17,$P$5:$AT$5,"&gt;"&amp;C$172,$P$5:$AT$5,"&lt;"&amp;C$173)</f>
        <v>6.2004000000000001</v>
      </c>
      <c r="D17" s="24">
        <f>SUMIFS($P17:$AT17,$P$5:$AT$5,"&gt;"&amp;D$172,$P$5:$AT$5,"&lt;"&amp;D$173)</f>
        <v>23.261789999999998</v>
      </c>
      <c r="E17" s="24"/>
      <c r="F17" s="24">
        <f>SUMIFS($P17:$AT17,$P$5:$AT$5,"&gt;"&amp;F$172,$P$5:$AT$5,"&lt;"&amp;F$173)</f>
        <v>14.504949999999999</v>
      </c>
      <c r="G17" s="24">
        <f>SUMIFS($P17:$AT17,$P$5:$AT$5,"&gt;"&amp;G$172,$P$5:$AT$5,"&lt;"&amp;G$173)</f>
        <v>8.0793799999999987</v>
      </c>
      <c r="H17" s="24"/>
      <c r="I17" s="24">
        <f>SUMIFS($P17:$AT17,$P$5:$AT$5,"&gt;"&amp;I$172,$P$5:$AT$5,"&lt;"&amp;I$173)</f>
        <v>17.947879999999998</v>
      </c>
      <c r="J17" s="24">
        <f>SUMIFS($P17:$AT17,$P$5:$AT$5,"&gt;"&amp;J$172,$P$5:$AT$5,"&lt;"&amp;J$173)</f>
        <v>17.796090000000003</v>
      </c>
      <c r="K17" s="66">
        <f>+C120</f>
        <v>16.836220000000001</v>
      </c>
      <c r="L17" s="66"/>
      <c r="M17" s="24">
        <f>K17-J17</f>
        <v>-0.95987000000000222</v>
      </c>
      <c r="N17" s="90">
        <f>IFERROR(K17/J17-1,0)</f>
        <v>-5.3937128886176744E-2</v>
      </c>
      <c r="O17" s="53"/>
      <c r="P17" s="54">
        <f>SUMIFS('Combined P&amp;L'!N:N,'Combined P&amp;L'!$C:$C,'P&amp;L Forecast'!$B17)</f>
        <v>6.8599999999999994E-2</v>
      </c>
      <c r="Q17" s="54">
        <f>SUMIFS('Combined P&amp;L'!O:O,'Combined P&amp;L'!$C:$C,'P&amp;L Forecast'!$B17)</f>
        <v>0.13119999999999998</v>
      </c>
      <c r="R17" s="54">
        <f>SUMIFS('Combined P&amp;L'!P:P,'Combined P&amp;L'!$C:$C,'P&amp;L Forecast'!$B17)</f>
        <v>7.1199999999999999E-2</v>
      </c>
      <c r="S17" s="54">
        <f>SUMIFS('Combined P&amp;L'!Q:Q,'Combined P&amp;L'!$C:$C,'P&amp;L Forecast'!$B17)</f>
        <v>5.5600000000000004E-2</v>
      </c>
      <c r="T17" s="54">
        <f>SUMIFS('Combined P&amp;L'!R:R,'Combined P&amp;L'!$C:$C,'P&amp;L Forecast'!$B17)</f>
        <v>0.57699999999999996</v>
      </c>
      <c r="U17" s="54">
        <f>SUMIFS('Combined P&amp;L'!S:S,'Combined P&amp;L'!$C:$C,'P&amp;L Forecast'!$B17)</f>
        <v>0.80679999999999996</v>
      </c>
      <c r="V17" s="54">
        <f>SUMIFS('Combined P&amp;L'!T:T,'Combined P&amp;L'!$C:$C,'P&amp;L Forecast'!$B17)</f>
        <v>0.66559999999999997</v>
      </c>
      <c r="W17" s="54">
        <f>SUMIFS('Combined P&amp;L'!U:U,'Combined P&amp;L'!$C:$C,'P&amp;L Forecast'!$B17)</f>
        <v>0.82640000000000002</v>
      </c>
      <c r="X17" s="54">
        <f>SUMIFS('Combined P&amp;L'!V:V,'Combined P&amp;L'!$C:$C,'P&amp;L Forecast'!$B17)</f>
        <v>1.3808</v>
      </c>
      <c r="Y17" s="54">
        <f>SUMIFS('Combined P&amp;L'!W:W,'Combined P&amp;L'!$C:$C,'P&amp;L Forecast'!$B17)</f>
        <v>0.86039999999999994</v>
      </c>
      <c r="Z17" s="54">
        <f>SUMIFS('Combined P&amp;L'!X:X,'Combined P&amp;L'!$C:$C,'P&amp;L Forecast'!$B17)</f>
        <v>0.51</v>
      </c>
      <c r="AA17" s="54">
        <f>SUMIFS('Combined P&amp;L'!Y:Y,'Combined P&amp;L'!$C:$C,'P&amp;L Forecast'!$B17)</f>
        <v>0.24680000000000002</v>
      </c>
      <c r="AB17" s="54">
        <f>SUMIFS('Combined P&amp;L'!Z:Z,'Combined P&amp;L'!$C:$C,'P&amp;L Forecast'!$B17)</f>
        <v>7.3583999999999996</v>
      </c>
      <c r="AC17" s="54">
        <f>SUMIFS('Combined P&amp;L'!AA:AA,'Combined P&amp;L'!$C:$C,'P&amp;L Forecast'!$B17)</f>
        <v>1.29335</v>
      </c>
      <c r="AD17" s="54">
        <f>SUMIFS('Combined P&amp;L'!AB:AB,'Combined P&amp;L'!$C:$C,'P&amp;L Forecast'!$B17)</f>
        <v>0.96833000000000002</v>
      </c>
      <c r="AE17" s="54">
        <f>SUMIFS('Combined P&amp;L'!AC:AC,'Combined P&amp;L'!$C:$C,'P&amp;L Forecast'!$B17)</f>
        <v>1.1656</v>
      </c>
      <c r="AF17" s="54">
        <f>SUMIFS('Combined P&amp;L'!AD:AD,'Combined P&amp;L'!$C:$C,'P&amp;L Forecast'!$B17)</f>
        <v>0.96092999999999995</v>
      </c>
      <c r="AG17" s="54">
        <f>SUMIFS('Combined P&amp;L'!AE:AE,'Combined P&amp;L'!$C:$C,'P&amp;L Forecast'!$B17)</f>
        <v>1.7112700000000001</v>
      </c>
      <c r="AH17" s="54">
        <f>SUMIFS('Combined P&amp;L'!AF:AF,'Combined P&amp;L'!$C:$C,'P&amp;L Forecast'!$B17)</f>
        <v>1.0470699999999999</v>
      </c>
      <c r="AI17" s="54">
        <f>SUMIFS('Combined P&amp;L'!AG:AG,'Combined P&amp;L'!$C:$C,'P&amp;L Forecast'!$B17)</f>
        <v>2.04088</v>
      </c>
      <c r="AJ17" s="54">
        <f>SUMIFS('Combined P&amp;L'!AH:AH,'Combined P&amp;L'!$C:$C,'P&amp;L Forecast'!$B17)</f>
        <v>1.1362099999999999</v>
      </c>
      <c r="AK17" s="54">
        <f>SUMIFS('Combined P&amp;L'!AI:AI,'Combined P&amp;L'!$C:$C,'P&amp;L Forecast'!$B17)</f>
        <v>2.01424</v>
      </c>
      <c r="AL17" s="54">
        <f>SUMIFS('Combined P&amp;L'!AJ:AJ,'Combined P&amp;L'!$C:$C,'P&amp;L Forecast'!$B17)</f>
        <v>1.29758</v>
      </c>
      <c r="AM17" s="54">
        <f>SUMIFS('Combined P&amp;L'!AK:AK,'Combined P&amp;L'!$C:$C,'P&amp;L Forecast'!$B17)</f>
        <v>2.2679299999999998</v>
      </c>
      <c r="AN17" s="54">
        <f>SUMIFS('Combined P&amp;L'!AL:AL,'Combined P&amp;L'!$C:$C,'P&amp;L Forecast'!$B17)</f>
        <v>2.6778400000000002</v>
      </c>
      <c r="AO17" s="54">
        <f>SUMIFS('Combined P&amp;L'!AM:AM,'Combined P&amp;L'!$C:$C,'P&amp;L Forecast'!$B17)</f>
        <v>2.3540100000000002</v>
      </c>
      <c r="AP17" s="54">
        <f>SUMIFS('Combined P&amp;L'!AN:AN,'Combined P&amp;L'!$C:$C,'P&amp;L Forecast'!$B17)</f>
        <v>0.2276</v>
      </c>
      <c r="AQ17" s="54">
        <f>SUMIFS('Combined P&amp;L'!AO:AO,'Combined P&amp;L'!$C:$C,'P&amp;L Forecast'!$B17)</f>
        <v>1.4783599999999999</v>
      </c>
      <c r="AR17" s="54">
        <f>SUMIFS('Combined P&amp;L'!AP:AP,'Combined P&amp;L'!$C:$C,'P&amp;L Forecast'!$B17)</f>
        <v>0.66824000000000006</v>
      </c>
      <c r="AS17" s="54">
        <f>SUMIFS('Combined P&amp;L'!AQ:AQ,'Combined P&amp;L'!$C:$C,'P&amp;L Forecast'!$B17)</f>
        <v>0.58613000000000004</v>
      </c>
      <c r="AT17" s="54">
        <f>SUMIFS('Combined P&amp;L'!AR:AR,'Combined P&amp;L'!$C:$C,'P&amp;L Forecast'!$B17)</f>
        <v>8.72E-2</v>
      </c>
    </row>
    <row r="18" spans="2:46" ht="12" customHeight="1" x14ac:dyDescent="0.2">
      <c r="B18" s="58" t="s">
        <v>12</v>
      </c>
      <c r="C18" s="24">
        <f>SUMIFS($P18:$AT18,$P$5:$AT$5,"&gt;"&amp;C$172,$P$5:$AT$5,"&lt;"&amp;C$173)</f>
        <v>10.475000000000001</v>
      </c>
      <c r="D18" s="24">
        <f>SUMIFS($P18:$AT18,$P$5:$AT$5,"&gt;"&amp;D$172,$P$5:$AT$5,"&lt;"&amp;D$173)</f>
        <v>23.55</v>
      </c>
      <c r="E18" s="24"/>
      <c r="F18" s="24">
        <f>SUMIFS($P18:$AT18,$P$5:$AT$5,"&gt;"&amp;F$172,$P$5:$AT$5,"&lt;"&amp;F$173)</f>
        <v>23.49</v>
      </c>
      <c r="G18" s="24">
        <f>SUMIFS($P18:$AT18,$P$5:$AT$5,"&gt;"&amp;G$172,$P$5:$AT$5,"&lt;"&amp;G$173)</f>
        <v>38.701499999999996</v>
      </c>
      <c r="H18" s="24"/>
      <c r="I18" s="24">
        <f>SUMIFS($P18:$AT18,$P$5:$AT$5,"&gt;"&amp;I$172,$P$5:$AT$5,"&lt;"&amp;I$173)</f>
        <v>23.52</v>
      </c>
      <c r="J18" s="24">
        <f>SUMIFS($P18:$AT18,$P$5:$AT$5,"&gt;"&amp;J$172,$P$5:$AT$5,"&lt;"&amp;J$173)</f>
        <v>38.761499999999998</v>
      </c>
      <c r="K18" s="66">
        <f>+C118</f>
        <v>10</v>
      </c>
      <c r="L18" s="66"/>
      <c r="M18" s="24">
        <f>K18-J18</f>
        <v>-28.761499999999998</v>
      </c>
      <c r="N18" s="90">
        <f t="shared" ref="N18:N22" si="4">IFERROR(K18/J18-1,0)</f>
        <v>-0.74201204803735665</v>
      </c>
      <c r="O18" s="53"/>
      <c r="P18" s="54">
        <f>SUMIFS('Combined P&amp;L'!N:N,'Combined P&amp;L'!$C:$C,'P&amp;L Forecast'!$B18)</f>
        <v>6.9450000000000003</v>
      </c>
      <c r="Q18" s="54">
        <f>SUMIFS('Combined P&amp;L'!O:O,'Combined P&amp;L'!$C:$C,'P&amp;L Forecast'!$B18)</f>
        <v>3.38</v>
      </c>
      <c r="R18" s="54">
        <f>SUMIFS('Combined P&amp;L'!P:P,'Combined P&amp;L'!$C:$C,'P&amp;L Forecast'!$B18)</f>
        <v>4.4999999999999998E-2</v>
      </c>
      <c r="S18" s="54">
        <f>SUMIFS('Combined P&amp;L'!Q:Q,'Combined P&amp;L'!$C:$C,'P&amp;L Forecast'!$B18)</f>
        <v>0.06</v>
      </c>
      <c r="T18" s="54">
        <f>SUMIFS('Combined P&amp;L'!R:R,'Combined P&amp;L'!$C:$C,'P&amp;L Forecast'!$B18)</f>
        <v>1.4999999999999999E-2</v>
      </c>
      <c r="U18" s="54">
        <f>SUMIFS('Combined P&amp;L'!S:S,'Combined P&amp;L'!$C:$C,'P&amp;L Forecast'!$B18)</f>
        <v>0</v>
      </c>
      <c r="V18" s="54">
        <f>SUMIFS('Combined P&amp;L'!T:T,'Combined P&amp;L'!$C:$C,'P&amp;L Forecast'!$B18)</f>
        <v>0</v>
      </c>
      <c r="W18" s="54">
        <f>SUMIFS('Combined P&amp;L'!U:U,'Combined P&amp;L'!$C:$C,'P&amp;L Forecast'!$B18)</f>
        <v>1.4999999999999999E-2</v>
      </c>
      <c r="X18" s="54">
        <f>SUMIFS('Combined P&amp;L'!V:V,'Combined P&amp;L'!$C:$C,'P&amp;L Forecast'!$B18)</f>
        <v>0</v>
      </c>
      <c r="Y18" s="54">
        <f>SUMIFS('Combined P&amp;L'!W:W,'Combined P&amp;L'!$C:$C,'P&amp;L Forecast'!$B18)</f>
        <v>0</v>
      </c>
      <c r="Z18" s="54">
        <f>SUMIFS('Combined P&amp;L'!X:X,'Combined P&amp;L'!$C:$C,'P&amp;L Forecast'!$B18)</f>
        <v>1.4999999999999999E-2</v>
      </c>
      <c r="AA18" s="54">
        <f>SUMIFS('Combined P&amp;L'!Y:Y,'Combined P&amp;L'!$C:$C,'P&amp;L Forecast'!$B18)</f>
        <v>0</v>
      </c>
      <c r="AB18" s="54">
        <f>SUMIFS('Combined P&amp;L'!Z:Z,'Combined P&amp;L'!$C:$C,'P&amp;L Forecast'!$B18)</f>
        <v>13.484999999999999</v>
      </c>
      <c r="AC18" s="54">
        <f>SUMIFS('Combined P&amp;L'!AA:AA,'Combined P&amp;L'!$C:$C,'P&amp;L Forecast'!$B18)</f>
        <v>9.9149999999999991</v>
      </c>
      <c r="AD18" s="54">
        <f>SUMIFS('Combined P&amp;L'!AB:AB,'Combined P&amp;L'!$C:$C,'P&amp;L Forecast'!$B18)</f>
        <v>0.06</v>
      </c>
      <c r="AE18" s="54">
        <f>SUMIFS('Combined P&amp;L'!AC:AC,'Combined P&amp;L'!$C:$C,'P&amp;L Forecast'!$B18)</f>
        <v>0.03</v>
      </c>
      <c r="AF18" s="54">
        <f>SUMIFS('Combined P&amp;L'!AD:AD,'Combined P&amp;L'!$C:$C,'P&amp;L Forecast'!$B18)</f>
        <v>0</v>
      </c>
      <c r="AG18" s="54">
        <f>SUMIFS('Combined P&amp;L'!AE:AE,'Combined P&amp;L'!$C:$C,'P&amp;L Forecast'!$B18)</f>
        <v>0</v>
      </c>
      <c r="AH18" s="54">
        <f>SUMIFS('Combined P&amp;L'!AF:AF,'Combined P&amp;L'!$C:$C,'P&amp;L Forecast'!$B18)</f>
        <v>0</v>
      </c>
      <c r="AI18" s="54">
        <f>SUMIFS('Combined P&amp;L'!AG:AG,'Combined P&amp;L'!$C:$C,'P&amp;L Forecast'!$B18)</f>
        <v>0.03</v>
      </c>
      <c r="AJ18" s="54">
        <f>SUMIFS('Combined P&amp;L'!AH:AH,'Combined P&amp;L'!$C:$C,'P&amp;L Forecast'!$B18)</f>
        <v>0.03</v>
      </c>
      <c r="AK18" s="54">
        <f>SUMIFS('Combined P&amp;L'!AI:AI,'Combined P&amp;L'!$C:$C,'P&amp;L Forecast'!$B18)</f>
        <v>0</v>
      </c>
      <c r="AL18" s="54">
        <f>SUMIFS('Combined P&amp;L'!AJ:AJ,'Combined P&amp;L'!$C:$C,'P&amp;L Forecast'!$B18)</f>
        <v>0</v>
      </c>
      <c r="AM18" s="54">
        <f>SUMIFS('Combined P&amp;L'!AK:AK,'Combined P&amp;L'!$C:$C,'P&amp;L Forecast'!$B18)</f>
        <v>0</v>
      </c>
      <c r="AN18" s="54">
        <f>SUMIFS('Combined P&amp;L'!AL:AL,'Combined P&amp;L'!$C:$C,'P&amp;L Forecast'!$B18)</f>
        <v>6.1050000000000004</v>
      </c>
      <c r="AO18" s="54">
        <f>SUMIFS('Combined P&amp;L'!AM:AM,'Combined P&amp;L'!$C:$C,'P&amp;L Forecast'!$B18)</f>
        <v>31.156500000000001</v>
      </c>
      <c r="AP18" s="54">
        <f>SUMIFS('Combined P&amp;L'!AN:AN,'Combined P&amp;L'!$C:$C,'P&amp;L Forecast'!$B18)</f>
        <v>1.26</v>
      </c>
      <c r="AQ18" s="54">
        <f>SUMIFS('Combined P&amp;L'!AO:AO,'Combined P&amp;L'!$C:$C,'P&amp;L Forecast'!$B18)</f>
        <v>0.18</v>
      </c>
      <c r="AR18" s="54">
        <f>SUMIFS('Combined P&amp;L'!AP:AP,'Combined P&amp;L'!$C:$C,'P&amp;L Forecast'!$B18)</f>
        <v>0</v>
      </c>
      <c r="AS18" s="54">
        <f>SUMIFS('Combined P&amp;L'!AQ:AQ,'Combined P&amp;L'!$C:$C,'P&amp;L Forecast'!$B18)</f>
        <v>0</v>
      </c>
      <c r="AT18" s="54">
        <f>SUMIFS('Combined P&amp;L'!AR:AR,'Combined P&amp;L'!$C:$C,'P&amp;L Forecast'!$B18)</f>
        <v>0</v>
      </c>
    </row>
    <row r="19" spans="2:46" ht="12" customHeight="1" x14ac:dyDescent="0.2">
      <c r="B19" s="58" t="s">
        <v>261</v>
      </c>
      <c r="C19" s="24">
        <f>SUMIFS($P19:$AT19,$P$5:$AT$5,"&gt;"&amp;C$172,$P$5:$AT$5,"&lt;"&amp;C$173)</f>
        <v>0</v>
      </c>
      <c r="D19" s="24">
        <f>SUMIFS($P19:$AT19,$P$5:$AT$5,"&gt;"&amp;D$172,$P$5:$AT$5,"&lt;"&amp;D$173)</f>
        <v>3.4</v>
      </c>
      <c r="E19" s="24"/>
      <c r="F19" s="24">
        <f>SUMIFS($P19:$AT19,$P$5:$AT$5,"&gt;"&amp;F$172,$P$5:$AT$5,"&lt;"&amp;F$173)</f>
        <v>0</v>
      </c>
      <c r="G19" s="24">
        <f>SUMIFS($P19:$AT19,$P$5:$AT$5,"&gt;"&amp;G$172,$P$5:$AT$5,"&lt;"&amp;G$173)</f>
        <v>23.914999999999999</v>
      </c>
      <c r="H19" s="24"/>
      <c r="I19" s="24">
        <f>SUMIFS($P19:$AT19,$P$5:$AT$5,"&gt;"&amp;I$172,$P$5:$AT$5,"&lt;"&amp;I$173)</f>
        <v>0</v>
      </c>
      <c r="J19" s="24">
        <f>SUMIFS($P19:$AT19,$P$5:$AT$5,"&gt;"&amp;J$172,$P$5:$AT$5,"&lt;"&amp;J$173)</f>
        <v>27.315000000000001</v>
      </c>
      <c r="K19" s="66">
        <f>+C119</f>
        <v>0</v>
      </c>
      <c r="L19" s="66"/>
      <c r="M19" s="24">
        <f>K19-J19</f>
        <v>-27.315000000000001</v>
      </c>
      <c r="N19" s="90">
        <f t="shared" si="4"/>
        <v>-1</v>
      </c>
      <c r="O19" s="53"/>
      <c r="P19" s="54">
        <f>SUMIFS('Combined P&amp;L'!N:N,'Combined P&amp;L'!$C:$C,'P&amp;L Forecast'!$B19)</f>
        <v>0</v>
      </c>
      <c r="Q19" s="54">
        <f>SUMIFS('Combined P&amp;L'!O:O,'Combined P&amp;L'!$C:$C,'P&amp;L Forecast'!$B19)</f>
        <v>0</v>
      </c>
      <c r="R19" s="54">
        <f>SUMIFS('Combined P&amp;L'!P:P,'Combined P&amp;L'!$C:$C,'P&amp;L Forecast'!$B19)</f>
        <v>0</v>
      </c>
      <c r="S19" s="54">
        <f>SUMIFS('Combined P&amp;L'!Q:Q,'Combined P&amp;L'!$C:$C,'P&amp;L Forecast'!$B19)</f>
        <v>0</v>
      </c>
      <c r="T19" s="54">
        <f>SUMIFS('Combined P&amp;L'!R:R,'Combined P&amp;L'!$C:$C,'P&amp;L Forecast'!$B19)</f>
        <v>0</v>
      </c>
      <c r="U19" s="54">
        <f>SUMIFS('Combined P&amp;L'!S:S,'Combined P&amp;L'!$C:$C,'P&amp;L Forecast'!$B19)</f>
        <v>0</v>
      </c>
      <c r="V19" s="54">
        <f>SUMIFS('Combined P&amp;L'!T:T,'Combined P&amp;L'!$C:$C,'P&amp;L Forecast'!$B19)</f>
        <v>0</v>
      </c>
      <c r="W19" s="54">
        <f>SUMIFS('Combined P&amp;L'!U:U,'Combined P&amp;L'!$C:$C,'P&amp;L Forecast'!$B19)</f>
        <v>0</v>
      </c>
      <c r="X19" s="54">
        <f>SUMIFS('Combined P&amp;L'!V:V,'Combined P&amp;L'!$C:$C,'P&amp;L Forecast'!$B19)</f>
        <v>0</v>
      </c>
      <c r="Y19" s="54">
        <f>SUMIFS('Combined P&amp;L'!W:W,'Combined P&amp;L'!$C:$C,'P&amp;L Forecast'!$B19)</f>
        <v>0</v>
      </c>
      <c r="Z19" s="54">
        <f>SUMIFS('Combined P&amp;L'!X:X,'Combined P&amp;L'!$C:$C,'P&amp;L Forecast'!$B19)</f>
        <v>0</v>
      </c>
      <c r="AA19" s="54">
        <f>SUMIFS('Combined P&amp;L'!Y:Y,'Combined P&amp;L'!$C:$C,'P&amp;L Forecast'!$B19)</f>
        <v>0</v>
      </c>
      <c r="AB19" s="54">
        <f>SUMIFS('Combined P&amp;L'!Z:Z,'Combined P&amp;L'!$C:$C,'P&amp;L Forecast'!$B19)</f>
        <v>0</v>
      </c>
      <c r="AC19" s="54">
        <f>SUMIFS('Combined P&amp;L'!AA:AA,'Combined P&amp;L'!$C:$C,'P&amp;L Forecast'!$B19)</f>
        <v>0</v>
      </c>
      <c r="AD19" s="54">
        <f>SUMIFS('Combined P&amp;L'!AB:AB,'Combined P&amp;L'!$C:$C,'P&amp;L Forecast'!$B19)</f>
        <v>0</v>
      </c>
      <c r="AE19" s="54">
        <f>SUMIFS('Combined P&amp;L'!AC:AC,'Combined P&amp;L'!$C:$C,'P&amp;L Forecast'!$B19)</f>
        <v>0</v>
      </c>
      <c r="AF19" s="54">
        <f>SUMIFS('Combined P&amp;L'!AD:AD,'Combined P&amp;L'!$C:$C,'P&amp;L Forecast'!$B19)</f>
        <v>0</v>
      </c>
      <c r="AG19" s="54">
        <f>SUMIFS('Combined P&amp;L'!AE:AE,'Combined P&amp;L'!$C:$C,'P&amp;L Forecast'!$B19)</f>
        <v>0</v>
      </c>
      <c r="AH19" s="54">
        <f>SUMIFS('Combined P&amp;L'!AF:AF,'Combined P&amp;L'!$C:$C,'P&amp;L Forecast'!$B19)</f>
        <v>0</v>
      </c>
      <c r="AI19" s="54">
        <f>SUMIFS('Combined P&amp;L'!AG:AG,'Combined P&amp;L'!$C:$C,'P&amp;L Forecast'!$B19)</f>
        <v>0</v>
      </c>
      <c r="AJ19" s="54">
        <f>SUMIFS('Combined P&amp;L'!AH:AH,'Combined P&amp;L'!$C:$C,'P&amp;L Forecast'!$B19)</f>
        <v>0.875</v>
      </c>
      <c r="AK19" s="54">
        <f>SUMIFS('Combined P&amp;L'!AI:AI,'Combined P&amp;L'!$C:$C,'P&amp;L Forecast'!$B19)</f>
        <v>1.65</v>
      </c>
      <c r="AL19" s="54">
        <f>SUMIFS('Combined P&amp;L'!AJ:AJ,'Combined P&amp;L'!$C:$C,'P&amp;L Forecast'!$B19)</f>
        <v>0</v>
      </c>
      <c r="AM19" s="54">
        <f>SUMIFS('Combined P&amp;L'!AK:AK,'Combined P&amp;L'!$C:$C,'P&amp;L Forecast'!$B19)</f>
        <v>0.875</v>
      </c>
      <c r="AN19" s="54">
        <f>SUMIFS('Combined P&amp;L'!AL:AL,'Combined P&amp;L'!$C:$C,'P&amp;L Forecast'!$B19)</f>
        <v>0</v>
      </c>
      <c r="AO19" s="54">
        <f>SUMIFS('Combined P&amp;L'!AM:AM,'Combined P&amp;L'!$C:$C,'P&amp;L Forecast'!$B19)</f>
        <v>0</v>
      </c>
      <c r="AP19" s="54">
        <f>SUMIFS('Combined P&amp;L'!AN:AN,'Combined P&amp;L'!$C:$C,'P&amp;L Forecast'!$B19)</f>
        <v>14.19</v>
      </c>
      <c r="AQ19" s="54">
        <f>SUMIFS('Combined P&amp;L'!AO:AO,'Combined P&amp;L'!$C:$C,'P&amp;L Forecast'!$B19)</f>
        <v>6.625</v>
      </c>
      <c r="AR19" s="54">
        <f>SUMIFS('Combined P&amp;L'!AP:AP,'Combined P&amp;L'!$C:$C,'P&amp;L Forecast'!$B19)</f>
        <v>0</v>
      </c>
      <c r="AS19" s="54">
        <f>SUMIFS('Combined P&amp;L'!AQ:AQ,'Combined P&amp;L'!$C:$C,'P&amp;L Forecast'!$B19)</f>
        <v>3.1</v>
      </c>
      <c r="AT19" s="54">
        <f>SUMIFS('Combined P&amp;L'!AR:AR,'Combined P&amp;L'!$C:$C,'P&amp;L Forecast'!$B19)</f>
        <v>0</v>
      </c>
    </row>
    <row r="20" spans="2:46" ht="12" customHeight="1" x14ac:dyDescent="0.2">
      <c r="B20" s="58" t="s">
        <v>13</v>
      </c>
      <c r="C20" s="24">
        <f>SUMIFS($P20:$AT20,$P$5:$AT$5,"&gt;"&amp;C$172,$P$5:$AT$5,"&lt;"&amp;C$173)</f>
        <v>0.37469999999999998</v>
      </c>
      <c r="D20" s="24">
        <f>SUMIFS($P20:$AT20,$P$5:$AT$5,"&gt;"&amp;D$172,$P$5:$AT$5,"&lt;"&amp;D$173)</f>
        <v>1.1219399999999999</v>
      </c>
      <c r="E20" s="24"/>
      <c r="F20" s="24">
        <f>SUMIFS($P20:$AT20,$P$5:$AT$5,"&gt;"&amp;F$172,$P$5:$AT$5,"&lt;"&amp;F$173)</f>
        <v>0.78725000000000001</v>
      </c>
      <c r="G20" s="24">
        <f>SUMIFS($P20:$AT20,$P$5:$AT$5,"&gt;"&amp;G$172,$P$5:$AT$5,"&lt;"&amp;G$173)</f>
        <v>0.25783</v>
      </c>
      <c r="H20" s="24"/>
      <c r="I20" s="24">
        <f>SUMIFS($P20:$AT20,$P$5:$AT$5,"&gt;"&amp;I$172,$P$5:$AT$5,"&lt;"&amp;I$173)</f>
        <v>0.79723999999999995</v>
      </c>
      <c r="J20" s="24">
        <f>SUMIFS($P20:$AT20,$P$5:$AT$5,"&gt;"&amp;J$172,$P$5:$AT$5,"&lt;"&amp;J$173)</f>
        <v>0.88222999999999985</v>
      </c>
      <c r="K20" s="66">
        <f>+C121</f>
        <v>0</v>
      </c>
      <c r="L20" s="66"/>
      <c r="M20" s="24">
        <f>K20-J20</f>
        <v>-0.88222999999999985</v>
      </c>
      <c r="N20" s="90">
        <f t="shared" si="4"/>
        <v>-1</v>
      </c>
      <c r="O20" s="53"/>
      <c r="P20" s="54">
        <f>SUMIFS('Combined P&amp;L'!N:N,'Combined P&amp;L'!$C:$C,'P&amp;L Forecast'!$B20)</f>
        <v>0.05</v>
      </c>
      <c r="Q20" s="54">
        <f>SUMIFS('Combined P&amp;L'!O:O,'Combined P&amp;L'!$C:$C,'P&amp;L Forecast'!$B20)</f>
        <v>0</v>
      </c>
      <c r="R20" s="54">
        <f>SUMIFS('Combined P&amp;L'!P:P,'Combined P&amp;L'!$C:$C,'P&amp;L Forecast'!$B20)</f>
        <v>0</v>
      </c>
      <c r="S20" s="54">
        <f>SUMIFS('Combined P&amp;L'!Q:Q,'Combined P&amp;L'!$C:$C,'P&amp;L Forecast'!$B20)</f>
        <v>2.5000000000000001E-2</v>
      </c>
      <c r="T20" s="54">
        <f>SUMIFS('Combined P&amp;L'!R:R,'Combined P&amp;L'!$C:$C,'P&amp;L Forecast'!$B20)</f>
        <v>0</v>
      </c>
      <c r="U20" s="54">
        <f>SUMIFS('Combined P&amp;L'!S:S,'Combined P&amp;L'!$C:$C,'P&amp;L Forecast'!$B20)</f>
        <v>0</v>
      </c>
      <c r="V20" s="54">
        <f>SUMIFS('Combined P&amp;L'!T:T,'Combined P&amp;L'!$C:$C,'P&amp;L Forecast'!$B20)</f>
        <v>0.29969999999999997</v>
      </c>
      <c r="W20" s="54">
        <f>SUMIFS('Combined P&amp;L'!U:U,'Combined P&amp;L'!$C:$C,'P&amp;L Forecast'!$B20)</f>
        <v>0</v>
      </c>
      <c r="X20" s="54">
        <f>SUMIFS('Combined P&amp;L'!V:V,'Combined P&amp;L'!$C:$C,'P&amp;L Forecast'!$B20)</f>
        <v>0</v>
      </c>
      <c r="Y20" s="54">
        <f>SUMIFS('Combined P&amp;L'!W:W,'Combined P&amp;L'!$C:$C,'P&amp;L Forecast'!$B20)</f>
        <v>0</v>
      </c>
      <c r="Z20" s="54">
        <f>SUMIFS('Combined P&amp;L'!X:X,'Combined P&amp;L'!$C:$C,'P&amp;L Forecast'!$B20)</f>
        <v>0</v>
      </c>
      <c r="AA20" s="54">
        <f>SUMIFS('Combined P&amp;L'!Y:Y,'Combined P&amp;L'!$C:$C,'P&amp;L Forecast'!$B20)</f>
        <v>0</v>
      </c>
      <c r="AB20" s="54">
        <f>SUMIFS('Combined P&amp;L'!Z:Z,'Combined P&amp;L'!$C:$C,'P&amp;L Forecast'!$B20)</f>
        <v>2.5000000000000001E-2</v>
      </c>
      <c r="AC20" s="54">
        <f>SUMIFS('Combined P&amp;L'!AA:AA,'Combined P&amp;L'!$C:$C,'P&amp;L Forecast'!$B20)</f>
        <v>0.39960000000000001</v>
      </c>
      <c r="AD20" s="54">
        <f>SUMIFS('Combined P&amp;L'!AB:AB,'Combined P&amp;L'!$C:$C,'P&amp;L Forecast'!$B20)</f>
        <v>0</v>
      </c>
      <c r="AE20" s="54">
        <f>SUMIFS('Combined P&amp;L'!AC:AC,'Combined P&amp;L'!$C:$C,'P&amp;L Forecast'!$B20)</f>
        <v>0</v>
      </c>
      <c r="AF20" s="54">
        <f>SUMIFS('Combined P&amp;L'!AD:AD,'Combined P&amp;L'!$C:$C,'P&amp;L Forecast'!$B20)</f>
        <v>7.2939999999999991E-2</v>
      </c>
      <c r="AG20" s="54">
        <f>SUMIFS('Combined P&amp;L'!AE:AE,'Combined P&amp;L'!$C:$C,'P&amp;L Forecast'!$B20)</f>
        <v>0</v>
      </c>
      <c r="AH20" s="54">
        <f>SUMIFS('Combined P&amp;L'!AF:AF,'Combined P&amp;L'!$C:$C,'P&amp;L Forecast'!$B20)</f>
        <v>0.28970999999999997</v>
      </c>
      <c r="AI20" s="54">
        <f>SUMIFS('Combined P&amp;L'!AG:AG,'Combined P&amp;L'!$C:$C,'P&amp;L Forecast'!$B20)</f>
        <v>0.30969000000000002</v>
      </c>
      <c r="AJ20" s="54">
        <f>SUMIFS('Combined P&amp;L'!AH:AH,'Combined P&amp;L'!$C:$C,'P&amp;L Forecast'!$B20)</f>
        <v>0</v>
      </c>
      <c r="AK20" s="54">
        <f>SUMIFS('Combined P&amp;L'!AI:AI,'Combined P&amp;L'!$C:$C,'P&amp;L Forecast'!$B20)</f>
        <v>0</v>
      </c>
      <c r="AL20" s="54">
        <f>SUMIFS('Combined P&amp;L'!AJ:AJ,'Combined P&amp;L'!$C:$C,'P&amp;L Forecast'!$B20)</f>
        <v>0</v>
      </c>
      <c r="AM20" s="54">
        <f>SUMIFS('Combined P&amp;L'!AK:AK,'Combined P&amp;L'!$C:$C,'P&amp;L Forecast'!$B20)</f>
        <v>2.5000000000000001E-2</v>
      </c>
      <c r="AN20" s="54">
        <f>SUMIFS('Combined P&amp;L'!AL:AL,'Combined P&amp;L'!$C:$C,'P&amp;L Forecast'!$B20)</f>
        <v>0.15984000000000001</v>
      </c>
      <c r="AO20" s="54">
        <f>SUMIFS('Combined P&amp;L'!AM:AM,'Combined P&amp;L'!$C:$C,'P&amp;L Forecast'!$B20)</f>
        <v>0</v>
      </c>
      <c r="AP20" s="54">
        <f>SUMIFS('Combined P&amp;L'!AN:AN,'Combined P&amp;L'!$C:$C,'P&amp;L Forecast'!$B20)</f>
        <v>7.4999999999999997E-2</v>
      </c>
      <c r="AQ20" s="54">
        <f>SUMIFS('Combined P&amp;L'!AO:AO,'Combined P&amp;L'!$C:$C,'P&amp;L Forecast'!$B20)</f>
        <v>0</v>
      </c>
      <c r="AR20" s="54">
        <f>SUMIFS('Combined P&amp;L'!AP:AP,'Combined P&amp;L'!$C:$C,'P&amp;L Forecast'!$B20)</f>
        <v>0</v>
      </c>
      <c r="AS20" s="54">
        <f>SUMIFS('Combined P&amp;L'!AQ:AQ,'Combined P&amp;L'!$C:$C,'P&amp;L Forecast'!$B20)</f>
        <v>2.299E-2</v>
      </c>
      <c r="AT20" s="54">
        <f>SUMIFS('Combined P&amp;L'!AR:AR,'Combined P&amp;L'!$C:$C,'P&amp;L Forecast'!$B20)</f>
        <v>0</v>
      </c>
    </row>
    <row r="21" spans="2:46" ht="12" customHeight="1" x14ac:dyDescent="0.2">
      <c r="B21" s="58" t="s">
        <v>14</v>
      </c>
      <c r="C21" s="24">
        <f>SUMIFS($P21:$AT21,$P$5:$AT$5,"&gt;"&amp;C$172,$P$5:$AT$5,"&lt;"&amp;C$173)</f>
        <v>23.599999999999998</v>
      </c>
      <c r="D21" s="24">
        <f>SUMIFS($P21:$AT21,$P$5:$AT$5,"&gt;"&amp;D$172,$P$5:$AT$5,"&lt;"&amp;D$173)</f>
        <v>0.2</v>
      </c>
      <c r="E21" s="24"/>
      <c r="F21" s="24">
        <f>SUMIFS($P21:$AT21,$P$5:$AT$5,"&gt;"&amp;F$172,$P$5:$AT$5,"&lt;"&amp;F$173)</f>
        <v>0.2</v>
      </c>
      <c r="G21" s="24">
        <f>SUMIFS($P21:$AT21,$P$5:$AT$5,"&gt;"&amp;G$172,$P$5:$AT$5,"&lt;"&amp;G$173)</f>
        <v>0</v>
      </c>
      <c r="H21" s="24"/>
      <c r="I21" s="24">
        <f>SUMIFS($P21:$AT21,$P$5:$AT$5,"&gt;"&amp;I$172,$P$5:$AT$5,"&lt;"&amp;I$173)</f>
        <v>16.735000000000003</v>
      </c>
      <c r="J21" s="24">
        <f>SUMIFS($P21:$AT21,$P$5:$AT$5,"&gt;"&amp;J$172,$P$5:$AT$5,"&lt;"&amp;J$173)</f>
        <v>0</v>
      </c>
      <c r="K21" s="66">
        <f>+C122</f>
        <v>0</v>
      </c>
      <c r="L21" s="66"/>
      <c r="M21" s="24">
        <f>K21-J21</f>
        <v>0</v>
      </c>
      <c r="N21" s="90">
        <f t="shared" si="4"/>
        <v>0</v>
      </c>
      <c r="O21" s="53"/>
      <c r="P21" s="54">
        <f>SUMIFS('Combined P&amp;L'!N:N,'Combined P&amp;L'!$C:$C,'P&amp;L Forecast'!$B21)</f>
        <v>0.5</v>
      </c>
      <c r="Q21" s="54">
        <f>SUMIFS('Combined P&amp;L'!O:O,'Combined P&amp;L'!$C:$C,'P&amp;L Forecast'!$B21)</f>
        <v>3</v>
      </c>
      <c r="R21" s="54">
        <f>SUMIFS('Combined P&amp;L'!P:P,'Combined P&amp;L'!$C:$C,'P&amp;L Forecast'!$B21)</f>
        <v>0</v>
      </c>
      <c r="S21" s="54">
        <f>SUMIFS('Combined P&amp;L'!Q:Q,'Combined P&amp;L'!$C:$C,'P&amp;L Forecast'!$B21)</f>
        <v>0</v>
      </c>
      <c r="T21" s="54">
        <f>SUMIFS('Combined P&amp;L'!R:R,'Combined P&amp;L'!$C:$C,'P&amp;L Forecast'!$B21)</f>
        <v>3</v>
      </c>
      <c r="U21" s="54">
        <f>SUMIFS('Combined P&amp;L'!S:S,'Combined P&amp;L'!$C:$C,'P&amp;L Forecast'!$B21)</f>
        <v>0.56499999999999995</v>
      </c>
      <c r="V21" s="54">
        <f>SUMIFS('Combined P&amp;L'!T:T,'Combined P&amp;L'!$C:$C,'P&amp;L Forecast'!$B21)</f>
        <v>10.5</v>
      </c>
      <c r="W21" s="54">
        <f>SUMIFS('Combined P&amp;L'!U:U,'Combined P&amp;L'!$C:$C,'P&amp;L Forecast'!$B21)</f>
        <v>6.5</v>
      </c>
      <c r="X21" s="54">
        <f>SUMIFS('Combined P&amp;L'!V:V,'Combined P&amp;L'!$C:$C,'P&amp;L Forecast'!$B21)</f>
        <v>0.5</v>
      </c>
      <c r="Y21" s="54">
        <f>SUMIFS('Combined P&amp;L'!W:W,'Combined P&amp;L'!$C:$C,'P&amp;L Forecast'!$B21)</f>
        <v>-0.96499999999999997</v>
      </c>
      <c r="Z21" s="54">
        <f>SUMIFS('Combined P&amp;L'!X:X,'Combined P&amp;L'!$C:$C,'P&amp;L Forecast'!$B21)</f>
        <v>0</v>
      </c>
      <c r="AA21" s="54">
        <f>SUMIFS('Combined P&amp;L'!Y:Y,'Combined P&amp;L'!$C:$C,'P&amp;L Forecast'!$B21)</f>
        <v>0</v>
      </c>
      <c r="AB21" s="54">
        <f>SUMIFS('Combined P&amp;L'!Z:Z,'Combined P&amp;L'!$C:$C,'P&amp;L Forecast'!$B21)</f>
        <v>0.1</v>
      </c>
      <c r="AC21" s="54">
        <f>SUMIFS('Combined P&amp;L'!AA:AA,'Combined P&amp;L'!$C:$C,'P&amp;L Forecast'!$B21)</f>
        <v>0</v>
      </c>
      <c r="AD21" s="54">
        <f>SUMIFS('Combined P&amp;L'!AB:AB,'Combined P&amp;L'!$C:$C,'P&amp;L Forecast'!$B21)</f>
        <v>0.1</v>
      </c>
      <c r="AE21" s="54">
        <f>SUMIFS('Combined P&amp;L'!AC:AC,'Combined P&amp;L'!$C:$C,'P&amp;L Forecast'!$B21)</f>
        <v>0</v>
      </c>
      <c r="AF21" s="54">
        <f>SUMIFS('Combined P&amp;L'!AD:AD,'Combined P&amp;L'!$C:$C,'P&amp;L Forecast'!$B21)</f>
        <v>0</v>
      </c>
      <c r="AG21" s="54">
        <f>SUMIFS('Combined P&amp;L'!AE:AE,'Combined P&amp;L'!$C:$C,'P&amp;L Forecast'!$B21)</f>
        <v>0</v>
      </c>
      <c r="AH21" s="54">
        <f>SUMIFS('Combined P&amp;L'!AF:AF,'Combined P&amp;L'!$C:$C,'P&amp;L Forecast'!$B21)</f>
        <v>0</v>
      </c>
      <c r="AI21" s="54">
        <f>SUMIFS('Combined P&amp;L'!AG:AG,'Combined P&amp;L'!$C:$C,'P&amp;L Forecast'!$B21)</f>
        <v>0</v>
      </c>
      <c r="AJ21" s="54">
        <f>SUMIFS('Combined P&amp;L'!AH:AH,'Combined P&amp;L'!$C:$C,'P&amp;L Forecast'!$B21)</f>
        <v>0</v>
      </c>
      <c r="AK21" s="54">
        <f>SUMIFS('Combined P&amp;L'!AI:AI,'Combined P&amp;L'!$C:$C,'P&amp;L Forecast'!$B21)</f>
        <v>0</v>
      </c>
      <c r="AL21" s="54">
        <f>SUMIFS('Combined P&amp;L'!AJ:AJ,'Combined P&amp;L'!$C:$C,'P&amp;L Forecast'!$B21)</f>
        <v>0</v>
      </c>
      <c r="AM21" s="54">
        <f>SUMIFS('Combined P&amp;L'!AK:AK,'Combined P&amp;L'!$C:$C,'P&amp;L Forecast'!$B21)</f>
        <v>0</v>
      </c>
      <c r="AN21" s="54">
        <f>SUMIFS('Combined P&amp;L'!AL:AL,'Combined P&amp;L'!$C:$C,'P&amp;L Forecast'!$B21)</f>
        <v>0</v>
      </c>
      <c r="AO21" s="54">
        <f>SUMIFS('Combined P&amp;L'!AM:AM,'Combined P&amp;L'!$C:$C,'P&amp;L Forecast'!$B21)</f>
        <v>0</v>
      </c>
      <c r="AP21" s="54">
        <f>SUMIFS('Combined P&amp;L'!AN:AN,'Combined P&amp;L'!$C:$C,'P&amp;L Forecast'!$B21)</f>
        <v>0</v>
      </c>
      <c r="AQ21" s="54">
        <f>SUMIFS('Combined P&amp;L'!AO:AO,'Combined P&amp;L'!$C:$C,'P&amp;L Forecast'!$B21)</f>
        <v>0</v>
      </c>
      <c r="AR21" s="54">
        <f>SUMIFS('Combined P&amp;L'!AP:AP,'Combined P&amp;L'!$C:$C,'P&amp;L Forecast'!$B21)</f>
        <v>0</v>
      </c>
      <c r="AS21" s="54">
        <f>SUMIFS('Combined P&amp;L'!AQ:AQ,'Combined P&amp;L'!$C:$C,'P&amp;L Forecast'!$B21)</f>
        <v>0</v>
      </c>
      <c r="AT21" s="54">
        <f>SUMIFS('Combined P&amp;L'!AR:AR,'Combined P&amp;L'!$C:$C,'P&amp;L Forecast'!$B21)</f>
        <v>0</v>
      </c>
    </row>
    <row r="22" spans="2:46" ht="12" customHeight="1" x14ac:dyDescent="0.2">
      <c r="B22" s="59" t="s">
        <v>287</v>
      </c>
      <c r="C22" s="60">
        <f>SUM(C17:C21)</f>
        <v>40.650100000000002</v>
      </c>
      <c r="D22" s="60">
        <f>SUM(D17:D21)</f>
        <v>51.533730000000006</v>
      </c>
      <c r="F22" s="60">
        <f t="shared" ref="F22:G22" si="5">SUM(F17:F21)</f>
        <v>38.982199999999999</v>
      </c>
      <c r="G22" s="60">
        <f t="shared" si="5"/>
        <v>70.953709999999987</v>
      </c>
      <c r="I22" s="60">
        <f t="shared" ref="I22:M22" si="6">SUM(I17:I21)</f>
        <v>59.000119999999995</v>
      </c>
      <c r="J22" s="60">
        <f t="shared" si="6"/>
        <v>84.754819999999995</v>
      </c>
      <c r="K22" s="60">
        <f t="shared" si="6"/>
        <v>26.836220000000001</v>
      </c>
      <c r="L22" s="72"/>
      <c r="M22" s="60">
        <f t="shared" si="6"/>
        <v>-57.918600000000005</v>
      </c>
      <c r="N22" s="91">
        <f t="shared" si="4"/>
        <v>-0.68336644452787465</v>
      </c>
      <c r="P22" s="60">
        <f t="shared" ref="P22" si="7">SUM(P17:P21)</f>
        <v>7.5636000000000001</v>
      </c>
      <c r="Q22" s="60">
        <f t="shared" ref="Q22" si="8">SUM(Q17:Q21)</f>
        <v>6.5111999999999997</v>
      </c>
      <c r="R22" s="60">
        <f t="shared" ref="R22" si="9">SUM(R17:R21)</f>
        <v>0.1162</v>
      </c>
      <c r="S22" s="60">
        <f t="shared" ref="S22" si="10">SUM(S17:S21)</f>
        <v>0.1406</v>
      </c>
      <c r="T22" s="60">
        <f t="shared" ref="T22" si="11">SUM(T17:T21)</f>
        <v>3.5920000000000001</v>
      </c>
      <c r="U22" s="60">
        <f t="shared" ref="U22" si="12">SUM(U17:U21)</f>
        <v>1.3717999999999999</v>
      </c>
      <c r="V22" s="60">
        <f t="shared" ref="V22" si="13">SUM(V17:V21)</f>
        <v>11.465299999999999</v>
      </c>
      <c r="W22" s="60">
        <f t="shared" ref="W22" si="14">SUM(W17:W21)</f>
        <v>7.3414000000000001</v>
      </c>
      <c r="X22" s="60">
        <f t="shared" ref="X22" si="15">SUM(X17:X21)</f>
        <v>1.8808</v>
      </c>
      <c r="Y22" s="60">
        <f t="shared" ref="Y22" si="16">SUM(Y17:Y21)</f>
        <v>-0.10460000000000003</v>
      </c>
      <c r="Z22" s="60">
        <f t="shared" ref="Z22" si="17">SUM(Z17:Z21)</f>
        <v>0.52500000000000002</v>
      </c>
      <c r="AA22" s="60">
        <f t="shared" ref="AA22" si="18">SUM(AA17:AA21)</f>
        <v>0.24680000000000002</v>
      </c>
      <c r="AB22" s="60">
        <f t="shared" ref="AB22" si="19">SUM(AB17:AB21)</f>
        <v>20.968399999999999</v>
      </c>
      <c r="AC22" s="60">
        <f t="shared" ref="AC22" si="20">SUM(AC17:AC21)</f>
        <v>11.607949999999999</v>
      </c>
      <c r="AD22" s="60">
        <f t="shared" ref="AD22" si="21">SUM(AD17:AD21)</f>
        <v>1.1283300000000001</v>
      </c>
      <c r="AE22" s="60">
        <f t="shared" ref="AE22" si="22">SUM(AE17:AE21)</f>
        <v>1.1956</v>
      </c>
      <c r="AF22" s="60">
        <f t="shared" ref="AF22" si="23">SUM(AF17:AF21)</f>
        <v>1.0338699999999998</v>
      </c>
      <c r="AG22" s="60">
        <f t="shared" ref="AG22" si="24">SUM(AG17:AG21)</f>
        <v>1.7112700000000001</v>
      </c>
      <c r="AH22" s="60">
        <f t="shared" ref="AH22" si="25">SUM(AH17:AH21)</f>
        <v>1.3367799999999999</v>
      </c>
      <c r="AI22" s="60">
        <f t="shared" ref="AI22" si="26">SUM(AI17:AI21)</f>
        <v>2.3805699999999996</v>
      </c>
      <c r="AJ22" s="60">
        <f t="shared" ref="AJ22" si="27">SUM(AJ17:AJ21)</f>
        <v>2.04121</v>
      </c>
      <c r="AK22" s="60">
        <f t="shared" ref="AK22" si="28">SUM(AK17:AK21)</f>
        <v>3.6642399999999999</v>
      </c>
      <c r="AL22" s="60">
        <f t="shared" ref="AL22" si="29">SUM(AL17:AL21)</f>
        <v>1.29758</v>
      </c>
      <c r="AM22" s="60">
        <f t="shared" ref="AM22" si="30">SUM(AM17:AM21)</f>
        <v>3.1679299999999997</v>
      </c>
      <c r="AN22" s="60">
        <f t="shared" ref="AN22" si="31">SUM(AN17:AN21)</f>
        <v>8.9426800000000011</v>
      </c>
      <c r="AO22" s="60">
        <f t="shared" ref="AO22" si="32">SUM(AO17:AO21)</f>
        <v>33.510510000000004</v>
      </c>
      <c r="AP22" s="60">
        <f t="shared" ref="AP22" si="33">SUM(AP17:AP21)</f>
        <v>15.752599999999999</v>
      </c>
      <c r="AQ22" s="60">
        <f t="shared" ref="AQ22" si="34">SUM(AQ17:AQ21)</f>
        <v>8.2833600000000001</v>
      </c>
      <c r="AR22" s="60">
        <f t="shared" ref="AR22" si="35">SUM(AR17:AR21)</f>
        <v>0.66824000000000006</v>
      </c>
      <c r="AS22" s="60">
        <f t="shared" ref="AS22" si="36">SUM(AS17:AS21)</f>
        <v>3.7091200000000004</v>
      </c>
      <c r="AT22" s="60">
        <f t="shared" ref="AT22" si="37">SUM(AT17:AT21)</f>
        <v>8.72E-2</v>
      </c>
    </row>
    <row r="23" spans="2:46" ht="5.0999999999999996" customHeight="1" x14ac:dyDescent="0.2"/>
    <row r="24" spans="2:46" x14ac:dyDescent="0.2">
      <c r="B24" s="61" t="s">
        <v>262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1671.0211999999999</v>
      </c>
      <c r="I24" s="64">
        <f>+I22+I15</f>
        <v>1473.71192</v>
      </c>
      <c r="J24" s="62">
        <f>+J22+J15</f>
        <v>2456.4861600000004</v>
      </c>
      <c r="K24" s="63">
        <f>+K22+K15</f>
        <v>3073.2855200000004</v>
      </c>
      <c r="L24" s="72"/>
      <c r="M24" s="64">
        <f>+M22+M15</f>
        <v>616.79936000000009</v>
      </c>
      <c r="N24" s="89">
        <f>IFERROR(K24/J24-1,0)</f>
        <v>0.25109010180623192</v>
      </c>
      <c r="P24" s="64">
        <f t="shared" ref="P24:AT24" si="38">+P22+P15</f>
        <v>80.9131</v>
      </c>
      <c r="Q24" s="62">
        <f t="shared" si="38"/>
        <v>81.255700000000004</v>
      </c>
      <c r="R24" s="62">
        <f t="shared" si="38"/>
        <v>78.112200000000001</v>
      </c>
      <c r="S24" s="62">
        <f t="shared" si="38"/>
        <v>83.35329999999999</v>
      </c>
      <c r="T24" s="62">
        <f t="shared" si="38"/>
        <v>90.196150000000017</v>
      </c>
      <c r="U24" s="62">
        <f t="shared" si="38"/>
        <v>89.915800000000004</v>
      </c>
      <c r="V24" s="62">
        <f t="shared" si="38"/>
        <v>104.68205</v>
      </c>
      <c r="W24" s="62">
        <f t="shared" si="38"/>
        <v>104.11675</v>
      </c>
      <c r="X24" s="62">
        <f t="shared" si="38"/>
        <v>98.372749999999996</v>
      </c>
      <c r="Y24" s="62">
        <f t="shared" si="38"/>
        <v>99.05889999999998</v>
      </c>
      <c r="Z24" s="62">
        <f t="shared" si="38"/>
        <v>109.2373</v>
      </c>
      <c r="AA24" s="62">
        <f t="shared" si="38"/>
        <v>115.75185000000002</v>
      </c>
      <c r="AB24" s="62">
        <f t="shared" si="38"/>
        <v>138.66254999999998</v>
      </c>
      <c r="AC24" s="62">
        <f t="shared" si="38"/>
        <v>127.8026</v>
      </c>
      <c r="AD24" s="62">
        <f t="shared" si="38"/>
        <v>134.67543000000001</v>
      </c>
      <c r="AE24" s="62">
        <f t="shared" si="38"/>
        <v>135.97560000000001</v>
      </c>
      <c r="AF24" s="62">
        <f t="shared" si="38"/>
        <v>152.05112</v>
      </c>
      <c r="AG24" s="62">
        <f t="shared" si="38"/>
        <v>153.32501999999999</v>
      </c>
      <c r="AH24" s="62">
        <f t="shared" si="38"/>
        <v>155.38077999999999</v>
      </c>
      <c r="AI24" s="62">
        <f t="shared" si="38"/>
        <v>159.87331999999998</v>
      </c>
      <c r="AJ24" s="62">
        <f t="shared" si="38"/>
        <v>163.99921000000001</v>
      </c>
      <c r="AK24" s="62">
        <f t="shared" si="38"/>
        <v>179.24424000000002</v>
      </c>
      <c r="AL24" s="62">
        <f t="shared" si="38"/>
        <v>181.69058000000004</v>
      </c>
      <c r="AM24" s="62">
        <f t="shared" si="38"/>
        <v>196.70267999999999</v>
      </c>
      <c r="AN24" s="62">
        <f t="shared" si="38"/>
        <v>212.18599999999995</v>
      </c>
      <c r="AO24" s="62">
        <f t="shared" si="38"/>
        <v>241.89637999999999</v>
      </c>
      <c r="AP24" s="62">
        <f t="shared" si="38"/>
        <v>231.49535</v>
      </c>
      <c r="AQ24" s="62">
        <f t="shared" si="38"/>
        <v>240.31947</v>
      </c>
      <c r="AR24" s="62">
        <f t="shared" si="38"/>
        <v>246.19884999999996</v>
      </c>
      <c r="AS24" s="62">
        <f t="shared" si="38"/>
        <v>247.49930000000001</v>
      </c>
      <c r="AT24" s="63">
        <f t="shared" si="38"/>
        <v>251.42585000000003</v>
      </c>
    </row>
    <row r="25" spans="2:46" ht="3.95" customHeight="1" x14ac:dyDescent="0.2"/>
    <row r="26" spans="2:46" x14ac:dyDescent="0.2">
      <c r="B26" s="43" t="s">
        <v>49</v>
      </c>
      <c r="C26" s="44"/>
      <c r="D26" s="44"/>
      <c r="E26" s="6"/>
      <c r="F26" s="44"/>
      <c r="G26" s="44"/>
      <c r="H26" s="6"/>
      <c r="I26" s="44"/>
      <c r="J26" s="44"/>
      <c r="K26" s="44"/>
      <c r="L26" s="6"/>
      <c r="M26" s="44"/>
      <c r="N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</row>
    <row r="27" spans="2:46" s="14" customFormat="1" x14ac:dyDescent="0.2">
      <c r="B27" s="57" t="s">
        <v>63</v>
      </c>
      <c r="C27" s="24">
        <f>SUMIFS($P27:$AT27,$P$5:$AT$5,"&gt;"&amp;C$172,$P$5:$AT$5,"&lt;"&amp;C$173)</f>
        <v>101.37520000000001</v>
      </c>
      <c r="D27" s="24">
        <f>SUMIFS($P27:$AT27,$P$5:$AT$5,"&gt;"&amp;D$172,$P$5:$AT$5,"&lt;"&amp;D$173)</f>
        <v>281.24054000000001</v>
      </c>
      <c r="E27" s="24"/>
      <c r="F27" s="24">
        <f>SUMIFS($P27:$AT27,$P$5:$AT$5,"&gt;"&amp;F$172,$P$5:$AT$5,"&lt;"&amp;F$173)</f>
        <v>136.29648</v>
      </c>
      <c r="G27" s="24">
        <f>SUMIFS($P27:$AT27,$P$5:$AT$5,"&gt;"&amp;G$172,$P$5:$AT$5,"&lt;"&amp;G$173)</f>
        <v>357.27472</v>
      </c>
      <c r="H27" s="24"/>
      <c r="I27" s="24">
        <f>SUMIFS($P27:$AT27,$P$5:$AT$5,"&gt;"&amp;I$172,$P$5:$AT$5,"&lt;"&amp;I$173)</f>
        <v>184.76374000000001</v>
      </c>
      <c r="J27" s="24">
        <f>SUMIFS($P27:$AT27,$P$5:$AT$5,"&gt;"&amp;J$172,$P$5:$AT$5,"&lt;"&amp;J$173)</f>
        <v>466.92603999999994</v>
      </c>
      <c r="K27" s="66">
        <f>+C126</f>
        <v>694.74455999999998</v>
      </c>
      <c r="L27" s="66"/>
      <c r="M27" s="24">
        <f t="shared" ref="M27:M34" si="39">+J27-K27</f>
        <v>-227.81852000000003</v>
      </c>
      <c r="N27" s="67">
        <f t="shared" ref="N27:N36" si="40">IFERROR(K27/J27-1,0)</f>
        <v>0.48791136172229765</v>
      </c>
      <c r="O27" s="53"/>
      <c r="P27" s="54">
        <f>SUMIFS('Combined P&amp;L'!N:N,'Combined P&amp;L'!$C:$C,'P&amp;L Forecast'!$B27)</f>
        <v>3.0934599999999999</v>
      </c>
      <c r="Q27" s="54">
        <f>SUMIFS('Combined P&amp;L'!O:O,'Combined P&amp;L'!$C:$C,'P&amp;L Forecast'!$B27)</f>
        <v>4.6301699999999997</v>
      </c>
      <c r="R27" s="54">
        <f>SUMIFS('Combined P&amp;L'!P:P,'Combined P&amp;L'!$C:$C,'P&amp;L Forecast'!$B27)</f>
        <v>4.3950699999999996</v>
      </c>
      <c r="S27" s="54">
        <f>SUMIFS('Combined P&amp;L'!Q:Q,'Combined P&amp;L'!$C:$C,'P&amp;L Forecast'!$B27)</f>
        <v>5.8638699999999995</v>
      </c>
      <c r="T27" s="54">
        <f>SUMIFS('Combined P&amp;L'!R:R,'Combined P&amp;L'!$C:$C,'P&amp;L Forecast'!$B27)</f>
        <v>7.3723299999999998</v>
      </c>
      <c r="U27" s="54">
        <f>SUMIFS('Combined P&amp;L'!S:S,'Combined P&amp;L'!$C:$C,'P&amp;L Forecast'!$B27)</f>
        <v>4.9503999999999992</v>
      </c>
      <c r="V27" s="54">
        <f>SUMIFS('Combined P&amp;L'!T:T,'Combined P&amp;L'!$C:$C,'P&amp;L Forecast'!$B27)</f>
        <v>4.9503999999999992</v>
      </c>
      <c r="W27" s="54">
        <f>SUMIFS('Combined P&amp;L'!U:U,'Combined P&amp;L'!$C:$C,'P&amp;L Forecast'!$B27)</f>
        <v>4.7003500000000003</v>
      </c>
      <c r="X27" s="54">
        <f>SUMIFS('Combined P&amp;L'!V:V,'Combined P&amp;L'!$C:$C,'P&amp;L Forecast'!$B27)</f>
        <v>4.9503999999999992</v>
      </c>
      <c r="Y27" s="54">
        <f>SUMIFS('Combined P&amp;L'!W:W,'Combined P&amp;L'!$C:$C,'P&amp;L Forecast'!$B27)</f>
        <v>5.9998699999999996</v>
      </c>
      <c r="Z27" s="54">
        <f>SUMIFS('Combined P&amp;L'!X:X,'Combined P&amp;L'!$C:$C,'P&amp;L Forecast'!$B27)</f>
        <v>26.028759999999998</v>
      </c>
      <c r="AA27" s="54">
        <f>SUMIFS('Combined P&amp;L'!Y:Y,'Combined P&amp;L'!$C:$C,'P&amp;L Forecast'!$B27)</f>
        <v>24.44012</v>
      </c>
      <c r="AB27" s="54">
        <f>SUMIFS('Combined P&amp;L'!Z:Z,'Combined P&amp;L'!$C:$C,'P&amp;L Forecast'!$B27)</f>
        <v>21.052340000000001</v>
      </c>
      <c r="AC27" s="54">
        <f>SUMIFS('Combined P&amp;L'!AA:AA,'Combined P&amp;L'!$C:$C,'P&amp;L Forecast'!$B27)</f>
        <v>19.916029999999999</v>
      </c>
      <c r="AD27" s="54">
        <f>SUMIFS('Combined P&amp;L'!AB:AB,'Combined P&amp;L'!$C:$C,'P&amp;L Forecast'!$B27)</f>
        <v>11.743870000000001</v>
      </c>
      <c r="AE27" s="54">
        <f>SUMIFS('Combined P&amp;L'!AC:AC,'Combined P&amp;L'!$C:$C,'P&amp;L Forecast'!$B27)</f>
        <v>19.617919999999998</v>
      </c>
      <c r="AF27" s="54">
        <f>SUMIFS('Combined P&amp;L'!AD:AD,'Combined P&amp;L'!$C:$C,'P&amp;L Forecast'!$B27)</f>
        <v>20.669779999999999</v>
      </c>
      <c r="AG27" s="54">
        <f>SUMIFS('Combined P&amp;L'!AE:AE,'Combined P&amp;L'!$C:$C,'P&amp;L Forecast'!$B27)</f>
        <v>20.693900000000003</v>
      </c>
      <c r="AH27" s="54">
        <f>SUMIFS('Combined P&amp;L'!AF:AF,'Combined P&amp;L'!$C:$C,'P&amp;L Forecast'!$B27)</f>
        <v>22.602640000000001</v>
      </c>
      <c r="AI27" s="54">
        <f>SUMIFS('Combined P&amp;L'!AG:AG,'Combined P&amp;L'!$C:$C,'P&amp;L Forecast'!$B27)</f>
        <v>19.961279999999999</v>
      </c>
      <c r="AJ27" s="54">
        <f>SUMIFS('Combined P&amp;L'!AH:AH,'Combined P&amp;L'!$C:$C,'P&amp;L Forecast'!$B27)</f>
        <v>27.605630000000001</v>
      </c>
      <c r="AK27" s="54">
        <f>SUMIFS('Combined P&amp;L'!AI:AI,'Combined P&amp;L'!$C:$C,'P&amp;L Forecast'!$B27)</f>
        <v>34.185890000000001</v>
      </c>
      <c r="AL27" s="54">
        <f>SUMIFS('Combined P&amp;L'!AJ:AJ,'Combined P&amp;L'!$C:$C,'P&amp;L Forecast'!$B27)</f>
        <v>29.731570000000001</v>
      </c>
      <c r="AM27" s="54">
        <f>SUMIFS('Combined P&amp;L'!AK:AK,'Combined P&amp;L'!$C:$C,'P&amp;L Forecast'!$B27)</f>
        <v>33.459690000000002</v>
      </c>
      <c r="AN27" s="54">
        <f>SUMIFS('Combined P&amp;L'!AL:AL,'Combined P&amp;L'!$C:$C,'P&amp;L Forecast'!$B27)</f>
        <v>36.253599999999999</v>
      </c>
      <c r="AO27" s="54">
        <f>SUMIFS('Combined P&amp;L'!AM:AM,'Combined P&amp;L'!$C:$C,'P&amp;L Forecast'!$B27)</f>
        <v>33.607510000000005</v>
      </c>
      <c r="AP27" s="54">
        <f>SUMIFS('Combined P&amp;L'!AN:AN,'Combined P&amp;L'!$C:$C,'P&amp;L Forecast'!$B27)</f>
        <v>57.199239999999996</v>
      </c>
      <c r="AQ27" s="54">
        <f>SUMIFS('Combined P&amp;L'!AO:AO,'Combined P&amp;L'!$C:$C,'P&amp;L Forecast'!$B27)</f>
        <v>58.245950000000001</v>
      </c>
      <c r="AR27" s="54">
        <f>SUMIFS('Combined P&amp;L'!AP:AP,'Combined P&amp;L'!$C:$C,'P&amp;L Forecast'!$B27)</f>
        <v>54.069230000000005</v>
      </c>
      <c r="AS27" s="54">
        <f>SUMIFS('Combined P&amp;L'!AQ:AQ,'Combined P&amp;L'!$C:$C,'P&amp;L Forecast'!$B27)</f>
        <v>60.003809999999994</v>
      </c>
      <c r="AT27" s="54">
        <f>SUMIFS('Combined P&amp;L'!AR:AR,'Combined P&amp;L'!$C:$C,'P&amp;L Forecast'!$B27)</f>
        <v>57.895379999999996</v>
      </c>
    </row>
    <row r="28" spans="2:46" x14ac:dyDescent="0.2">
      <c r="B28" s="58" t="s">
        <v>34</v>
      </c>
      <c r="C28" s="24">
        <f>SUMIFS($P28:$AT28,$P$5:$AT$5,"&gt;"&amp;C$172,$P$5:$AT$5,"&lt;"&amp;C$173)</f>
        <v>183.36902999999998</v>
      </c>
      <c r="D28" s="24">
        <f>SUMIFS($P28:$AT28,$P$5:$AT$5,"&gt;"&amp;D$172,$P$5:$AT$5,"&lt;"&amp;D$173)</f>
        <v>316.18462</v>
      </c>
      <c r="E28" s="24"/>
      <c r="F28" s="24">
        <f>SUMIFS($P28:$AT28,$P$5:$AT$5,"&gt;"&amp;F$172,$P$5:$AT$5,"&lt;"&amp;F$173)</f>
        <v>147.26813000000001</v>
      </c>
      <c r="G28" s="24">
        <f>SUMIFS($P28:$AT28,$P$5:$AT$5,"&gt;"&amp;G$172,$P$5:$AT$5,"&lt;"&amp;G$173)</f>
        <v>267.75739999999996</v>
      </c>
      <c r="H28" s="24"/>
      <c r="I28" s="24">
        <f>SUMIFS($P28:$AT28,$P$5:$AT$5,"&gt;"&amp;I$172,$P$5:$AT$5,"&lt;"&amp;I$173)</f>
        <v>226.32031000000001</v>
      </c>
      <c r="J28" s="24">
        <f>SUMIFS($P28:$AT28,$P$5:$AT$5,"&gt;"&amp;J$172,$P$5:$AT$5,"&lt;"&amp;J$173)</f>
        <v>420.09519999999998</v>
      </c>
      <c r="K28" s="66">
        <f>+C127</f>
        <v>533.85120000000006</v>
      </c>
      <c r="L28" s="66"/>
      <c r="M28" s="24">
        <f t="shared" si="39"/>
        <v>-113.75600000000009</v>
      </c>
      <c r="N28" s="67">
        <f t="shared" si="40"/>
        <v>0.27078624083303038</v>
      </c>
      <c r="O28" s="53"/>
      <c r="P28" s="54">
        <f>SUMIFS('Combined P&amp;L'!N:N,'Combined P&amp;L'!$C:$C,'P&amp;L Forecast'!$B28)</f>
        <v>9.5549999999999997</v>
      </c>
      <c r="Q28" s="54">
        <f>SUMIFS('Combined P&amp;L'!O:O,'Combined P&amp;L'!$C:$C,'P&amp;L Forecast'!$B28)</f>
        <v>9.5549999999999997</v>
      </c>
      <c r="R28" s="54">
        <f>SUMIFS('Combined P&amp;L'!P:P,'Combined P&amp;L'!$C:$C,'P&amp;L Forecast'!$B28)</f>
        <v>10.397200000000002</v>
      </c>
      <c r="S28" s="54">
        <f>SUMIFS('Combined P&amp;L'!Q:Q,'Combined P&amp;L'!$C:$C,'P&amp;L Forecast'!$B28)</f>
        <v>14.99967</v>
      </c>
      <c r="T28" s="54">
        <f>SUMIFS('Combined P&amp;L'!R:R,'Combined P&amp;L'!$C:$C,'P&amp;L Forecast'!$B28)</f>
        <v>18.009799999999998</v>
      </c>
      <c r="U28" s="54">
        <f>SUMIFS('Combined P&amp;L'!S:S,'Combined P&amp;L'!$C:$C,'P&amp;L Forecast'!$B28)</f>
        <v>13.89127</v>
      </c>
      <c r="V28" s="54">
        <f>SUMIFS('Combined P&amp;L'!T:T,'Combined P&amp;L'!$C:$C,'P&amp;L Forecast'!$B28)</f>
        <v>14.04824</v>
      </c>
      <c r="W28" s="54">
        <f>SUMIFS('Combined P&amp;L'!U:U,'Combined P&amp;L'!$C:$C,'P&amp;L Forecast'!$B28)</f>
        <v>13.39091</v>
      </c>
      <c r="X28" s="54">
        <f>SUMIFS('Combined P&amp;L'!V:V,'Combined P&amp;L'!$C:$C,'P&amp;L Forecast'!$B28)</f>
        <v>14.669309999999999</v>
      </c>
      <c r="Y28" s="54">
        <f>SUMIFS('Combined P&amp;L'!W:W,'Combined P&amp;L'!$C:$C,'P&amp;L Forecast'!$B28)</f>
        <v>15.882530000000001</v>
      </c>
      <c r="Z28" s="54">
        <f>SUMIFS('Combined P&amp;L'!X:X,'Combined P&amp;L'!$C:$C,'P&amp;L Forecast'!$B28)</f>
        <v>27.188669999999998</v>
      </c>
      <c r="AA28" s="54">
        <f>SUMIFS('Combined P&amp;L'!Y:Y,'Combined P&amp;L'!$C:$C,'P&amp;L Forecast'!$B28)</f>
        <v>21.78143</v>
      </c>
      <c r="AB28" s="54">
        <f>SUMIFS('Combined P&amp;L'!Z:Z,'Combined P&amp;L'!$C:$C,'P&amp;L Forecast'!$B28)</f>
        <v>19.402330000000003</v>
      </c>
      <c r="AC28" s="54">
        <f>SUMIFS('Combined P&amp;L'!AA:AA,'Combined P&amp;L'!$C:$C,'P&amp;L Forecast'!$B28)</f>
        <v>16.40053</v>
      </c>
      <c r="AD28" s="54">
        <f>SUMIFS('Combined P&amp;L'!AB:AB,'Combined P&amp;L'!$C:$C,'P&amp;L Forecast'!$B28)</f>
        <v>19.569830000000003</v>
      </c>
      <c r="AE28" s="54">
        <f>SUMIFS('Combined P&amp;L'!AC:AC,'Combined P&amp;L'!$C:$C,'P&amp;L Forecast'!$B28)</f>
        <v>22.154199999999999</v>
      </c>
      <c r="AF28" s="54">
        <f>SUMIFS('Combined P&amp;L'!AD:AD,'Combined P&amp;L'!$C:$C,'P&amp;L Forecast'!$B28)</f>
        <v>20.791540000000001</v>
      </c>
      <c r="AG28" s="54">
        <f>SUMIFS('Combined P&amp;L'!AE:AE,'Combined P&amp;L'!$C:$C,'P&amp;L Forecast'!$B28)</f>
        <v>21.040790000000001</v>
      </c>
      <c r="AH28" s="54">
        <f>SUMIFS('Combined P&amp;L'!AF:AF,'Combined P&amp;L'!$C:$C,'P&amp;L Forecast'!$B28)</f>
        <v>27.908909999999999</v>
      </c>
      <c r="AI28" s="54">
        <f>SUMIFS('Combined P&amp;L'!AG:AG,'Combined P&amp;L'!$C:$C,'P&amp;L Forecast'!$B28)</f>
        <v>29.547000000000001</v>
      </c>
      <c r="AJ28" s="54">
        <f>SUMIFS('Combined P&amp;L'!AH:AH,'Combined P&amp;L'!$C:$C,'P&amp;L Forecast'!$B28)</f>
        <v>33.447269999999996</v>
      </c>
      <c r="AK28" s="54">
        <f>SUMIFS('Combined P&amp;L'!AI:AI,'Combined P&amp;L'!$C:$C,'P&amp;L Forecast'!$B28)</f>
        <v>37.794319999999999</v>
      </c>
      <c r="AL28" s="54">
        <f>SUMIFS('Combined P&amp;L'!AJ:AJ,'Combined P&amp;L'!$C:$C,'P&amp;L Forecast'!$B28)</f>
        <v>34.063319999999997</v>
      </c>
      <c r="AM28" s="54">
        <f>SUMIFS('Combined P&amp;L'!AK:AK,'Combined P&amp;L'!$C:$C,'P&amp;L Forecast'!$B28)</f>
        <v>34.064579999999999</v>
      </c>
      <c r="AN28" s="54">
        <f>SUMIFS('Combined P&amp;L'!AL:AL,'Combined P&amp;L'!$C:$C,'P&amp;L Forecast'!$B28)</f>
        <v>38.378879999999995</v>
      </c>
      <c r="AO28" s="54">
        <f>SUMIFS('Combined P&amp;L'!AM:AM,'Combined P&amp;L'!$C:$C,'P&amp;L Forecast'!$B28)</f>
        <v>29.701520000000002</v>
      </c>
      <c r="AP28" s="54">
        <f>SUMIFS('Combined P&amp;L'!AN:AN,'Combined P&amp;L'!$C:$C,'P&amp;L Forecast'!$B28)</f>
        <v>37.422499999999999</v>
      </c>
      <c r="AQ28" s="54">
        <f>SUMIFS('Combined P&amp;L'!AO:AO,'Combined P&amp;L'!$C:$C,'P&amp;L Forecast'!$B28)</f>
        <v>38.772300000000001</v>
      </c>
      <c r="AR28" s="54">
        <f>SUMIFS('Combined P&amp;L'!AP:AP,'Combined P&amp;L'!$C:$C,'P&amp;L Forecast'!$B28)</f>
        <v>38.29477</v>
      </c>
      <c r="AS28" s="54">
        <f>SUMIFS('Combined P&amp;L'!AQ:AQ,'Combined P&amp;L'!$C:$C,'P&amp;L Forecast'!$B28)</f>
        <v>40.699829999999999</v>
      </c>
      <c r="AT28" s="54">
        <f>SUMIFS('Combined P&amp;L'!AR:AR,'Combined P&amp;L'!$C:$C,'P&amp;L Forecast'!$B28)</f>
        <v>44.4876</v>
      </c>
    </row>
    <row r="29" spans="2:46" x14ac:dyDescent="0.2">
      <c r="B29" s="58" t="s">
        <v>35</v>
      </c>
      <c r="C29" s="24">
        <f>SUMIFS($P29:$AT29,$P$5:$AT$5,"&gt;"&amp;C$172,$P$5:$AT$5,"&lt;"&amp;C$173)</f>
        <v>286.16129000000001</v>
      </c>
      <c r="D29" s="24">
        <f>SUMIFS($P29:$AT29,$P$5:$AT$5,"&gt;"&amp;D$172,$P$5:$AT$5,"&lt;"&amp;D$173)</f>
        <v>352.95844</v>
      </c>
      <c r="E29" s="24"/>
      <c r="F29" s="24">
        <f>SUMIFS($P29:$AT29,$P$5:$AT$5,"&gt;"&amp;F$172,$P$5:$AT$5,"&lt;"&amp;F$173)</f>
        <v>201.27983</v>
      </c>
      <c r="G29" s="24">
        <f>SUMIFS($P29:$AT29,$P$5:$AT$5,"&gt;"&amp;G$172,$P$5:$AT$5,"&lt;"&amp;G$173)</f>
        <v>202.05309</v>
      </c>
      <c r="H29" s="24"/>
      <c r="I29" s="24">
        <f>SUMIFS($P29:$AT29,$P$5:$AT$5,"&gt;"&amp;I$172,$P$5:$AT$5,"&lt;"&amp;I$173)</f>
        <v>351.95998999999995</v>
      </c>
      <c r="J29" s="24">
        <f>SUMIFS($P29:$AT29,$P$5:$AT$5,"&gt;"&amp;J$172,$P$5:$AT$5,"&lt;"&amp;J$173)</f>
        <v>350.46762000000001</v>
      </c>
      <c r="K29" s="66">
        <f>+C129</f>
        <v>392.92452000000003</v>
      </c>
      <c r="L29" s="66"/>
      <c r="M29" s="24">
        <f>+J29-K29</f>
        <v>-42.456900000000019</v>
      </c>
      <c r="N29" s="67">
        <f>IFERROR(K29/J29-1,0)</f>
        <v>0.12114357383429608</v>
      </c>
      <c r="O29" s="53"/>
      <c r="P29" s="54">
        <f>SUMIFS('Combined P&amp;L'!N:N,'Combined P&amp;L'!$C:$C,'P&amp;L Forecast'!$B29)</f>
        <v>9.961079999999999</v>
      </c>
      <c r="Q29" s="54">
        <f>SUMIFS('Combined P&amp;L'!O:O,'Combined P&amp;L'!$C:$C,'P&amp;L Forecast'!$B29)</f>
        <v>13.85026</v>
      </c>
      <c r="R29" s="54">
        <f>SUMIFS('Combined P&amp;L'!P:P,'Combined P&amp;L'!$C:$C,'P&amp;L Forecast'!$B29)</f>
        <v>12.79054</v>
      </c>
      <c r="S29" s="54">
        <f>SUMIFS('Combined P&amp;L'!Q:Q,'Combined P&amp;L'!$C:$C,'P&amp;L Forecast'!$B29)</f>
        <v>14.57145</v>
      </c>
      <c r="T29" s="54">
        <f>SUMIFS('Combined P&amp;L'!R:R,'Combined P&amp;L'!$C:$C,'P&amp;L Forecast'!$B29)</f>
        <v>28.285630000000001</v>
      </c>
      <c r="U29" s="54">
        <f>SUMIFS('Combined P&amp;L'!S:S,'Combined P&amp;L'!$C:$C,'P&amp;L Forecast'!$B29)</f>
        <v>26.542540000000002</v>
      </c>
      <c r="V29" s="54">
        <f>SUMIFS('Combined P&amp;L'!T:T,'Combined P&amp;L'!$C:$C,'P&amp;L Forecast'!$B29)</f>
        <v>28.31119</v>
      </c>
      <c r="W29" s="54">
        <f>SUMIFS('Combined P&amp;L'!U:U,'Combined P&amp;L'!$C:$C,'P&amp;L Forecast'!$B29)</f>
        <v>28.187459999999998</v>
      </c>
      <c r="X29" s="54">
        <f>SUMIFS('Combined P&amp;L'!V:V,'Combined P&amp;L'!$C:$C,'P&amp;L Forecast'!$B29)</f>
        <v>30.868009999999998</v>
      </c>
      <c r="Y29" s="54">
        <f>SUMIFS('Combined P&amp;L'!W:W,'Combined P&amp;L'!$C:$C,'P&amp;L Forecast'!$B29)</f>
        <v>31.621279999999999</v>
      </c>
      <c r="Z29" s="54">
        <f>SUMIFS('Combined P&amp;L'!X:X,'Combined P&amp;L'!$C:$C,'P&amp;L Forecast'!$B29)</f>
        <v>28.449740000000002</v>
      </c>
      <c r="AA29" s="54">
        <f>SUMIFS('Combined P&amp;L'!Y:Y,'Combined P&amp;L'!$C:$C,'P&amp;L Forecast'!$B29)</f>
        <v>32.722110000000001</v>
      </c>
      <c r="AB29" s="54">
        <f>SUMIFS('Combined P&amp;L'!Z:Z,'Combined P&amp;L'!$C:$C,'P&amp;L Forecast'!$B29)</f>
        <v>32.780760000000001</v>
      </c>
      <c r="AC29" s="54">
        <f>SUMIFS('Combined P&amp;L'!AA:AA,'Combined P&amp;L'!$C:$C,'P&amp;L Forecast'!$B29)</f>
        <v>23.361840000000001</v>
      </c>
      <c r="AD29" s="54">
        <f>SUMIFS('Combined P&amp;L'!AB:AB,'Combined P&amp;L'!$C:$C,'P&amp;L Forecast'!$B29)</f>
        <v>26.914270000000002</v>
      </c>
      <c r="AE29" s="54">
        <f>SUMIFS('Combined P&amp;L'!AC:AC,'Combined P&amp;L'!$C:$C,'P&amp;L Forecast'!$B29)</f>
        <v>28.81298</v>
      </c>
      <c r="AF29" s="54">
        <f>SUMIFS('Combined P&amp;L'!AD:AD,'Combined P&amp;L'!$C:$C,'P&amp;L Forecast'!$B29)</f>
        <v>30.658750000000001</v>
      </c>
      <c r="AG29" s="54">
        <f>SUMIFS('Combined P&amp;L'!AE:AE,'Combined P&amp;L'!$C:$C,'P&amp;L Forecast'!$B29)</f>
        <v>29.271599999999999</v>
      </c>
      <c r="AH29" s="54">
        <f>SUMIFS('Combined P&amp;L'!AF:AF,'Combined P&amp;L'!$C:$C,'P&amp;L Forecast'!$B29)</f>
        <v>29.47963</v>
      </c>
      <c r="AI29" s="54">
        <f>SUMIFS('Combined P&amp;L'!AG:AG,'Combined P&amp;L'!$C:$C,'P&amp;L Forecast'!$B29)</f>
        <v>26.830639999999999</v>
      </c>
      <c r="AJ29" s="54">
        <f>SUMIFS('Combined P&amp;L'!AH:AH,'Combined P&amp;L'!$C:$C,'P&amp;L Forecast'!$B29)</f>
        <v>29.785550000000001</v>
      </c>
      <c r="AK29" s="54">
        <f>SUMIFS('Combined P&amp;L'!AI:AI,'Combined P&amp;L'!$C:$C,'P&amp;L Forecast'!$B29)</f>
        <v>32.899370000000005</v>
      </c>
      <c r="AL29" s="54">
        <f>SUMIFS('Combined P&amp;L'!AJ:AJ,'Combined P&amp;L'!$C:$C,'P&amp;L Forecast'!$B29)</f>
        <v>29.49334</v>
      </c>
      <c r="AM29" s="54">
        <f>SUMIFS('Combined P&amp;L'!AK:AK,'Combined P&amp;L'!$C:$C,'P&amp;L Forecast'!$B29)</f>
        <v>32.669710000000002</v>
      </c>
      <c r="AN29" s="54">
        <f>SUMIFS('Combined P&amp;L'!AL:AL,'Combined P&amp;L'!$C:$C,'P&amp;L Forecast'!$B29)</f>
        <v>26.114900000000002</v>
      </c>
      <c r="AO29" s="54">
        <f>SUMIFS('Combined P&amp;L'!AM:AM,'Combined P&amp;L'!$C:$C,'P&amp;L Forecast'!$B29)</f>
        <v>21.9055</v>
      </c>
      <c r="AP29" s="54">
        <f>SUMIFS('Combined P&amp;L'!AN:AN,'Combined P&amp;L'!$C:$C,'P&amp;L Forecast'!$B29)</f>
        <v>30.75844</v>
      </c>
      <c r="AQ29" s="54">
        <f>SUMIFS('Combined P&amp;L'!AO:AO,'Combined P&amp;L'!$C:$C,'P&amp;L Forecast'!$B29)</f>
        <v>31.59038</v>
      </c>
      <c r="AR29" s="54">
        <f>SUMIFS('Combined P&amp;L'!AP:AP,'Combined P&amp;L'!$C:$C,'P&amp;L Forecast'!$B29)</f>
        <v>27.699919999999999</v>
      </c>
      <c r="AS29" s="54">
        <f>SUMIFS('Combined P&amp;L'!AQ:AQ,'Combined P&amp;L'!$C:$C,'P&amp;L Forecast'!$B29)</f>
        <v>31.24024</v>
      </c>
      <c r="AT29" s="54">
        <f>SUMIFS('Combined P&amp;L'!AR:AR,'Combined P&amp;L'!$C:$C,'P&amp;L Forecast'!$B29)</f>
        <v>32.74371</v>
      </c>
    </row>
    <row r="30" spans="2:46" x14ac:dyDescent="0.2">
      <c r="B30" s="58" t="s">
        <v>37</v>
      </c>
      <c r="C30" s="24">
        <f>SUMIFS($P30:$AT30,$P$5:$AT$5,"&gt;"&amp;C$172,$P$5:$AT$5,"&lt;"&amp;C$173)</f>
        <v>122.81254999999999</v>
      </c>
      <c r="D30" s="24">
        <f>SUMIFS($P30:$AT30,$P$5:$AT$5,"&gt;"&amp;D$172,$P$5:$AT$5,"&lt;"&amp;D$173)</f>
        <v>152.16972000000001</v>
      </c>
      <c r="E30" s="24"/>
      <c r="F30" s="24">
        <f>SUMIFS($P30:$AT30,$P$5:$AT$5,"&gt;"&amp;F$172,$P$5:$AT$5,"&lt;"&amp;F$173)</f>
        <v>73.949619999999996</v>
      </c>
      <c r="G30" s="24">
        <f>SUMIFS($P30:$AT30,$P$5:$AT$5,"&gt;"&amp;G$172,$P$5:$AT$5,"&lt;"&amp;G$173)</f>
        <v>111.27999</v>
      </c>
      <c r="H30" s="24"/>
      <c r="I30" s="24">
        <f>SUMIFS($P30:$AT30,$P$5:$AT$5,"&gt;"&amp;I$172,$P$5:$AT$5,"&lt;"&amp;I$173)</f>
        <v>115.8168</v>
      </c>
      <c r="J30" s="24">
        <f>SUMIFS($P30:$AT30,$P$5:$AT$5,"&gt;"&amp;J$172,$P$5:$AT$5,"&lt;"&amp;J$173)</f>
        <v>186.54353999999998</v>
      </c>
      <c r="K30" s="66">
        <f>+C133</f>
        <v>197.14943999999997</v>
      </c>
      <c r="L30" s="66"/>
      <c r="M30" s="24">
        <f>+J30-K30</f>
        <v>-10.605899999999991</v>
      </c>
      <c r="N30" s="67">
        <f>IFERROR(K30/J30-1,0)</f>
        <v>5.6854823276110134E-2</v>
      </c>
      <c r="O30" s="53"/>
      <c r="P30" s="54">
        <f>SUMIFS('Combined P&amp;L'!N:N,'Combined P&amp;L'!$C:$C,'P&amp;L Forecast'!$B30)</f>
        <v>9.1372800000000005</v>
      </c>
      <c r="Q30" s="54">
        <f>SUMIFS('Combined P&amp;L'!O:O,'Combined P&amp;L'!$C:$C,'P&amp;L Forecast'!$B30)</f>
        <v>8.9629599999999989</v>
      </c>
      <c r="R30" s="54">
        <f>SUMIFS('Combined P&amp;L'!P:P,'Combined P&amp;L'!$C:$C,'P&amp;L Forecast'!$B30)</f>
        <v>10.19584</v>
      </c>
      <c r="S30" s="54">
        <f>SUMIFS('Combined P&amp;L'!Q:Q,'Combined P&amp;L'!$C:$C,'P&amp;L Forecast'!$B30)</f>
        <v>15.04429</v>
      </c>
      <c r="T30" s="54">
        <f>SUMIFS('Combined P&amp;L'!R:R,'Combined P&amp;L'!$C:$C,'P&amp;L Forecast'!$B30)</f>
        <v>16.637439999999998</v>
      </c>
      <c r="U30" s="54">
        <f>SUMIFS('Combined P&amp;L'!S:S,'Combined P&amp;L'!$C:$C,'P&amp;L Forecast'!$B30)</f>
        <v>7.4949899999999996</v>
      </c>
      <c r="V30" s="54">
        <f>SUMIFS('Combined P&amp;L'!T:T,'Combined P&amp;L'!$C:$C,'P&amp;L Forecast'!$B30)</f>
        <v>7.9820200000000003</v>
      </c>
      <c r="W30" s="54">
        <f>SUMIFS('Combined P&amp;L'!U:U,'Combined P&amp;L'!$C:$C,'P&amp;L Forecast'!$B30)</f>
        <v>5.9027399999999997</v>
      </c>
      <c r="X30" s="54">
        <f>SUMIFS('Combined P&amp;L'!V:V,'Combined P&amp;L'!$C:$C,'P&amp;L Forecast'!$B30)</f>
        <v>7.7676300000000005</v>
      </c>
      <c r="Y30" s="54">
        <f>SUMIFS('Combined P&amp;L'!W:W,'Combined P&amp;L'!$C:$C,'P&amp;L Forecast'!$B30)</f>
        <v>8.2141699999999993</v>
      </c>
      <c r="Z30" s="54">
        <f>SUMIFS('Combined P&amp;L'!X:X,'Combined P&amp;L'!$C:$C,'P&amp;L Forecast'!$B30)</f>
        <v>12.622719999999999</v>
      </c>
      <c r="AA30" s="54">
        <f>SUMIFS('Combined P&amp;L'!Y:Y,'Combined P&amp;L'!$C:$C,'P&amp;L Forecast'!$B30)</f>
        <v>12.85047</v>
      </c>
      <c r="AB30" s="54">
        <f>SUMIFS('Combined P&amp;L'!Z:Z,'Combined P&amp;L'!$C:$C,'P&amp;L Forecast'!$B30)</f>
        <v>10.345559999999999</v>
      </c>
      <c r="AC30" s="54">
        <f>SUMIFS('Combined P&amp;L'!AA:AA,'Combined P&amp;L'!$C:$C,'P&amp;L Forecast'!$B30)</f>
        <v>8.0879799999999999</v>
      </c>
      <c r="AD30" s="54">
        <f>SUMIFS('Combined P&amp;L'!AB:AB,'Combined P&amp;L'!$C:$C,'P&amp;L Forecast'!$B30)</f>
        <v>9.7528700000000015</v>
      </c>
      <c r="AE30" s="54">
        <f>SUMIFS('Combined P&amp;L'!AC:AC,'Combined P&amp;L'!$C:$C,'P&amp;L Forecast'!$B30)</f>
        <v>10.28</v>
      </c>
      <c r="AF30" s="54">
        <f>SUMIFS('Combined P&amp;L'!AD:AD,'Combined P&amp;L'!$C:$C,'P&amp;L Forecast'!$B30)</f>
        <v>11.13632</v>
      </c>
      <c r="AG30" s="54">
        <f>SUMIFS('Combined P&amp;L'!AE:AE,'Combined P&amp;L'!$C:$C,'P&amp;L Forecast'!$B30)</f>
        <v>10.874319999999999</v>
      </c>
      <c r="AH30" s="54">
        <f>SUMIFS('Combined P&amp;L'!AF:AF,'Combined P&amp;L'!$C:$C,'P&amp;L Forecast'!$B30)</f>
        <v>13.472569999999999</v>
      </c>
      <c r="AI30" s="54">
        <f>SUMIFS('Combined P&amp;L'!AG:AG,'Combined P&amp;L'!$C:$C,'P&amp;L Forecast'!$B30)</f>
        <v>12.70407</v>
      </c>
      <c r="AJ30" s="54">
        <f>SUMIFS('Combined P&amp;L'!AH:AH,'Combined P&amp;L'!$C:$C,'P&amp;L Forecast'!$B30)</f>
        <v>14.698840000000001</v>
      </c>
      <c r="AK30" s="54">
        <f>SUMIFS('Combined P&amp;L'!AI:AI,'Combined P&amp;L'!$C:$C,'P&amp;L Forecast'!$B30)</f>
        <v>15.543059999999999</v>
      </c>
      <c r="AL30" s="54">
        <f>SUMIFS('Combined P&amp;L'!AJ:AJ,'Combined P&amp;L'!$C:$C,'P&amp;L Forecast'!$B30)</f>
        <v>14.34361</v>
      </c>
      <c r="AM30" s="54">
        <f>SUMIFS('Combined P&amp;L'!AK:AK,'Combined P&amp;L'!$C:$C,'P&amp;L Forecast'!$B30)</f>
        <v>20.930520000000001</v>
      </c>
      <c r="AN30" s="54">
        <f>SUMIFS('Combined P&amp;L'!AL:AL,'Combined P&amp;L'!$C:$C,'P&amp;L Forecast'!$B30)</f>
        <v>16.553939999999997</v>
      </c>
      <c r="AO30" s="54">
        <f>SUMIFS('Combined P&amp;L'!AM:AM,'Combined P&amp;L'!$C:$C,'P&amp;L Forecast'!$B30)</f>
        <v>11.52661</v>
      </c>
      <c r="AP30" s="54">
        <f>SUMIFS('Combined P&amp;L'!AN:AN,'Combined P&amp;L'!$C:$C,'P&amp;L Forecast'!$B30)</f>
        <v>14.938829999999999</v>
      </c>
      <c r="AQ30" s="54">
        <f>SUMIFS('Combined P&amp;L'!AO:AO,'Combined P&amp;L'!$C:$C,'P&amp;L Forecast'!$B30)</f>
        <v>15.58352</v>
      </c>
      <c r="AR30" s="54">
        <f>SUMIFS('Combined P&amp;L'!AP:AP,'Combined P&amp;L'!$C:$C,'P&amp;L Forecast'!$B30)</f>
        <v>19.603400000000001</v>
      </c>
      <c r="AS30" s="54">
        <f>SUMIFS('Combined P&amp;L'!AQ:AQ,'Combined P&amp;L'!$C:$C,'P&amp;L Forecast'!$B30)</f>
        <v>16.644569999999998</v>
      </c>
      <c r="AT30" s="54">
        <f>SUMIFS('Combined P&amp;L'!AR:AR,'Combined P&amp;L'!$C:$C,'P&amp;L Forecast'!$B30)</f>
        <v>16.429119999999998</v>
      </c>
    </row>
    <row r="31" spans="2:46" s="14" customFormat="1" x14ac:dyDescent="0.2">
      <c r="B31" s="57" t="s">
        <v>278</v>
      </c>
      <c r="C31" s="24">
        <f>SUMIFS($P31:$AT31,$P$5:$AT$5,"&gt;"&amp;C$172,$P$5:$AT$5,"&lt;"&amp;C$173)</f>
        <v>0</v>
      </c>
      <c r="D31" s="24">
        <f>SUMIFS($P31:$AT31,$P$5:$AT$5,"&gt;"&amp;D$172,$P$5:$AT$5,"&lt;"&amp;D$173)</f>
        <v>90.66704</v>
      </c>
      <c r="E31" s="24"/>
      <c r="F31" s="24">
        <f>SUMIFS($P31:$AT31,$P$5:$AT$5,"&gt;"&amp;F$172,$P$5:$AT$5,"&lt;"&amp;F$173)</f>
        <v>45.466120000000004</v>
      </c>
      <c r="G31" s="24">
        <f>SUMIFS($P31:$AT31,$P$5:$AT$5,"&gt;"&amp;G$172,$P$5:$AT$5,"&lt;"&amp;G$173)</f>
        <v>63.143019999999993</v>
      </c>
      <c r="H31" s="24"/>
      <c r="I31" s="24">
        <f>SUMIFS($P31:$AT31,$P$5:$AT$5,"&gt;"&amp;I$172,$P$5:$AT$5,"&lt;"&amp;I$173)</f>
        <v>35.943250000000006</v>
      </c>
      <c r="J31" s="24">
        <f>SUMIFS($P31:$AT31,$P$5:$AT$5,"&gt;"&amp;J$172,$P$5:$AT$5,"&lt;"&amp;J$173)</f>
        <v>108.34394</v>
      </c>
      <c r="K31" s="66">
        <f>+C128</f>
        <v>108.34394</v>
      </c>
      <c r="L31" s="66"/>
      <c r="M31" s="24">
        <f>+J31-K31</f>
        <v>0</v>
      </c>
      <c r="N31" s="67">
        <f>IFERROR(K31/J31-1,0)</f>
        <v>0</v>
      </c>
      <c r="O31" s="53"/>
      <c r="P31" s="54">
        <f>SUMIFS('Combined P&amp;L'!N:N,'Combined P&amp;L'!$C:$C,'P&amp;L Forecast'!$B31)</f>
        <v>0</v>
      </c>
      <c r="Q31" s="54">
        <f>SUMIFS('Combined P&amp;L'!O:O,'Combined P&amp;L'!$C:$C,'P&amp;L Forecast'!$B31)</f>
        <v>0</v>
      </c>
      <c r="R31" s="54">
        <f>SUMIFS('Combined P&amp;L'!P:P,'Combined P&amp;L'!$C:$C,'P&amp;L Forecast'!$B31)</f>
        <v>0</v>
      </c>
      <c r="S31" s="54">
        <f>SUMIFS('Combined P&amp;L'!Q:Q,'Combined P&amp;L'!$C:$C,'P&amp;L Forecast'!$B31)</f>
        <v>0</v>
      </c>
      <c r="T31" s="54">
        <f>SUMIFS('Combined P&amp;L'!R:R,'Combined P&amp;L'!$C:$C,'P&amp;L Forecast'!$B31)</f>
        <v>0</v>
      </c>
      <c r="U31" s="54">
        <f>SUMIFS('Combined P&amp;L'!S:S,'Combined P&amp;L'!$C:$C,'P&amp;L Forecast'!$B31)</f>
        <v>0</v>
      </c>
      <c r="V31" s="54">
        <f>SUMIFS('Combined P&amp;L'!T:T,'Combined P&amp;L'!$C:$C,'P&amp;L Forecast'!$B31)</f>
        <v>0</v>
      </c>
      <c r="W31" s="54">
        <f>SUMIFS('Combined P&amp;L'!U:U,'Combined P&amp;L'!$C:$C,'P&amp;L Forecast'!$B31)</f>
        <v>0</v>
      </c>
      <c r="X31" s="54">
        <f>SUMIFS('Combined P&amp;L'!V:V,'Combined P&amp;L'!$C:$C,'P&amp;L Forecast'!$B31)</f>
        <v>0</v>
      </c>
      <c r="Y31" s="54">
        <f>SUMIFS('Combined P&amp;L'!W:W,'Combined P&amp;L'!$C:$C,'P&amp;L Forecast'!$B31)</f>
        <v>0</v>
      </c>
      <c r="Z31" s="54">
        <f>SUMIFS('Combined P&amp;L'!X:X,'Combined P&amp;L'!$C:$C,'P&amp;L Forecast'!$B31)</f>
        <v>0</v>
      </c>
      <c r="AA31" s="54">
        <f>SUMIFS('Combined P&amp;L'!Y:Y,'Combined P&amp;L'!$C:$C,'P&amp;L Forecast'!$B31)</f>
        <v>0</v>
      </c>
      <c r="AB31" s="54">
        <f>SUMIFS('Combined P&amp;L'!Z:Z,'Combined P&amp;L'!$C:$C,'P&amp;L Forecast'!$B31)</f>
        <v>0</v>
      </c>
      <c r="AC31" s="54">
        <f>SUMIFS('Combined P&amp;L'!AA:AA,'Combined P&amp;L'!$C:$C,'P&amp;L Forecast'!$B31)</f>
        <v>0</v>
      </c>
      <c r="AD31" s="54">
        <f>SUMIFS('Combined P&amp;L'!AB:AB,'Combined P&amp;L'!$C:$C,'P&amp;L Forecast'!$B31)</f>
        <v>8.90639</v>
      </c>
      <c r="AE31" s="54">
        <f>SUMIFS('Combined P&amp;L'!AC:AC,'Combined P&amp;L'!$C:$C,'P&amp;L Forecast'!$B31)</f>
        <v>9.2332299999999989</v>
      </c>
      <c r="AF31" s="54">
        <f>SUMIFS('Combined P&amp;L'!AD:AD,'Combined P&amp;L'!$C:$C,'P&amp;L Forecast'!$B31)</f>
        <v>9.1088400000000007</v>
      </c>
      <c r="AG31" s="54">
        <f>SUMIFS('Combined P&amp;L'!AE:AE,'Combined P&amp;L'!$C:$C,'P&amp;L Forecast'!$B31)</f>
        <v>8.6947900000000011</v>
      </c>
      <c r="AH31" s="54">
        <f>SUMIFS('Combined P&amp;L'!AF:AF,'Combined P&amp;L'!$C:$C,'P&amp;L Forecast'!$B31)</f>
        <v>9.5228700000000011</v>
      </c>
      <c r="AI31" s="54">
        <f>SUMIFS('Combined P&amp;L'!AG:AG,'Combined P&amp;L'!$C:$C,'P&amp;L Forecast'!$B31)</f>
        <v>8.6948100000000004</v>
      </c>
      <c r="AJ31" s="54">
        <f>SUMIFS('Combined P&amp;L'!AH:AH,'Combined P&amp;L'!$C:$C,'P&amp;L Forecast'!$B31)</f>
        <v>9.1088400000000007</v>
      </c>
      <c r="AK31" s="54">
        <f>SUMIFS('Combined P&amp;L'!AI:AI,'Combined P&amp;L'!$C:$C,'P&amp;L Forecast'!$B31)</f>
        <v>9.5228700000000011</v>
      </c>
      <c r="AL31" s="54">
        <f>SUMIFS('Combined P&amp;L'!AJ:AJ,'Combined P&amp;L'!$C:$C,'P&amp;L Forecast'!$B31)</f>
        <v>8.2807600000000008</v>
      </c>
      <c r="AM31" s="54">
        <f>SUMIFS('Combined P&amp;L'!AK:AK,'Combined P&amp;L'!$C:$C,'P&amp;L Forecast'!$B31)</f>
        <v>9.5936399999999988</v>
      </c>
      <c r="AN31" s="54">
        <f>SUMIFS('Combined P&amp;L'!AL:AL,'Combined P&amp;L'!$C:$C,'P&amp;L Forecast'!$B31)</f>
        <v>9.276209999999999</v>
      </c>
      <c r="AO31" s="54">
        <f>SUMIFS('Combined P&amp;L'!AM:AM,'Combined P&amp;L'!$C:$C,'P&amp;L Forecast'!$B31)</f>
        <v>8.3226299999999984</v>
      </c>
      <c r="AP31" s="54">
        <f>SUMIFS('Combined P&amp;L'!AN:AN,'Combined P&amp;L'!$C:$C,'P&amp;L Forecast'!$B31)</f>
        <v>9.1088299999999993</v>
      </c>
      <c r="AQ31" s="54">
        <f>SUMIFS('Combined P&amp;L'!AO:AO,'Combined P&amp;L'!$C:$C,'P&amp;L Forecast'!$B31)</f>
        <v>9.1088299999999993</v>
      </c>
      <c r="AR31" s="54">
        <f>SUMIFS('Combined P&amp;L'!AP:AP,'Combined P&amp;L'!$C:$C,'P&amp;L Forecast'!$B31)</f>
        <v>8.6948100000000004</v>
      </c>
      <c r="AS31" s="54">
        <f>SUMIFS('Combined P&amp;L'!AQ:AQ,'Combined P&amp;L'!$C:$C,'P&amp;L Forecast'!$B31)</f>
        <v>9.1088400000000007</v>
      </c>
      <c r="AT31" s="54">
        <f>SUMIFS('Combined P&amp;L'!AR:AR,'Combined P&amp;L'!$C:$C,'P&amp;L Forecast'!$B31)</f>
        <v>9.5228700000000011</v>
      </c>
    </row>
    <row r="32" spans="2:46" s="14" customFormat="1" x14ac:dyDescent="0.2">
      <c r="B32" s="57" t="s">
        <v>279</v>
      </c>
      <c r="C32" s="24">
        <f>SUMIFS($P32:$AT32,$P$5:$AT$5,"&gt;"&amp;C$172,$P$5:$AT$5,"&lt;"&amp;C$173)</f>
        <v>0</v>
      </c>
      <c r="D32" s="24">
        <f>SUMIFS($P32:$AT32,$P$5:$AT$5,"&gt;"&amp;D$172,$P$5:$AT$5,"&lt;"&amp;D$173)</f>
        <v>19.149630000000002</v>
      </c>
      <c r="E32" s="24"/>
      <c r="F32" s="24">
        <f>SUMIFS($P32:$AT32,$P$5:$AT$5,"&gt;"&amp;F$172,$P$5:$AT$5,"&lt;"&amp;F$173)</f>
        <v>3.09945</v>
      </c>
      <c r="G32" s="24">
        <f>SUMIFS($P32:$AT32,$P$5:$AT$5,"&gt;"&amp;G$172,$P$5:$AT$5,"&lt;"&amp;G$173)</f>
        <v>51.941310000000001</v>
      </c>
      <c r="H32" s="24"/>
      <c r="I32" s="24">
        <f>SUMIFS($P32:$AT32,$P$5:$AT$5,"&gt;"&amp;I$172,$P$5:$AT$5,"&lt;"&amp;I$173)</f>
        <v>1.4667999999999999</v>
      </c>
      <c r="J32" s="24">
        <f>SUMIFS($P32:$AT32,$P$5:$AT$5,"&gt;"&amp;J$172,$P$5:$AT$5,"&lt;"&amp;J$173)</f>
        <v>61.428380000000004</v>
      </c>
      <c r="K32" s="66">
        <f>+C130</f>
        <v>98.349119999999999</v>
      </c>
      <c r="L32" s="66"/>
      <c r="M32" s="24">
        <f t="shared" si="39"/>
        <v>-36.920739999999995</v>
      </c>
      <c r="N32" s="67">
        <f t="shared" si="40"/>
        <v>0.60103717532515089</v>
      </c>
      <c r="O32" s="53"/>
      <c r="P32" s="54">
        <f>SUMIFS('Combined P&amp;L'!N:N,'Combined P&amp;L'!$C:$C,'P&amp;L Forecast'!$B32)</f>
        <v>0</v>
      </c>
      <c r="Q32" s="54">
        <f>SUMIFS('Combined P&amp;L'!O:O,'Combined P&amp;L'!$C:$C,'P&amp;L Forecast'!$B32)</f>
        <v>0</v>
      </c>
      <c r="R32" s="54">
        <f>SUMIFS('Combined P&amp;L'!P:P,'Combined P&amp;L'!$C:$C,'P&amp;L Forecast'!$B32)</f>
        <v>0</v>
      </c>
      <c r="S32" s="54">
        <f>SUMIFS('Combined P&amp;L'!Q:Q,'Combined P&amp;L'!$C:$C,'P&amp;L Forecast'!$B32)</f>
        <v>0</v>
      </c>
      <c r="T32" s="54">
        <f>SUMIFS('Combined P&amp;L'!R:R,'Combined P&amp;L'!$C:$C,'P&amp;L Forecast'!$B32)</f>
        <v>0</v>
      </c>
      <c r="U32" s="54">
        <f>SUMIFS('Combined P&amp;L'!S:S,'Combined P&amp;L'!$C:$C,'P&amp;L Forecast'!$B32)</f>
        <v>0</v>
      </c>
      <c r="V32" s="54">
        <f>SUMIFS('Combined P&amp;L'!T:T,'Combined P&amp;L'!$C:$C,'P&amp;L Forecast'!$B32)</f>
        <v>0</v>
      </c>
      <c r="W32" s="54">
        <f>SUMIFS('Combined P&amp;L'!U:U,'Combined P&amp;L'!$C:$C,'P&amp;L Forecast'!$B32)</f>
        <v>0</v>
      </c>
      <c r="X32" s="54">
        <f>SUMIFS('Combined P&amp;L'!V:V,'Combined P&amp;L'!$C:$C,'P&amp;L Forecast'!$B32)</f>
        <v>0</v>
      </c>
      <c r="Y32" s="54">
        <f>SUMIFS('Combined P&amp;L'!W:W,'Combined P&amp;L'!$C:$C,'P&amp;L Forecast'!$B32)</f>
        <v>0</v>
      </c>
      <c r="Z32" s="54">
        <f>SUMIFS('Combined P&amp;L'!X:X,'Combined P&amp;L'!$C:$C,'P&amp;L Forecast'!$B32)</f>
        <v>0</v>
      </c>
      <c r="AA32" s="54">
        <f>SUMIFS('Combined P&amp;L'!Y:Y,'Combined P&amp;L'!$C:$C,'P&amp;L Forecast'!$B32)</f>
        <v>0</v>
      </c>
      <c r="AB32" s="54">
        <f>SUMIFS('Combined P&amp;L'!Z:Z,'Combined P&amp;L'!$C:$C,'P&amp;L Forecast'!$B32)</f>
        <v>0</v>
      </c>
      <c r="AC32" s="54">
        <f>SUMIFS('Combined P&amp;L'!AA:AA,'Combined P&amp;L'!$C:$C,'P&amp;L Forecast'!$B32)</f>
        <v>0</v>
      </c>
      <c r="AD32" s="54">
        <f>SUMIFS('Combined P&amp;L'!AB:AB,'Combined P&amp;L'!$C:$C,'P&amp;L Forecast'!$B32)</f>
        <v>0</v>
      </c>
      <c r="AE32" s="54">
        <f>SUMIFS('Combined P&amp;L'!AC:AC,'Combined P&amp;L'!$C:$C,'P&amp;L Forecast'!$B32)</f>
        <v>0</v>
      </c>
      <c r="AF32" s="54">
        <f>SUMIFS('Combined P&amp;L'!AD:AD,'Combined P&amp;L'!$C:$C,'P&amp;L Forecast'!$B32)</f>
        <v>0</v>
      </c>
      <c r="AG32" s="54">
        <f>SUMIFS('Combined P&amp;L'!AE:AE,'Combined P&amp;L'!$C:$C,'P&amp;L Forecast'!$B32)</f>
        <v>1.4667999999999999</v>
      </c>
      <c r="AH32" s="54">
        <f>SUMIFS('Combined P&amp;L'!AF:AF,'Combined P&amp;L'!$C:$C,'P&amp;L Forecast'!$B32)</f>
        <v>1.6326500000000002</v>
      </c>
      <c r="AI32" s="54">
        <f>SUMIFS('Combined P&amp;L'!AG:AG,'Combined P&amp;L'!$C:$C,'P&amp;L Forecast'!$B32)</f>
        <v>1.7180499999999999</v>
      </c>
      <c r="AJ32" s="54">
        <f>SUMIFS('Combined P&amp;L'!AH:AH,'Combined P&amp;L'!$C:$C,'P&amp;L Forecast'!$B32)</f>
        <v>1.9145999999999999</v>
      </c>
      <c r="AK32" s="54">
        <f>SUMIFS('Combined P&amp;L'!AI:AI,'Combined P&amp;L'!$C:$C,'P&amp;L Forecast'!$B32)</f>
        <v>2.3529</v>
      </c>
      <c r="AL32" s="54">
        <f>SUMIFS('Combined P&amp;L'!AJ:AJ,'Combined P&amp;L'!$C:$C,'P&amp;L Forecast'!$B32)</f>
        <v>2.2452399999999999</v>
      </c>
      <c r="AM32" s="54">
        <f>SUMIFS('Combined P&amp;L'!AK:AK,'Combined P&amp;L'!$C:$C,'P&amp;L Forecast'!$B32)</f>
        <v>7.8193900000000003</v>
      </c>
      <c r="AN32" s="54">
        <f>SUMIFS('Combined P&amp;L'!AL:AL,'Combined P&amp;L'!$C:$C,'P&amp;L Forecast'!$B32)</f>
        <v>5.6533999999999995</v>
      </c>
      <c r="AO32" s="54">
        <f>SUMIFS('Combined P&amp;L'!AM:AM,'Combined P&amp;L'!$C:$C,'P&amp;L Forecast'!$B32)</f>
        <v>5.9568900000000005</v>
      </c>
      <c r="AP32" s="54">
        <f>SUMIFS('Combined P&amp;L'!AN:AN,'Combined P&amp;L'!$C:$C,'P&amp;L Forecast'!$B32)</f>
        <v>7.7827999999999999</v>
      </c>
      <c r="AQ32" s="54">
        <f>SUMIFS('Combined P&amp;L'!AO:AO,'Combined P&amp;L'!$C:$C,'P&amp;L Forecast'!$B32)</f>
        <v>8.1370100000000001</v>
      </c>
      <c r="AR32" s="54">
        <f>SUMIFS('Combined P&amp;L'!AP:AP,'Combined P&amp;L'!$C:$C,'P&amp;L Forecast'!$B32)</f>
        <v>7.8082500000000001</v>
      </c>
      <c r="AS32" s="54">
        <f>SUMIFS('Combined P&amp;L'!AQ:AQ,'Combined P&amp;L'!$C:$C,'P&amp;L Forecast'!$B32)</f>
        <v>8.4072000000000013</v>
      </c>
      <c r="AT32" s="54">
        <f>SUMIFS('Combined P&amp;L'!AR:AR,'Combined P&amp;L'!$C:$C,'P&amp;L Forecast'!$B32)</f>
        <v>8.1957599999999999</v>
      </c>
    </row>
    <row r="33" spans="2:46" x14ac:dyDescent="0.2">
      <c r="B33" s="58" t="s">
        <v>36</v>
      </c>
      <c r="C33" s="24">
        <f>SUMIFS($P33:$AT33,$P$5:$AT$5,"&gt;"&amp;C$172,$P$5:$AT$5,"&lt;"&amp;C$173)</f>
        <v>1.1133499999999998</v>
      </c>
      <c r="D33" s="24">
        <f>SUMIFS($P33:$AT33,$P$5:$AT$5,"&gt;"&amp;D$172,$P$5:$AT$5,"&lt;"&amp;D$173)</f>
        <v>29.564150000000001</v>
      </c>
      <c r="E33" s="24"/>
      <c r="F33" s="24">
        <f>SUMIFS($P33:$AT33,$P$5:$AT$5,"&gt;"&amp;F$172,$P$5:$AT$5,"&lt;"&amp;F$173)</f>
        <v>14.275850000000002</v>
      </c>
      <c r="G33" s="24">
        <f>SUMIFS($P33:$AT33,$P$5:$AT$5,"&gt;"&amp;G$172,$P$5:$AT$5,"&lt;"&amp;G$173)</f>
        <v>42.085049999999995</v>
      </c>
      <c r="H33" s="24"/>
      <c r="I33" s="24">
        <f>SUMIFS($P33:$AT33,$P$5:$AT$5,"&gt;"&amp;I$172,$P$5:$AT$5,"&lt;"&amp;I$173)</f>
        <v>13.21003</v>
      </c>
      <c r="J33" s="24">
        <f>SUMIFS($P33:$AT33,$P$5:$AT$5,"&gt;"&amp;J$172,$P$5:$AT$5,"&lt;"&amp;J$173)</f>
        <v>53.876419999999996</v>
      </c>
      <c r="K33" s="66">
        <f>+C131</f>
        <v>68.113200000000006</v>
      </c>
      <c r="L33" s="66"/>
      <c r="M33" s="24">
        <f t="shared" si="39"/>
        <v>-14.23678000000001</v>
      </c>
      <c r="N33" s="67">
        <f t="shared" si="40"/>
        <v>0.26424881237469022</v>
      </c>
      <c r="O33" s="53"/>
      <c r="P33" s="54">
        <f>SUMIFS('Combined P&amp;L'!N:N,'Combined P&amp;L'!$C:$C,'P&amp;L Forecast'!$B33)</f>
        <v>0</v>
      </c>
      <c r="Q33" s="54">
        <f>SUMIFS('Combined P&amp;L'!O:O,'Combined P&amp;L'!$C:$C,'P&amp;L Forecast'!$B33)</f>
        <v>0</v>
      </c>
      <c r="R33" s="54">
        <f>SUMIFS('Combined P&amp;L'!P:P,'Combined P&amp;L'!$C:$C,'P&amp;L Forecast'!$B33)</f>
        <v>0</v>
      </c>
      <c r="S33" s="54">
        <f>SUMIFS('Combined P&amp;L'!Q:Q,'Combined P&amp;L'!$C:$C,'P&amp;L Forecast'!$B33)</f>
        <v>0</v>
      </c>
      <c r="T33" s="54">
        <f>SUMIFS('Combined P&amp;L'!R:R,'Combined P&amp;L'!$C:$C,'P&amp;L Forecast'!$B33)</f>
        <v>0</v>
      </c>
      <c r="U33" s="54">
        <f>SUMIFS('Combined P&amp;L'!S:S,'Combined P&amp;L'!$C:$C,'P&amp;L Forecast'!$B33)</f>
        <v>0</v>
      </c>
      <c r="V33" s="54">
        <f>SUMIFS('Combined P&amp;L'!T:T,'Combined P&amp;L'!$C:$C,'P&amp;L Forecast'!$B33)</f>
        <v>0</v>
      </c>
      <c r="W33" s="54">
        <f>SUMIFS('Combined P&amp;L'!U:U,'Combined P&amp;L'!$C:$C,'P&amp;L Forecast'!$B33)</f>
        <v>0</v>
      </c>
      <c r="X33" s="54">
        <f>SUMIFS('Combined P&amp;L'!V:V,'Combined P&amp;L'!$C:$C,'P&amp;L Forecast'!$B33)</f>
        <v>0</v>
      </c>
      <c r="Y33" s="54">
        <f>SUMIFS('Combined P&amp;L'!W:W,'Combined P&amp;L'!$C:$C,'P&amp;L Forecast'!$B33)</f>
        <v>0</v>
      </c>
      <c r="Z33" s="54">
        <f>SUMIFS('Combined P&amp;L'!X:X,'Combined P&amp;L'!$C:$C,'P&amp;L Forecast'!$B33)</f>
        <v>0</v>
      </c>
      <c r="AA33" s="54">
        <f>SUMIFS('Combined P&amp;L'!Y:Y,'Combined P&amp;L'!$C:$C,'P&amp;L Forecast'!$B33)</f>
        <v>1.1133499999999998</v>
      </c>
      <c r="AB33" s="54">
        <f>SUMIFS('Combined P&amp;L'!Z:Z,'Combined P&amp;L'!$C:$C,'P&amp;L Forecast'!$B33)</f>
        <v>2.1791700000000001</v>
      </c>
      <c r="AC33" s="54">
        <f>SUMIFS('Combined P&amp;L'!AA:AA,'Combined P&amp;L'!$C:$C,'P&amp;L Forecast'!$B33)</f>
        <v>1.82504</v>
      </c>
      <c r="AD33" s="54">
        <f>SUMIFS('Combined P&amp;L'!AB:AB,'Combined P&amp;L'!$C:$C,'P&amp;L Forecast'!$B33)</f>
        <v>1.9785299999999999</v>
      </c>
      <c r="AE33" s="54">
        <f>SUMIFS('Combined P&amp;L'!AC:AC,'Combined P&amp;L'!$C:$C,'P&amp;L Forecast'!$B33)</f>
        <v>2.0621300000000002</v>
      </c>
      <c r="AF33" s="54">
        <f>SUMIFS('Combined P&amp;L'!AD:AD,'Combined P&amp;L'!$C:$C,'P&amp;L Forecast'!$B33)</f>
        <v>2.0621300000000002</v>
      </c>
      <c r="AG33" s="54">
        <f>SUMIFS('Combined P&amp;L'!AE:AE,'Combined P&amp;L'!$C:$C,'P&amp;L Forecast'!$B33)</f>
        <v>1.9896800000000001</v>
      </c>
      <c r="AH33" s="54">
        <f>SUMIFS('Combined P&amp;L'!AF:AF,'Combined P&amp;L'!$C:$C,'P&amp;L Forecast'!$B33)</f>
        <v>2.1791700000000001</v>
      </c>
      <c r="AI33" s="54">
        <f>SUMIFS('Combined P&amp;L'!AG:AG,'Combined P&amp;L'!$C:$C,'P&amp;L Forecast'!$B33)</f>
        <v>2.1229299999999998</v>
      </c>
      <c r="AJ33" s="54">
        <f>SUMIFS('Combined P&amp;L'!AH:AH,'Combined P&amp;L'!$C:$C,'P&amp;L Forecast'!$B33)</f>
        <v>3.1041999999999996</v>
      </c>
      <c r="AK33" s="54">
        <f>SUMIFS('Combined P&amp;L'!AI:AI,'Combined P&amp;L'!$C:$C,'P&amp;L Forecast'!$B33)</f>
        <v>3.2713700000000001</v>
      </c>
      <c r="AL33" s="54">
        <f>SUMIFS('Combined P&amp;L'!AJ:AJ,'Combined P&amp;L'!$C:$C,'P&amp;L Forecast'!$B33)</f>
        <v>3.6394699999999998</v>
      </c>
      <c r="AM33" s="54">
        <f>SUMIFS('Combined P&amp;L'!AK:AK,'Combined P&amp;L'!$C:$C,'P&amp;L Forecast'!$B33)</f>
        <v>3.1503299999999999</v>
      </c>
      <c r="AN33" s="54">
        <f>SUMIFS('Combined P&amp;L'!AL:AL,'Combined P&amp;L'!$C:$C,'P&amp;L Forecast'!$B33)</f>
        <v>1.69116</v>
      </c>
      <c r="AO33" s="54">
        <f>SUMIFS('Combined P&amp;L'!AM:AM,'Combined P&amp;L'!$C:$C,'P&amp;L Forecast'!$B33)</f>
        <v>5.5491899999999994</v>
      </c>
      <c r="AP33" s="54">
        <f>SUMIFS('Combined P&amp;L'!AN:AN,'Combined P&amp;L'!$C:$C,'P&amp;L Forecast'!$B33)</f>
        <v>7.1998999999999995</v>
      </c>
      <c r="AQ33" s="54">
        <f>SUMIFS('Combined P&amp;L'!AO:AO,'Combined P&amp;L'!$C:$C,'P&amp;L Forecast'!$B33)</f>
        <v>8.1927000000000003</v>
      </c>
      <c r="AR33" s="54">
        <f>SUMIFS('Combined P&amp;L'!AP:AP,'Combined P&amp;L'!$C:$C,'P&amp;L Forecast'!$B33)</f>
        <v>8.2833500000000004</v>
      </c>
      <c r="AS33" s="54">
        <f>SUMIFS('Combined P&amp;L'!AQ:AQ,'Combined P&amp;L'!$C:$C,'P&amp;L Forecast'!$B33)</f>
        <v>5.4926499999999994</v>
      </c>
      <c r="AT33" s="54">
        <f>SUMIFS('Combined P&amp;L'!AR:AR,'Combined P&amp;L'!$C:$C,'P&amp;L Forecast'!$B33)</f>
        <v>5.6760999999999999</v>
      </c>
    </row>
    <row r="34" spans="2:46" x14ac:dyDescent="0.2">
      <c r="B34" s="58" t="s">
        <v>38</v>
      </c>
      <c r="C34" s="24">
        <f>SUMIFS($P34:$AT34,$P$5:$AT$5,"&gt;"&amp;C$172,$P$5:$AT$5,"&lt;"&amp;C$173)</f>
        <v>0</v>
      </c>
      <c r="D34" s="24">
        <f>SUMIFS($P34:$AT34,$P$5:$AT$5,"&gt;"&amp;D$172,$P$5:$AT$5,"&lt;"&amp;D$173)</f>
        <v>0</v>
      </c>
      <c r="E34" s="24"/>
      <c r="F34" s="24">
        <f>SUMIFS($P34:$AT34,$P$5:$AT$5,"&gt;"&amp;F$172,$P$5:$AT$5,"&lt;"&amp;F$173)</f>
        <v>0</v>
      </c>
      <c r="G34" s="24">
        <f>SUMIFS($P34:$AT34,$P$5:$AT$5,"&gt;"&amp;G$172,$P$5:$AT$5,"&lt;"&amp;G$173)</f>
        <v>7.9949999999999992</v>
      </c>
      <c r="H34" s="24"/>
      <c r="I34" s="24">
        <f>SUMIFS($P34:$AT34,$P$5:$AT$5,"&gt;"&amp;I$172,$P$5:$AT$5,"&lt;"&amp;I$173)</f>
        <v>0</v>
      </c>
      <c r="J34" s="24">
        <f>SUMIFS($P34:$AT34,$P$5:$AT$5,"&gt;"&amp;J$172,$P$5:$AT$5,"&lt;"&amp;J$173)</f>
        <v>5.2382299999999997</v>
      </c>
      <c r="K34" s="66">
        <f>+C132</f>
        <v>33.081240000000001</v>
      </c>
      <c r="L34" s="66"/>
      <c r="M34" s="24">
        <f t="shared" si="39"/>
        <v>-27.84301</v>
      </c>
      <c r="N34" s="67">
        <f t="shared" si="40"/>
        <v>5.3153469778913873</v>
      </c>
      <c r="O34" s="53"/>
      <c r="P34" s="54">
        <f>SUMIFS('Combined P&amp;L'!N:N,'Combined P&amp;L'!$C:$C,'P&amp;L Forecast'!$B34)</f>
        <v>0</v>
      </c>
      <c r="Q34" s="54">
        <f>SUMIFS('Combined P&amp;L'!O:O,'Combined P&amp;L'!$C:$C,'P&amp;L Forecast'!$B34)</f>
        <v>0</v>
      </c>
      <c r="R34" s="54">
        <f>SUMIFS('Combined P&amp;L'!P:P,'Combined P&amp;L'!$C:$C,'P&amp;L Forecast'!$B34)</f>
        <v>0</v>
      </c>
      <c r="S34" s="54">
        <f>SUMIFS('Combined P&amp;L'!Q:Q,'Combined P&amp;L'!$C:$C,'P&amp;L Forecast'!$B34)</f>
        <v>0</v>
      </c>
      <c r="T34" s="54">
        <f>SUMIFS('Combined P&amp;L'!R:R,'Combined P&amp;L'!$C:$C,'P&amp;L Forecast'!$B34)</f>
        <v>0</v>
      </c>
      <c r="U34" s="54">
        <f>SUMIFS('Combined P&amp;L'!S:S,'Combined P&amp;L'!$C:$C,'P&amp;L Forecast'!$B34)</f>
        <v>0</v>
      </c>
      <c r="V34" s="54">
        <f>SUMIFS('Combined P&amp;L'!T:T,'Combined P&amp;L'!$C:$C,'P&amp;L Forecast'!$B34)</f>
        <v>0</v>
      </c>
      <c r="W34" s="54">
        <f>SUMIFS('Combined P&amp;L'!U:U,'Combined P&amp;L'!$C:$C,'P&amp;L Forecast'!$B34)</f>
        <v>0</v>
      </c>
      <c r="X34" s="54">
        <f>SUMIFS('Combined P&amp;L'!V:V,'Combined P&amp;L'!$C:$C,'P&amp;L Forecast'!$B34)</f>
        <v>0</v>
      </c>
      <c r="Y34" s="54">
        <f>SUMIFS('Combined P&amp;L'!W:W,'Combined P&amp;L'!$C:$C,'P&amp;L Forecast'!$B34)</f>
        <v>0</v>
      </c>
      <c r="Z34" s="54">
        <f>SUMIFS('Combined P&amp;L'!X:X,'Combined P&amp;L'!$C:$C,'P&amp;L Forecast'!$B34)</f>
        <v>0</v>
      </c>
      <c r="AA34" s="54">
        <f>SUMIFS('Combined P&amp;L'!Y:Y,'Combined P&amp;L'!$C:$C,'P&amp;L Forecast'!$B34)</f>
        <v>0</v>
      </c>
      <c r="AB34" s="54">
        <f>SUMIFS('Combined P&amp;L'!Z:Z,'Combined P&amp;L'!$C:$C,'P&amp;L Forecast'!$B34)</f>
        <v>0</v>
      </c>
      <c r="AC34" s="54">
        <f>SUMIFS('Combined P&amp;L'!AA:AA,'Combined P&amp;L'!$C:$C,'P&amp;L Forecast'!$B34)</f>
        <v>0</v>
      </c>
      <c r="AD34" s="54">
        <f>SUMIFS('Combined P&amp;L'!AB:AB,'Combined P&amp;L'!$C:$C,'P&amp;L Forecast'!$B34)</f>
        <v>0</v>
      </c>
      <c r="AE34" s="54">
        <f>SUMIFS('Combined P&amp;L'!AC:AC,'Combined P&amp;L'!$C:$C,'P&amp;L Forecast'!$B34)</f>
        <v>0</v>
      </c>
      <c r="AF34" s="54">
        <f>SUMIFS('Combined P&amp;L'!AD:AD,'Combined P&amp;L'!$C:$C,'P&amp;L Forecast'!$B34)</f>
        <v>0</v>
      </c>
      <c r="AG34" s="54">
        <f>SUMIFS('Combined P&amp;L'!AE:AE,'Combined P&amp;L'!$C:$C,'P&amp;L Forecast'!$B34)</f>
        <v>0</v>
      </c>
      <c r="AH34" s="54">
        <f>SUMIFS('Combined P&amp;L'!AF:AF,'Combined P&amp;L'!$C:$C,'P&amp;L Forecast'!$B34)</f>
        <v>0</v>
      </c>
      <c r="AI34" s="54">
        <f>SUMIFS('Combined P&amp;L'!AG:AG,'Combined P&amp;L'!$C:$C,'P&amp;L Forecast'!$B34)</f>
        <v>0</v>
      </c>
      <c r="AJ34" s="54">
        <f>SUMIFS('Combined P&amp;L'!AH:AH,'Combined P&amp;L'!$C:$C,'P&amp;L Forecast'!$B34)</f>
        <v>0</v>
      </c>
      <c r="AK34" s="54">
        <f>SUMIFS('Combined P&amp;L'!AI:AI,'Combined P&amp;L'!$C:$C,'P&amp;L Forecast'!$B34)</f>
        <v>0</v>
      </c>
      <c r="AL34" s="54">
        <f>SUMIFS('Combined P&amp;L'!AJ:AJ,'Combined P&amp;L'!$C:$C,'P&amp;L Forecast'!$B34)</f>
        <v>0</v>
      </c>
      <c r="AM34" s="54">
        <f>SUMIFS('Combined P&amp;L'!AK:AK,'Combined P&amp;L'!$C:$C,'P&amp;L Forecast'!$B34)</f>
        <v>0</v>
      </c>
      <c r="AN34" s="54">
        <f>SUMIFS('Combined P&amp;L'!AL:AL,'Combined P&amp;L'!$C:$C,'P&amp;L Forecast'!$B34)</f>
        <v>0</v>
      </c>
      <c r="AO34" s="54">
        <f>SUMIFS('Combined P&amp;L'!AM:AM,'Combined P&amp;L'!$C:$C,'P&amp;L Forecast'!$B34)</f>
        <v>0</v>
      </c>
      <c r="AP34" s="54">
        <f>SUMIFS('Combined P&amp;L'!AN:AN,'Combined P&amp;L'!$C:$C,'P&amp;L Forecast'!$B34)</f>
        <v>0</v>
      </c>
      <c r="AQ34" s="54">
        <f>SUMIFS('Combined P&amp;L'!AO:AO,'Combined P&amp;L'!$C:$C,'P&amp;L Forecast'!$B34)</f>
        <v>0</v>
      </c>
      <c r="AR34" s="54">
        <f>SUMIFS('Combined P&amp;L'!AP:AP,'Combined P&amp;L'!$C:$C,'P&amp;L Forecast'!$B34)</f>
        <v>2.5170599999999999</v>
      </c>
      <c r="AS34" s="54">
        <f>SUMIFS('Combined P&amp;L'!AQ:AQ,'Combined P&amp;L'!$C:$C,'P&amp;L Forecast'!$B34)</f>
        <v>2.7211699999999999</v>
      </c>
      <c r="AT34" s="54">
        <f>SUMIFS('Combined P&amp;L'!AR:AR,'Combined P&amp;L'!$C:$C,'P&amp;L Forecast'!$B34)</f>
        <v>2.7567699999999999</v>
      </c>
    </row>
    <row r="35" spans="2:46" x14ac:dyDescent="0.2">
      <c r="B35" s="58" t="s">
        <v>54</v>
      </c>
      <c r="C35" s="24">
        <f>SUMIFS($P35:$AT35,$P$5:$AT$5,"&gt;"&amp;C$172,$P$5:$AT$5,"&lt;"&amp;C$173)</f>
        <v>5.3740499999999995</v>
      </c>
      <c r="D35" s="24">
        <f>SUMIFS($P35:$AT35,$P$5:$AT$5,"&gt;"&amp;D$172,$P$5:$AT$5,"&lt;"&amp;D$173)</f>
        <v>19.23245</v>
      </c>
      <c r="E35" s="24"/>
      <c r="F35" s="24">
        <f>SUMIFS($P35:$AT35,$P$5:$AT$5,"&gt;"&amp;F$172,$P$5:$AT$5,"&lt;"&amp;F$173)</f>
        <v>9.0216600000000007</v>
      </c>
      <c r="G35" s="24">
        <f>SUMIFS($P35:$AT35,$P$5:$AT$5,"&gt;"&amp;G$172,$P$5:$AT$5,"&lt;"&amp;G$173)</f>
        <v>17.36251</v>
      </c>
      <c r="H35" s="24"/>
      <c r="I35" s="24">
        <f>SUMIFS($P35:$AT35,$P$5:$AT$5,"&gt;"&amp;I$172,$P$5:$AT$5,"&lt;"&amp;I$173)</f>
        <v>11.467930000000001</v>
      </c>
      <c r="J35" s="24">
        <f>SUMIFS($P35:$AT35,$P$5:$AT$5,"&gt;"&amp;J$172,$P$5:$AT$5,"&lt;"&amp;J$173)</f>
        <v>26.4526</v>
      </c>
      <c r="K35" s="66">
        <f>+C134</f>
        <v>32.178359999999998</v>
      </c>
      <c r="L35" s="66"/>
      <c r="M35" s="24">
        <f t="shared" ref="M35" si="41">+J35-K35</f>
        <v>-5.7257599999999975</v>
      </c>
      <c r="N35" s="67">
        <f t="shared" ref="N35" si="42">IFERROR(K35/J35-1,0)</f>
        <v>0.21645358112246038</v>
      </c>
      <c r="O35" s="53"/>
      <c r="P35" s="54">
        <f>SUMIFS('Combined P&amp;L'!N:N,'Combined P&amp;L'!$C:$C,'P&amp;L Forecast'!$B35)</f>
        <v>0</v>
      </c>
      <c r="Q35" s="54">
        <f>SUMIFS('Combined P&amp;L'!O:O,'Combined P&amp;L'!$C:$C,'P&amp;L Forecast'!$B35)</f>
        <v>0.62770000000000004</v>
      </c>
      <c r="R35" s="54">
        <f>SUMIFS('Combined P&amp;L'!P:P,'Combined P&amp;L'!$C:$C,'P&amp;L Forecast'!$B35)</f>
        <v>0</v>
      </c>
      <c r="S35" s="54">
        <f>SUMIFS('Combined P&amp;L'!Q:Q,'Combined P&amp;L'!$C:$C,'P&amp;L Forecast'!$B35)</f>
        <v>0.33889999999999998</v>
      </c>
      <c r="T35" s="54">
        <f>SUMIFS('Combined P&amp;L'!R:R,'Combined P&amp;L'!$C:$C,'P&amp;L Forecast'!$B35)</f>
        <v>0.33889999999999998</v>
      </c>
      <c r="U35" s="54">
        <f>SUMIFS('Combined P&amp;L'!S:S,'Combined P&amp;L'!$C:$C,'P&amp;L Forecast'!$B35)</f>
        <v>6.1450000000000005E-2</v>
      </c>
      <c r="V35" s="54">
        <f>SUMIFS('Combined P&amp;L'!T:T,'Combined P&amp;L'!$C:$C,'P&amp;L Forecast'!$B35)</f>
        <v>0.8619</v>
      </c>
      <c r="W35" s="54">
        <f>SUMIFS('Combined P&amp;L'!U:U,'Combined P&amp;L'!$C:$C,'P&amp;L Forecast'!$B35)</f>
        <v>0.35955999999999999</v>
      </c>
      <c r="X35" s="54">
        <f>SUMIFS('Combined P&amp;L'!V:V,'Combined P&amp;L'!$C:$C,'P&amp;L Forecast'!$B35)</f>
        <v>0.38744999999999996</v>
      </c>
      <c r="Y35" s="54">
        <f>SUMIFS('Combined P&amp;L'!W:W,'Combined P&amp;L'!$C:$C,'P&amp;L Forecast'!$B35)</f>
        <v>0.69889999999999997</v>
      </c>
      <c r="Z35" s="54">
        <f>SUMIFS('Combined P&amp;L'!X:X,'Combined P&amp;L'!$C:$C,'P&amp;L Forecast'!$B35)</f>
        <v>0.91699999999999993</v>
      </c>
      <c r="AA35" s="54">
        <f>SUMIFS('Combined P&amp;L'!Y:Y,'Combined P&amp;L'!$C:$C,'P&amp;L Forecast'!$B35)</f>
        <v>0.78229000000000004</v>
      </c>
      <c r="AB35" s="54">
        <f>SUMIFS('Combined P&amp;L'!Z:Z,'Combined P&amp;L'!$C:$C,'P&amp;L Forecast'!$B35)</f>
        <v>0.93724000000000007</v>
      </c>
      <c r="AC35" s="54">
        <f>SUMIFS('Combined P&amp;L'!AA:AA,'Combined P&amp;L'!$C:$C,'P&amp;L Forecast'!$B35)</f>
        <v>1.0310700000000002</v>
      </c>
      <c r="AD35" s="54">
        <f>SUMIFS('Combined P&amp;L'!AB:AB,'Combined P&amp;L'!$C:$C,'P&amp;L Forecast'!$B35)</f>
        <v>0.66153000000000006</v>
      </c>
      <c r="AE35" s="54">
        <f>SUMIFS('Combined P&amp;L'!AC:AC,'Combined P&amp;L'!$C:$C,'P&amp;L Forecast'!$B35)</f>
        <v>0.71452999999999989</v>
      </c>
      <c r="AF35" s="54">
        <f>SUMIFS('Combined P&amp;L'!AD:AD,'Combined P&amp;L'!$C:$C,'P&amp;L Forecast'!$B35)</f>
        <v>2.2549300000000003</v>
      </c>
      <c r="AG35" s="54">
        <f>SUMIFS('Combined P&amp;L'!AE:AE,'Combined P&amp;L'!$C:$C,'P&amp;L Forecast'!$B35)</f>
        <v>1.8615300000000001</v>
      </c>
      <c r="AH35" s="54">
        <f>SUMIFS('Combined P&amp;L'!AF:AF,'Combined P&amp;L'!$C:$C,'P&amp;L Forecast'!$B35)</f>
        <v>1.5608300000000002</v>
      </c>
      <c r="AI35" s="54">
        <f>SUMIFS('Combined P&amp;L'!AG:AG,'Combined P&amp;L'!$C:$C,'P&amp;L Forecast'!$B35)</f>
        <v>1.7476700000000003</v>
      </c>
      <c r="AJ35" s="54">
        <f>SUMIFS('Combined P&amp;L'!AH:AH,'Combined P&amp;L'!$C:$C,'P&amp;L Forecast'!$B35)</f>
        <v>0.90752999999999995</v>
      </c>
      <c r="AK35" s="54">
        <f>SUMIFS('Combined P&amp;L'!AI:AI,'Combined P&amp;L'!$C:$C,'P&amp;L Forecast'!$B35)</f>
        <v>2.5135300000000003</v>
      </c>
      <c r="AL35" s="54">
        <f>SUMIFS('Combined P&amp;L'!AJ:AJ,'Combined P&amp;L'!$C:$C,'P&amp;L Forecast'!$B35)</f>
        <v>1.0375300000000001</v>
      </c>
      <c r="AM35" s="54">
        <f>SUMIFS('Combined P&amp;L'!AK:AK,'Combined P&amp;L'!$C:$C,'P&amp;L Forecast'!$B35)</f>
        <v>4.0045299999999999</v>
      </c>
      <c r="AN35" s="54">
        <f>SUMIFS('Combined P&amp;L'!AL:AL,'Combined P&amp;L'!$C:$C,'P&amp;L Forecast'!$B35)</f>
        <v>1.5787300000000002</v>
      </c>
      <c r="AO35" s="54">
        <f>SUMIFS('Combined P&amp;L'!AM:AM,'Combined P&amp;L'!$C:$C,'P&amp;L Forecast'!$B35)</f>
        <v>1.1455300000000002</v>
      </c>
      <c r="AP35" s="54">
        <f>SUMIFS('Combined P&amp;L'!AN:AN,'Combined P&amp;L'!$C:$C,'P&amp;L Forecast'!$B35)</f>
        <v>5.1385300000000003</v>
      </c>
      <c r="AQ35" s="54">
        <f>SUMIFS('Combined P&amp;L'!AO:AO,'Combined P&amp;L'!$C:$C,'P&amp;L Forecast'!$B35)</f>
        <v>1.92353</v>
      </c>
      <c r="AR35" s="54">
        <f>SUMIFS('Combined P&amp;L'!AP:AP,'Combined P&amp;L'!$C:$C,'P&amp;L Forecast'!$B35)</f>
        <v>1.46353</v>
      </c>
      <c r="AS35" s="54">
        <f>SUMIFS('Combined P&amp;L'!AQ:AQ,'Combined P&amp;L'!$C:$C,'P&amp;L Forecast'!$B35)</f>
        <v>3.4311299999999996</v>
      </c>
      <c r="AT35" s="54">
        <f>SUMIFS('Combined P&amp;L'!AR:AR,'Combined P&amp;L'!$C:$C,'P&amp;L Forecast'!$B35)</f>
        <v>2.68153</v>
      </c>
    </row>
    <row r="36" spans="2:46" ht="12" customHeight="1" x14ac:dyDescent="0.2">
      <c r="B36" s="59" t="s">
        <v>283</v>
      </c>
      <c r="C36" s="60">
        <f>SUM(C27:C35)</f>
        <v>700.20546999999999</v>
      </c>
      <c r="D36" s="60">
        <f>SUM(D27:D35)</f>
        <v>1261.16659</v>
      </c>
      <c r="F36" s="60">
        <f>SUM(F27:F35)</f>
        <v>630.65714000000014</v>
      </c>
      <c r="G36" s="60">
        <f>SUM(G27:G35)</f>
        <v>1120.8920899999996</v>
      </c>
      <c r="I36" s="60">
        <f>SUM(I27:I35)</f>
        <v>940.94885000000011</v>
      </c>
      <c r="J36" s="60">
        <f>SUM(J27:J35)</f>
        <v>1679.3719699999999</v>
      </c>
      <c r="K36" s="60">
        <f>SUM(K27:K35)</f>
        <v>2158.73558</v>
      </c>
      <c r="L36" s="72"/>
      <c r="M36" s="60">
        <f>SUM(M27:M35)</f>
        <v>-479.36361000000016</v>
      </c>
      <c r="N36" s="91">
        <f t="shared" si="40"/>
        <v>0.28544218824850343</v>
      </c>
      <c r="P36" s="60">
        <f t="shared" ref="P36:AT36" si="43">SUM(P27:P35)</f>
        <v>31.74682</v>
      </c>
      <c r="Q36" s="60">
        <f t="shared" si="43"/>
        <v>37.626089999999998</v>
      </c>
      <c r="R36" s="60">
        <f t="shared" si="43"/>
        <v>37.778649999999999</v>
      </c>
      <c r="S36" s="60">
        <f t="shared" si="43"/>
        <v>50.818180000000005</v>
      </c>
      <c r="T36" s="60">
        <f t="shared" si="43"/>
        <v>70.644099999999995</v>
      </c>
      <c r="U36" s="60">
        <f t="shared" si="43"/>
        <v>52.940650000000005</v>
      </c>
      <c r="V36" s="60">
        <f t="shared" si="43"/>
        <v>56.153749999999995</v>
      </c>
      <c r="W36" s="60">
        <f t="shared" si="43"/>
        <v>52.541019999999996</v>
      </c>
      <c r="X36" s="60">
        <f t="shared" si="43"/>
        <v>58.642799999999994</v>
      </c>
      <c r="Y36" s="60">
        <f t="shared" si="43"/>
        <v>62.41675</v>
      </c>
      <c r="Z36" s="60">
        <f t="shared" si="43"/>
        <v>95.206890000000001</v>
      </c>
      <c r="AA36" s="60">
        <f t="shared" si="43"/>
        <v>93.689769999999996</v>
      </c>
      <c r="AB36" s="60">
        <f t="shared" si="43"/>
        <v>86.697400000000016</v>
      </c>
      <c r="AC36" s="60">
        <f t="shared" si="43"/>
        <v>70.622489999999999</v>
      </c>
      <c r="AD36" s="60">
        <f t="shared" si="43"/>
        <v>79.527290000000008</v>
      </c>
      <c r="AE36" s="60">
        <f t="shared" si="43"/>
        <v>92.874989999999997</v>
      </c>
      <c r="AF36" s="60">
        <f t="shared" si="43"/>
        <v>96.682289999999995</v>
      </c>
      <c r="AG36" s="60">
        <f t="shared" si="43"/>
        <v>95.893410000000017</v>
      </c>
      <c r="AH36" s="60">
        <f t="shared" si="43"/>
        <v>108.35927</v>
      </c>
      <c r="AI36" s="60">
        <f t="shared" si="43"/>
        <v>103.32645000000001</v>
      </c>
      <c r="AJ36" s="60">
        <f t="shared" si="43"/>
        <v>120.57245999999999</v>
      </c>
      <c r="AK36" s="60">
        <f t="shared" si="43"/>
        <v>138.08331000000001</v>
      </c>
      <c r="AL36" s="60">
        <f t="shared" si="43"/>
        <v>122.83484</v>
      </c>
      <c r="AM36" s="60">
        <f t="shared" si="43"/>
        <v>145.69238999999999</v>
      </c>
      <c r="AN36" s="60">
        <f t="shared" si="43"/>
        <v>135.50082</v>
      </c>
      <c r="AO36" s="60">
        <f t="shared" si="43"/>
        <v>117.71538000000001</v>
      </c>
      <c r="AP36" s="60">
        <f t="shared" si="43"/>
        <v>169.54907000000003</v>
      </c>
      <c r="AQ36" s="60">
        <f t="shared" si="43"/>
        <v>171.55422000000002</v>
      </c>
      <c r="AR36" s="60">
        <f t="shared" si="43"/>
        <v>168.43431999999996</v>
      </c>
      <c r="AS36" s="60">
        <f t="shared" si="43"/>
        <v>177.74943999999994</v>
      </c>
      <c r="AT36" s="60">
        <f t="shared" si="43"/>
        <v>180.38884000000002</v>
      </c>
    </row>
    <row r="37" spans="2:46" ht="3.95" customHeight="1" x14ac:dyDescent="0.2">
      <c r="K37" s="46"/>
      <c r="L37" s="46"/>
      <c r="N37" s="93"/>
    </row>
    <row r="38" spans="2:46" x14ac:dyDescent="0.2">
      <c r="B38" s="58" t="s">
        <v>44</v>
      </c>
      <c r="C38" s="24">
        <f>SUMIFS($P38:$AT38,$P$5:$AT$5,"&gt;"&amp;C$172,$P$5:$AT$5,"&lt;"&amp;C$173)</f>
        <v>114.42268999999999</v>
      </c>
      <c r="D38" s="24">
        <f>SUMIFS($P38:$AT38,$P$5:$AT$5,"&gt;"&amp;D$172,$P$5:$AT$5,"&lt;"&amp;D$173)</f>
        <v>157.49471000000003</v>
      </c>
      <c r="E38" s="24"/>
      <c r="F38" s="24">
        <f>SUMIFS($P38:$AT38,$P$5:$AT$5,"&gt;"&amp;F$172,$P$5:$AT$5,"&lt;"&amp;F$173)</f>
        <v>84.968590000000006</v>
      </c>
      <c r="G38" s="24">
        <f>SUMIFS($P38:$AT38,$P$5:$AT$5,"&gt;"&amp;G$172,$P$5:$AT$5,"&lt;"&amp;G$173)</f>
        <v>152.28157000000002</v>
      </c>
      <c r="H38" s="24"/>
      <c r="I38" s="24">
        <f>SUMIFS($P38:$AT38,$P$5:$AT$5,"&gt;"&amp;I$172,$P$5:$AT$5,"&lt;"&amp;I$173)</f>
        <v>139.99467999999999</v>
      </c>
      <c r="J38" s="24">
        <f>SUMIFS($P38:$AT38,$P$5:$AT$5,"&gt;"&amp;J$172,$P$5:$AT$5,"&lt;"&amp;J$173)</f>
        <v>209.96746000000002</v>
      </c>
      <c r="K38" s="66">
        <f>+C138</f>
        <v>335.70816000000002</v>
      </c>
      <c r="L38" s="66"/>
      <c r="M38" s="24">
        <f>+J38-K38</f>
        <v>-125.7407</v>
      </c>
      <c r="N38" s="67">
        <f t="shared" ref="N38:N44" si="44">IFERROR(K38/J38-1,0)</f>
        <v>0.59885803257323778</v>
      </c>
      <c r="O38" s="53"/>
      <c r="P38" s="54">
        <f>SUMIFS('Combined P&amp;L'!N:N,'Combined P&amp;L'!$C:$C,'P&amp;L Forecast'!$B38)</f>
        <v>7.0730000000000004</v>
      </c>
      <c r="Q38" s="54">
        <f>SUMIFS('Combined P&amp;L'!O:O,'Combined P&amp;L'!$C:$C,'P&amp;L Forecast'!$B38)</f>
        <v>7.0181800000000001</v>
      </c>
      <c r="R38" s="54">
        <f>SUMIFS('Combined P&amp;L'!P:P,'Combined P&amp;L'!$C:$C,'P&amp;L Forecast'!$B38)</f>
        <v>7.7778799999999997</v>
      </c>
      <c r="S38" s="54">
        <f>SUMIFS('Combined P&amp;L'!Q:Q,'Combined P&amp;L'!$C:$C,'P&amp;L Forecast'!$B38)</f>
        <v>7.7612399999999999</v>
      </c>
      <c r="T38" s="54">
        <f>SUMIFS('Combined P&amp;L'!R:R,'Combined P&amp;L'!$C:$C,'P&amp;L Forecast'!$B38)</f>
        <v>7.71821</v>
      </c>
      <c r="U38" s="54">
        <f>SUMIFS('Combined P&amp;L'!S:S,'Combined P&amp;L'!$C:$C,'P&amp;L Forecast'!$B38)</f>
        <v>8.9126399999999997</v>
      </c>
      <c r="V38" s="54">
        <f>SUMIFS('Combined P&amp;L'!T:T,'Combined P&amp;L'!$C:$C,'P&amp;L Forecast'!$B38)</f>
        <v>10.846680000000001</v>
      </c>
      <c r="W38" s="54">
        <f>SUMIFS('Combined P&amp;L'!U:U,'Combined P&amp;L'!$C:$C,'P&amp;L Forecast'!$B38)</f>
        <v>11.13514</v>
      </c>
      <c r="X38" s="54">
        <f>SUMIFS('Combined P&amp;L'!V:V,'Combined P&amp;L'!$C:$C,'P&amp;L Forecast'!$B38)</f>
        <v>11.0345</v>
      </c>
      <c r="Y38" s="54">
        <f>SUMIFS('Combined P&amp;L'!W:W,'Combined P&amp;L'!$C:$C,'P&amp;L Forecast'!$B38)</f>
        <v>11.728729999999999</v>
      </c>
      <c r="Z38" s="54">
        <f>SUMIFS('Combined P&amp;L'!X:X,'Combined P&amp;L'!$C:$C,'P&amp;L Forecast'!$B38)</f>
        <v>11.446909999999999</v>
      </c>
      <c r="AA38" s="54">
        <f>SUMIFS('Combined P&amp;L'!Y:Y,'Combined P&amp;L'!$C:$C,'P&amp;L Forecast'!$B38)</f>
        <v>11.969580000000001</v>
      </c>
      <c r="AB38" s="54">
        <f>SUMIFS('Combined P&amp;L'!Z:Z,'Combined P&amp;L'!$C:$C,'P&amp;L Forecast'!$B38)</f>
        <v>10.84853</v>
      </c>
      <c r="AC38" s="54">
        <f>SUMIFS('Combined P&amp;L'!AA:AA,'Combined P&amp;L'!$C:$C,'P&amp;L Forecast'!$B38)</f>
        <v>12.21311</v>
      </c>
      <c r="AD38" s="54">
        <f>SUMIFS('Combined P&amp;L'!AB:AB,'Combined P&amp;L'!$C:$C,'P&amp;L Forecast'!$B38)</f>
        <v>11.571669999999999</v>
      </c>
      <c r="AE38" s="54">
        <f>SUMIFS('Combined P&amp;L'!AC:AC,'Combined P&amp;L'!$C:$C,'P&amp;L Forecast'!$B38)</f>
        <v>11.810870000000001</v>
      </c>
      <c r="AF38" s="54">
        <f>SUMIFS('Combined P&amp;L'!AD:AD,'Combined P&amp;L'!$C:$C,'P&amp;L Forecast'!$B38)</f>
        <v>12.52563</v>
      </c>
      <c r="AG38" s="54">
        <f>SUMIFS('Combined P&amp;L'!AE:AE,'Combined P&amp;L'!$C:$C,'P&amp;L Forecast'!$B38)</f>
        <v>12.863329999999999</v>
      </c>
      <c r="AH38" s="54">
        <f>SUMIFS('Combined P&amp;L'!AF:AF,'Combined P&amp;L'!$C:$C,'P&amp;L Forecast'!$B38)</f>
        <v>13.135450000000001</v>
      </c>
      <c r="AI38" s="54">
        <f>SUMIFS('Combined P&amp;L'!AG:AG,'Combined P&amp;L'!$C:$C,'P&amp;L Forecast'!$B38)</f>
        <v>14.257149999999999</v>
      </c>
      <c r="AJ38" s="54">
        <f>SUMIFS('Combined P&amp;L'!AH:AH,'Combined P&amp;L'!$C:$C,'P&amp;L Forecast'!$B38)</f>
        <v>13.595120000000001</v>
      </c>
      <c r="AK38" s="54">
        <f>SUMIFS('Combined P&amp;L'!AI:AI,'Combined P&amp;L'!$C:$C,'P&amp;L Forecast'!$B38)</f>
        <v>12.347620000000001</v>
      </c>
      <c r="AL38" s="54">
        <f>SUMIFS('Combined P&amp;L'!AJ:AJ,'Combined P&amp;L'!$C:$C,'P&amp;L Forecast'!$B38)</f>
        <v>15.21781</v>
      </c>
      <c r="AM38" s="54">
        <f>SUMIFS('Combined P&amp;L'!AK:AK,'Combined P&amp;L'!$C:$C,'P&amp;L Forecast'!$B38)</f>
        <v>17.108419999999999</v>
      </c>
      <c r="AN38" s="54">
        <f>SUMIFS('Combined P&amp;L'!AL:AL,'Combined P&amp;L'!$C:$C,'P&amp;L Forecast'!$B38)</f>
        <v>18.468299999999999</v>
      </c>
      <c r="AO38" s="54">
        <f>SUMIFS('Combined P&amp;L'!AM:AM,'Combined P&amp;L'!$C:$C,'P&amp;L Forecast'!$B38)</f>
        <v>17.920270000000002</v>
      </c>
      <c r="AP38" s="54">
        <f>SUMIFS('Combined P&amp;L'!AN:AN,'Combined P&amp;L'!$C:$C,'P&amp;L Forecast'!$B38)</f>
        <v>18.40906</v>
      </c>
      <c r="AQ38" s="54">
        <f>SUMIFS('Combined P&amp;L'!AO:AO,'Combined P&amp;L'!$C:$C,'P&amp;L Forecast'!$B38)</f>
        <v>21.38775</v>
      </c>
      <c r="AR38" s="54">
        <f>SUMIFS('Combined P&amp;L'!AP:AP,'Combined P&amp;L'!$C:$C,'P&amp;L Forecast'!$B38)</f>
        <v>23.44584</v>
      </c>
      <c r="AS38" s="54">
        <f>SUMIFS('Combined P&amp;L'!AQ:AQ,'Combined P&amp;L'!$C:$C,'P&amp;L Forecast'!$B38)</f>
        <v>24.674669999999999</v>
      </c>
      <c r="AT38" s="54">
        <f>SUMIFS('Combined P&amp;L'!AR:AR,'Combined P&amp;L'!$C:$C,'P&amp;L Forecast'!$B38)</f>
        <v>27.975680000000001</v>
      </c>
    </row>
    <row r="39" spans="2:46" x14ac:dyDescent="0.2">
      <c r="B39" s="58" t="s">
        <v>76</v>
      </c>
      <c r="C39" s="24">
        <f>SUMIFS($P39:$AT39,$P$5:$AT$5,"&gt;"&amp;C$172,$P$5:$AT$5,"&lt;"&amp;C$173)</f>
        <v>60.915939999999999</v>
      </c>
      <c r="D39" s="24">
        <f>SUMIFS($P39:$AT39,$P$5:$AT$5,"&gt;"&amp;D$172,$P$5:$AT$5,"&lt;"&amp;D$173)</f>
        <v>117.05866</v>
      </c>
      <c r="E39" s="24"/>
      <c r="F39" s="24">
        <f>SUMIFS($P39:$AT39,$P$5:$AT$5,"&gt;"&amp;F$172,$P$5:$AT$5,"&lt;"&amp;F$173)</f>
        <v>56.811500000000009</v>
      </c>
      <c r="G39" s="24">
        <f>SUMIFS($P39:$AT39,$P$5:$AT$5,"&gt;"&amp;G$172,$P$5:$AT$5,"&lt;"&amp;G$173)</f>
        <v>97.04798000000001</v>
      </c>
      <c r="H39" s="24"/>
      <c r="I39" s="24">
        <f>SUMIFS($P39:$AT39,$P$5:$AT$5,"&gt;"&amp;I$172,$P$5:$AT$5,"&lt;"&amp;I$173)</f>
        <v>83.043899999999994</v>
      </c>
      <c r="J39" s="24">
        <f>SUMIFS($P39:$AT39,$P$5:$AT$5,"&gt;"&amp;J$172,$P$5:$AT$5,"&lt;"&amp;J$173)</f>
        <v>153.2946</v>
      </c>
      <c r="K39" s="66">
        <f>+C139</f>
        <v>155.82264000000001</v>
      </c>
      <c r="L39" s="66"/>
      <c r="M39" s="24">
        <f>+J39-K39</f>
        <v>-2.5280400000000043</v>
      </c>
      <c r="N39" s="67">
        <f>IFERROR(K39/J39-1,0)</f>
        <v>1.6491383258118608E-2</v>
      </c>
      <c r="O39" s="53"/>
      <c r="P39" s="54">
        <f>SUMIFS('Combined P&amp;L'!N:N,'Combined P&amp;L'!$C:$C,'P&amp;L Forecast'!$B39)</f>
        <v>3.4528499999999998</v>
      </c>
      <c r="Q39" s="54">
        <f>SUMIFS('Combined P&amp;L'!O:O,'Combined P&amp;L'!$C:$C,'P&amp;L Forecast'!$B39)</f>
        <v>3.6175300000000004</v>
      </c>
      <c r="R39" s="54">
        <f>SUMIFS('Combined P&amp;L'!P:P,'Combined P&amp;L'!$C:$C,'P&amp;L Forecast'!$B39)</f>
        <v>3.9740700000000002</v>
      </c>
      <c r="S39" s="54">
        <f>SUMIFS('Combined P&amp;L'!Q:Q,'Combined P&amp;L'!$C:$C,'P&amp;L Forecast'!$B39)</f>
        <v>4.2236499999999992</v>
      </c>
      <c r="T39" s="54">
        <f>SUMIFS('Combined P&amp;L'!R:R,'Combined P&amp;L'!$C:$C,'P&amp;L Forecast'!$B39)</f>
        <v>5.0972499999999998</v>
      </c>
      <c r="U39" s="54">
        <f>SUMIFS('Combined P&amp;L'!S:S,'Combined P&amp;L'!$C:$C,'P&amp;L Forecast'!$B39)</f>
        <v>5.3335100000000004</v>
      </c>
      <c r="V39" s="54">
        <f>SUMIFS('Combined P&amp;L'!T:T,'Combined P&amp;L'!$C:$C,'P&amp;L Forecast'!$B39)</f>
        <v>5.5136899999999995</v>
      </c>
      <c r="W39" s="54">
        <f>SUMIFS('Combined P&amp;L'!U:U,'Combined P&amp;L'!$C:$C,'P&amp;L Forecast'!$B39)</f>
        <v>5.2316899999999995</v>
      </c>
      <c r="X39" s="54">
        <f>SUMIFS('Combined P&amp;L'!V:V,'Combined P&amp;L'!$C:$C,'P&amp;L Forecast'!$B39)</f>
        <v>5.5162200000000006</v>
      </c>
      <c r="Y39" s="54">
        <f>SUMIFS('Combined P&amp;L'!W:W,'Combined P&amp;L'!$C:$C,'P&amp;L Forecast'!$B39)</f>
        <v>6.1279700000000004</v>
      </c>
      <c r="Z39" s="54">
        <f>SUMIFS('Combined P&amp;L'!X:X,'Combined P&amp;L'!$C:$C,'P&amp;L Forecast'!$B39)</f>
        <v>6.15097</v>
      </c>
      <c r="AA39" s="54">
        <f>SUMIFS('Combined P&amp;L'!Y:Y,'Combined P&amp;L'!$C:$C,'P&amp;L Forecast'!$B39)</f>
        <v>6.6765400000000001</v>
      </c>
      <c r="AB39" s="54">
        <f>SUMIFS('Combined P&amp;L'!Z:Z,'Combined P&amp;L'!$C:$C,'P&amp;L Forecast'!$B39)</f>
        <v>7.7464599999999999</v>
      </c>
      <c r="AC39" s="54">
        <f>SUMIFS('Combined P&amp;L'!AA:AA,'Combined P&amp;L'!$C:$C,'P&amp;L Forecast'!$B39)</f>
        <v>7.8918100000000004</v>
      </c>
      <c r="AD39" s="54">
        <f>SUMIFS('Combined P&amp;L'!AB:AB,'Combined P&amp;L'!$C:$C,'P&amp;L Forecast'!$B39)</f>
        <v>7.8908500000000004</v>
      </c>
      <c r="AE39" s="54">
        <f>SUMIFS('Combined P&amp;L'!AC:AC,'Combined P&amp;L'!$C:$C,'P&amp;L Forecast'!$B39)</f>
        <v>7.8346299999999998</v>
      </c>
      <c r="AF39" s="54">
        <f>SUMIFS('Combined P&amp;L'!AD:AD,'Combined P&amp;L'!$C:$C,'P&amp;L Forecast'!$B39)</f>
        <v>8.1172299999999993</v>
      </c>
      <c r="AG39" s="54">
        <f>SUMIFS('Combined P&amp;L'!AE:AE,'Combined P&amp;L'!$C:$C,'P&amp;L Forecast'!$B39)</f>
        <v>8.3458400000000008</v>
      </c>
      <c r="AH39" s="54">
        <f>SUMIFS('Combined P&amp;L'!AF:AF,'Combined P&amp;L'!$C:$C,'P&amp;L Forecast'!$B39)</f>
        <v>8.9846800000000009</v>
      </c>
      <c r="AI39" s="54">
        <f>SUMIFS('Combined P&amp;L'!AG:AG,'Combined P&amp;L'!$C:$C,'P&amp;L Forecast'!$B39)</f>
        <v>9.8566000000000003</v>
      </c>
      <c r="AJ39" s="54">
        <f>SUMIFS('Combined P&amp;L'!AH:AH,'Combined P&amp;L'!$C:$C,'P&amp;L Forecast'!$B39)</f>
        <v>10.73391</v>
      </c>
      <c r="AK39" s="54">
        <f>SUMIFS('Combined P&amp;L'!AI:AI,'Combined P&amp;L'!$C:$C,'P&amp;L Forecast'!$B39)</f>
        <v>12.08939</v>
      </c>
      <c r="AL39" s="54">
        <f>SUMIFS('Combined P&amp;L'!AJ:AJ,'Combined P&amp;L'!$C:$C,'P&amp;L Forecast'!$B39)</f>
        <v>13.14583</v>
      </c>
      <c r="AM39" s="54">
        <f>SUMIFS('Combined P&amp;L'!AK:AK,'Combined P&amp;L'!$C:$C,'P&amp;L Forecast'!$B39)</f>
        <v>14.421430000000001</v>
      </c>
      <c r="AN39" s="54">
        <f>SUMIFS('Combined P&amp;L'!AL:AL,'Combined P&amp;L'!$C:$C,'P&amp;L Forecast'!$B39)</f>
        <v>13.263159999999999</v>
      </c>
      <c r="AO39" s="54">
        <f>SUMIFS('Combined P&amp;L'!AM:AM,'Combined P&amp;L'!$C:$C,'P&amp;L Forecast'!$B39)</f>
        <v>14.7201</v>
      </c>
      <c r="AP39" s="54">
        <f>SUMIFS('Combined P&amp;L'!AN:AN,'Combined P&amp;L'!$C:$C,'P&amp;L Forecast'!$B39)</f>
        <v>14.99072</v>
      </c>
      <c r="AQ39" s="54">
        <f>SUMIFS('Combined P&amp;L'!AO:AO,'Combined P&amp;L'!$C:$C,'P&amp;L Forecast'!$B39)</f>
        <v>14.744590000000001</v>
      </c>
      <c r="AR39" s="54">
        <f>SUMIFS('Combined P&amp;L'!AP:AP,'Combined P&amp;L'!$C:$C,'P&amp;L Forecast'!$B39)</f>
        <v>13.229200000000001</v>
      </c>
      <c r="AS39" s="54">
        <f>SUMIFS('Combined P&amp;L'!AQ:AQ,'Combined P&amp;L'!$C:$C,'P&amp;L Forecast'!$B39)</f>
        <v>13.114990000000001</v>
      </c>
      <c r="AT39" s="54">
        <f>SUMIFS('Combined P&amp;L'!AR:AR,'Combined P&amp;L'!$C:$C,'P&amp;L Forecast'!$B39)</f>
        <v>12.98522</v>
      </c>
    </row>
    <row r="40" spans="2:46" x14ac:dyDescent="0.2">
      <c r="B40" s="58" t="s">
        <v>46</v>
      </c>
      <c r="C40" s="24">
        <f>SUMIFS($P40:$AT40,$P$5:$AT$5,"&gt;"&amp;C$172,$P$5:$AT$5,"&lt;"&amp;C$173)</f>
        <v>0</v>
      </c>
      <c r="D40" s="24">
        <f>SUMIFS($P40:$AT40,$P$5:$AT$5,"&gt;"&amp;D$172,$P$5:$AT$5,"&lt;"&amp;D$173)</f>
        <v>7.1412499999999994</v>
      </c>
      <c r="E40" s="24"/>
      <c r="F40" s="24">
        <f>SUMIFS($P40:$AT40,$P$5:$AT$5,"&gt;"&amp;F$172,$P$5:$AT$5,"&lt;"&amp;F$173)</f>
        <v>0</v>
      </c>
      <c r="G40" s="24">
        <f>SUMIFS($P40:$AT40,$P$5:$AT$5,"&gt;"&amp;G$172,$P$5:$AT$5,"&lt;"&amp;G$173)</f>
        <v>28.827750000000002</v>
      </c>
      <c r="H40" s="24"/>
      <c r="I40" s="24">
        <f>SUMIFS($P40:$AT40,$P$5:$AT$5,"&gt;"&amp;I$172,$P$5:$AT$5,"&lt;"&amp;I$173)</f>
        <v>0</v>
      </c>
      <c r="J40" s="24">
        <f>SUMIFS($P40:$AT40,$P$5:$AT$5,"&gt;"&amp;J$172,$P$5:$AT$5,"&lt;"&amp;J$173)</f>
        <v>30.899000000000001</v>
      </c>
      <c r="K40" s="66">
        <f>+C140</f>
        <v>60.84</v>
      </c>
      <c r="L40" s="66"/>
      <c r="M40" s="24">
        <f t="shared" ref="M40" si="45">+J40-K40</f>
        <v>-29.941000000000003</v>
      </c>
      <c r="N40" s="67">
        <f t="shared" ref="N40" si="46">IFERROR(K40/J40-1,0)</f>
        <v>0.96899576038059498</v>
      </c>
      <c r="O40" s="53"/>
      <c r="P40" s="54">
        <f>SUMIFS('Combined P&amp;L'!N:N,'Combined P&amp;L'!$C:$C,'P&amp;L Forecast'!$B40)</f>
        <v>0</v>
      </c>
      <c r="Q40" s="54">
        <f>SUMIFS('Combined P&amp;L'!O:O,'Combined P&amp;L'!$C:$C,'P&amp;L Forecast'!$B40)</f>
        <v>0</v>
      </c>
      <c r="R40" s="54">
        <f>SUMIFS('Combined P&amp;L'!P:P,'Combined P&amp;L'!$C:$C,'P&amp;L Forecast'!$B40)</f>
        <v>0</v>
      </c>
      <c r="S40" s="54">
        <f>SUMIFS('Combined P&amp;L'!Q:Q,'Combined P&amp;L'!$C:$C,'P&amp;L Forecast'!$B40)</f>
        <v>0</v>
      </c>
      <c r="T40" s="54">
        <f>SUMIFS('Combined P&amp;L'!R:R,'Combined P&amp;L'!$C:$C,'P&amp;L Forecast'!$B40)</f>
        <v>0</v>
      </c>
      <c r="U40" s="54">
        <f>SUMIFS('Combined P&amp;L'!S:S,'Combined P&amp;L'!$C:$C,'P&amp;L Forecast'!$B40)</f>
        <v>0</v>
      </c>
      <c r="V40" s="54">
        <f>SUMIFS('Combined P&amp;L'!T:T,'Combined P&amp;L'!$C:$C,'P&amp;L Forecast'!$B40)</f>
        <v>0</v>
      </c>
      <c r="W40" s="54">
        <f>SUMIFS('Combined P&amp;L'!U:U,'Combined P&amp;L'!$C:$C,'P&amp;L Forecast'!$B40)</f>
        <v>0</v>
      </c>
      <c r="X40" s="54">
        <f>SUMIFS('Combined P&amp;L'!V:V,'Combined P&amp;L'!$C:$C,'P&amp;L Forecast'!$B40)</f>
        <v>0</v>
      </c>
      <c r="Y40" s="54">
        <f>SUMIFS('Combined P&amp;L'!W:W,'Combined P&amp;L'!$C:$C,'P&amp;L Forecast'!$B40)</f>
        <v>0</v>
      </c>
      <c r="Z40" s="54">
        <f>SUMIFS('Combined P&amp;L'!X:X,'Combined P&amp;L'!$C:$C,'P&amp;L Forecast'!$B40)</f>
        <v>0</v>
      </c>
      <c r="AA40" s="54">
        <f>SUMIFS('Combined P&amp;L'!Y:Y,'Combined P&amp;L'!$C:$C,'P&amp;L Forecast'!$B40)</f>
        <v>0</v>
      </c>
      <c r="AB40" s="54">
        <f>SUMIFS('Combined P&amp;L'!Z:Z,'Combined P&amp;L'!$C:$C,'P&amp;L Forecast'!$B40)</f>
        <v>0</v>
      </c>
      <c r="AC40" s="54">
        <f>SUMIFS('Combined P&amp;L'!AA:AA,'Combined P&amp;L'!$C:$C,'P&amp;L Forecast'!$B40)</f>
        <v>0</v>
      </c>
      <c r="AD40" s="54">
        <f>SUMIFS('Combined P&amp;L'!AB:AB,'Combined P&amp;L'!$C:$C,'P&amp;L Forecast'!$B40)</f>
        <v>0</v>
      </c>
      <c r="AE40" s="54">
        <f>SUMIFS('Combined P&amp;L'!AC:AC,'Combined P&amp;L'!$C:$C,'P&amp;L Forecast'!$B40)</f>
        <v>0</v>
      </c>
      <c r="AF40" s="54">
        <f>SUMIFS('Combined P&amp;L'!AD:AD,'Combined P&amp;L'!$C:$C,'P&amp;L Forecast'!$B40)</f>
        <v>0</v>
      </c>
      <c r="AG40" s="54">
        <f>SUMIFS('Combined P&amp;L'!AE:AE,'Combined P&amp;L'!$C:$C,'P&amp;L Forecast'!$B40)</f>
        <v>0</v>
      </c>
      <c r="AH40" s="54">
        <f>SUMIFS('Combined P&amp;L'!AF:AF,'Combined P&amp;L'!$C:$C,'P&amp;L Forecast'!$B40)</f>
        <v>0</v>
      </c>
      <c r="AI40" s="54">
        <f>SUMIFS('Combined P&amp;L'!AG:AG,'Combined P&amp;L'!$C:$C,'P&amp;L Forecast'!$B40)</f>
        <v>0</v>
      </c>
      <c r="AJ40" s="54">
        <f>SUMIFS('Combined P&amp;L'!AH:AH,'Combined P&amp;L'!$C:$C,'P&amp;L Forecast'!$B40)</f>
        <v>0.93725000000000003</v>
      </c>
      <c r="AK40" s="54">
        <f>SUMIFS('Combined P&amp;L'!AI:AI,'Combined P&amp;L'!$C:$C,'P&amp;L Forecast'!$B40)</f>
        <v>1.39225</v>
      </c>
      <c r="AL40" s="54">
        <f>SUMIFS('Combined P&amp;L'!AJ:AJ,'Combined P&amp;L'!$C:$C,'P&amp;L Forecast'!$B40)</f>
        <v>2.3612500000000001</v>
      </c>
      <c r="AM40" s="54">
        <f>SUMIFS('Combined P&amp;L'!AK:AK,'Combined P&amp;L'!$C:$C,'P&amp;L Forecast'!$B40)</f>
        <v>2.4504999999999999</v>
      </c>
      <c r="AN40" s="54">
        <f>SUMIFS('Combined P&amp;L'!AL:AL,'Combined P&amp;L'!$C:$C,'P&amp;L Forecast'!$B40)</f>
        <v>2.9497499999999999</v>
      </c>
      <c r="AO40" s="54">
        <f>SUMIFS('Combined P&amp;L'!AM:AM,'Combined P&amp;L'!$C:$C,'P&amp;L Forecast'!$B40)</f>
        <v>3.42</v>
      </c>
      <c r="AP40" s="54">
        <f>SUMIFS('Combined P&amp;L'!AN:AN,'Combined P&amp;L'!$C:$C,'P&amp;L Forecast'!$B40)</f>
        <v>3.6779999999999999</v>
      </c>
      <c r="AQ40" s="54">
        <f>SUMIFS('Combined P&amp;L'!AO:AO,'Combined P&amp;L'!$C:$C,'P&amp;L Forecast'!$B40)</f>
        <v>4.218</v>
      </c>
      <c r="AR40" s="54">
        <f>SUMIFS('Combined P&amp;L'!AP:AP,'Combined P&amp;L'!$C:$C,'P&amp;L Forecast'!$B40)</f>
        <v>4.2839999999999998</v>
      </c>
      <c r="AS40" s="54">
        <f>SUMIFS('Combined P&amp;L'!AQ:AQ,'Combined P&amp;L'!$C:$C,'P&amp;L Forecast'!$B40)</f>
        <v>5.2080000000000002</v>
      </c>
      <c r="AT40" s="54">
        <f>SUMIFS('Combined P&amp;L'!AR:AR,'Combined P&amp;L'!$C:$C,'P&amp;L Forecast'!$B40)</f>
        <v>5.07</v>
      </c>
    </row>
    <row r="41" spans="2:46" x14ac:dyDescent="0.2">
      <c r="B41" s="58" t="s">
        <v>75</v>
      </c>
      <c r="C41" s="24">
        <f>SUMIFS($P41:$AT41,$P$5:$AT$5,"&gt;"&amp;C$172,$P$5:$AT$5,"&lt;"&amp;C$173)</f>
        <v>0</v>
      </c>
      <c r="D41" s="24">
        <f>SUMIFS($P41:$AT41,$P$5:$AT$5,"&gt;"&amp;D$172,$P$5:$AT$5,"&lt;"&amp;D$173)</f>
        <v>0</v>
      </c>
      <c r="E41" s="24"/>
      <c r="F41" s="24">
        <f>SUMIFS($P41:$AT41,$P$5:$AT$5,"&gt;"&amp;F$172,$P$5:$AT$5,"&lt;"&amp;F$173)</f>
        <v>0</v>
      </c>
      <c r="G41" s="24">
        <f>SUMIFS($P41:$AT41,$P$5:$AT$5,"&gt;"&amp;G$172,$P$5:$AT$5,"&lt;"&amp;G$173)</f>
        <v>6.52752</v>
      </c>
      <c r="H41" s="24"/>
      <c r="I41" s="24">
        <f>SUMIFS($P41:$AT41,$P$5:$AT$5,"&gt;"&amp;I$172,$P$5:$AT$5,"&lt;"&amp;I$173)</f>
        <v>0</v>
      </c>
      <c r="J41" s="24">
        <f>SUMIFS($P41:$AT41,$P$5:$AT$5,"&gt;"&amp;J$172,$P$5:$AT$5,"&lt;"&amp;J$173)</f>
        <v>5.2155399999999998</v>
      </c>
      <c r="K41" s="66">
        <f>+C141</f>
        <v>15.743759999999998</v>
      </c>
      <c r="L41" s="66"/>
      <c r="M41" s="24">
        <f t="shared" ref="M41" si="47">+J41-K41</f>
        <v>-10.528219999999997</v>
      </c>
      <c r="N41" s="67">
        <f t="shared" ref="N41" si="48">IFERROR(K41/J41-1,0)</f>
        <v>2.0186251088094425</v>
      </c>
      <c r="O41" s="53"/>
      <c r="P41" s="54">
        <f>SUMIFS('Combined P&amp;L'!N:N,'Combined P&amp;L'!$C:$C,'P&amp;L Forecast'!$B41)</f>
        <v>0</v>
      </c>
      <c r="Q41" s="54">
        <f>SUMIFS('Combined P&amp;L'!O:O,'Combined P&amp;L'!$C:$C,'P&amp;L Forecast'!$B41)</f>
        <v>0</v>
      </c>
      <c r="R41" s="54">
        <f>SUMIFS('Combined P&amp;L'!P:P,'Combined P&amp;L'!$C:$C,'P&amp;L Forecast'!$B41)</f>
        <v>0</v>
      </c>
      <c r="S41" s="54">
        <f>SUMIFS('Combined P&amp;L'!Q:Q,'Combined P&amp;L'!$C:$C,'P&amp;L Forecast'!$B41)</f>
        <v>0</v>
      </c>
      <c r="T41" s="54">
        <f>SUMIFS('Combined P&amp;L'!R:R,'Combined P&amp;L'!$C:$C,'P&amp;L Forecast'!$B41)</f>
        <v>0</v>
      </c>
      <c r="U41" s="54">
        <f>SUMIFS('Combined P&amp;L'!S:S,'Combined P&amp;L'!$C:$C,'P&amp;L Forecast'!$B41)</f>
        <v>0</v>
      </c>
      <c r="V41" s="54">
        <f>SUMIFS('Combined P&amp;L'!T:T,'Combined P&amp;L'!$C:$C,'P&amp;L Forecast'!$B41)</f>
        <v>0</v>
      </c>
      <c r="W41" s="54">
        <f>SUMIFS('Combined P&amp;L'!U:U,'Combined P&amp;L'!$C:$C,'P&amp;L Forecast'!$B41)</f>
        <v>0</v>
      </c>
      <c r="X41" s="54">
        <f>SUMIFS('Combined P&amp;L'!V:V,'Combined P&amp;L'!$C:$C,'P&amp;L Forecast'!$B41)</f>
        <v>0</v>
      </c>
      <c r="Y41" s="54">
        <f>SUMIFS('Combined P&amp;L'!W:W,'Combined P&amp;L'!$C:$C,'P&amp;L Forecast'!$B41)</f>
        <v>0</v>
      </c>
      <c r="Z41" s="54">
        <f>SUMIFS('Combined P&amp;L'!X:X,'Combined P&amp;L'!$C:$C,'P&amp;L Forecast'!$B41)</f>
        <v>0</v>
      </c>
      <c r="AA41" s="54">
        <f>SUMIFS('Combined P&amp;L'!Y:Y,'Combined P&amp;L'!$C:$C,'P&amp;L Forecast'!$B41)</f>
        <v>0</v>
      </c>
      <c r="AB41" s="54">
        <f>SUMIFS('Combined P&amp;L'!Z:Z,'Combined P&amp;L'!$C:$C,'P&amp;L Forecast'!$B41)</f>
        <v>0</v>
      </c>
      <c r="AC41" s="54">
        <f>SUMIFS('Combined P&amp;L'!AA:AA,'Combined P&amp;L'!$C:$C,'P&amp;L Forecast'!$B41)</f>
        <v>0</v>
      </c>
      <c r="AD41" s="54">
        <f>SUMIFS('Combined P&amp;L'!AB:AB,'Combined P&amp;L'!$C:$C,'P&amp;L Forecast'!$B41)</f>
        <v>0</v>
      </c>
      <c r="AE41" s="54">
        <f>SUMIFS('Combined P&amp;L'!AC:AC,'Combined P&amp;L'!$C:$C,'P&amp;L Forecast'!$B41)</f>
        <v>0</v>
      </c>
      <c r="AF41" s="54">
        <f>SUMIFS('Combined P&amp;L'!AD:AD,'Combined P&amp;L'!$C:$C,'P&amp;L Forecast'!$B41)</f>
        <v>0</v>
      </c>
      <c r="AG41" s="54">
        <f>SUMIFS('Combined P&amp;L'!AE:AE,'Combined P&amp;L'!$C:$C,'P&amp;L Forecast'!$B41)</f>
        <v>0</v>
      </c>
      <c r="AH41" s="54">
        <f>SUMIFS('Combined P&amp;L'!AF:AF,'Combined P&amp;L'!$C:$C,'P&amp;L Forecast'!$B41)</f>
        <v>0</v>
      </c>
      <c r="AI41" s="54">
        <f>SUMIFS('Combined P&amp;L'!AG:AG,'Combined P&amp;L'!$C:$C,'P&amp;L Forecast'!$B41)</f>
        <v>0</v>
      </c>
      <c r="AJ41" s="54">
        <f>SUMIFS('Combined P&amp;L'!AH:AH,'Combined P&amp;L'!$C:$C,'P&amp;L Forecast'!$B41)</f>
        <v>0</v>
      </c>
      <c r="AK41" s="54">
        <f>SUMIFS('Combined P&amp;L'!AI:AI,'Combined P&amp;L'!$C:$C,'P&amp;L Forecast'!$B41)</f>
        <v>0</v>
      </c>
      <c r="AL41" s="54">
        <f>SUMIFS('Combined P&amp;L'!AJ:AJ,'Combined P&amp;L'!$C:$C,'P&amp;L Forecast'!$B41)</f>
        <v>0</v>
      </c>
      <c r="AM41" s="54">
        <f>SUMIFS('Combined P&amp;L'!AK:AK,'Combined P&amp;L'!$C:$C,'P&amp;L Forecast'!$B41)</f>
        <v>0</v>
      </c>
      <c r="AN41" s="54">
        <f>SUMIFS('Combined P&amp;L'!AL:AL,'Combined P&amp;L'!$C:$C,'P&amp;L Forecast'!$B41)</f>
        <v>0.12</v>
      </c>
      <c r="AO41" s="54">
        <f>SUMIFS('Combined P&amp;L'!AM:AM,'Combined P&amp;L'!$C:$C,'P&amp;L Forecast'!$B41)</f>
        <v>0.12</v>
      </c>
      <c r="AP41" s="54">
        <f>SUMIFS('Combined P&amp;L'!AN:AN,'Combined P&amp;L'!$C:$C,'P&amp;L Forecast'!$B41)</f>
        <v>0.70165999999999995</v>
      </c>
      <c r="AQ41" s="54">
        <f>SUMIFS('Combined P&amp;L'!AO:AO,'Combined P&amp;L'!$C:$C,'P&amp;L Forecast'!$B41)</f>
        <v>2.20736</v>
      </c>
      <c r="AR41" s="54">
        <f>SUMIFS('Combined P&amp;L'!AP:AP,'Combined P&amp;L'!$C:$C,'P&amp;L Forecast'!$B41)</f>
        <v>0.91486999999999996</v>
      </c>
      <c r="AS41" s="54">
        <f>SUMIFS('Combined P&amp;L'!AQ:AQ,'Combined P&amp;L'!$C:$C,'P&amp;L Forecast'!$B41)</f>
        <v>1.1516500000000001</v>
      </c>
      <c r="AT41" s="54">
        <f>SUMIFS('Combined P&amp;L'!AR:AR,'Combined P&amp;L'!$C:$C,'P&amp;L Forecast'!$B41)</f>
        <v>1.3119799999999999</v>
      </c>
    </row>
    <row r="42" spans="2:46" ht="12" customHeight="1" x14ac:dyDescent="0.2">
      <c r="B42" s="59" t="s">
        <v>299</v>
      </c>
      <c r="C42" s="60">
        <f>SUM(C38:C41)</f>
        <v>175.33862999999999</v>
      </c>
      <c r="D42" s="60">
        <f>SUM(D38:D41)</f>
        <v>281.69462000000004</v>
      </c>
      <c r="F42" s="60">
        <f t="shared" ref="F42:G42" si="49">SUM(F38:F41)</f>
        <v>141.78009000000003</v>
      </c>
      <c r="G42" s="60">
        <f t="shared" si="49"/>
        <v>284.68482</v>
      </c>
      <c r="I42" s="60">
        <f t="shared" ref="I42:K42" si="50">SUM(I38:I41)</f>
        <v>223.03857999999997</v>
      </c>
      <c r="J42" s="60">
        <f t="shared" si="50"/>
        <v>399.3766</v>
      </c>
      <c r="K42" s="60">
        <f t="shared" si="50"/>
        <v>568.11455999999998</v>
      </c>
      <c r="L42" s="72"/>
      <c r="M42" s="60">
        <f>SUM(M38:M41)</f>
        <v>-168.73796000000002</v>
      </c>
      <c r="N42" s="91">
        <f t="shared" si="44"/>
        <v>0.42250337150448969</v>
      </c>
      <c r="P42" s="60">
        <f t="shared" ref="P42:AT42" si="51">SUM(P38:P41)</f>
        <v>10.52585</v>
      </c>
      <c r="Q42" s="60">
        <f t="shared" si="51"/>
        <v>10.63571</v>
      </c>
      <c r="R42" s="60">
        <f t="shared" si="51"/>
        <v>11.751950000000001</v>
      </c>
      <c r="S42" s="60">
        <f t="shared" si="51"/>
        <v>11.98489</v>
      </c>
      <c r="T42" s="60">
        <f t="shared" si="51"/>
        <v>12.81546</v>
      </c>
      <c r="U42" s="60">
        <f t="shared" si="51"/>
        <v>14.24615</v>
      </c>
      <c r="V42" s="60">
        <f t="shared" si="51"/>
        <v>16.36037</v>
      </c>
      <c r="W42" s="60">
        <f t="shared" si="51"/>
        <v>16.36683</v>
      </c>
      <c r="X42" s="60">
        <f t="shared" si="51"/>
        <v>16.550719999999998</v>
      </c>
      <c r="Y42" s="60">
        <f t="shared" si="51"/>
        <v>17.8567</v>
      </c>
      <c r="Z42" s="60">
        <f t="shared" si="51"/>
        <v>17.59788</v>
      </c>
      <c r="AA42" s="60">
        <f t="shared" si="51"/>
        <v>18.64612</v>
      </c>
      <c r="AB42" s="60">
        <f t="shared" si="51"/>
        <v>18.594989999999999</v>
      </c>
      <c r="AC42" s="60">
        <f t="shared" si="51"/>
        <v>20.10492</v>
      </c>
      <c r="AD42" s="60">
        <f t="shared" si="51"/>
        <v>19.462519999999998</v>
      </c>
      <c r="AE42" s="60">
        <f t="shared" si="51"/>
        <v>19.645500000000002</v>
      </c>
      <c r="AF42" s="60">
        <f t="shared" si="51"/>
        <v>20.642859999999999</v>
      </c>
      <c r="AG42" s="60">
        <f t="shared" si="51"/>
        <v>21.20917</v>
      </c>
      <c r="AH42" s="60">
        <f t="shared" si="51"/>
        <v>22.120130000000003</v>
      </c>
      <c r="AI42" s="60">
        <f t="shared" si="51"/>
        <v>24.11375</v>
      </c>
      <c r="AJ42" s="60">
        <f t="shared" si="51"/>
        <v>25.266280000000002</v>
      </c>
      <c r="AK42" s="60">
        <f t="shared" si="51"/>
        <v>25.829260000000001</v>
      </c>
      <c r="AL42" s="60">
        <f t="shared" si="51"/>
        <v>30.724890000000002</v>
      </c>
      <c r="AM42" s="60">
        <f t="shared" si="51"/>
        <v>33.980350000000001</v>
      </c>
      <c r="AN42" s="60">
        <f t="shared" si="51"/>
        <v>34.801209999999998</v>
      </c>
      <c r="AO42" s="60">
        <f t="shared" si="51"/>
        <v>36.180370000000003</v>
      </c>
      <c r="AP42" s="60">
        <f t="shared" si="51"/>
        <v>37.779439999999994</v>
      </c>
      <c r="AQ42" s="60">
        <f t="shared" si="51"/>
        <v>42.557700000000004</v>
      </c>
      <c r="AR42" s="60">
        <f t="shared" si="51"/>
        <v>41.873910000000002</v>
      </c>
      <c r="AS42" s="60">
        <f t="shared" si="51"/>
        <v>44.14931</v>
      </c>
      <c r="AT42" s="60">
        <f t="shared" si="51"/>
        <v>47.342880000000001</v>
      </c>
    </row>
    <row r="43" spans="2:46" ht="3.95" customHeight="1" x14ac:dyDescent="0.2">
      <c r="B43" s="58"/>
      <c r="C43" s="24"/>
      <c r="D43" s="24"/>
      <c r="E43" s="24"/>
      <c r="F43" s="24"/>
      <c r="G43" s="24"/>
      <c r="H43" s="24"/>
      <c r="I43" s="24"/>
      <c r="J43" s="24"/>
      <c r="K43" s="66"/>
      <c r="L43" s="66"/>
      <c r="M43" s="24"/>
      <c r="N43" s="67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2:46" x14ac:dyDescent="0.2">
      <c r="B44" s="58" t="s">
        <v>67</v>
      </c>
      <c r="C44" s="24">
        <f>SUMIFS($P44:$AT44,$P$5:$AT$5,"&gt;"&amp;C$172,$P$5:$AT$5,"&lt;"&amp;C$173)</f>
        <v>18.234249999999999</v>
      </c>
      <c r="D44" s="24">
        <f>SUMIFS($P44:$AT44,$P$5:$AT$5,"&gt;"&amp;D$172,$P$5:$AT$5,"&lt;"&amp;D$173)</f>
        <v>27.040950000000002</v>
      </c>
      <c r="E44" s="24"/>
      <c r="F44" s="24">
        <f>SUMIFS($P44:$AT44,$P$5:$AT$5,"&gt;"&amp;F$172,$P$5:$AT$5,"&lt;"&amp;F$173)</f>
        <v>12.014000000000001</v>
      </c>
      <c r="G44" s="24">
        <f>SUMIFS($P44:$AT44,$P$5:$AT$5,"&gt;"&amp;G$172,$P$5:$AT$5,"&lt;"&amp;G$173)</f>
        <v>57.55</v>
      </c>
      <c r="H44" s="24"/>
      <c r="I44" s="24">
        <f>SUMIFS($P44:$AT44,$P$5:$AT$5,"&gt;"&amp;I$172,$P$5:$AT$5,"&lt;"&amp;I$173)</f>
        <v>22.915250000000004</v>
      </c>
      <c r="J44" s="24">
        <f>SUMIFS($P44:$AT44,$P$5:$AT$5,"&gt;"&amp;J$172,$P$5:$AT$5,"&lt;"&amp;J$173)</f>
        <v>53.626950000000001</v>
      </c>
      <c r="K44" s="66">
        <f t="shared" ref="K44:K49" si="52">+C145</f>
        <v>53.626950000000001</v>
      </c>
      <c r="L44" s="66"/>
      <c r="M44" s="24">
        <f>+J44-K44</f>
        <v>0</v>
      </c>
      <c r="N44" s="67">
        <f t="shared" si="44"/>
        <v>0</v>
      </c>
      <c r="O44" s="53"/>
      <c r="P44" s="54">
        <f>SUMIFS('Combined P&amp;L'!N:N,'Combined P&amp;L'!$C:$C,'P&amp;L Forecast'!$B44)</f>
        <v>0</v>
      </c>
      <c r="Q44" s="54">
        <f>SUMIFS('Combined P&amp;L'!O:O,'Combined P&amp;L'!$C:$C,'P&amp;L Forecast'!$B44)</f>
        <v>1.1665000000000001</v>
      </c>
      <c r="R44" s="54">
        <f>SUMIFS('Combined P&amp;L'!P:P,'Combined P&amp;L'!$C:$C,'P&amp;L Forecast'!$B44)</f>
        <v>1.1665000000000001</v>
      </c>
      <c r="S44" s="54">
        <f>SUMIFS('Combined P&amp;L'!Q:Q,'Combined P&amp;L'!$C:$C,'P&amp;L Forecast'!$B44)</f>
        <v>1.1666700000000001</v>
      </c>
      <c r="T44" s="54">
        <f>SUMIFS('Combined P&amp;L'!R:R,'Combined P&amp;L'!$C:$C,'P&amp;L Forecast'!$B44)</f>
        <v>1.1666700000000001</v>
      </c>
      <c r="U44" s="54">
        <f>SUMIFS('Combined P&amp;L'!S:S,'Combined P&amp;L'!$C:$C,'P&amp;L Forecast'!$B44)</f>
        <v>2.6666599999999998</v>
      </c>
      <c r="V44" s="54">
        <f>SUMIFS('Combined P&amp;L'!T:T,'Combined P&amp;L'!$C:$C,'P&amp;L Forecast'!$B44)</f>
        <v>1.1666700000000001</v>
      </c>
      <c r="W44" s="54">
        <f>SUMIFS('Combined P&amp;L'!U:U,'Combined P&amp;L'!$C:$C,'P&amp;L Forecast'!$B44)</f>
        <v>1.1666700000000001</v>
      </c>
      <c r="X44" s="54">
        <f>SUMIFS('Combined P&amp;L'!V:V,'Combined P&amp;L'!$C:$C,'P&amp;L Forecast'!$B44)</f>
        <v>3.0679099999999999</v>
      </c>
      <c r="Y44" s="54">
        <f>SUMIFS('Combined P&amp;L'!W:W,'Combined P&amp;L'!$C:$C,'P&amp;L Forecast'!$B44)</f>
        <v>1.1666700000000001</v>
      </c>
      <c r="Z44" s="54">
        <f>SUMIFS('Combined P&amp;L'!X:X,'Combined P&amp;L'!$C:$C,'P&amp;L Forecast'!$B44)</f>
        <v>2.1666699999999999</v>
      </c>
      <c r="AA44" s="54">
        <f>SUMIFS('Combined P&amp;L'!Y:Y,'Combined P&amp;L'!$C:$C,'P&amp;L Forecast'!$B44)</f>
        <v>2.1666599999999998</v>
      </c>
      <c r="AB44" s="54">
        <f>SUMIFS('Combined P&amp;L'!Z:Z,'Combined P&amp;L'!$C:$C,'P&amp;L Forecast'!$B44)</f>
        <v>2.1666699999999999</v>
      </c>
      <c r="AC44" s="54">
        <f>SUMIFS('Combined P&amp;L'!AA:AA,'Combined P&amp;L'!$C:$C,'P&amp;L Forecast'!$B44)</f>
        <v>2.1666699999999999</v>
      </c>
      <c r="AD44" s="54">
        <f>SUMIFS('Combined P&amp;L'!AB:AB,'Combined P&amp;L'!$C:$C,'P&amp;L Forecast'!$B44)</f>
        <v>2.1666599999999998</v>
      </c>
      <c r="AE44" s="54">
        <f>SUMIFS('Combined P&amp;L'!AC:AC,'Combined P&amp;L'!$C:$C,'P&amp;L Forecast'!$B44)</f>
        <v>2.7606700000000002</v>
      </c>
      <c r="AF44" s="54">
        <f>SUMIFS('Combined P&amp;L'!AD:AD,'Combined P&amp;L'!$C:$C,'P&amp;L Forecast'!$B44)</f>
        <v>1.58667</v>
      </c>
      <c r="AG44" s="54">
        <f>SUMIFS('Combined P&amp;L'!AE:AE,'Combined P&amp;L'!$C:$C,'P&amp;L Forecast'!$B44)</f>
        <v>1.16666</v>
      </c>
      <c r="AH44" s="54">
        <f>SUMIFS('Combined P&amp;L'!AF:AF,'Combined P&amp;L'!$C:$C,'P&amp;L Forecast'!$B44)</f>
        <v>0</v>
      </c>
      <c r="AI44" s="54">
        <f>SUMIFS('Combined P&amp;L'!AG:AG,'Combined P&amp;L'!$C:$C,'P&amp;L Forecast'!$B44)</f>
        <v>0.2</v>
      </c>
      <c r="AJ44" s="54">
        <f>SUMIFS('Combined P&amp;L'!AH:AH,'Combined P&amp;L'!$C:$C,'P&amp;L Forecast'!$B44)</f>
        <v>1.3269500000000001</v>
      </c>
      <c r="AK44" s="54">
        <f>SUMIFS('Combined P&amp;L'!AI:AI,'Combined P&amp;L'!$C:$C,'P&amp;L Forecast'!$B44)</f>
        <v>0</v>
      </c>
      <c r="AL44" s="54">
        <f>SUMIFS('Combined P&amp;L'!AJ:AJ,'Combined P&amp;L'!$C:$C,'P&amp;L Forecast'!$B44)</f>
        <v>6</v>
      </c>
      <c r="AM44" s="54">
        <f>SUMIFS('Combined P&amp;L'!AK:AK,'Combined P&amp;L'!$C:$C,'P&amp;L Forecast'!$B44)</f>
        <v>7.5</v>
      </c>
      <c r="AN44" s="54">
        <f>SUMIFS('Combined P&amp;L'!AL:AL,'Combined P&amp;L'!$C:$C,'P&amp;L Forecast'!$B44)</f>
        <v>0</v>
      </c>
      <c r="AO44" s="54">
        <f>SUMIFS('Combined P&amp;L'!AM:AM,'Combined P&amp;L'!$C:$C,'P&amp;L Forecast'!$B44)</f>
        <v>0</v>
      </c>
      <c r="AP44" s="54">
        <f>SUMIFS('Combined P&amp;L'!AN:AN,'Combined P&amp;L'!$C:$C,'P&amp;L Forecast'!$B44)</f>
        <v>6.6</v>
      </c>
      <c r="AQ44" s="54">
        <f>SUMIFS('Combined P&amp;L'!AO:AO,'Combined P&amp;L'!$C:$C,'P&amp;L Forecast'!$B44)</f>
        <v>14</v>
      </c>
      <c r="AR44" s="54">
        <f>SUMIFS('Combined P&amp;L'!AP:AP,'Combined P&amp;L'!$C:$C,'P&amp;L Forecast'!$B44)</f>
        <v>18</v>
      </c>
      <c r="AS44" s="54">
        <f>SUMIFS('Combined P&amp;L'!AQ:AQ,'Combined P&amp;L'!$C:$C,'P&amp;L Forecast'!$B44)</f>
        <v>0</v>
      </c>
      <c r="AT44" s="54">
        <f>SUMIFS('Combined P&amp;L'!AR:AR,'Combined P&amp;L'!$C:$C,'P&amp;L Forecast'!$B44)</f>
        <v>18.95</v>
      </c>
    </row>
    <row r="45" spans="2:46" s="14" customFormat="1" x14ac:dyDescent="0.2">
      <c r="B45" s="58" t="s">
        <v>42</v>
      </c>
      <c r="C45" s="24">
        <f>SUMIFS($P45:$AT45,$P$5:$AT$5,"&gt;"&amp;C$172,$P$5:$AT$5,"&lt;"&amp;C$173)</f>
        <v>24.819999999999997</v>
      </c>
      <c r="D45" s="24">
        <f>SUMIFS($P45:$AT45,$P$5:$AT$5,"&gt;"&amp;D$172,$P$5:$AT$5,"&lt;"&amp;D$173)</f>
        <v>27.153739999999999</v>
      </c>
      <c r="E45" s="24"/>
      <c r="F45" s="24">
        <f>SUMIFS($P45:$AT45,$P$5:$AT$5,"&gt;"&amp;F$172,$P$5:$AT$5,"&lt;"&amp;F$173)</f>
        <v>17.089500000000001</v>
      </c>
      <c r="G45" s="24">
        <f>SUMIFS($P45:$AT45,$P$5:$AT$5,"&gt;"&amp;G$172,$P$5:$AT$5,"&lt;"&amp;G$173)</f>
        <v>20.62969</v>
      </c>
      <c r="H45" s="24"/>
      <c r="I45" s="24">
        <f>SUMIFS($P45:$AT45,$P$5:$AT$5,"&gt;"&amp;I$172,$P$5:$AT$5,"&lt;"&amp;I$173)</f>
        <v>23.719750000000001</v>
      </c>
      <c r="J45" s="24">
        <f>SUMIFS($P45:$AT45,$P$5:$AT$5,"&gt;"&amp;J$172,$P$5:$AT$5,"&lt;"&amp;J$173)</f>
        <v>30.69416</v>
      </c>
      <c r="K45" s="66">
        <f t="shared" si="52"/>
        <v>30.69416</v>
      </c>
      <c r="L45" s="66"/>
      <c r="M45" s="24">
        <f t="shared" ref="M45" si="53">+J45-K45</f>
        <v>0</v>
      </c>
      <c r="N45" s="67">
        <f t="shared" ref="N45" si="54">IFERROR(K45/J45-1,0)</f>
        <v>0</v>
      </c>
      <c r="O45" s="53"/>
      <c r="P45" s="54">
        <f>SUMIFS('Combined P&amp;L'!N:N,'Combined P&amp;L'!$C:$C,'P&amp;L Forecast'!$B45)</f>
        <v>2.21</v>
      </c>
      <c r="Q45" s="54">
        <f>SUMIFS('Combined P&amp;L'!O:O,'Combined P&amp;L'!$C:$C,'P&amp;L Forecast'!$B45)</f>
        <v>2.7349999999999999</v>
      </c>
      <c r="R45" s="54">
        <f>SUMIFS('Combined P&amp;L'!P:P,'Combined P&amp;L'!$C:$C,'P&amp;L Forecast'!$B45)</f>
        <v>2.7149999999999999</v>
      </c>
      <c r="S45" s="54">
        <f>SUMIFS('Combined P&amp;L'!Q:Q,'Combined P&amp;L'!$C:$C,'P&amp;L Forecast'!$B45)</f>
        <v>2.7349999999999999</v>
      </c>
      <c r="T45" s="54">
        <f>SUMIFS('Combined P&amp;L'!R:R,'Combined P&amp;L'!$C:$C,'P&amp;L Forecast'!$B45)</f>
        <v>0.78</v>
      </c>
      <c r="U45" s="54">
        <f>SUMIFS('Combined P&amp;L'!S:S,'Combined P&amp;L'!$C:$C,'P&amp;L Forecast'!$B45)</f>
        <v>3.2450000000000001</v>
      </c>
      <c r="V45" s="54">
        <f>SUMIFS('Combined P&amp;L'!T:T,'Combined P&amp;L'!$C:$C,'P&amp;L Forecast'!$B45)</f>
        <v>1.28</v>
      </c>
      <c r="W45" s="54">
        <f>SUMIFS('Combined P&amp;L'!U:U,'Combined P&amp;L'!$C:$C,'P&amp;L Forecast'!$B45)</f>
        <v>1.3</v>
      </c>
      <c r="X45" s="54">
        <f>SUMIFS('Combined P&amp;L'!V:V,'Combined P&amp;L'!$C:$C,'P&amp;L Forecast'!$B45)</f>
        <v>1.81</v>
      </c>
      <c r="Y45" s="54">
        <f>SUMIFS('Combined P&amp;L'!W:W,'Combined P&amp;L'!$C:$C,'P&amp;L Forecast'!$B45)</f>
        <v>1.82</v>
      </c>
      <c r="Z45" s="54">
        <f>SUMIFS('Combined P&amp;L'!X:X,'Combined P&amp;L'!$C:$C,'P&amp;L Forecast'!$B45)</f>
        <v>1.835</v>
      </c>
      <c r="AA45" s="54">
        <f>SUMIFS('Combined P&amp;L'!Y:Y,'Combined P&amp;L'!$C:$C,'P&amp;L Forecast'!$B45)</f>
        <v>2.355</v>
      </c>
      <c r="AB45" s="54">
        <f>SUMIFS('Combined P&amp;L'!Z:Z,'Combined P&amp;L'!$C:$C,'P&amp;L Forecast'!$B45)</f>
        <v>1.4702500000000001</v>
      </c>
      <c r="AC45" s="54">
        <f>SUMIFS('Combined P&amp;L'!AA:AA,'Combined P&amp;L'!$C:$C,'P&amp;L Forecast'!$B45)</f>
        <v>1.665</v>
      </c>
      <c r="AD45" s="54">
        <f>SUMIFS('Combined P&amp;L'!AB:AB,'Combined P&amp;L'!$C:$C,'P&amp;L Forecast'!$B45)</f>
        <v>2.6277499999999998</v>
      </c>
      <c r="AE45" s="54">
        <f>SUMIFS('Combined P&amp;L'!AC:AC,'Combined P&amp;L'!$C:$C,'P&amp;L Forecast'!$B45)</f>
        <v>1.24875</v>
      </c>
      <c r="AF45" s="54">
        <f>SUMIFS('Combined P&amp;L'!AD:AD,'Combined P&amp;L'!$C:$C,'P&amp;L Forecast'!$B45)</f>
        <v>2.1539999999999999</v>
      </c>
      <c r="AG45" s="54">
        <f>SUMIFS('Combined P&amp;L'!AE:AE,'Combined P&amp;L'!$C:$C,'P&amp;L Forecast'!$B45)</f>
        <v>4.1539999999999999</v>
      </c>
      <c r="AH45" s="54">
        <f>SUMIFS('Combined P&amp;L'!AF:AF,'Combined P&amp;L'!$C:$C,'P&amp;L Forecast'!$B45)</f>
        <v>3.7697500000000002</v>
      </c>
      <c r="AI45" s="54">
        <f>SUMIFS('Combined P&amp;L'!AG:AG,'Combined P&amp;L'!$C:$C,'P&amp;L Forecast'!$B45)</f>
        <v>1.696</v>
      </c>
      <c r="AJ45" s="54">
        <f>SUMIFS('Combined P&amp;L'!AH:AH,'Combined P&amp;L'!$C:$C,'P&amp;L Forecast'!$B45)</f>
        <v>2.2275</v>
      </c>
      <c r="AK45" s="54">
        <f>SUMIFS('Combined P&amp;L'!AI:AI,'Combined P&amp;L'!$C:$C,'P&amp;L Forecast'!$B45)</f>
        <v>1.6645000000000001</v>
      </c>
      <c r="AL45" s="54">
        <f>SUMIFS('Combined P&amp;L'!AJ:AJ,'Combined P&amp;L'!$C:$C,'P&amp;L Forecast'!$B45)</f>
        <v>1.71879</v>
      </c>
      <c r="AM45" s="54">
        <f>SUMIFS('Combined P&amp;L'!AK:AK,'Combined P&amp;L'!$C:$C,'P&amp;L Forecast'!$B45)</f>
        <v>2.75745</v>
      </c>
      <c r="AN45" s="54">
        <f>SUMIFS('Combined P&amp;L'!AL:AL,'Combined P&amp;L'!$C:$C,'P&amp;L Forecast'!$B45)</f>
        <v>1.8688</v>
      </c>
      <c r="AO45" s="54">
        <f>SUMIFS('Combined P&amp;L'!AM:AM,'Combined P&amp;L'!$C:$C,'P&amp;L Forecast'!$B45)</f>
        <v>4.4399100000000002</v>
      </c>
      <c r="AP45" s="54">
        <f>SUMIFS('Combined P&amp;L'!AN:AN,'Combined P&amp;L'!$C:$C,'P&amp;L Forecast'!$B45)</f>
        <v>2.3936100000000002</v>
      </c>
      <c r="AQ45" s="54">
        <f>SUMIFS('Combined P&amp;L'!AO:AO,'Combined P&amp;L'!$C:$C,'P&amp;L Forecast'!$B45)</f>
        <v>3.6578600000000003</v>
      </c>
      <c r="AR45" s="54">
        <f>SUMIFS('Combined P&amp;L'!AP:AP,'Combined P&amp;L'!$C:$C,'P&amp;L Forecast'!$B45)</f>
        <v>2.9337900000000001</v>
      </c>
      <c r="AS45" s="54">
        <f>SUMIFS('Combined P&amp;L'!AQ:AQ,'Combined P&amp;L'!$C:$C,'P&amp;L Forecast'!$B45)</f>
        <v>1.5662</v>
      </c>
      <c r="AT45" s="54">
        <f>SUMIFS('Combined P&amp;L'!AR:AR,'Combined P&amp;L'!$C:$C,'P&amp;L Forecast'!$B45)</f>
        <v>3.76952</v>
      </c>
    </row>
    <row r="46" spans="2:46" x14ac:dyDescent="0.2">
      <c r="B46" s="58" t="s">
        <v>90</v>
      </c>
      <c r="C46" s="24">
        <f>SUMIFS($P46:$AT46,$P$5:$AT$5,"&gt;"&amp;C$172,$P$5:$AT$5,"&lt;"&amp;C$173)</f>
        <v>0</v>
      </c>
      <c r="D46" s="24">
        <f>SUMIFS($P46:$AT46,$P$5:$AT$5,"&gt;"&amp;D$172,$P$5:$AT$5,"&lt;"&amp;D$173)</f>
        <v>29.761219999999998</v>
      </c>
      <c r="E46" s="24"/>
      <c r="F46" s="24">
        <f>SUMIFS($P46:$AT46,$P$5:$AT$5,"&gt;"&amp;F$172,$P$5:$AT$5,"&lt;"&amp;F$173)</f>
        <v>22.295579999999998</v>
      </c>
      <c r="G46" s="24">
        <f>SUMIFS($P46:$AT46,$P$5:$AT$5,"&gt;"&amp;G$172,$P$5:$AT$5,"&lt;"&amp;G$173)</f>
        <v>20.685420000000001</v>
      </c>
      <c r="H46" s="24"/>
      <c r="I46" s="24">
        <f>SUMIFS($P46:$AT46,$P$5:$AT$5,"&gt;"&amp;I$172,$P$5:$AT$5,"&lt;"&amp;I$173)</f>
        <v>22.197919999999996</v>
      </c>
      <c r="J46" s="24">
        <f>SUMIFS($P46:$AT46,$P$5:$AT$5,"&gt;"&amp;J$172,$P$5:$AT$5,"&lt;"&amp;J$173)</f>
        <v>28.23873</v>
      </c>
      <c r="K46" s="66">
        <f t="shared" si="52"/>
        <v>28.23873</v>
      </c>
      <c r="L46" s="66"/>
      <c r="M46" s="24">
        <f t="shared" ref="M46" si="55">+J46-K46</f>
        <v>0</v>
      </c>
      <c r="N46" s="67">
        <f t="shared" ref="N46" si="56">IFERROR(K46/J46-1,0)</f>
        <v>0</v>
      </c>
      <c r="O46" s="53"/>
      <c r="P46" s="54">
        <f>SUMIFS('Combined P&amp;L'!N:N,'Combined P&amp;L'!$C:$C,'P&amp;L Forecast'!$B46)</f>
        <v>0</v>
      </c>
      <c r="Q46" s="54">
        <f>SUMIFS('Combined P&amp;L'!O:O,'Combined P&amp;L'!$C:$C,'P&amp;L Forecast'!$B46)</f>
        <v>0</v>
      </c>
      <c r="R46" s="54">
        <f>SUMIFS('Combined P&amp;L'!P:P,'Combined P&amp;L'!$C:$C,'P&amp;L Forecast'!$B46)</f>
        <v>0</v>
      </c>
      <c r="S46" s="54">
        <f>SUMIFS('Combined P&amp;L'!Q:Q,'Combined P&amp;L'!$C:$C,'P&amp;L Forecast'!$B46)</f>
        <v>0</v>
      </c>
      <c r="T46" s="54">
        <f>SUMIFS('Combined P&amp;L'!R:R,'Combined P&amp;L'!$C:$C,'P&amp;L Forecast'!$B46)</f>
        <v>0</v>
      </c>
      <c r="U46" s="54">
        <f>SUMIFS('Combined P&amp;L'!S:S,'Combined P&amp;L'!$C:$C,'P&amp;L Forecast'!$B46)</f>
        <v>0</v>
      </c>
      <c r="V46" s="54">
        <f>SUMIFS('Combined P&amp;L'!T:T,'Combined P&amp;L'!$C:$C,'P&amp;L Forecast'!$B46)</f>
        <v>0</v>
      </c>
      <c r="W46" s="54">
        <f>SUMIFS('Combined P&amp;L'!U:U,'Combined P&amp;L'!$C:$C,'P&amp;L Forecast'!$B46)</f>
        <v>0</v>
      </c>
      <c r="X46" s="54">
        <f>SUMIFS('Combined P&amp;L'!V:V,'Combined P&amp;L'!$C:$C,'P&amp;L Forecast'!$B46)</f>
        <v>0</v>
      </c>
      <c r="Y46" s="54">
        <f>SUMIFS('Combined P&amp;L'!W:W,'Combined P&amp;L'!$C:$C,'P&amp;L Forecast'!$B46)</f>
        <v>0</v>
      </c>
      <c r="Z46" s="54">
        <f>SUMIFS('Combined P&amp;L'!X:X,'Combined P&amp;L'!$C:$C,'P&amp;L Forecast'!$B46)</f>
        <v>0</v>
      </c>
      <c r="AA46" s="54">
        <f>SUMIFS('Combined P&amp;L'!Y:Y,'Combined P&amp;L'!$C:$C,'P&amp;L Forecast'!$B46)</f>
        <v>0</v>
      </c>
      <c r="AB46" s="54">
        <f>SUMIFS('Combined P&amp;L'!Z:Z,'Combined P&amp;L'!$C:$C,'P&amp;L Forecast'!$B46)</f>
        <v>6.9100000000000003E-3</v>
      </c>
      <c r="AC46" s="54">
        <f>SUMIFS('Combined P&amp;L'!AA:AA,'Combined P&amp;L'!$C:$C,'P&amp;L Forecast'!$B46)</f>
        <v>0</v>
      </c>
      <c r="AD46" s="54">
        <f>SUMIFS('Combined P&amp;L'!AB:AB,'Combined P&amp;L'!$C:$C,'P&amp;L Forecast'!$B46)</f>
        <v>0</v>
      </c>
      <c r="AE46" s="54">
        <f>SUMIFS('Combined P&amp;L'!AC:AC,'Combined P&amp;L'!$C:$C,'P&amp;L Forecast'!$B46)</f>
        <v>11.40629</v>
      </c>
      <c r="AF46" s="54">
        <f>SUMIFS('Combined P&amp;L'!AD:AD,'Combined P&amp;L'!$C:$C,'P&amp;L Forecast'!$B46)</f>
        <v>10.784719999999997</v>
      </c>
      <c r="AG46" s="54">
        <f>SUMIFS('Combined P&amp;L'!AE:AE,'Combined P&amp;L'!$C:$C,'P&amp;L Forecast'!$B46)</f>
        <v>0</v>
      </c>
      <c r="AH46" s="54">
        <f>SUMIFS('Combined P&amp;L'!AF:AF,'Combined P&amp;L'!$C:$C,'P&amp;L Forecast'!$B46)</f>
        <v>9.7659999999999997E-2</v>
      </c>
      <c r="AI46" s="54">
        <f>SUMIFS('Combined P&amp;L'!AG:AG,'Combined P&amp;L'!$C:$C,'P&amp;L Forecast'!$B46)</f>
        <v>0.92152000000000001</v>
      </c>
      <c r="AJ46" s="54">
        <f>SUMIFS('Combined P&amp;L'!AH:AH,'Combined P&amp;L'!$C:$C,'P&amp;L Forecast'!$B46)</f>
        <v>2.9642300000000006</v>
      </c>
      <c r="AK46" s="54">
        <f>SUMIFS('Combined P&amp;L'!AI:AI,'Combined P&amp;L'!$C:$C,'P&amp;L Forecast'!$B46)</f>
        <v>1.0367900000000001</v>
      </c>
      <c r="AL46" s="54">
        <f>SUMIFS('Combined P&amp;L'!AJ:AJ,'Combined P&amp;L'!$C:$C,'P&amp;L Forecast'!$B46)</f>
        <v>2.11036</v>
      </c>
      <c r="AM46" s="54">
        <f>SUMIFS('Combined P&amp;L'!AK:AK,'Combined P&amp;L'!$C:$C,'P&amp;L Forecast'!$B46)</f>
        <v>0.43274000000000001</v>
      </c>
      <c r="AN46" s="54">
        <f>SUMIFS('Combined P&amp;L'!AL:AL,'Combined P&amp;L'!$C:$C,'P&amp;L Forecast'!$B46)</f>
        <v>0</v>
      </c>
      <c r="AO46" s="54">
        <f>SUMIFS('Combined P&amp;L'!AM:AM,'Combined P&amp;L'!$C:$C,'P&amp;L Forecast'!$B46)</f>
        <v>0</v>
      </c>
      <c r="AP46" s="54">
        <f>SUMIFS('Combined P&amp;L'!AN:AN,'Combined P&amp;L'!$C:$C,'P&amp;L Forecast'!$B46)</f>
        <v>0</v>
      </c>
      <c r="AQ46" s="54">
        <f>SUMIFS('Combined P&amp;L'!AO:AO,'Combined P&amp;L'!$C:$C,'P&amp;L Forecast'!$B46)</f>
        <v>9.7651000000000003</v>
      </c>
      <c r="AR46" s="54">
        <f>SUMIFS('Combined P&amp;L'!AP:AP,'Combined P&amp;L'!$C:$C,'P&amp;L Forecast'!$B46)</f>
        <v>10.254430000000001</v>
      </c>
      <c r="AS46" s="54">
        <f>SUMIFS('Combined P&amp;L'!AQ:AQ,'Combined P&amp;L'!$C:$C,'P&amp;L Forecast'!$B46)</f>
        <v>0.65590000000000004</v>
      </c>
      <c r="AT46" s="54">
        <f>SUMIFS('Combined P&amp;L'!AR:AR,'Combined P&amp;L'!$C:$C,'P&amp;L Forecast'!$B46)</f>
        <v>9.9900000000000006E-3</v>
      </c>
    </row>
    <row r="47" spans="2:46" x14ac:dyDescent="0.2">
      <c r="B47" s="58" t="s">
        <v>41</v>
      </c>
      <c r="C47" s="24">
        <f>SUMIFS($P47:$AT47,$P$5:$AT$5,"&gt;"&amp;C$172,$P$5:$AT$5,"&lt;"&amp;C$173)</f>
        <v>8.670989999999998</v>
      </c>
      <c r="D47" s="24">
        <f>SUMIFS($P47:$AT47,$P$5:$AT$5,"&gt;"&amp;D$172,$P$5:$AT$5,"&lt;"&amp;D$173)</f>
        <v>13.35153</v>
      </c>
      <c r="E47" s="24"/>
      <c r="F47" s="24">
        <f>SUMIFS($P47:$AT47,$P$5:$AT$5,"&gt;"&amp;F$172,$P$5:$AT$5,"&lt;"&amp;F$173)</f>
        <v>6.8044500000000001</v>
      </c>
      <c r="G47" s="24">
        <f>SUMIFS($P47:$AT47,$P$5:$AT$5,"&gt;"&amp;G$172,$P$5:$AT$5,"&lt;"&amp;G$173)</f>
        <v>9.02684</v>
      </c>
      <c r="H47" s="24"/>
      <c r="I47" s="24">
        <f>SUMIFS($P47:$AT47,$P$5:$AT$5,"&gt;"&amp;I$172,$P$5:$AT$5,"&lt;"&amp;I$173)</f>
        <v>9.9746000000000006</v>
      </c>
      <c r="J47" s="24">
        <f>SUMIFS($P47:$AT47,$P$5:$AT$5,"&gt;"&amp;J$172,$P$5:$AT$5,"&lt;"&amp;J$173)</f>
        <v>15.652799999999997</v>
      </c>
      <c r="K47" s="66">
        <f t="shared" si="52"/>
        <v>15.652799999999997</v>
      </c>
      <c r="L47" s="66"/>
      <c r="M47" s="24">
        <f t="shared" ref="M47" si="57">+J47-K47</f>
        <v>0</v>
      </c>
      <c r="N47" s="67">
        <f t="shared" ref="N47" si="58">IFERROR(K47/J47-1,0)</f>
        <v>0</v>
      </c>
      <c r="O47" s="53"/>
      <c r="P47" s="54">
        <f>SUMIFS('Combined P&amp;L'!N:N,'Combined P&amp;L'!$C:$C,'P&amp;L Forecast'!$B47)</f>
        <v>0.6179</v>
      </c>
      <c r="Q47" s="54">
        <f>SUMIFS('Combined P&amp;L'!O:O,'Combined P&amp;L'!$C:$C,'P&amp;L Forecast'!$B47)</f>
        <v>0.83739999999999992</v>
      </c>
      <c r="R47" s="54">
        <f>SUMIFS('Combined P&amp;L'!P:P,'Combined P&amp;L'!$C:$C,'P&amp;L Forecast'!$B47)</f>
        <v>0.62936000000000003</v>
      </c>
      <c r="S47" s="54">
        <f>SUMIFS('Combined P&amp;L'!Q:Q,'Combined P&amp;L'!$C:$C,'P&amp;L Forecast'!$B47)</f>
        <v>0.68245</v>
      </c>
      <c r="T47" s="54">
        <f>SUMIFS('Combined P&amp;L'!R:R,'Combined P&amp;L'!$C:$C,'P&amp;L Forecast'!$B47)</f>
        <v>0.72150999999999998</v>
      </c>
      <c r="U47" s="54">
        <f>SUMIFS('Combined P&amp;L'!S:S,'Combined P&amp;L'!$C:$C,'P&amp;L Forecast'!$B47)</f>
        <v>0.78747</v>
      </c>
      <c r="V47" s="54">
        <f>SUMIFS('Combined P&amp;L'!T:T,'Combined P&amp;L'!$C:$C,'P&amp;L Forecast'!$B47)</f>
        <v>0.65561999999999998</v>
      </c>
      <c r="W47" s="54">
        <f>SUMIFS('Combined P&amp;L'!U:U,'Combined P&amp;L'!$C:$C,'P&amp;L Forecast'!$B47)</f>
        <v>0.79491000000000001</v>
      </c>
      <c r="X47" s="54">
        <f>SUMIFS('Combined P&amp;L'!V:V,'Combined P&amp;L'!$C:$C,'P&amp;L Forecast'!$B47)</f>
        <v>0.69062999999999997</v>
      </c>
      <c r="Y47" s="54">
        <f>SUMIFS('Combined P&amp;L'!W:W,'Combined P&amp;L'!$C:$C,'P&amp;L Forecast'!$B47)</f>
        <v>0.71760999999999997</v>
      </c>
      <c r="Z47" s="54">
        <f>SUMIFS('Combined P&amp;L'!X:X,'Combined P&amp;L'!$C:$C,'P&amp;L Forecast'!$B47)</f>
        <v>0.73794999999999999</v>
      </c>
      <c r="AA47" s="54">
        <f>SUMIFS('Combined P&amp;L'!Y:Y,'Combined P&amp;L'!$C:$C,'P&amp;L Forecast'!$B47)</f>
        <v>0.79818</v>
      </c>
      <c r="AB47" s="54">
        <f>SUMIFS('Combined P&amp;L'!Z:Z,'Combined P&amp;L'!$C:$C,'P&amp;L Forecast'!$B47)</f>
        <v>0.83546000000000009</v>
      </c>
      <c r="AC47" s="54">
        <f>SUMIFS('Combined P&amp;L'!AA:AA,'Combined P&amp;L'!$C:$C,'P&amp;L Forecast'!$B47)</f>
        <v>1.0539400000000001</v>
      </c>
      <c r="AD47" s="54">
        <f>SUMIFS('Combined P&amp;L'!AB:AB,'Combined P&amp;L'!$C:$C,'P&amp;L Forecast'!$B47)</f>
        <v>0.87069000000000007</v>
      </c>
      <c r="AE47" s="54">
        <f>SUMIFS('Combined P&amp;L'!AC:AC,'Combined P&amp;L'!$C:$C,'P&amp;L Forecast'!$B47)</f>
        <v>0.90554999999999997</v>
      </c>
      <c r="AF47" s="54">
        <f>SUMIFS('Combined P&amp;L'!AD:AD,'Combined P&amp;L'!$C:$C,'P&amp;L Forecast'!$B47)</f>
        <v>0.9115700000000001</v>
      </c>
      <c r="AG47" s="54">
        <f>SUMIFS('Combined P&amp;L'!AE:AE,'Combined P&amp;L'!$C:$C,'P&amp;L Forecast'!$B47)</f>
        <v>1.0024900000000001</v>
      </c>
      <c r="AH47" s="54">
        <f>SUMIFS('Combined P&amp;L'!AF:AF,'Combined P&amp;L'!$C:$C,'P&amp;L Forecast'!$B47)</f>
        <v>1.22475</v>
      </c>
      <c r="AI47" s="54">
        <f>SUMIFS('Combined P&amp;L'!AG:AG,'Combined P&amp;L'!$C:$C,'P&amp;L Forecast'!$B47)</f>
        <v>1.1043800000000001</v>
      </c>
      <c r="AJ47" s="54">
        <f>SUMIFS('Combined P&amp;L'!AH:AH,'Combined P&amp;L'!$C:$C,'P&amp;L Forecast'!$B47)</f>
        <v>1.2972300000000001</v>
      </c>
      <c r="AK47" s="54">
        <f>SUMIFS('Combined P&amp;L'!AI:AI,'Combined P&amp;L'!$C:$C,'P&amp;L Forecast'!$B47)</f>
        <v>1.2173900000000002</v>
      </c>
      <c r="AL47" s="54">
        <f>SUMIFS('Combined P&amp;L'!AJ:AJ,'Combined P&amp;L'!$C:$C,'P&amp;L Forecast'!$B47)</f>
        <v>1.62294</v>
      </c>
      <c r="AM47" s="54">
        <f>SUMIFS('Combined P&amp;L'!AK:AK,'Combined P&amp;L'!$C:$C,'P&amp;L Forecast'!$B47)</f>
        <v>1.3051400000000002</v>
      </c>
      <c r="AN47" s="54">
        <f>SUMIFS('Combined P&amp;L'!AL:AL,'Combined P&amp;L'!$C:$C,'P&amp;L Forecast'!$B47)</f>
        <v>1.2297400000000001</v>
      </c>
      <c r="AO47" s="54">
        <f>SUMIFS('Combined P&amp;L'!AM:AM,'Combined P&amp;L'!$C:$C,'P&amp;L Forecast'!$B47)</f>
        <v>1.73847</v>
      </c>
      <c r="AP47" s="54">
        <f>SUMIFS('Combined P&amp;L'!AN:AN,'Combined P&amp;L'!$C:$C,'P&amp;L Forecast'!$B47)</f>
        <v>1.35348</v>
      </c>
      <c r="AQ47" s="54">
        <f>SUMIFS('Combined P&amp;L'!AO:AO,'Combined P&amp;L'!$C:$C,'P&amp;L Forecast'!$B47)</f>
        <v>1.2339899999999999</v>
      </c>
      <c r="AR47" s="54">
        <f>SUMIFS('Combined P&amp;L'!AP:AP,'Combined P&amp;L'!$C:$C,'P&amp;L Forecast'!$B47)</f>
        <v>1.1713699999999998</v>
      </c>
      <c r="AS47" s="54">
        <f>SUMIFS('Combined P&amp;L'!AQ:AQ,'Combined P&amp;L'!$C:$C,'P&amp;L Forecast'!$B47)</f>
        <v>1.1539200000000001</v>
      </c>
      <c r="AT47" s="54">
        <f>SUMIFS('Combined P&amp;L'!AR:AR,'Combined P&amp;L'!$C:$C,'P&amp;L Forecast'!$B47)</f>
        <v>1.1458699999999999</v>
      </c>
    </row>
    <row r="48" spans="2:46" x14ac:dyDescent="0.2">
      <c r="B48" s="58" t="s">
        <v>74</v>
      </c>
      <c r="C48" s="24">
        <f>SUMIFS($P48:$AT48,$P$5:$AT$5,"&gt;"&amp;C$172,$P$5:$AT$5,"&lt;"&amp;C$173)</f>
        <v>5.4433199999999999</v>
      </c>
      <c r="D48" s="24">
        <f>SUMIFS($P48:$AT48,$P$5:$AT$5,"&gt;"&amp;D$172,$P$5:$AT$5,"&lt;"&amp;D$173)</f>
        <v>11.22296</v>
      </c>
      <c r="E48" s="24"/>
      <c r="F48" s="24">
        <f>SUMIFS($P48:$AT48,$P$5:$AT$5,"&gt;"&amp;F$172,$P$5:$AT$5,"&lt;"&amp;F$173)</f>
        <v>6.1909999999999989</v>
      </c>
      <c r="G48" s="24">
        <f>SUMIFS($P48:$AT48,$P$5:$AT$5,"&gt;"&amp;G$172,$P$5:$AT$5,"&lt;"&amp;G$173)</f>
        <v>6.5788099999999998</v>
      </c>
      <c r="H48" s="24"/>
      <c r="I48" s="24">
        <f>SUMIFS($P48:$AT48,$P$5:$AT$5,"&gt;"&amp;I$172,$P$5:$AT$5,"&lt;"&amp;I$173)</f>
        <v>8.3016599999999983</v>
      </c>
      <c r="J48" s="24">
        <f>SUMIFS($P48:$AT48,$P$5:$AT$5,"&gt;"&amp;J$172,$P$5:$AT$5,"&lt;"&amp;J$173)</f>
        <v>12.156920000000003</v>
      </c>
      <c r="K48" s="66">
        <f t="shared" si="52"/>
        <v>12.156920000000003</v>
      </c>
      <c r="L48" s="66"/>
      <c r="M48" s="24">
        <f t="shared" ref="M48" si="59">+J48-K48</f>
        <v>0</v>
      </c>
      <c r="N48" s="67">
        <f t="shared" ref="N48" si="60">IFERROR(K48/J48-1,0)</f>
        <v>0</v>
      </c>
      <c r="O48" s="53"/>
      <c r="P48" s="54">
        <f>SUMIFS('Combined P&amp;L'!N:N,'Combined P&amp;L'!$C:$C,'P&amp;L Forecast'!$B48)</f>
        <v>0.33417000000000002</v>
      </c>
      <c r="Q48" s="54">
        <f>SUMIFS('Combined P&amp;L'!O:O,'Combined P&amp;L'!$C:$C,'P&amp;L Forecast'!$B48)</f>
        <v>0.33417000000000002</v>
      </c>
      <c r="R48" s="54">
        <f>SUMIFS('Combined P&amp;L'!P:P,'Combined P&amp;L'!$C:$C,'P&amp;L Forecast'!$B48)</f>
        <v>0.33417000000000002</v>
      </c>
      <c r="S48" s="54">
        <f>SUMIFS('Combined P&amp;L'!Q:Q,'Combined P&amp;L'!$C:$C,'P&amp;L Forecast'!$B48)</f>
        <v>0.33417000000000002</v>
      </c>
      <c r="T48" s="54">
        <f>SUMIFS('Combined P&amp;L'!R:R,'Combined P&amp;L'!$C:$C,'P&amp;L Forecast'!$B48)</f>
        <v>0.255</v>
      </c>
      <c r="U48" s="54">
        <f>SUMIFS('Combined P&amp;L'!S:S,'Combined P&amp;L'!$C:$C,'P&amp;L Forecast'!$B48)</f>
        <v>0.255</v>
      </c>
      <c r="V48" s="54">
        <f>SUMIFS('Combined P&amp;L'!T:T,'Combined P&amp;L'!$C:$C,'P&amp;L Forecast'!$B48)</f>
        <v>0.25496000000000002</v>
      </c>
      <c r="W48" s="54">
        <f>SUMIFS('Combined P&amp;L'!U:U,'Combined P&amp;L'!$C:$C,'P&amp;L Forecast'!$B48)</f>
        <v>0.20499999999999999</v>
      </c>
      <c r="X48" s="54">
        <f>SUMIFS('Combined P&amp;L'!V:V,'Combined P&amp;L'!$C:$C,'P&amp;L Forecast'!$B48)</f>
        <v>0.78416999999999992</v>
      </c>
      <c r="Y48" s="54">
        <f>SUMIFS('Combined P&amp;L'!W:W,'Combined P&amp;L'!$C:$C,'P&amp;L Forecast'!$B48)</f>
        <v>0.78416999999999992</v>
      </c>
      <c r="Z48" s="54">
        <f>SUMIFS('Combined P&amp;L'!X:X,'Combined P&amp;L'!$C:$C,'P&amp;L Forecast'!$B48)</f>
        <v>0.78416999999999992</v>
      </c>
      <c r="AA48" s="54">
        <f>SUMIFS('Combined P&amp;L'!Y:Y,'Combined P&amp;L'!$C:$C,'P&amp;L Forecast'!$B48)</f>
        <v>0.78416999999999992</v>
      </c>
      <c r="AB48" s="54">
        <f>SUMIFS('Combined P&amp;L'!Z:Z,'Combined P&amp;L'!$C:$C,'P&amp;L Forecast'!$B48)</f>
        <v>0.78416999999999992</v>
      </c>
      <c r="AC48" s="54">
        <f>SUMIFS('Combined P&amp;L'!AA:AA,'Combined P&amp;L'!$C:$C,'P&amp;L Forecast'!$B48)</f>
        <v>0.78416999999999992</v>
      </c>
      <c r="AD48" s="54">
        <f>SUMIFS('Combined P&amp;L'!AB:AB,'Combined P&amp;L'!$C:$C,'P&amp;L Forecast'!$B48)</f>
        <v>0.78416999999999992</v>
      </c>
      <c r="AE48" s="54">
        <f>SUMIFS('Combined P&amp;L'!AC:AC,'Combined P&amp;L'!$C:$C,'P&amp;L Forecast'!$B48)</f>
        <v>0.78416999999999992</v>
      </c>
      <c r="AF48" s="54">
        <f>SUMIFS('Combined P&amp;L'!AD:AD,'Combined P&amp;L'!$C:$C,'P&amp;L Forecast'!$B48)</f>
        <v>0.78416999999999992</v>
      </c>
      <c r="AG48" s="54">
        <f>SUMIFS('Combined P&amp;L'!AE:AE,'Combined P&amp;L'!$C:$C,'P&amp;L Forecast'!$B48)</f>
        <v>0.78416999999999992</v>
      </c>
      <c r="AH48" s="54">
        <f>SUMIFS('Combined P&amp;L'!AF:AF,'Combined P&amp;L'!$C:$C,'P&amp;L Forecast'!$B48)</f>
        <v>1.4859800000000001</v>
      </c>
      <c r="AI48" s="54">
        <f>SUMIFS('Combined P&amp;L'!AG:AG,'Combined P&amp;L'!$C:$C,'P&amp;L Forecast'!$B48)</f>
        <v>0.96329999999999993</v>
      </c>
      <c r="AJ48" s="54">
        <f>SUMIFS('Combined P&amp;L'!AH:AH,'Combined P&amp;L'!$C:$C,'P&amp;L Forecast'!$B48)</f>
        <v>0.98041999999999996</v>
      </c>
      <c r="AK48" s="54">
        <f>SUMIFS('Combined P&amp;L'!AI:AI,'Combined P&amp;L'!$C:$C,'P&amp;L Forecast'!$B48)</f>
        <v>1.02942</v>
      </c>
      <c r="AL48" s="54">
        <f>SUMIFS('Combined P&amp;L'!AJ:AJ,'Combined P&amp;L'!$C:$C,'P&amp;L Forecast'!$B48)</f>
        <v>1.02942</v>
      </c>
      <c r="AM48" s="54">
        <f>SUMIFS('Combined P&amp;L'!AK:AK,'Combined P&amp;L'!$C:$C,'P&amp;L Forecast'!$B48)</f>
        <v>1.0294000000000001</v>
      </c>
      <c r="AN48" s="54">
        <f>SUMIFS('Combined P&amp;L'!AL:AL,'Combined P&amp;L'!$C:$C,'P&amp;L Forecast'!$B48)</f>
        <v>0.93983000000000005</v>
      </c>
      <c r="AO48" s="54">
        <f>SUMIFS('Combined P&amp;L'!AM:AM,'Combined P&amp;L'!$C:$C,'P&amp;L Forecast'!$B48)</f>
        <v>0.93983000000000005</v>
      </c>
      <c r="AP48" s="54">
        <f>SUMIFS('Combined P&amp;L'!AN:AN,'Combined P&amp;L'!$C:$C,'P&amp;L Forecast'!$B48)</f>
        <v>0.93983000000000005</v>
      </c>
      <c r="AQ48" s="54">
        <f>SUMIFS('Combined P&amp;L'!AO:AO,'Combined P&amp;L'!$C:$C,'P&amp;L Forecast'!$B48)</f>
        <v>0.93983000000000005</v>
      </c>
      <c r="AR48" s="54">
        <f>SUMIFS('Combined P&amp;L'!AP:AP,'Combined P&amp;L'!$C:$C,'P&amp;L Forecast'!$B48)</f>
        <v>0.93983000000000005</v>
      </c>
      <c r="AS48" s="54">
        <f>SUMIFS('Combined P&amp;L'!AQ:AQ,'Combined P&amp;L'!$C:$C,'P&amp;L Forecast'!$B48)</f>
        <v>0.93983000000000005</v>
      </c>
      <c r="AT48" s="54">
        <f>SUMIFS('Combined P&amp;L'!AR:AR,'Combined P&amp;L'!$C:$C,'P&amp;L Forecast'!$B48)</f>
        <v>0.93983000000000005</v>
      </c>
    </row>
    <row r="49" spans="2:46" x14ac:dyDescent="0.2">
      <c r="B49" s="58" t="s">
        <v>310</v>
      </c>
      <c r="C49" s="24">
        <f>SUMIFS($P49:$AT49,$P$5:$AT$5,"&gt;"&amp;C$172,$P$5:$AT$5,"&lt;"&amp;C$173)</f>
        <v>0</v>
      </c>
      <c r="D49" s="24">
        <f>SUMIFS($P49:$AT49,$P$5:$AT$5,"&gt;"&amp;D$172,$P$5:$AT$5,"&lt;"&amp;D$173)</f>
        <v>11.4983</v>
      </c>
      <c r="E49" s="24"/>
      <c r="F49" s="24">
        <f>SUMIFS($P49:$AT49,$P$5:$AT$5,"&gt;"&amp;F$172,$P$5:$AT$5,"&lt;"&amp;F$173)</f>
        <v>0</v>
      </c>
      <c r="G49" s="24">
        <f>SUMIFS($P49:$AT49,$P$5:$AT$5,"&gt;"&amp;G$172,$P$5:$AT$5,"&lt;"&amp;G$173)</f>
        <v>11.84548</v>
      </c>
      <c r="H49" s="24"/>
      <c r="I49" s="24">
        <f>SUMIFS($P49:$AT49,$P$5:$AT$5,"&gt;"&amp;I$172,$P$5:$AT$5,"&lt;"&amp;I$173)</f>
        <v>0</v>
      </c>
      <c r="J49" s="24">
        <f>SUMIFS($P49:$AT49,$P$5:$AT$5,"&gt;"&amp;J$172,$P$5:$AT$5,"&lt;"&amp;J$173)</f>
        <v>11.648780000000002</v>
      </c>
      <c r="K49" s="66">
        <f t="shared" si="52"/>
        <v>11.648780000000002</v>
      </c>
      <c r="L49" s="66"/>
      <c r="M49" s="24">
        <f>+J49-K49</f>
        <v>0</v>
      </c>
      <c r="N49" s="67">
        <f t="shared" ref="N49" si="61">IFERROR(K49/J49-1,0)</f>
        <v>0</v>
      </c>
      <c r="O49" s="53"/>
      <c r="P49" s="54">
        <f>SUMIFS('Combined P&amp;L'!N:N,'Combined P&amp;L'!$C:$C,'P&amp;L Forecast'!$B49)</f>
        <v>0</v>
      </c>
      <c r="Q49" s="54">
        <f>SUMIFS('Combined P&amp;L'!O:O,'Combined P&amp;L'!$C:$C,'P&amp;L Forecast'!$B49)</f>
        <v>0</v>
      </c>
      <c r="R49" s="54">
        <f>SUMIFS('Combined P&amp;L'!P:P,'Combined P&amp;L'!$C:$C,'P&amp;L Forecast'!$B49)</f>
        <v>0</v>
      </c>
      <c r="S49" s="54">
        <f>SUMIFS('Combined P&amp;L'!Q:Q,'Combined P&amp;L'!$C:$C,'P&amp;L Forecast'!$B49)</f>
        <v>0</v>
      </c>
      <c r="T49" s="54">
        <f>SUMIFS('Combined P&amp;L'!R:R,'Combined P&amp;L'!$C:$C,'P&amp;L Forecast'!$B49)</f>
        <v>0</v>
      </c>
      <c r="U49" s="54">
        <f>SUMIFS('Combined P&amp;L'!S:S,'Combined P&amp;L'!$C:$C,'P&amp;L Forecast'!$B49)</f>
        <v>0</v>
      </c>
      <c r="V49" s="54">
        <f>SUMIFS('Combined P&amp;L'!T:T,'Combined P&amp;L'!$C:$C,'P&amp;L Forecast'!$B49)</f>
        <v>0</v>
      </c>
      <c r="W49" s="54">
        <f>SUMIFS('Combined P&amp;L'!U:U,'Combined P&amp;L'!$C:$C,'P&amp;L Forecast'!$B49)</f>
        <v>0</v>
      </c>
      <c r="X49" s="54">
        <f>SUMIFS('Combined P&amp;L'!V:V,'Combined P&amp;L'!$C:$C,'P&amp;L Forecast'!$B49)</f>
        <v>0</v>
      </c>
      <c r="Y49" s="54">
        <f>SUMIFS('Combined P&amp;L'!W:W,'Combined P&amp;L'!$C:$C,'P&amp;L Forecast'!$B49)</f>
        <v>0</v>
      </c>
      <c r="Z49" s="54">
        <f>SUMIFS('Combined P&amp;L'!X:X,'Combined P&amp;L'!$C:$C,'P&amp;L Forecast'!$B49)</f>
        <v>0</v>
      </c>
      <c r="AA49" s="54">
        <f>SUMIFS('Combined P&amp;L'!Y:Y,'Combined P&amp;L'!$C:$C,'P&amp;L Forecast'!$B49)</f>
        <v>0</v>
      </c>
      <c r="AB49" s="54">
        <f>SUMIFS('Combined P&amp;L'!Z:Z,'Combined P&amp;L'!$C:$C,'P&amp;L Forecast'!$B49)</f>
        <v>0</v>
      </c>
      <c r="AC49" s="54">
        <f>SUMIFS('Combined P&amp;L'!AA:AA,'Combined P&amp;L'!$C:$C,'P&amp;L Forecast'!$B49)</f>
        <v>0</v>
      </c>
      <c r="AD49" s="54">
        <f>SUMIFS('Combined P&amp;L'!AB:AB,'Combined P&amp;L'!$C:$C,'P&amp;L Forecast'!$B49)</f>
        <v>0</v>
      </c>
      <c r="AE49" s="54">
        <f>SUMIFS('Combined P&amp;L'!AC:AC,'Combined P&amp;L'!$C:$C,'P&amp;L Forecast'!$B49)</f>
        <v>0</v>
      </c>
      <c r="AF49" s="54">
        <f>SUMIFS('Combined P&amp;L'!AD:AD,'Combined P&amp;L'!$C:$C,'P&amp;L Forecast'!$B49)</f>
        <v>0</v>
      </c>
      <c r="AG49" s="54">
        <f>SUMIFS('Combined P&amp;L'!AE:AE,'Combined P&amp;L'!$C:$C,'P&amp;L Forecast'!$B49)</f>
        <v>0</v>
      </c>
      <c r="AH49" s="54">
        <f>SUMIFS('Combined P&amp;L'!AF:AF,'Combined P&amp;L'!$C:$C,'P&amp;L Forecast'!$B49)</f>
        <v>0</v>
      </c>
      <c r="AI49" s="54">
        <f>SUMIFS('Combined P&amp;L'!AG:AG,'Combined P&amp;L'!$C:$C,'P&amp;L Forecast'!$B49)</f>
        <v>7.17</v>
      </c>
      <c r="AJ49" s="54">
        <f>SUMIFS('Combined P&amp;L'!AH:AH,'Combined P&amp;L'!$C:$C,'P&amp;L Forecast'!$B49)</f>
        <v>1.6495</v>
      </c>
      <c r="AK49" s="54">
        <f>SUMIFS('Combined P&amp;L'!AI:AI,'Combined P&amp;L'!$C:$C,'P&amp;L Forecast'!$B49)</f>
        <v>2.6788000000000003</v>
      </c>
      <c r="AL49" s="54">
        <f>SUMIFS('Combined P&amp;L'!AJ:AJ,'Combined P&amp;L'!$C:$C,'P&amp;L Forecast'!$B49)</f>
        <v>0</v>
      </c>
      <c r="AM49" s="54">
        <f>SUMIFS('Combined P&amp;L'!AK:AK,'Combined P&amp;L'!$C:$C,'P&amp;L Forecast'!$B49)</f>
        <v>0</v>
      </c>
      <c r="AN49" s="54">
        <f>SUMIFS('Combined P&amp;L'!AL:AL,'Combined P&amp;L'!$C:$C,'P&amp;L Forecast'!$B49)</f>
        <v>0.05</v>
      </c>
      <c r="AO49" s="54">
        <f>SUMIFS('Combined P&amp;L'!AM:AM,'Combined P&amp;L'!$C:$C,'P&amp;L Forecast'!$B49)</f>
        <v>0</v>
      </c>
      <c r="AP49" s="54">
        <f>SUMIFS('Combined P&amp;L'!AN:AN,'Combined P&amp;L'!$C:$C,'P&amp;L Forecast'!$B49)</f>
        <v>0</v>
      </c>
      <c r="AQ49" s="54">
        <f>SUMIFS('Combined P&amp;L'!AO:AO,'Combined P&amp;L'!$C:$C,'P&amp;L Forecast'!$B49)</f>
        <v>0</v>
      </c>
      <c r="AR49" s="54">
        <f>SUMIFS('Combined P&amp;L'!AP:AP,'Combined P&amp;L'!$C:$C,'P&amp;L Forecast'!$B49)</f>
        <v>9.8049999999999998E-2</v>
      </c>
      <c r="AS49" s="54">
        <f>SUMIFS('Combined P&amp;L'!AQ:AQ,'Combined P&amp;L'!$C:$C,'P&amp;L Forecast'!$B49)</f>
        <v>2.4300000000000003E-3</v>
      </c>
      <c r="AT49" s="54">
        <f>SUMIFS('Combined P&amp;L'!AR:AR,'Combined P&amp;L'!$C:$C,'P&amp;L Forecast'!$B49)</f>
        <v>11.695</v>
      </c>
    </row>
    <row r="50" spans="2:46" x14ac:dyDescent="0.2">
      <c r="B50" s="58" t="s">
        <v>68</v>
      </c>
      <c r="C50" s="24">
        <f>SUMIFS($P50:$AT50,$P$5:$AT$5,"&gt;"&amp;C$172,$P$5:$AT$5,"&lt;"&amp;C$173)</f>
        <v>14.902050000000003</v>
      </c>
      <c r="D50" s="24">
        <f>SUMIFS($P50:$AT50,$P$5:$AT$5,"&gt;"&amp;D$172,$P$5:$AT$5,"&lt;"&amp;D$173)</f>
        <v>31.604100000000003</v>
      </c>
      <c r="E50" s="24"/>
      <c r="F50" s="24">
        <f>SUMIFS($P50:$AT50,$P$5:$AT$5,"&gt;"&amp;F$172,$P$5:$AT$5,"&lt;"&amp;F$173)</f>
        <v>28.299939999999999</v>
      </c>
      <c r="G50" s="24">
        <f>SUMIFS($P50:$AT50,$P$5:$AT$5,"&gt;"&amp;G$172,$P$5:$AT$5,"&lt;"&amp;G$173)</f>
        <v>5.5646000000000004</v>
      </c>
      <c r="H50" s="24"/>
      <c r="I50" s="24">
        <f>SUMIFS($P50:$AT50,$P$5:$AT$5,"&gt;"&amp;I$172,$P$5:$AT$5,"&lt;"&amp;I$173)</f>
        <v>36.582490000000007</v>
      </c>
      <c r="J50" s="24">
        <f>SUMIFS($P50:$AT50,$P$5:$AT$5,"&gt;"&amp;J$172,$P$5:$AT$5,"&lt;"&amp;J$173)</f>
        <v>8.8458499999999987</v>
      </c>
      <c r="K50" s="66">
        <f t="shared" ref="K50:K56" si="62">+C152</f>
        <v>8.8458499999999987</v>
      </c>
      <c r="L50" s="66"/>
      <c r="M50" s="24">
        <f t="shared" ref="M50" si="63">+J50-K50</f>
        <v>0</v>
      </c>
      <c r="N50" s="67">
        <f t="shared" ref="N50" si="64">IFERROR(K50/J50-1,0)</f>
        <v>0</v>
      </c>
      <c r="O50" s="53"/>
      <c r="P50" s="54">
        <f>SUMIFS('Combined P&amp;L'!N:N,'Combined P&amp;L'!$C:$C,'P&amp;L Forecast'!$B50)</f>
        <v>2.4920000000000001E-2</v>
      </c>
      <c r="Q50" s="54">
        <f>SUMIFS('Combined P&amp;L'!O:O,'Combined P&amp;L'!$C:$C,'P&amp;L Forecast'!$B50)</f>
        <v>1.0249200000000001</v>
      </c>
      <c r="R50" s="54">
        <f>SUMIFS('Combined P&amp;L'!P:P,'Combined P&amp;L'!$C:$C,'P&amp;L Forecast'!$B50)</f>
        <v>1.0249200000000001</v>
      </c>
      <c r="S50" s="54">
        <f>SUMIFS('Combined P&amp;L'!Q:Q,'Combined P&amp;L'!$C:$C,'P&amp;L Forecast'!$B50)</f>
        <v>1.22492</v>
      </c>
      <c r="T50" s="54">
        <f>SUMIFS('Combined P&amp;L'!R:R,'Combined P&amp;L'!$C:$C,'P&amp;L Forecast'!$B50)</f>
        <v>1.0249200000000001</v>
      </c>
      <c r="U50" s="54">
        <f>SUMIFS('Combined P&amp;L'!S:S,'Combined P&amp;L'!$C:$C,'P&amp;L Forecast'!$B50)</f>
        <v>1.5180199999999999</v>
      </c>
      <c r="V50" s="54">
        <f>SUMIFS('Combined P&amp;L'!T:T,'Combined P&amp;L'!$C:$C,'P&amp;L Forecast'!$B50)</f>
        <v>2.0133100000000002</v>
      </c>
      <c r="W50" s="54">
        <f>SUMIFS('Combined P&amp;L'!U:U,'Combined P&amp;L'!$C:$C,'P&amp;L Forecast'!$B50)</f>
        <v>1.6009</v>
      </c>
      <c r="X50" s="54">
        <f>SUMIFS('Combined P&amp;L'!V:V,'Combined P&amp;L'!$C:$C,'P&amp;L Forecast'!$B50)</f>
        <v>1.58969</v>
      </c>
      <c r="Y50" s="54">
        <f>SUMIFS('Combined P&amp;L'!W:W,'Combined P&amp;L'!$C:$C,'P&amp;L Forecast'!$B50)</f>
        <v>1.12582</v>
      </c>
      <c r="Z50" s="54">
        <f>SUMIFS('Combined P&amp;L'!X:X,'Combined P&amp;L'!$C:$C,'P&amp;L Forecast'!$B50)</f>
        <v>1.4419900000000001</v>
      </c>
      <c r="AA50" s="54">
        <f>SUMIFS('Combined P&amp;L'!Y:Y,'Combined P&amp;L'!$C:$C,'P&amp;L Forecast'!$B50)</f>
        <v>1.28772</v>
      </c>
      <c r="AB50" s="54">
        <f>SUMIFS('Combined P&amp;L'!Z:Z,'Combined P&amp;L'!$C:$C,'P&amp;L Forecast'!$B50)</f>
        <v>2.4129499999999999</v>
      </c>
      <c r="AC50" s="54">
        <f>SUMIFS('Combined P&amp;L'!AA:AA,'Combined P&amp;L'!$C:$C,'P&amp;L Forecast'!$B50)</f>
        <v>22.379300000000001</v>
      </c>
      <c r="AD50" s="54">
        <f>SUMIFS('Combined P&amp;L'!AB:AB,'Combined P&amp;L'!$C:$C,'P&amp;L Forecast'!$B50)</f>
        <v>0.72983000000000009</v>
      </c>
      <c r="AE50" s="54">
        <f>SUMIFS('Combined P&amp;L'!AC:AC,'Combined P&amp;L'!$C:$C,'P&amp;L Forecast'!$B50)</f>
        <v>0.59597</v>
      </c>
      <c r="AF50" s="54">
        <f>SUMIFS('Combined P&amp;L'!AD:AD,'Combined P&amp;L'!$C:$C,'P&amp;L Forecast'!$B50)</f>
        <v>0.87534000000000001</v>
      </c>
      <c r="AG50" s="54">
        <f>SUMIFS('Combined P&amp;L'!AE:AE,'Combined P&amp;L'!$C:$C,'P&amp;L Forecast'!$B50)</f>
        <v>0.52966999999999997</v>
      </c>
      <c r="AH50" s="54">
        <f>SUMIFS('Combined P&amp;L'!AF:AF,'Combined P&amp;L'!$C:$C,'P&amp;L Forecast'!$B50)</f>
        <v>0.77688000000000001</v>
      </c>
      <c r="AI50" s="54">
        <f>SUMIFS('Combined P&amp;L'!AG:AG,'Combined P&amp;L'!$C:$C,'P&amp;L Forecast'!$B50)</f>
        <v>0.21671000000000001</v>
      </c>
      <c r="AJ50" s="54">
        <f>SUMIFS('Combined P&amp;L'!AH:AH,'Combined P&amp;L'!$C:$C,'P&amp;L Forecast'!$B50)</f>
        <v>0.74951999999999996</v>
      </c>
      <c r="AK50" s="54">
        <f>SUMIFS('Combined P&amp;L'!AI:AI,'Combined P&amp;L'!$C:$C,'P&amp;L Forecast'!$B50)</f>
        <v>0.92573000000000005</v>
      </c>
      <c r="AL50" s="54">
        <f>SUMIFS('Combined P&amp;L'!AJ:AJ,'Combined P&amp;L'!$C:$C,'P&amp;L Forecast'!$B50)</f>
        <v>0.66044000000000003</v>
      </c>
      <c r="AM50" s="54">
        <f>SUMIFS('Combined P&amp;L'!AK:AK,'Combined P&amp;L'!$C:$C,'P&amp;L Forecast'!$B50)</f>
        <v>0.75175999999999998</v>
      </c>
      <c r="AN50" s="54">
        <f>SUMIFS('Combined P&amp;L'!AL:AL,'Combined P&amp;L'!$C:$C,'P&amp;L Forecast'!$B50)</f>
        <v>0.82029999999999992</v>
      </c>
      <c r="AO50" s="54">
        <f>SUMIFS('Combined P&amp;L'!AM:AM,'Combined P&amp;L'!$C:$C,'P&amp;L Forecast'!$B50)</f>
        <v>0.68046000000000006</v>
      </c>
      <c r="AP50" s="54">
        <f>SUMIFS('Combined P&amp;L'!AN:AN,'Combined P&amp;L'!$C:$C,'P&amp;L Forecast'!$B50)</f>
        <v>0.77239000000000002</v>
      </c>
      <c r="AQ50" s="54">
        <f>SUMIFS('Combined P&amp;L'!AO:AO,'Combined P&amp;L'!$C:$C,'P&amp;L Forecast'!$B50)</f>
        <v>0.71608000000000005</v>
      </c>
      <c r="AR50" s="54">
        <f>SUMIFS('Combined P&amp;L'!AP:AP,'Combined P&amp;L'!$C:$C,'P&amp;L Forecast'!$B50)</f>
        <v>0.64019999999999999</v>
      </c>
      <c r="AS50" s="54">
        <f>SUMIFS('Combined P&amp;L'!AQ:AQ,'Combined P&amp;L'!$C:$C,'P&amp;L Forecast'!$B50)</f>
        <v>1.1353800000000001</v>
      </c>
      <c r="AT50" s="54">
        <f>SUMIFS('Combined P&amp;L'!AR:AR,'Combined P&amp;L'!$C:$C,'P&amp;L Forecast'!$B50)</f>
        <v>0.79979</v>
      </c>
    </row>
    <row r="51" spans="2:46" x14ac:dyDescent="0.2">
      <c r="B51" s="95" t="s">
        <v>296</v>
      </c>
      <c r="C51" s="24">
        <f>SUMIFS($P51:$AT51,$P$5:$AT$5,"&gt;"&amp;C$172,$P$5:$AT$5,"&lt;"&amp;C$173)</f>
        <v>6.673</v>
      </c>
      <c r="D51" s="24">
        <f>SUMIFS($P51:$AT51,$P$5:$AT$5,"&gt;"&amp;D$172,$P$5:$AT$5,"&lt;"&amp;D$173)</f>
        <v>6.673</v>
      </c>
      <c r="E51" s="24"/>
      <c r="F51" s="24">
        <f>SUMIFS($P51:$AT51,$P$5:$AT$5,"&gt;"&amp;F$172,$P$5:$AT$5,"&lt;"&amp;F$173)</f>
        <v>0</v>
      </c>
      <c r="G51" s="24">
        <f>SUMIFS($P51:$AT51,$P$5:$AT$5,"&gt;"&amp;G$172,$P$5:$AT$5,"&lt;"&amp;G$173)</f>
        <v>0</v>
      </c>
      <c r="H51" s="24"/>
      <c r="I51" s="24">
        <f>SUMIFS($P51:$AT51,$P$5:$AT$5,"&gt;"&amp;I$172,$P$5:$AT$5,"&lt;"&amp;I$173)</f>
        <v>6.673</v>
      </c>
      <c r="J51" s="24">
        <f>SUMIFS($P51:$AT51,$P$5:$AT$5,"&gt;"&amp;J$172,$P$5:$AT$5,"&lt;"&amp;J$173)</f>
        <v>6.673</v>
      </c>
      <c r="K51" s="66">
        <f t="shared" si="62"/>
        <v>6.673</v>
      </c>
      <c r="L51" s="66"/>
      <c r="M51" s="24">
        <f t="shared" ref="M51" si="65">+J51-K51</f>
        <v>0</v>
      </c>
      <c r="N51" s="67">
        <f t="shared" ref="N51" si="66">IFERROR(K51/J51-1,0)</f>
        <v>0</v>
      </c>
      <c r="O51" s="53"/>
      <c r="P51" s="54">
        <f>SUMIFS('Combined P&amp;L'!N:N,'Combined P&amp;L'!$C:$C,'P&amp;L Forecast'!$B51)</f>
        <v>0</v>
      </c>
      <c r="Q51" s="54">
        <f>SUMIFS('Combined P&amp;L'!O:O,'Combined P&amp;L'!$C:$C,'P&amp;L Forecast'!$B51)</f>
        <v>0</v>
      </c>
      <c r="R51" s="54">
        <f>SUMIFS('Combined P&amp;L'!P:P,'Combined P&amp;L'!$C:$C,'P&amp;L Forecast'!$B51)</f>
        <v>0</v>
      </c>
      <c r="S51" s="54">
        <f>SUMIFS('Combined P&amp;L'!Q:Q,'Combined P&amp;L'!$C:$C,'P&amp;L Forecast'!$B51)</f>
        <v>0</v>
      </c>
      <c r="T51" s="54">
        <f>SUMIFS('Combined P&amp;L'!R:R,'Combined P&amp;L'!$C:$C,'P&amp;L Forecast'!$B51)</f>
        <v>0</v>
      </c>
      <c r="U51" s="54">
        <f>SUMIFS('Combined P&amp;L'!S:S,'Combined P&amp;L'!$C:$C,'P&amp;L Forecast'!$B51)</f>
        <v>0</v>
      </c>
      <c r="V51" s="54">
        <f>SUMIFS('Combined P&amp;L'!T:T,'Combined P&amp;L'!$C:$C,'P&amp;L Forecast'!$B51)</f>
        <v>0</v>
      </c>
      <c r="W51" s="54">
        <f>SUMIFS('Combined P&amp;L'!U:U,'Combined P&amp;L'!$C:$C,'P&amp;L Forecast'!$B51)</f>
        <v>0</v>
      </c>
      <c r="X51" s="54">
        <f>SUMIFS('Combined P&amp;L'!V:V,'Combined P&amp;L'!$C:$C,'P&amp;L Forecast'!$B51)</f>
        <v>0</v>
      </c>
      <c r="Y51" s="54">
        <f>SUMIFS('Combined P&amp;L'!W:W,'Combined P&amp;L'!$C:$C,'P&amp;L Forecast'!$B51)</f>
        <v>0</v>
      </c>
      <c r="Z51" s="54">
        <f>SUMIFS('Combined P&amp;L'!X:X,'Combined P&amp;L'!$C:$C,'P&amp;L Forecast'!$B51)</f>
        <v>0</v>
      </c>
      <c r="AA51" s="54">
        <f>SUMIFS('Combined P&amp;L'!Y:Y,'Combined P&amp;L'!$C:$C,'P&amp;L Forecast'!$B51)</f>
        <v>6.673</v>
      </c>
      <c r="AB51" s="54">
        <f>SUMIFS('Combined P&amp;L'!Z:Z,'Combined P&amp;L'!$C:$C,'P&amp;L Forecast'!$B51)</f>
        <v>0</v>
      </c>
      <c r="AC51" s="54">
        <f>SUMIFS('Combined P&amp;L'!AA:AA,'Combined P&amp;L'!$C:$C,'P&amp;L Forecast'!$B51)</f>
        <v>0</v>
      </c>
      <c r="AD51" s="54">
        <f>SUMIFS('Combined P&amp;L'!AB:AB,'Combined P&amp;L'!$C:$C,'P&amp;L Forecast'!$B51)</f>
        <v>0</v>
      </c>
      <c r="AE51" s="54">
        <f>SUMIFS('Combined P&amp;L'!AC:AC,'Combined P&amp;L'!$C:$C,'P&amp;L Forecast'!$B51)</f>
        <v>0</v>
      </c>
      <c r="AF51" s="54">
        <f>SUMIFS('Combined P&amp;L'!AD:AD,'Combined P&amp;L'!$C:$C,'P&amp;L Forecast'!$B51)</f>
        <v>0</v>
      </c>
      <c r="AG51" s="54">
        <f>SUMIFS('Combined P&amp;L'!AE:AE,'Combined P&amp;L'!$C:$C,'P&amp;L Forecast'!$B51)</f>
        <v>0</v>
      </c>
      <c r="AH51" s="54">
        <f>SUMIFS('Combined P&amp;L'!AF:AF,'Combined P&amp;L'!$C:$C,'P&amp;L Forecast'!$B51)</f>
        <v>0</v>
      </c>
      <c r="AI51" s="54">
        <f>SUMIFS('Combined P&amp;L'!AG:AG,'Combined P&amp;L'!$C:$C,'P&amp;L Forecast'!$B51)</f>
        <v>0</v>
      </c>
      <c r="AJ51" s="54">
        <f>SUMIFS('Combined P&amp;L'!AH:AH,'Combined P&amp;L'!$C:$C,'P&amp;L Forecast'!$B51)</f>
        <v>0</v>
      </c>
      <c r="AK51" s="54">
        <f>SUMIFS('Combined P&amp;L'!AI:AI,'Combined P&amp;L'!$C:$C,'P&amp;L Forecast'!$B51)</f>
        <v>0</v>
      </c>
      <c r="AL51" s="54">
        <f>SUMIFS('Combined P&amp;L'!AJ:AJ,'Combined P&amp;L'!$C:$C,'P&amp;L Forecast'!$B51)</f>
        <v>0</v>
      </c>
      <c r="AM51" s="54">
        <f>SUMIFS('Combined P&amp;L'!AK:AK,'Combined P&amp;L'!$C:$C,'P&amp;L Forecast'!$B51)</f>
        <v>6.673</v>
      </c>
      <c r="AN51" s="54">
        <f>SUMIFS('Combined P&amp;L'!AL:AL,'Combined P&amp;L'!$C:$C,'P&amp;L Forecast'!$B51)</f>
        <v>0</v>
      </c>
      <c r="AO51" s="54">
        <f>SUMIFS('Combined P&amp;L'!AM:AM,'Combined P&amp;L'!$C:$C,'P&amp;L Forecast'!$B51)</f>
        <v>0</v>
      </c>
      <c r="AP51" s="54">
        <f>SUMIFS('Combined P&amp;L'!AN:AN,'Combined P&amp;L'!$C:$C,'P&amp;L Forecast'!$B51)</f>
        <v>0</v>
      </c>
      <c r="AQ51" s="54">
        <f>SUMIFS('Combined P&amp;L'!AO:AO,'Combined P&amp;L'!$C:$C,'P&amp;L Forecast'!$B51)</f>
        <v>0</v>
      </c>
      <c r="AR51" s="54">
        <f>SUMIFS('Combined P&amp;L'!AP:AP,'Combined P&amp;L'!$C:$C,'P&amp;L Forecast'!$B51)</f>
        <v>0</v>
      </c>
      <c r="AS51" s="54">
        <f>SUMIFS('Combined P&amp;L'!AQ:AQ,'Combined P&amp;L'!$C:$C,'P&amp;L Forecast'!$B51)</f>
        <v>0</v>
      </c>
      <c r="AT51" s="54">
        <f>SUMIFS('Combined P&amp;L'!AR:AR,'Combined P&amp;L'!$C:$C,'P&amp;L Forecast'!$B51)</f>
        <v>0</v>
      </c>
    </row>
    <row r="52" spans="2:46" x14ac:dyDescent="0.2">
      <c r="B52" s="58" t="s">
        <v>99</v>
      </c>
      <c r="C52" s="24">
        <f>SUMIFS($P52:$AT52,$P$5:$AT$5,"&gt;"&amp;C$172,$P$5:$AT$5,"&lt;"&amp;C$173)</f>
        <v>7.2617299999999982</v>
      </c>
      <c r="D52" s="24">
        <f>SUMIFS($P52:$AT52,$P$5:$AT$5,"&gt;"&amp;D$172,$P$5:$AT$5,"&lt;"&amp;D$173)</f>
        <v>4.91967</v>
      </c>
      <c r="E52" s="24"/>
      <c r="F52" s="24">
        <f>SUMIFS($P52:$AT52,$P$5:$AT$5,"&gt;"&amp;F$172,$P$5:$AT$5,"&lt;"&amp;F$173)</f>
        <v>2.9246699999999999</v>
      </c>
      <c r="G52" s="24">
        <f>SUMIFS($P52:$AT52,$P$5:$AT$5,"&gt;"&amp;G$172,$P$5:$AT$5,"&lt;"&amp;G$173)</f>
        <v>2.9085700000000001</v>
      </c>
      <c r="H52" s="24"/>
      <c r="I52" s="24">
        <f>SUMIFS($P52:$AT52,$P$5:$AT$5,"&gt;"&amp;I$172,$P$5:$AT$5,"&lt;"&amp;I$173)</f>
        <v>5.8363100000000001</v>
      </c>
      <c r="J52" s="24">
        <f>SUMIFS($P52:$AT52,$P$5:$AT$5,"&gt;"&amp;J$172,$P$5:$AT$5,"&lt;"&amp;J$173)</f>
        <v>4.9035700000000002</v>
      </c>
      <c r="K52" s="66">
        <f t="shared" si="62"/>
        <v>4.9035700000000002</v>
      </c>
      <c r="L52" s="66"/>
      <c r="M52" s="24">
        <f t="shared" ref="M52" si="67">+J52-K52</f>
        <v>0</v>
      </c>
      <c r="N52" s="67">
        <f t="shared" ref="N52" si="68">IFERROR(K52/J52-1,0)</f>
        <v>0</v>
      </c>
      <c r="O52" s="53"/>
      <c r="P52" s="54">
        <f>SUMIFS('Combined P&amp;L'!N:N,'Combined P&amp;L'!$C:$C,'P&amp;L Forecast'!$B52)</f>
        <v>0.43325999999999998</v>
      </c>
      <c r="Q52" s="54">
        <f>SUMIFS('Combined P&amp;L'!O:O,'Combined P&amp;L'!$C:$C,'P&amp;L Forecast'!$B52)</f>
        <v>1.6317600000000001</v>
      </c>
      <c r="R52" s="54">
        <f>SUMIFS('Combined P&amp;L'!P:P,'Combined P&amp;L'!$C:$C,'P&amp;L Forecast'!$B52)</f>
        <v>0.43368000000000001</v>
      </c>
      <c r="S52" s="54">
        <f>SUMIFS('Combined P&amp;L'!Q:Q,'Combined P&amp;L'!$C:$C,'P&amp;L Forecast'!$B52)</f>
        <v>0.48413</v>
      </c>
      <c r="T52" s="54">
        <f>SUMIFS('Combined P&amp;L'!R:R,'Combined P&amp;L'!$C:$C,'P&amp;L Forecast'!$B52)</f>
        <v>0.48413</v>
      </c>
      <c r="U52" s="54">
        <f>SUMIFS('Combined P&amp;L'!S:S,'Combined P&amp;L'!$C:$C,'P&amp;L Forecast'!$B52)</f>
        <v>0.48413</v>
      </c>
      <c r="V52" s="54">
        <f>SUMIFS('Combined P&amp;L'!T:T,'Combined P&amp;L'!$C:$C,'P&amp;L Forecast'!$B52)</f>
        <v>0.49343999999999999</v>
      </c>
      <c r="W52" s="54">
        <f>SUMIFS('Combined P&amp;L'!U:U,'Combined P&amp;L'!$C:$C,'P&amp;L Forecast'!$B52)</f>
        <v>0.84344000000000008</v>
      </c>
      <c r="X52" s="54">
        <f>SUMIFS('Combined P&amp;L'!V:V,'Combined P&amp;L'!$C:$C,'P&amp;L Forecast'!$B52)</f>
        <v>0.49343999999999999</v>
      </c>
      <c r="Y52" s="54">
        <f>SUMIFS('Combined P&amp;L'!W:W,'Combined P&amp;L'!$C:$C,'P&amp;L Forecast'!$B52)</f>
        <v>0.49343999999999999</v>
      </c>
      <c r="Z52" s="54">
        <f>SUMIFS('Combined P&amp;L'!X:X,'Combined P&amp;L'!$C:$C,'P&amp;L Forecast'!$B52)</f>
        <v>0.49343999999999999</v>
      </c>
      <c r="AA52" s="54">
        <f>SUMIFS('Combined P&amp;L'!Y:Y,'Combined P&amp;L'!$C:$C,'P&amp;L Forecast'!$B52)</f>
        <v>0.49343999999999999</v>
      </c>
      <c r="AB52" s="54">
        <f>SUMIFS('Combined P&amp;L'!Z:Z,'Combined P&amp;L'!$C:$C,'P&amp;L Forecast'!$B52)</f>
        <v>0.53066999999999998</v>
      </c>
      <c r="AC52" s="54">
        <f>SUMIFS('Combined P&amp;L'!AA:AA,'Combined P&amp;L'!$C:$C,'P&amp;L Forecast'!$B52)</f>
        <v>0.39900000000000002</v>
      </c>
      <c r="AD52" s="54">
        <f>SUMIFS('Combined P&amp;L'!AB:AB,'Combined P&amp;L'!$C:$C,'P&amp;L Forecast'!$B52)</f>
        <v>0.39900000000000002</v>
      </c>
      <c r="AE52" s="54">
        <f>SUMIFS('Combined P&amp;L'!AC:AC,'Combined P&amp;L'!$C:$C,'P&amp;L Forecast'!$B52)</f>
        <v>0.39900000000000002</v>
      </c>
      <c r="AF52" s="54">
        <f>SUMIFS('Combined P&amp;L'!AD:AD,'Combined P&amp;L'!$C:$C,'P&amp;L Forecast'!$B52)</f>
        <v>0.39900000000000002</v>
      </c>
      <c r="AG52" s="54">
        <f>SUMIFS('Combined P&amp;L'!AE:AE,'Combined P&amp;L'!$C:$C,'P&amp;L Forecast'!$B52)</f>
        <v>0.39900000000000002</v>
      </c>
      <c r="AH52" s="54">
        <f>SUMIFS('Combined P&amp;L'!AF:AF,'Combined P&amp;L'!$C:$C,'P&amp;L Forecast'!$B52)</f>
        <v>0.39900000000000002</v>
      </c>
      <c r="AI52" s="54">
        <f>SUMIFS('Combined P&amp;L'!AG:AG,'Combined P&amp;L'!$C:$C,'P&amp;L Forecast'!$B52)</f>
        <v>0.39900000000000002</v>
      </c>
      <c r="AJ52" s="54">
        <f>SUMIFS('Combined P&amp;L'!AH:AH,'Combined P&amp;L'!$C:$C,'P&amp;L Forecast'!$B52)</f>
        <v>0.39900000000000002</v>
      </c>
      <c r="AK52" s="54">
        <f>SUMIFS('Combined P&amp;L'!AI:AI,'Combined P&amp;L'!$C:$C,'P&amp;L Forecast'!$B52)</f>
        <v>0.39900000000000002</v>
      </c>
      <c r="AL52" s="54">
        <f>SUMIFS('Combined P&amp;L'!AJ:AJ,'Combined P&amp;L'!$C:$C,'P&amp;L Forecast'!$B52)</f>
        <v>0.39900000000000002</v>
      </c>
      <c r="AM52" s="54">
        <f>SUMIFS('Combined P&amp;L'!AK:AK,'Combined P&amp;L'!$C:$C,'P&amp;L Forecast'!$B52)</f>
        <v>0.39900000000000002</v>
      </c>
      <c r="AN52" s="54">
        <f>SUMIFS('Combined P&amp;L'!AL:AL,'Combined P&amp;L'!$C:$C,'P&amp;L Forecast'!$B52)</f>
        <v>0.43619000000000002</v>
      </c>
      <c r="AO52" s="54">
        <f>SUMIFS('Combined P&amp;L'!AM:AM,'Combined P&amp;L'!$C:$C,'P&amp;L Forecast'!$B52)</f>
        <v>0.39900000000000002</v>
      </c>
      <c r="AP52" s="54">
        <f>SUMIFS('Combined P&amp;L'!AN:AN,'Combined P&amp;L'!$C:$C,'P&amp;L Forecast'!$B52)</f>
        <v>0.47737999999999997</v>
      </c>
      <c r="AQ52" s="54">
        <f>SUMIFS('Combined P&amp;L'!AO:AO,'Combined P&amp;L'!$C:$C,'P&amp;L Forecast'!$B52)</f>
        <v>0.39900000000000002</v>
      </c>
      <c r="AR52" s="54">
        <f>SUMIFS('Combined P&amp;L'!AP:AP,'Combined P&amp;L'!$C:$C,'P&amp;L Forecast'!$B52)</f>
        <v>0.39900000000000002</v>
      </c>
      <c r="AS52" s="54">
        <f>SUMIFS('Combined P&amp;L'!AQ:AQ,'Combined P&amp;L'!$C:$C,'P&amp;L Forecast'!$B52)</f>
        <v>0.39900000000000002</v>
      </c>
      <c r="AT52" s="54">
        <f>SUMIFS('Combined P&amp;L'!AR:AR,'Combined P&amp;L'!$C:$C,'P&amp;L Forecast'!$B52)</f>
        <v>0.39900000000000002</v>
      </c>
    </row>
    <row r="53" spans="2:46" x14ac:dyDescent="0.2">
      <c r="B53" s="58" t="s">
        <v>111</v>
      </c>
      <c r="C53" s="24">
        <f>SUMIFS($P53:$AT53,$P$5:$AT$5,"&gt;"&amp;C$172,$P$5:$AT$5,"&lt;"&amp;C$173)</f>
        <v>7.4969999999999999</v>
      </c>
      <c r="D53" s="24">
        <f>SUMIFS($P53:$AT53,$P$5:$AT$5,"&gt;"&amp;D$172,$P$5:$AT$5,"&lt;"&amp;D$173)</f>
        <v>9.984</v>
      </c>
      <c r="E53" s="24"/>
      <c r="F53" s="24">
        <f>SUMIFS($P53:$AT53,$P$5:$AT$5,"&gt;"&amp;F$172,$P$5:$AT$5,"&lt;"&amp;F$173)</f>
        <v>5.8940000000000001</v>
      </c>
      <c r="G53" s="24">
        <f>SUMIFS($P53:$AT53,$P$5:$AT$5,"&gt;"&amp;G$172,$P$5:$AT$5,"&lt;"&amp;G$173)</f>
        <v>1.1719999999999997</v>
      </c>
      <c r="H53" s="24"/>
      <c r="I53" s="24">
        <f>SUMIFS($P53:$AT53,$P$5:$AT$5,"&gt;"&amp;I$172,$P$5:$AT$5,"&lt;"&amp;I$173)</f>
        <v>4.673</v>
      </c>
      <c r="J53" s="24">
        <f>SUMIFS($P53:$AT53,$P$5:$AT$5,"&gt;"&amp;J$172,$P$5:$AT$5,"&lt;"&amp;J$173)</f>
        <v>5.2619999999999996</v>
      </c>
      <c r="K53" s="66">
        <f t="shared" si="62"/>
        <v>5.2619999999999996</v>
      </c>
      <c r="L53" s="66"/>
      <c r="M53" s="24">
        <f t="shared" ref="M53" si="69">+J53-K53</f>
        <v>0</v>
      </c>
      <c r="N53" s="67">
        <f t="shared" ref="N53" si="70">IFERROR(K53/J53-1,0)</f>
        <v>0</v>
      </c>
      <c r="O53" s="53"/>
      <c r="P53" s="54">
        <f>SUMIFS('Combined P&amp;L'!N:N,'Combined P&amp;L'!$C:$C,'P&amp;L Forecast'!$B53)</f>
        <v>0</v>
      </c>
      <c r="Q53" s="54">
        <f>SUMIFS('Combined P&amp;L'!O:O,'Combined P&amp;L'!$C:$C,'P&amp;L Forecast'!$B53)</f>
        <v>0</v>
      </c>
      <c r="R53" s="54">
        <f>SUMIFS('Combined P&amp;L'!P:P,'Combined P&amp;L'!$C:$C,'P&amp;L Forecast'!$B53)</f>
        <v>0</v>
      </c>
      <c r="S53" s="54">
        <f>SUMIFS('Combined P&amp;L'!Q:Q,'Combined P&amp;L'!$C:$C,'P&amp;L Forecast'!$B53)</f>
        <v>6.2460000000000004</v>
      </c>
      <c r="T53" s="54">
        <f>SUMIFS('Combined P&amp;L'!R:R,'Combined P&amp;L'!$C:$C,'P&amp;L Forecast'!$B53)</f>
        <v>0</v>
      </c>
      <c r="U53" s="54">
        <f>SUMIFS('Combined P&amp;L'!S:S,'Combined P&amp;L'!$C:$C,'P&amp;L Forecast'!$B53)</f>
        <v>2.472</v>
      </c>
      <c r="V53" s="54">
        <f>SUMIFS('Combined P&amp;L'!T:T,'Combined P&amp;L'!$C:$C,'P&amp;L Forecast'!$B53)</f>
        <v>0</v>
      </c>
      <c r="W53" s="54">
        <f>SUMIFS('Combined P&amp;L'!U:U,'Combined P&amp;L'!$C:$C,'P&amp;L Forecast'!$B53)</f>
        <v>0</v>
      </c>
      <c r="X53" s="54">
        <f>SUMIFS('Combined P&amp;L'!V:V,'Combined P&amp;L'!$C:$C,'P&amp;L Forecast'!$B53)</f>
        <v>2.472</v>
      </c>
      <c r="Y53" s="54">
        <f>SUMIFS('Combined P&amp;L'!W:W,'Combined P&amp;L'!$C:$C,'P&amp;L Forecast'!$B53)</f>
        <v>0</v>
      </c>
      <c r="Z53" s="54">
        <f>SUMIFS('Combined P&amp;L'!X:X,'Combined P&amp;L'!$C:$C,'P&amp;L Forecast'!$B53)</f>
        <v>0</v>
      </c>
      <c r="AA53" s="54">
        <f>SUMIFS('Combined P&amp;L'!Y:Y,'Combined P&amp;L'!$C:$C,'P&amp;L Forecast'!$B53)</f>
        <v>-3.6930000000000001</v>
      </c>
      <c r="AB53" s="54">
        <f>SUMIFS('Combined P&amp;L'!Z:Z,'Combined P&amp;L'!$C:$C,'P&amp;L Forecast'!$B53)</f>
        <v>2.472</v>
      </c>
      <c r="AC53" s="54">
        <f>SUMIFS('Combined P&amp;L'!AA:AA,'Combined P&amp;L'!$C:$C,'P&amp;L Forecast'!$B53)</f>
        <v>0</v>
      </c>
      <c r="AD53" s="54">
        <f>SUMIFS('Combined P&amp;L'!AB:AB,'Combined P&amp;L'!$C:$C,'P&amp;L Forecast'!$B53)</f>
        <v>0</v>
      </c>
      <c r="AE53" s="54">
        <f>SUMIFS('Combined P&amp;L'!AC:AC,'Combined P&amp;L'!$C:$C,'P&amp;L Forecast'!$B53)</f>
        <v>3.649</v>
      </c>
      <c r="AF53" s="54">
        <f>SUMIFS('Combined P&amp;L'!AD:AD,'Combined P&amp;L'!$C:$C,'P&amp;L Forecast'!$B53)</f>
        <v>-2.2719999999999998</v>
      </c>
      <c r="AG53" s="54">
        <f>SUMIFS('Combined P&amp;L'!AE:AE,'Combined P&amp;L'!$C:$C,'P&amp;L Forecast'!$B53)</f>
        <v>2.0449999999999999</v>
      </c>
      <c r="AH53" s="54">
        <f>SUMIFS('Combined P&amp;L'!AF:AF,'Combined P&amp;L'!$C:$C,'P&amp;L Forecast'!$B53)</f>
        <v>0</v>
      </c>
      <c r="AI53" s="54">
        <f>SUMIFS('Combined P&amp;L'!AG:AG,'Combined P&amp;L'!$C:$C,'P&amp;L Forecast'!$B53)</f>
        <v>0</v>
      </c>
      <c r="AJ53" s="54">
        <f>SUMIFS('Combined P&amp;L'!AH:AH,'Combined P&amp;L'!$C:$C,'P&amp;L Forecast'!$B53)</f>
        <v>2.0449999999999999</v>
      </c>
      <c r="AK53" s="54">
        <f>SUMIFS('Combined P&amp;L'!AI:AI,'Combined P&amp;L'!$C:$C,'P&amp;L Forecast'!$B53)</f>
        <v>0</v>
      </c>
      <c r="AL53" s="54">
        <f>SUMIFS('Combined P&amp;L'!AJ:AJ,'Combined P&amp;L'!$C:$C,'P&amp;L Forecast'!$B53)</f>
        <v>0</v>
      </c>
      <c r="AM53" s="54">
        <f>SUMIFS('Combined P&amp;L'!AK:AK,'Combined P&amp;L'!$C:$C,'P&amp;L Forecast'!$B53)</f>
        <v>2.0449999999999999</v>
      </c>
      <c r="AN53" s="54">
        <f>SUMIFS('Combined P&amp;L'!AL:AL,'Combined P&amp;L'!$C:$C,'P&amp;L Forecast'!$B53)</f>
        <v>0</v>
      </c>
      <c r="AO53" s="54">
        <f>SUMIFS('Combined P&amp;L'!AM:AM,'Combined P&amp;L'!$C:$C,'P&amp;L Forecast'!$B53)</f>
        <v>0</v>
      </c>
      <c r="AP53" s="54">
        <f>SUMIFS('Combined P&amp;L'!AN:AN,'Combined P&amp;L'!$C:$C,'P&amp;L Forecast'!$B53)</f>
        <v>5.0359999999999996</v>
      </c>
      <c r="AQ53" s="54">
        <f>SUMIFS('Combined P&amp;L'!AO:AO,'Combined P&amp;L'!$C:$C,'P&amp;L Forecast'!$B53)</f>
        <v>-4.8639999999999999</v>
      </c>
      <c r="AR53" s="54">
        <f>SUMIFS('Combined P&amp;L'!AP:AP,'Combined P&amp;L'!$C:$C,'P&amp;L Forecast'!$B53)</f>
        <v>0</v>
      </c>
      <c r="AS53" s="54">
        <f>SUMIFS('Combined P&amp;L'!AQ:AQ,'Combined P&amp;L'!$C:$C,'P&amp;L Forecast'!$B53)</f>
        <v>1</v>
      </c>
      <c r="AT53" s="54">
        <f>SUMIFS('Combined P&amp;L'!AR:AR,'Combined P&amp;L'!$C:$C,'P&amp;L Forecast'!$B53)</f>
        <v>0</v>
      </c>
    </row>
    <row r="54" spans="2:46" x14ac:dyDescent="0.2">
      <c r="B54" s="58" t="s">
        <v>64</v>
      </c>
      <c r="C54" s="24">
        <f>SUMIFS($P54:$AT54,$P$5:$AT$5,"&gt;"&amp;C$172,$P$5:$AT$5,"&lt;"&amp;C$173)</f>
        <v>2.0899399999999999</v>
      </c>
      <c r="D54" s="24">
        <f>SUMIFS($P54:$AT54,$P$5:$AT$5,"&gt;"&amp;D$172,$P$5:$AT$5,"&lt;"&amp;D$173)</f>
        <v>2.6198199999999998</v>
      </c>
      <c r="E54" s="24"/>
      <c r="F54" s="24">
        <f>SUMIFS($P54:$AT54,$P$5:$AT$5,"&gt;"&amp;F$172,$P$5:$AT$5,"&lt;"&amp;F$173)</f>
        <v>1.44049</v>
      </c>
      <c r="G54" s="24">
        <f>SUMIFS($P54:$AT54,$P$5:$AT$5,"&gt;"&amp;G$172,$P$5:$AT$5,"&lt;"&amp;G$173)</f>
        <v>3.7097100000000003</v>
      </c>
      <c r="H54" s="24"/>
      <c r="I54" s="24">
        <f>SUMIFS($P54:$AT54,$P$5:$AT$5,"&gt;"&amp;I$172,$P$5:$AT$5,"&lt;"&amp;I$173)</f>
        <v>2.28315</v>
      </c>
      <c r="J54" s="24">
        <f>SUMIFS($P54:$AT54,$P$5:$AT$5,"&gt;"&amp;J$172,$P$5:$AT$5,"&lt;"&amp;J$173)</f>
        <v>4.897689999999999</v>
      </c>
      <c r="K54" s="66">
        <f t="shared" si="62"/>
        <v>4.897689999999999</v>
      </c>
      <c r="L54" s="66"/>
      <c r="M54" s="24">
        <f t="shared" ref="M54" si="71">+J54-K54</f>
        <v>0</v>
      </c>
      <c r="N54" s="67">
        <f t="shared" ref="N54" si="72">IFERROR(K54/J54-1,0)</f>
        <v>0</v>
      </c>
      <c r="O54" s="53"/>
      <c r="P54" s="54">
        <f>SUMIFS('Combined P&amp;L'!N:N,'Combined P&amp;L'!$C:$C,'P&amp;L Forecast'!$B54)</f>
        <v>0.14746999999999999</v>
      </c>
      <c r="Q54" s="54">
        <f>SUMIFS('Combined P&amp;L'!O:O,'Combined P&amp;L'!$C:$C,'P&amp;L Forecast'!$B54)</f>
        <v>0.14746999999999999</v>
      </c>
      <c r="R54" s="54">
        <f>SUMIFS('Combined P&amp;L'!P:P,'Combined P&amp;L'!$C:$C,'P&amp;L Forecast'!$B54)</f>
        <v>0.17755000000000001</v>
      </c>
      <c r="S54" s="54">
        <f>SUMIFS('Combined P&amp;L'!Q:Q,'Combined P&amp;L'!$C:$C,'P&amp;L Forecast'!$B54)</f>
        <v>0.19166999999999998</v>
      </c>
      <c r="T54" s="54">
        <f>SUMIFS('Combined P&amp;L'!R:R,'Combined P&amp;L'!$C:$C,'P&amp;L Forecast'!$B54)</f>
        <v>0.18013999999999999</v>
      </c>
      <c r="U54" s="54">
        <f>SUMIFS('Combined P&amp;L'!S:S,'Combined P&amp;L'!$C:$C,'P&amp;L Forecast'!$B54)</f>
        <v>0.17621999999999999</v>
      </c>
      <c r="V54" s="54">
        <f>SUMIFS('Combined P&amp;L'!T:T,'Combined P&amp;L'!$C:$C,'P&amp;L Forecast'!$B54)</f>
        <v>0.1762</v>
      </c>
      <c r="W54" s="54">
        <f>SUMIFS('Combined P&amp;L'!U:U,'Combined P&amp;L'!$C:$C,'P&amp;L Forecast'!$B54)</f>
        <v>0.17621999999999999</v>
      </c>
      <c r="X54" s="54">
        <f>SUMIFS('Combined P&amp;L'!V:V,'Combined P&amp;L'!$C:$C,'P&amp;L Forecast'!$B54)</f>
        <v>0.18712000000000001</v>
      </c>
      <c r="Y54" s="54">
        <f>SUMIFS('Combined P&amp;L'!W:W,'Combined P&amp;L'!$C:$C,'P&amp;L Forecast'!$B54)</f>
        <v>0.17743999999999999</v>
      </c>
      <c r="Z54" s="54">
        <f>SUMIFS('Combined P&amp;L'!X:X,'Combined P&amp;L'!$C:$C,'P&amp;L Forecast'!$B54)</f>
        <v>0.17621999999999999</v>
      </c>
      <c r="AA54" s="54">
        <f>SUMIFS('Combined P&amp;L'!Y:Y,'Combined P&amp;L'!$C:$C,'P&amp;L Forecast'!$B54)</f>
        <v>0.17621999999999999</v>
      </c>
      <c r="AB54" s="54">
        <f>SUMIFS('Combined P&amp;L'!Z:Z,'Combined P&amp;L'!$C:$C,'P&amp;L Forecast'!$B54)</f>
        <v>0.17677999999999999</v>
      </c>
      <c r="AC54" s="54">
        <f>SUMIFS('Combined P&amp;L'!AA:AA,'Combined P&amp;L'!$C:$C,'P&amp;L Forecast'!$B54)</f>
        <v>0.20899000000000001</v>
      </c>
      <c r="AD54" s="54">
        <f>SUMIFS('Combined P&amp;L'!AB:AB,'Combined P&amp;L'!$C:$C,'P&amp;L Forecast'!$B54)</f>
        <v>0.18959999999999999</v>
      </c>
      <c r="AE54" s="54">
        <f>SUMIFS('Combined P&amp;L'!AC:AC,'Combined P&amp;L'!$C:$C,'P&amp;L Forecast'!$B54)</f>
        <v>0.1759</v>
      </c>
      <c r="AF54" s="54">
        <f>SUMIFS('Combined P&amp;L'!AD:AD,'Combined P&amp;L'!$C:$C,'P&amp;L Forecast'!$B54)</f>
        <v>0.23569999999999999</v>
      </c>
      <c r="AG54" s="54">
        <f>SUMIFS('Combined P&amp;L'!AE:AE,'Combined P&amp;L'!$C:$C,'P&amp;L Forecast'!$B54)</f>
        <v>0.22675999999999999</v>
      </c>
      <c r="AH54" s="54">
        <f>SUMIFS('Combined P&amp;L'!AF:AF,'Combined P&amp;L'!$C:$C,'P&amp;L Forecast'!$B54)</f>
        <v>0.22675999999999999</v>
      </c>
      <c r="AI54" s="54">
        <f>SUMIFS('Combined P&amp;L'!AG:AG,'Combined P&amp;L'!$C:$C,'P&amp;L Forecast'!$B54)</f>
        <v>0.22675999999999999</v>
      </c>
      <c r="AJ54" s="54">
        <f>SUMIFS('Combined P&amp;L'!AH:AH,'Combined P&amp;L'!$C:$C,'P&amp;L Forecast'!$B54)</f>
        <v>0.24324999999999999</v>
      </c>
      <c r="AK54" s="54">
        <f>SUMIFS('Combined P&amp;L'!AI:AI,'Combined P&amp;L'!$C:$C,'P&amp;L Forecast'!$B54)</f>
        <v>0.24228</v>
      </c>
      <c r="AL54" s="54">
        <f>SUMIFS('Combined P&amp;L'!AJ:AJ,'Combined P&amp;L'!$C:$C,'P&amp;L Forecast'!$B54)</f>
        <v>0.23352000000000001</v>
      </c>
      <c r="AM54" s="54">
        <f>SUMIFS('Combined P&amp;L'!AK:AK,'Combined P&amp;L'!$C:$C,'P&amp;L Forecast'!$B54)</f>
        <v>0.23352000000000001</v>
      </c>
      <c r="AN54" s="54">
        <f>SUMIFS('Combined P&amp;L'!AL:AL,'Combined P&amp;L'!$C:$C,'P&amp;L Forecast'!$B54)</f>
        <v>0.22943</v>
      </c>
      <c r="AO54" s="54">
        <f>SUMIFS('Combined P&amp;L'!AM:AM,'Combined P&amp;L'!$C:$C,'P&amp;L Forecast'!$B54)</f>
        <v>2.22858</v>
      </c>
      <c r="AP54" s="54">
        <f>SUMIFS('Combined P&amp;L'!AN:AN,'Combined P&amp;L'!$C:$C,'P&amp;L Forecast'!$B54)</f>
        <v>0.25447999999999998</v>
      </c>
      <c r="AQ54" s="54">
        <f>SUMIFS('Combined P&amp;L'!AO:AO,'Combined P&amp;L'!$C:$C,'P&amp;L Forecast'!$B54)</f>
        <v>0.25563999999999998</v>
      </c>
      <c r="AR54" s="54">
        <f>SUMIFS('Combined P&amp;L'!AP:AP,'Combined P&amp;L'!$C:$C,'P&amp;L Forecast'!$B54)</f>
        <v>0.26163999999999998</v>
      </c>
      <c r="AS54" s="54">
        <f>SUMIFS('Combined P&amp;L'!AQ:AQ,'Combined P&amp;L'!$C:$C,'P&amp;L Forecast'!$B54)</f>
        <v>0.26183000000000001</v>
      </c>
      <c r="AT54" s="54">
        <f>SUMIFS('Combined P&amp;L'!AR:AR,'Combined P&amp;L'!$C:$C,'P&amp;L Forecast'!$B54)</f>
        <v>0.21811000000000003</v>
      </c>
    </row>
    <row r="55" spans="2:46" x14ac:dyDescent="0.2">
      <c r="B55" s="58" t="s">
        <v>40</v>
      </c>
      <c r="C55" s="24">
        <f>SUMIFS($P55:$AT55,$P$5:$AT$5,"&gt;"&amp;C$172,$P$5:$AT$5,"&lt;"&amp;C$173)</f>
        <v>0</v>
      </c>
      <c r="D55" s="24">
        <f>SUMIFS($P55:$AT55,$P$5:$AT$5,"&gt;"&amp;D$172,$P$5:$AT$5,"&lt;"&amp;D$173)</f>
        <v>1.7559100000000001</v>
      </c>
      <c r="E55" s="24"/>
      <c r="F55" s="24">
        <f>SUMIFS($P55:$AT55,$P$5:$AT$5,"&gt;"&amp;F$172,$P$5:$AT$5,"&lt;"&amp;F$173)</f>
        <v>0.53894999999999993</v>
      </c>
      <c r="G55" s="24">
        <f>SUMIFS($P55:$AT55,$P$5:$AT$5,"&gt;"&amp;G$172,$P$5:$AT$5,"&lt;"&amp;G$173)</f>
        <v>1.5394899999999998</v>
      </c>
      <c r="H55" s="24"/>
      <c r="I55" s="24">
        <f>SUMIFS($P55:$AT55,$P$5:$AT$5,"&gt;"&amp;I$172,$P$5:$AT$5,"&lt;"&amp;I$173)</f>
        <v>0.37924999999999998</v>
      </c>
      <c r="J55" s="24">
        <f>SUMIFS($P55:$AT55,$P$5:$AT$5,"&gt;"&amp;J$172,$P$5:$AT$5,"&lt;"&amp;J$173)</f>
        <v>2.2085900000000001</v>
      </c>
      <c r="K55" s="66">
        <f t="shared" si="62"/>
        <v>3.516</v>
      </c>
      <c r="L55" s="66"/>
      <c r="M55" s="24">
        <f t="shared" ref="M55" si="73">+J55-K55</f>
        <v>-1.30741</v>
      </c>
      <c r="N55" s="67">
        <f t="shared" ref="N55" si="74">IFERROR(K55/J55-1,0)</f>
        <v>0.59196591490498451</v>
      </c>
      <c r="O55" s="53"/>
      <c r="P55" s="54">
        <f>SUMIFS('Combined P&amp;L'!N:N,'Combined P&amp;L'!$C:$C,'P&amp;L Forecast'!$B55)</f>
        <v>0</v>
      </c>
      <c r="Q55" s="54">
        <f>SUMIFS('Combined P&amp;L'!O:O,'Combined P&amp;L'!$C:$C,'P&amp;L Forecast'!$B55)</f>
        <v>0</v>
      </c>
      <c r="R55" s="54">
        <f>SUMIFS('Combined P&amp;L'!P:P,'Combined P&amp;L'!$C:$C,'P&amp;L Forecast'!$B55)</f>
        <v>0</v>
      </c>
      <c r="S55" s="54">
        <f>SUMIFS('Combined P&amp;L'!Q:Q,'Combined P&amp;L'!$C:$C,'P&amp;L Forecast'!$B55)</f>
        <v>0</v>
      </c>
      <c r="T55" s="54">
        <f>SUMIFS('Combined P&amp;L'!R:R,'Combined P&amp;L'!$C:$C,'P&amp;L Forecast'!$B55)</f>
        <v>0</v>
      </c>
      <c r="U55" s="54">
        <f>SUMIFS('Combined P&amp;L'!S:S,'Combined P&amp;L'!$C:$C,'P&amp;L Forecast'!$B55)</f>
        <v>0</v>
      </c>
      <c r="V55" s="54">
        <f>SUMIFS('Combined P&amp;L'!T:T,'Combined P&amp;L'!$C:$C,'P&amp;L Forecast'!$B55)</f>
        <v>0</v>
      </c>
      <c r="W55" s="54">
        <f>SUMIFS('Combined P&amp;L'!U:U,'Combined P&amp;L'!$C:$C,'P&amp;L Forecast'!$B55)</f>
        <v>0</v>
      </c>
      <c r="X55" s="54">
        <f>SUMIFS('Combined P&amp;L'!V:V,'Combined P&amp;L'!$C:$C,'P&amp;L Forecast'!$B55)</f>
        <v>0</v>
      </c>
      <c r="Y55" s="54">
        <f>SUMIFS('Combined P&amp;L'!W:W,'Combined P&amp;L'!$C:$C,'P&amp;L Forecast'!$B55)</f>
        <v>0</v>
      </c>
      <c r="Z55" s="54">
        <f>SUMIFS('Combined P&amp;L'!X:X,'Combined P&amp;L'!$C:$C,'P&amp;L Forecast'!$B55)</f>
        <v>0</v>
      </c>
      <c r="AA55" s="54">
        <f>SUMIFS('Combined P&amp;L'!Y:Y,'Combined P&amp;L'!$C:$C,'P&amp;L Forecast'!$B55)</f>
        <v>0</v>
      </c>
      <c r="AB55" s="54">
        <f>SUMIFS('Combined P&amp;L'!Z:Z,'Combined P&amp;L'!$C:$C,'P&amp;L Forecast'!$B55)</f>
        <v>0.1</v>
      </c>
      <c r="AC55" s="54">
        <f>SUMIFS('Combined P&amp;L'!AA:AA,'Combined P&amp;L'!$C:$C,'P&amp;L Forecast'!$B55)</f>
        <v>0</v>
      </c>
      <c r="AD55" s="54">
        <f>SUMIFS('Combined P&amp;L'!AB:AB,'Combined P&amp;L'!$C:$C,'P&amp;L Forecast'!$B55)</f>
        <v>0</v>
      </c>
      <c r="AE55" s="54">
        <f>SUMIFS('Combined P&amp;L'!AC:AC,'Combined P&amp;L'!$C:$C,'P&amp;L Forecast'!$B55)</f>
        <v>0.14980000000000002</v>
      </c>
      <c r="AF55" s="54">
        <f>SUMIFS('Combined P&amp;L'!AD:AD,'Combined P&amp;L'!$C:$C,'P&amp;L Forecast'!$B55)</f>
        <v>5.9749999999999998E-2</v>
      </c>
      <c r="AG55" s="54">
        <f>SUMIFS('Combined P&amp;L'!AE:AE,'Combined P&amp;L'!$C:$C,'P&amp;L Forecast'!$B55)</f>
        <v>6.9699999999999998E-2</v>
      </c>
      <c r="AH55" s="54">
        <f>SUMIFS('Combined P&amp;L'!AF:AF,'Combined P&amp;L'!$C:$C,'P&amp;L Forecast'!$B55)</f>
        <v>0.15969999999999998</v>
      </c>
      <c r="AI55" s="54">
        <f>SUMIFS('Combined P&amp;L'!AG:AG,'Combined P&amp;L'!$C:$C,'P&amp;L Forecast'!$B55)</f>
        <v>0.31085000000000002</v>
      </c>
      <c r="AJ55" s="54">
        <f>SUMIFS('Combined P&amp;L'!AH:AH,'Combined P&amp;L'!$C:$C,'P&amp;L Forecast'!$B55)</f>
        <v>0.46750999999999998</v>
      </c>
      <c r="AK55" s="54">
        <f>SUMIFS('Combined P&amp;L'!AI:AI,'Combined P&amp;L'!$C:$C,'P&amp;L Forecast'!$B55)</f>
        <v>0.51751000000000003</v>
      </c>
      <c r="AL55" s="54">
        <f>SUMIFS('Combined P&amp;L'!AJ:AJ,'Combined P&amp;L'!$C:$C,'P&amp;L Forecast'!$B55)</f>
        <v>-0.18840999999999999</v>
      </c>
      <c r="AM55" s="54">
        <f>SUMIFS('Combined P&amp;L'!AK:AK,'Combined P&amp;L'!$C:$C,'P&amp;L Forecast'!$B55)</f>
        <v>0.1095</v>
      </c>
      <c r="AN55" s="54">
        <f>SUMIFS('Combined P&amp;L'!AL:AL,'Combined P&amp;L'!$C:$C,'P&amp;L Forecast'!$B55)</f>
        <v>0.22939999999999999</v>
      </c>
      <c r="AO55" s="54">
        <f>SUMIFS('Combined P&amp;L'!AM:AM,'Combined P&amp;L'!$C:$C,'P&amp;L Forecast'!$B55)</f>
        <v>0.11940000000000001</v>
      </c>
      <c r="AP55" s="54">
        <f>SUMIFS('Combined P&amp;L'!AN:AN,'Combined P&amp;L'!$C:$C,'P&amp;L Forecast'!$B55)</f>
        <v>0.17934999999999998</v>
      </c>
      <c r="AQ55" s="54">
        <f>SUMIFS('Combined P&amp;L'!AO:AO,'Combined P&amp;L'!$C:$C,'P&amp;L Forecast'!$B55)</f>
        <v>6.9900000000000004E-2</v>
      </c>
      <c r="AR55" s="54">
        <f>SUMIFS('Combined P&amp;L'!AP:AP,'Combined P&amp;L'!$C:$C,'P&amp;L Forecast'!$B55)</f>
        <v>6.9900000000000004E-2</v>
      </c>
      <c r="AS55" s="54">
        <f>SUMIFS('Combined P&amp;L'!AQ:AQ,'Combined P&amp;L'!$C:$C,'P&amp;L Forecast'!$B55)</f>
        <v>0.16397999999999999</v>
      </c>
      <c r="AT55" s="54">
        <f>SUMIFS('Combined P&amp;L'!AR:AR,'Combined P&amp;L'!$C:$C,'P&amp;L Forecast'!$B55)</f>
        <v>0.70755999999999997</v>
      </c>
    </row>
    <row r="56" spans="2:46" x14ac:dyDescent="0.2">
      <c r="B56" s="95" t="s">
        <v>78</v>
      </c>
      <c r="C56" s="24">
        <f>SUMIFS($P56:$AT56,$P$5:$AT$5,"&gt;"&amp;C$172,$P$5:$AT$5,"&lt;"&amp;C$173)</f>
        <v>1.0598299999999998</v>
      </c>
      <c r="D56" s="24">
        <f>SUMIFS($P56:$AT56,$P$5:$AT$5,"&gt;"&amp;D$172,$P$5:$AT$5,"&lt;"&amp;D$173)</f>
        <v>3.2913300000000008</v>
      </c>
      <c r="E56" s="24"/>
      <c r="F56" s="24">
        <f>SUMIFS($P56:$AT56,$P$5:$AT$5,"&gt;"&amp;F$172,$P$5:$AT$5,"&lt;"&amp;F$173)</f>
        <v>2.0263300000000002</v>
      </c>
      <c r="G56" s="24">
        <f>SUMIFS($P56:$AT56,$P$5:$AT$5,"&gt;"&amp;G$172,$P$5:$AT$5,"&lt;"&amp;G$173)</f>
        <v>1.9429999999999996</v>
      </c>
      <c r="H56" s="24"/>
      <c r="I56" s="24">
        <f>SUMIFS($P56:$AT56,$P$5:$AT$5,"&gt;"&amp;I$172,$P$5:$AT$5,"&lt;"&amp;I$173)</f>
        <v>2.2833300000000003</v>
      </c>
      <c r="J56" s="24">
        <f>SUMIFS($P56:$AT56,$P$5:$AT$5,"&gt;"&amp;J$172,$P$5:$AT$5,"&lt;"&amp;J$173)</f>
        <v>3.1680000000000001</v>
      </c>
      <c r="K56" s="66">
        <f t="shared" si="62"/>
        <v>3.1680000000000001</v>
      </c>
      <c r="L56" s="66"/>
      <c r="M56" s="24">
        <f t="shared" ref="M56" si="75">+J56-K56</f>
        <v>0</v>
      </c>
      <c r="N56" s="67">
        <f t="shared" ref="N56" si="76">IFERROR(K56/J56-1,0)</f>
        <v>0</v>
      </c>
      <c r="O56" s="53"/>
      <c r="P56" s="54">
        <f>SUMIFS('Combined P&amp;L'!N:N,'Combined P&amp;L'!$C:$C,'P&amp;L Forecast'!$B56)</f>
        <v>8.5000000000000006E-2</v>
      </c>
      <c r="Q56" s="54">
        <f>SUMIFS('Combined P&amp;L'!O:O,'Combined P&amp;L'!$C:$C,'P&amp;L Forecast'!$B56)</f>
        <v>8.5000000000000006E-2</v>
      </c>
      <c r="R56" s="54">
        <f>SUMIFS('Combined P&amp;L'!P:P,'Combined P&amp;L'!$C:$C,'P&amp;L Forecast'!$B56)</f>
        <v>9.7000000000000003E-2</v>
      </c>
      <c r="S56" s="54">
        <f>SUMIFS('Combined P&amp;L'!Q:Q,'Combined P&amp;L'!$C:$C,'P&amp;L Forecast'!$B56)</f>
        <v>0.11283</v>
      </c>
      <c r="T56" s="54">
        <f>SUMIFS('Combined P&amp;L'!R:R,'Combined P&amp;L'!$C:$C,'P&amp;L Forecast'!$B56)</f>
        <v>8.5000000000000006E-2</v>
      </c>
      <c r="U56" s="54">
        <f>SUMIFS('Combined P&amp;L'!S:S,'Combined P&amp;L'!$C:$C,'P&amp;L Forecast'!$B56)</f>
        <v>8.5000000000000006E-2</v>
      </c>
      <c r="V56" s="54">
        <f>SUMIFS('Combined P&amp;L'!T:T,'Combined P&amp;L'!$C:$C,'P&amp;L Forecast'!$B56)</f>
        <v>8.5000000000000006E-2</v>
      </c>
      <c r="W56" s="54">
        <f>SUMIFS('Combined P&amp;L'!U:U,'Combined P&amp;L'!$C:$C,'P&amp;L Forecast'!$B56)</f>
        <v>8.5000000000000006E-2</v>
      </c>
      <c r="X56" s="54">
        <f>SUMIFS('Combined P&amp;L'!V:V,'Combined P&amp;L'!$C:$C,'P&amp;L Forecast'!$B56)</f>
        <v>8.5000000000000006E-2</v>
      </c>
      <c r="Y56" s="54">
        <f>SUMIFS('Combined P&amp;L'!W:W,'Combined P&amp;L'!$C:$C,'P&amp;L Forecast'!$B56)</f>
        <v>8.5000000000000006E-2</v>
      </c>
      <c r="Z56" s="54">
        <f>SUMIFS('Combined P&amp;L'!X:X,'Combined P&amp;L'!$C:$C,'P&amp;L Forecast'!$B56)</f>
        <v>8.5000000000000006E-2</v>
      </c>
      <c r="AA56" s="54">
        <f>SUMIFS('Combined P&amp;L'!Y:Y,'Combined P&amp;L'!$C:$C,'P&amp;L Forecast'!$B56)</f>
        <v>8.5000000000000006E-2</v>
      </c>
      <c r="AB56" s="54">
        <f>SUMIFS('Combined P&amp;L'!Z:Z,'Combined P&amp;L'!$C:$C,'P&amp;L Forecast'!$B56)</f>
        <v>8.5000000000000006E-2</v>
      </c>
      <c r="AC56" s="54">
        <f>SUMIFS('Combined P&amp;L'!AA:AA,'Combined P&amp;L'!$C:$C,'P&amp;L Forecast'!$B56)</f>
        <v>9.4489999999999991E-2</v>
      </c>
      <c r="AD56" s="54">
        <f>SUMIFS('Combined P&amp;L'!AB:AB,'Combined P&amp;L'!$C:$C,'P&amp;L Forecast'!$B56)</f>
        <v>0.82489000000000001</v>
      </c>
      <c r="AE56" s="54">
        <f>SUMIFS('Combined P&amp;L'!AC:AC,'Combined P&amp;L'!$C:$C,'P&amp;L Forecast'!$B56)</f>
        <v>0.253</v>
      </c>
      <c r="AF56" s="54">
        <f>SUMIFS('Combined P&amp;L'!AD:AD,'Combined P&amp;L'!$C:$C,'P&amp;L Forecast'!$B56)</f>
        <v>0.26294999999999996</v>
      </c>
      <c r="AG56" s="54">
        <f>SUMIFS('Combined P&amp;L'!AE:AE,'Combined P&amp;L'!$C:$C,'P&amp;L Forecast'!$B56)</f>
        <v>0.253</v>
      </c>
      <c r="AH56" s="54">
        <f>SUMIFS('Combined P&amp;L'!AF:AF,'Combined P&amp;L'!$C:$C,'P&amp;L Forecast'!$B56)</f>
        <v>0.253</v>
      </c>
      <c r="AI56" s="54">
        <f>SUMIFS('Combined P&amp;L'!AG:AG,'Combined P&amp;L'!$C:$C,'P&amp;L Forecast'!$B56)</f>
        <v>0.253</v>
      </c>
      <c r="AJ56" s="54">
        <f>SUMIFS('Combined P&amp;L'!AH:AH,'Combined P&amp;L'!$C:$C,'P&amp;L Forecast'!$B56)</f>
        <v>0.253</v>
      </c>
      <c r="AK56" s="54">
        <f>SUMIFS('Combined P&amp;L'!AI:AI,'Combined P&amp;L'!$C:$C,'P&amp;L Forecast'!$B56)</f>
        <v>0.253</v>
      </c>
      <c r="AL56" s="54">
        <f>SUMIFS('Combined P&amp;L'!AJ:AJ,'Combined P&amp;L'!$C:$C,'P&amp;L Forecast'!$B56)</f>
        <v>0.253</v>
      </c>
      <c r="AM56" s="54">
        <f>SUMIFS('Combined P&amp;L'!AK:AK,'Combined P&amp;L'!$C:$C,'P&amp;L Forecast'!$B56)</f>
        <v>0.253</v>
      </c>
      <c r="AN56" s="54">
        <f>SUMIFS('Combined P&amp;L'!AL:AL,'Combined P&amp;L'!$C:$C,'P&amp;L Forecast'!$B56)</f>
        <v>0.253</v>
      </c>
      <c r="AO56" s="54">
        <f>SUMIFS('Combined P&amp;L'!AM:AM,'Combined P&amp;L'!$C:$C,'P&amp;L Forecast'!$B56)</f>
        <v>0.255</v>
      </c>
      <c r="AP56" s="54">
        <f>SUMIFS('Combined P&amp;L'!AN:AN,'Combined P&amp;L'!$C:$C,'P&amp;L Forecast'!$B56)</f>
        <v>0.28299999999999997</v>
      </c>
      <c r="AQ56" s="54">
        <f>SUMIFS('Combined P&amp;L'!AO:AO,'Combined P&amp;L'!$C:$C,'P&amp;L Forecast'!$B56)</f>
        <v>0.28299999999999997</v>
      </c>
      <c r="AR56" s="54">
        <f>SUMIFS('Combined P&amp;L'!AP:AP,'Combined P&amp;L'!$C:$C,'P&amp;L Forecast'!$B56)</f>
        <v>0.28299999999999997</v>
      </c>
      <c r="AS56" s="54">
        <f>SUMIFS('Combined P&amp;L'!AQ:AQ,'Combined P&amp;L'!$C:$C,'P&amp;L Forecast'!$B56)</f>
        <v>0.29299999999999998</v>
      </c>
      <c r="AT56" s="54">
        <f>SUMIFS('Combined P&amp;L'!AR:AR,'Combined P&amp;L'!$C:$C,'P&amp;L Forecast'!$B56)</f>
        <v>0.29299999999999998</v>
      </c>
    </row>
    <row r="57" spans="2:46" x14ac:dyDescent="0.2">
      <c r="B57" s="58" t="s">
        <v>297</v>
      </c>
      <c r="C57" s="24">
        <f>SUMIFS($P57:$AT57,$P$5:$AT$5,"&gt;"&amp;C$172,$P$5:$AT$5,"&lt;"&amp;C$173)</f>
        <v>7.9639999999999989E-2</v>
      </c>
      <c r="D57" s="24">
        <f>SUMIFS($P57:$AT57,$P$5:$AT$5,"&gt;"&amp;D$172,$P$5:$AT$5,"&lt;"&amp;D$173)</f>
        <v>1.4224800000000002</v>
      </c>
      <c r="E57" s="24"/>
      <c r="F57" s="24">
        <f>SUMIFS($P57:$AT57,$P$5:$AT$5,"&gt;"&amp;F$172,$P$5:$AT$5,"&lt;"&amp;F$173)</f>
        <v>1.07704</v>
      </c>
      <c r="G57" s="24">
        <f>SUMIFS($P57:$AT57,$P$5:$AT$5,"&gt;"&amp;G$172,$P$5:$AT$5,"&lt;"&amp;G$173)</f>
        <v>0.81103000000000003</v>
      </c>
      <c r="H57" s="24"/>
      <c r="I57" s="24">
        <f>SUMIFS($P57:$AT57,$P$5:$AT$5,"&gt;"&amp;I$172,$P$5:$AT$5,"&lt;"&amp;I$173)</f>
        <v>0.81467999999999996</v>
      </c>
      <c r="J57" s="24">
        <f>SUMIFS($P57:$AT57,$P$5:$AT$5,"&gt;"&amp;J$172,$P$5:$AT$5,"&lt;"&amp;J$173)</f>
        <v>1.49847</v>
      </c>
      <c r="K57" s="66">
        <f>+C160</f>
        <v>1.49847</v>
      </c>
      <c r="L57" s="66"/>
      <c r="M57" s="24">
        <f t="shared" ref="M57" si="77">+J57-K57</f>
        <v>0</v>
      </c>
      <c r="N57" s="67">
        <f t="shared" ref="N57" si="78">IFERROR(K57/J57-1,0)</f>
        <v>0</v>
      </c>
      <c r="O57" s="53"/>
      <c r="P57" s="54">
        <f>SUMIFS('Combined P&amp;L'!N:N,'Combined P&amp;L'!$C:$C,'P&amp;L Forecast'!$B57)</f>
        <v>0</v>
      </c>
      <c r="Q57" s="54">
        <f>SUMIFS('Combined P&amp;L'!O:O,'Combined P&amp;L'!$C:$C,'P&amp;L Forecast'!$B57)</f>
        <v>0</v>
      </c>
      <c r="R57" s="54">
        <f>SUMIFS('Combined P&amp;L'!P:P,'Combined P&amp;L'!$C:$C,'P&amp;L Forecast'!$B57)</f>
        <v>0</v>
      </c>
      <c r="S57" s="54">
        <f>SUMIFS('Combined P&amp;L'!Q:Q,'Combined P&amp;L'!$C:$C,'P&amp;L Forecast'!$B57)</f>
        <v>0</v>
      </c>
      <c r="T57" s="54">
        <f>SUMIFS('Combined P&amp;L'!R:R,'Combined P&amp;L'!$C:$C,'P&amp;L Forecast'!$B57)</f>
        <v>0</v>
      </c>
      <c r="U57" s="54">
        <f>SUMIFS('Combined P&amp;L'!S:S,'Combined P&amp;L'!$C:$C,'P&amp;L Forecast'!$B57)</f>
        <v>0</v>
      </c>
      <c r="V57" s="54">
        <f>SUMIFS('Combined P&amp;L'!T:T,'Combined P&amp;L'!$C:$C,'P&amp;L Forecast'!$B57)</f>
        <v>0</v>
      </c>
      <c r="W57" s="54">
        <f>SUMIFS('Combined P&amp;L'!U:U,'Combined P&amp;L'!$C:$C,'P&amp;L Forecast'!$B57)</f>
        <v>0</v>
      </c>
      <c r="X57" s="54">
        <f>SUMIFS('Combined P&amp;L'!V:V,'Combined P&amp;L'!$C:$C,'P&amp;L Forecast'!$B57)</f>
        <v>0</v>
      </c>
      <c r="Y57" s="54">
        <f>SUMIFS('Combined P&amp;L'!W:W,'Combined P&amp;L'!$C:$C,'P&amp;L Forecast'!$B57)</f>
        <v>0</v>
      </c>
      <c r="Z57" s="54">
        <f>SUMIFS('Combined P&amp;L'!X:X,'Combined P&amp;L'!$C:$C,'P&amp;L Forecast'!$B57)</f>
        <v>7.1499999999999994E-2</v>
      </c>
      <c r="AA57" s="54">
        <f>SUMIFS('Combined P&amp;L'!Y:Y,'Combined P&amp;L'!$C:$C,'P&amp;L Forecast'!$B57)</f>
        <v>8.1400000000000014E-3</v>
      </c>
      <c r="AB57" s="54">
        <f>SUMIFS('Combined P&amp;L'!Z:Z,'Combined P&amp;L'!$C:$C,'P&amp;L Forecast'!$B57)</f>
        <v>0.11752</v>
      </c>
      <c r="AC57" s="54">
        <f>SUMIFS('Combined P&amp;L'!AA:AA,'Combined P&amp;L'!$C:$C,'P&amp;L Forecast'!$B57)</f>
        <v>0.20646</v>
      </c>
      <c r="AD57" s="54">
        <f>SUMIFS('Combined P&amp;L'!AB:AB,'Combined P&amp;L'!$C:$C,'P&amp;L Forecast'!$B57)</f>
        <v>1.174E-2</v>
      </c>
      <c r="AE57" s="54">
        <f>SUMIFS('Combined P&amp;L'!AC:AC,'Combined P&amp;L'!$C:$C,'P&amp;L Forecast'!$B57)</f>
        <v>3.6600000000000001E-2</v>
      </c>
      <c r="AF57" s="54">
        <f>SUMIFS('Combined P&amp;L'!AD:AD,'Combined P&amp;L'!$C:$C,'P&amp;L Forecast'!$B57)</f>
        <v>0.11484</v>
      </c>
      <c r="AG57" s="54">
        <f>SUMIFS('Combined P&amp;L'!AE:AE,'Combined P&amp;L'!$C:$C,'P&amp;L Forecast'!$B57)</f>
        <v>0.24787999999999999</v>
      </c>
      <c r="AH57" s="54">
        <f>SUMIFS('Combined P&amp;L'!AF:AF,'Combined P&amp;L'!$C:$C,'P&amp;L Forecast'!$B57)</f>
        <v>0.34200000000000003</v>
      </c>
      <c r="AI57" s="54">
        <f>SUMIFS('Combined P&amp;L'!AG:AG,'Combined P&amp;L'!$C:$C,'P&amp;L Forecast'!$B57)</f>
        <v>0.25108999999999998</v>
      </c>
      <c r="AJ57" s="54">
        <f>SUMIFS('Combined P&amp;L'!AH:AH,'Combined P&amp;L'!$C:$C,'P&amp;L Forecast'!$B57)</f>
        <v>6.5290000000000001E-2</v>
      </c>
      <c r="AK57" s="54">
        <f>SUMIFS('Combined P&amp;L'!AI:AI,'Combined P&amp;L'!$C:$C,'P&amp;L Forecast'!$B57)</f>
        <v>1.916E-2</v>
      </c>
      <c r="AL57" s="54">
        <f>SUMIFS('Combined P&amp;L'!AJ:AJ,'Combined P&amp;L'!$C:$C,'P&amp;L Forecast'!$B57)</f>
        <v>9.9000000000000008E-3</v>
      </c>
      <c r="AM57" s="54">
        <f>SUMIFS('Combined P&amp;L'!AK:AK,'Combined P&amp;L'!$C:$C,'P&amp;L Forecast'!$B57)</f>
        <v>0</v>
      </c>
      <c r="AN57" s="54">
        <f>SUMIFS('Combined P&amp;L'!AL:AL,'Combined P&amp;L'!$C:$C,'P&amp;L Forecast'!$B57)</f>
        <v>0.28870000000000001</v>
      </c>
      <c r="AO57" s="54">
        <f>SUMIFS('Combined P&amp;L'!AM:AM,'Combined P&amp;L'!$C:$C,'P&amp;L Forecast'!$B57)</f>
        <v>0.14452999999999999</v>
      </c>
      <c r="AP57" s="54">
        <f>SUMIFS('Combined P&amp;L'!AN:AN,'Combined P&amp;L'!$C:$C,'P&amp;L Forecast'!$B57)</f>
        <v>0</v>
      </c>
      <c r="AQ57" s="54">
        <f>SUMIFS('Combined P&amp;L'!AO:AO,'Combined P&amp;L'!$C:$C,'P&amp;L Forecast'!$B57)</f>
        <v>0.15</v>
      </c>
      <c r="AR57" s="54">
        <f>SUMIFS('Combined P&amp;L'!AP:AP,'Combined P&amp;L'!$C:$C,'P&amp;L Forecast'!$B57)</f>
        <v>0.11769</v>
      </c>
      <c r="AS57" s="54">
        <f>SUMIFS('Combined P&amp;L'!AQ:AQ,'Combined P&amp;L'!$C:$C,'P&amp;L Forecast'!$B57)</f>
        <v>0.11011</v>
      </c>
      <c r="AT57" s="54">
        <f>SUMIFS('Combined P&amp;L'!AR:AR,'Combined P&amp;L'!$C:$C,'P&amp;L Forecast'!$B57)</f>
        <v>0</v>
      </c>
    </row>
    <row r="58" spans="2:46" x14ac:dyDescent="0.2">
      <c r="B58" s="95" t="s">
        <v>31</v>
      </c>
      <c r="C58" s="24">
        <f>SUMIFS($P58:$AT58,$P$5:$AT$5,"&gt;"&amp;C$172,$P$5:$AT$5,"&lt;"&amp;C$173)</f>
        <v>1.3459299999999998</v>
      </c>
      <c r="D58" s="24">
        <f>SUMIFS($P58:$AT58,$P$5:$AT$5,"&gt;"&amp;D$172,$P$5:$AT$5,"&lt;"&amp;D$173)</f>
        <v>2.4943299999999997</v>
      </c>
      <c r="E58" s="24"/>
      <c r="F58" s="24">
        <f>SUMIFS($P58:$AT58,$P$5:$AT$5,"&gt;"&amp;F$172,$P$5:$AT$5,"&lt;"&amp;F$173)</f>
        <v>2.3808799999999999</v>
      </c>
      <c r="G58" s="24">
        <f>SUMIFS($P58:$AT58,$P$5:$AT$5,"&gt;"&amp;G$172,$P$5:$AT$5,"&lt;"&amp;G$173)</f>
        <v>3.2046100000000002</v>
      </c>
      <c r="H58" s="24"/>
      <c r="I58" s="24">
        <f>SUMIFS($P58:$AT58,$P$5:$AT$5,"&gt;"&amp;I$172,$P$5:$AT$5,"&lt;"&amp;I$173)</f>
        <v>2.3828199999999997</v>
      </c>
      <c r="J58" s="24">
        <f>SUMIFS($P58:$AT58,$P$5:$AT$5,"&gt;"&amp;J$172,$P$5:$AT$5,"&lt;"&amp;J$173)</f>
        <v>3.31806</v>
      </c>
      <c r="K58" s="66">
        <f>+C159</f>
        <v>1.3459299999999998</v>
      </c>
      <c r="L58" s="66"/>
      <c r="M58" s="24">
        <f t="shared" ref="M58" si="79">+J58-K58</f>
        <v>1.9721300000000002</v>
      </c>
      <c r="N58" s="67">
        <f t="shared" ref="N58" si="80">IFERROR(K58/J58-1,0)</f>
        <v>-0.59436236837187995</v>
      </c>
      <c r="O58" s="53"/>
      <c r="P58" s="54">
        <f>SUMIFS('Combined P&amp;L'!N:N,'Combined P&amp;L'!$C:$C,'P&amp;L Forecast'!$B58)</f>
        <v>1.2993399999999999</v>
      </c>
      <c r="Q58" s="54">
        <f>SUMIFS('Combined P&amp;L'!O:O,'Combined P&amp;L'!$C:$C,'P&amp;L Forecast'!$B58)</f>
        <v>3.0120000000000001E-2</v>
      </c>
      <c r="R58" s="54">
        <f>SUMIFS('Combined P&amp;L'!P:P,'Combined P&amp;L'!$C:$C,'P&amp;L Forecast'!$B58)</f>
        <v>1.0630000000000001E-2</v>
      </c>
      <c r="S58" s="54">
        <f>SUMIFS('Combined P&amp;L'!Q:Q,'Combined P&amp;L'!$C:$C,'P&amp;L Forecast'!$B58)</f>
        <v>3.2499999999999999E-3</v>
      </c>
      <c r="T58" s="54">
        <f>SUMIFS('Combined P&amp;L'!R:R,'Combined P&amp;L'!$C:$C,'P&amp;L Forecast'!$B58)</f>
        <v>6.4999999999999997E-4</v>
      </c>
      <c r="U58" s="54">
        <f>SUMIFS('Combined P&amp;L'!S:S,'Combined P&amp;L'!$C:$C,'P&amp;L Forecast'!$B58)</f>
        <v>0</v>
      </c>
      <c r="V58" s="54">
        <f>SUMIFS('Combined P&amp;L'!T:T,'Combined P&amp;L'!$C:$C,'P&amp;L Forecast'!$B58)</f>
        <v>0</v>
      </c>
      <c r="W58" s="54">
        <f>SUMIFS('Combined P&amp;L'!U:U,'Combined P&amp;L'!$C:$C,'P&amp;L Forecast'!$B58)</f>
        <v>1.9399999999999999E-3</v>
      </c>
      <c r="X58" s="54">
        <f>SUMIFS('Combined P&amp;L'!V:V,'Combined P&amp;L'!$C:$C,'P&amp;L Forecast'!$B58)</f>
        <v>0</v>
      </c>
      <c r="Y58" s="54">
        <f>SUMIFS('Combined P&amp;L'!W:W,'Combined P&amp;L'!$C:$C,'P&amp;L Forecast'!$B58)</f>
        <v>0</v>
      </c>
      <c r="Z58" s="54">
        <f>SUMIFS('Combined P&amp;L'!X:X,'Combined P&amp;L'!$C:$C,'P&amp;L Forecast'!$B58)</f>
        <v>0</v>
      </c>
      <c r="AA58" s="54">
        <f>SUMIFS('Combined P&amp;L'!Y:Y,'Combined P&amp;L'!$C:$C,'P&amp;L Forecast'!$B58)</f>
        <v>0</v>
      </c>
      <c r="AB58" s="54">
        <f>SUMIFS('Combined P&amp;L'!Z:Z,'Combined P&amp;L'!$C:$C,'P&amp;L Forecast'!$B58)</f>
        <v>1.22655</v>
      </c>
      <c r="AC58" s="54">
        <f>SUMIFS('Combined P&amp;L'!AA:AA,'Combined P&amp;L'!$C:$C,'P&amp;L Forecast'!$B58)</f>
        <v>0</v>
      </c>
      <c r="AD58" s="54">
        <f>SUMIFS('Combined P&amp;L'!AB:AB,'Combined P&amp;L'!$C:$C,'P&amp;L Forecast'!$B58)</f>
        <v>1.1543299999999999</v>
      </c>
      <c r="AE58" s="54">
        <f>SUMIFS('Combined P&amp;L'!AC:AC,'Combined P&amp;L'!$C:$C,'P&amp;L Forecast'!$B58)</f>
        <v>0</v>
      </c>
      <c r="AF58" s="54">
        <f>SUMIFS('Combined P&amp;L'!AD:AD,'Combined P&amp;L'!$C:$C,'P&amp;L Forecast'!$B58)</f>
        <v>0</v>
      </c>
      <c r="AG58" s="54">
        <f>SUMIFS('Combined P&amp;L'!AE:AE,'Combined P&amp;L'!$C:$C,'P&amp;L Forecast'!$B58)</f>
        <v>0</v>
      </c>
      <c r="AH58" s="54">
        <f>SUMIFS('Combined P&amp;L'!AF:AF,'Combined P&amp;L'!$C:$C,'P&amp;L Forecast'!$B58)</f>
        <v>0</v>
      </c>
      <c r="AI58" s="54">
        <f>SUMIFS('Combined P&amp;L'!AG:AG,'Combined P&amp;L'!$C:$C,'P&amp;L Forecast'!$B58)</f>
        <v>0</v>
      </c>
      <c r="AJ58" s="54">
        <f>SUMIFS('Combined P&amp;L'!AH:AH,'Combined P&amp;L'!$C:$C,'P&amp;L Forecast'!$B58)</f>
        <v>0</v>
      </c>
      <c r="AK58" s="54">
        <f>SUMIFS('Combined P&amp;L'!AI:AI,'Combined P&amp;L'!$C:$C,'P&amp;L Forecast'!$B58)</f>
        <v>0.11345000000000001</v>
      </c>
      <c r="AL58" s="54">
        <f>SUMIFS('Combined P&amp;L'!AJ:AJ,'Combined P&amp;L'!$C:$C,'P&amp;L Forecast'!$B58)</f>
        <v>0</v>
      </c>
      <c r="AM58" s="54">
        <f>SUMIFS('Combined P&amp;L'!AK:AK,'Combined P&amp;L'!$C:$C,'P&amp;L Forecast'!$B58)</f>
        <v>0</v>
      </c>
      <c r="AN58" s="54">
        <f>SUMIFS('Combined P&amp;L'!AL:AL,'Combined P&amp;L'!$C:$C,'P&amp;L Forecast'!$B58)</f>
        <v>2.4948000000000001</v>
      </c>
      <c r="AO58" s="54">
        <f>SUMIFS('Combined P&amp;L'!AM:AM,'Combined P&amp;L'!$C:$C,'P&amp;L Forecast'!$B58)</f>
        <v>0</v>
      </c>
      <c r="AP58" s="54">
        <f>SUMIFS('Combined P&amp;L'!AN:AN,'Combined P&amp;L'!$C:$C,'P&amp;L Forecast'!$B58)</f>
        <v>0</v>
      </c>
      <c r="AQ58" s="54">
        <f>SUMIFS('Combined P&amp;L'!AO:AO,'Combined P&amp;L'!$C:$C,'P&amp;L Forecast'!$B58)</f>
        <v>0.70980999999999994</v>
      </c>
      <c r="AR58" s="54">
        <f>SUMIFS('Combined P&amp;L'!AP:AP,'Combined P&amp;L'!$C:$C,'P&amp;L Forecast'!$B58)</f>
        <v>0</v>
      </c>
      <c r="AS58" s="54">
        <f>SUMIFS('Combined P&amp;L'!AQ:AQ,'Combined P&amp;L'!$C:$C,'P&amp;L Forecast'!$B58)</f>
        <v>0</v>
      </c>
      <c r="AT58" s="54">
        <f>SUMIFS('Combined P&amp;L'!AR:AR,'Combined P&amp;L'!$C:$C,'P&amp;L Forecast'!$B58)</f>
        <v>0</v>
      </c>
    </row>
    <row r="59" spans="2:46" x14ac:dyDescent="0.2">
      <c r="B59" s="58" t="s">
        <v>32</v>
      </c>
      <c r="C59" s="24">
        <f>SUMIFS($P59:$AT59,$P$5:$AT$5,"&gt;"&amp;C$172,$P$5:$AT$5,"&lt;"&amp;C$173)</f>
        <v>0</v>
      </c>
      <c r="D59" s="24">
        <f>SUMIFS($P59:$AT59,$P$5:$AT$5,"&gt;"&amp;D$172,$P$5:$AT$5,"&lt;"&amp;D$173)</f>
        <v>1.5874999999999999</v>
      </c>
      <c r="E59" s="24"/>
      <c r="F59" s="24">
        <f>SUMIFS($P59:$AT59,$P$5:$AT$5,"&gt;"&amp;F$172,$P$5:$AT$5,"&lt;"&amp;F$173)</f>
        <v>0</v>
      </c>
      <c r="G59" s="24">
        <f>SUMIFS($P59:$AT59,$P$5:$AT$5,"&gt;"&amp;G$172,$P$5:$AT$5,"&lt;"&amp;G$173)</f>
        <v>30.515499999999999</v>
      </c>
      <c r="H59" s="24"/>
      <c r="I59" s="24">
        <f>SUMIFS($P59:$AT59,$P$5:$AT$5,"&gt;"&amp;I$172,$P$5:$AT$5,"&lt;"&amp;I$173)</f>
        <v>0</v>
      </c>
      <c r="J59" s="24">
        <f>SUMIFS($P59:$AT59,$P$5:$AT$5,"&gt;"&amp;J$172,$P$5:$AT$5,"&lt;"&amp;J$173)</f>
        <v>32.103000000000002</v>
      </c>
      <c r="K59" s="66">
        <f>+C151</f>
        <v>10</v>
      </c>
      <c r="L59" s="66"/>
      <c r="M59" s="24">
        <f>+J59-K59</f>
        <v>22.103000000000002</v>
      </c>
      <c r="N59" s="67">
        <f t="shared" ref="N59" si="81">IFERROR(K59/J59-1,0)</f>
        <v>-0.68850263215275831</v>
      </c>
      <c r="O59" s="53"/>
      <c r="P59" s="54">
        <f>SUMIFS('Combined P&amp;L'!N:N,'Combined P&amp;L'!$C:$C,'P&amp;L Forecast'!$B59)</f>
        <v>0</v>
      </c>
      <c r="Q59" s="54">
        <f>SUMIFS('Combined P&amp;L'!O:O,'Combined P&amp;L'!$C:$C,'P&amp;L Forecast'!$B59)</f>
        <v>0</v>
      </c>
      <c r="R59" s="54">
        <f>SUMIFS('Combined P&amp;L'!P:P,'Combined P&amp;L'!$C:$C,'P&amp;L Forecast'!$B59)</f>
        <v>0</v>
      </c>
      <c r="S59" s="54">
        <f>SUMIFS('Combined P&amp;L'!Q:Q,'Combined P&amp;L'!$C:$C,'P&amp;L Forecast'!$B59)</f>
        <v>0</v>
      </c>
      <c r="T59" s="54">
        <f>SUMIFS('Combined P&amp;L'!R:R,'Combined P&amp;L'!$C:$C,'P&amp;L Forecast'!$B59)</f>
        <v>0</v>
      </c>
      <c r="U59" s="54">
        <f>SUMIFS('Combined P&amp;L'!S:S,'Combined P&amp;L'!$C:$C,'P&amp;L Forecast'!$B59)</f>
        <v>0</v>
      </c>
      <c r="V59" s="54">
        <f>SUMIFS('Combined P&amp;L'!T:T,'Combined P&amp;L'!$C:$C,'P&amp;L Forecast'!$B59)</f>
        <v>0</v>
      </c>
      <c r="W59" s="54">
        <f>SUMIFS('Combined P&amp;L'!U:U,'Combined P&amp;L'!$C:$C,'P&amp;L Forecast'!$B59)</f>
        <v>0</v>
      </c>
      <c r="X59" s="54">
        <f>SUMIFS('Combined P&amp;L'!V:V,'Combined P&amp;L'!$C:$C,'P&amp;L Forecast'!$B59)</f>
        <v>0</v>
      </c>
      <c r="Y59" s="54">
        <f>SUMIFS('Combined P&amp;L'!W:W,'Combined P&amp;L'!$C:$C,'P&amp;L Forecast'!$B59)</f>
        <v>0</v>
      </c>
      <c r="Z59" s="54">
        <f>SUMIFS('Combined P&amp;L'!X:X,'Combined P&amp;L'!$C:$C,'P&amp;L Forecast'!$B59)</f>
        <v>0</v>
      </c>
      <c r="AA59" s="54">
        <f>SUMIFS('Combined P&amp;L'!Y:Y,'Combined P&amp;L'!$C:$C,'P&amp;L Forecast'!$B59)</f>
        <v>0</v>
      </c>
      <c r="AB59" s="54">
        <f>SUMIFS('Combined P&amp;L'!Z:Z,'Combined P&amp;L'!$C:$C,'P&amp;L Forecast'!$B59)</f>
        <v>0</v>
      </c>
      <c r="AC59" s="54">
        <f>SUMIFS('Combined P&amp;L'!AA:AA,'Combined P&amp;L'!$C:$C,'P&amp;L Forecast'!$B59)</f>
        <v>0</v>
      </c>
      <c r="AD59" s="54">
        <f>SUMIFS('Combined P&amp;L'!AB:AB,'Combined P&amp;L'!$C:$C,'P&amp;L Forecast'!$B59)</f>
        <v>0</v>
      </c>
      <c r="AE59" s="54">
        <f>SUMIFS('Combined P&amp;L'!AC:AC,'Combined P&amp;L'!$C:$C,'P&amp;L Forecast'!$B59)</f>
        <v>0</v>
      </c>
      <c r="AF59" s="54">
        <f>SUMIFS('Combined P&amp;L'!AD:AD,'Combined P&amp;L'!$C:$C,'P&amp;L Forecast'!$B59)</f>
        <v>0</v>
      </c>
      <c r="AG59" s="54">
        <f>SUMIFS('Combined P&amp;L'!AE:AE,'Combined P&amp;L'!$C:$C,'P&amp;L Forecast'!$B59)</f>
        <v>0</v>
      </c>
      <c r="AH59" s="54">
        <f>SUMIFS('Combined P&amp;L'!AF:AF,'Combined P&amp;L'!$C:$C,'P&amp;L Forecast'!$B59)</f>
        <v>0</v>
      </c>
      <c r="AI59" s="54">
        <f>SUMIFS('Combined P&amp;L'!AG:AG,'Combined P&amp;L'!$C:$C,'P&amp;L Forecast'!$B59)</f>
        <v>0</v>
      </c>
      <c r="AJ59" s="54">
        <f>SUMIFS('Combined P&amp;L'!AH:AH,'Combined P&amp;L'!$C:$C,'P&amp;L Forecast'!$B59)</f>
        <v>0</v>
      </c>
      <c r="AK59" s="54">
        <f>SUMIFS('Combined P&amp;L'!AI:AI,'Combined P&amp;L'!$C:$C,'P&amp;L Forecast'!$B59)</f>
        <v>1.1499999999999999</v>
      </c>
      <c r="AL59" s="54">
        <f>SUMIFS('Combined P&amp;L'!AJ:AJ,'Combined P&amp;L'!$C:$C,'P&amp;L Forecast'!$B59)</f>
        <v>0.4375</v>
      </c>
      <c r="AM59" s="54">
        <f>SUMIFS('Combined P&amp;L'!AK:AK,'Combined P&amp;L'!$C:$C,'P&amp;L Forecast'!$B59)</f>
        <v>0</v>
      </c>
      <c r="AN59" s="54">
        <f>SUMIFS('Combined P&amp;L'!AL:AL,'Combined P&amp;L'!$C:$C,'P&amp;L Forecast'!$B59)</f>
        <v>0</v>
      </c>
      <c r="AO59" s="54">
        <f>SUMIFS('Combined P&amp;L'!AM:AM,'Combined P&amp;L'!$C:$C,'P&amp;L Forecast'!$B59)</f>
        <v>3</v>
      </c>
      <c r="AP59" s="54">
        <f>SUMIFS('Combined P&amp;L'!AN:AN,'Combined P&amp;L'!$C:$C,'P&amp;L Forecast'!$B59)</f>
        <v>16.265499999999999</v>
      </c>
      <c r="AQ59" s="54">
        <f>SUMIFS('Combined P&amp;L'!AO:AO,'Combined P&amp;L'!$C:$C,'P&amp;L Forecast'!$B59)</f>
        <v>2.8</v>
      </c>
      <c r="AR59" s="54">
        <f>SUMIFS('Combined P&amp;L'!AP:AP,'Combined P&amp;L'!$C:$C,'P&amp;L Forecast'!$B59)</f>
        <v>0</v>
      </c>
      <c r="AS59" s="54">
        <f>SUMIFS('Combined P&amp;L'!AQ:AQ,'Combined P&amp;L'!$C:$C,'P&amp;L Forecast'!$B59)</f>
        <v>8.4499999999999993</v>
      </c>
      <c r="AT59" s="54">
        <f>SUMIFS('Combined P&amp;L'!AR:AR,'Combined P&amp;L'!$C:$C,'P&amp;L Forecast'!$B59)</f>
        <v>0</v>
      </c>
    </row>
    <row r="60" spans="2:46" x14ac:dyDescent="0.2">
      <c r="B60" s="95" t="s">
        <v>103</v>
      </c>
      <c r="C60" s="24">
        <f>SUMIFS($P60:$AT60,$P$5:$AT$5,"&gt;"&amp;C$172,$P$5:$AT$5,"&lt;"&amp;C$173)</f>
        <v>-2.7359999999999999E-2</v>
      </c>
      <c r="D60" s="24">
        <f>SUMIFS($P60:$AT60,$P$5:$AT$5,"&gt;"&amp;D$172,$P$5:$AT$5,"&lt;"&amp;D$173)</f>
        <v>-0.21722</v>
      </c>
      <c r="E60" s="24"/>
      <c r="F60" s="24">
        <f>SUMIFS($P60:$AT60,$P$5:$AT$5,"&gt;"&amp;F$172,$P$5:$AT$5,"&lt;"&amp;F$173)</f>
        <v>-0.11732999999999999</v>
      </c>
      <c r="G60" s="24">
        <f>SUMIFS($P60:$AT60,$P$5:$AT$5,"&gt;"&amp;G$172,$P$5:$AT$5,"&lt;"&amp;G$173)</f>
        <v>-0.15586999999999998</v>
      </c>
      <c r="H60" s="24"/>
      <c r="I60" s="24">
        <f>SUMIFS($P60:$AT60,$P$5:$AT$5,"&gt;"&amp;I$172,$P$5:$AT$5,"&lt;"&amp;I$173)</f>
        <v>-0.11261999999999998</v>
      </c>
      <c r="J60" s="24">
        <f>SUMIFS($P60:$AT60,$P$5:$AT$5,"&gt;"&amp;J$172,$P$5:$AT$5,"&lt;"&amp;J$173)</f>
        <v>-0.27642000000000005</v>
      </c>
      <c r="K60" s="66">
        <f>+C161</f>
        <v>-0.27642000000000005</v>
      </c>
      <c r="L60" s="66"/>
      <c r="M60" s="24">
        <f t="shared" ref="M60" si="82">+J60-K60</f>
        <v>0</v>
      </c>
      <c r="N60" s="67">
        <f t="shared" ref="N60" si="83">IFERROR(K60/J60-1,0)</f>
        <v>0</v>
      </c>
      <c r="O60" s="53"/>
      <c r="P60" s="54">
        <f>-SUMIFS('Combined P&amp;L'!N:N,'Combined P&amp;L'!$C:$C,'P&amp;L Forecast'!$B60)</f>
        <v>0</v>
      </c>
      <c r="Q60" s="54">
        <f>-SUMIFS('Combined P&amp;L'!O:O,'Combined P&amp;L'!$C:$C,'P&amp;L Forecast'!$B60)</f>
        <v>0</v>
      </c>
      <c r="R60" s="54">
        <f>-SUMIFS('Combined P&amp;L'!P:P,'Combined P&amp;L'!$C:$C,'P&amp;L Forecast'!$B60)</f>
        <v>0</v>
      </c>
      <c r="S60" s="54">
        <f>-SUMIFS('Combined P&amp;L'!Q:Q,'Combined P&amp;L'!$C:$C,'P&amp;L Forecast'!$B60)</f>
        <v>0</v>
      </c>
      <c r="T60" s="54">
        <f>-SUMIFS('Combined P&amp;L'!R:R,'Combined P&amp;L'!$C:$C,'P&amp;L Forecast'!$B60)</f>
        <v>0</v>
      </c>
      <c r="U60" s="54">
        <f>-SUMIFS('Combined P&amp;L'!S:S,'Combined P&amp;L'!$C:$C,'P&amp;L Forecast'!$B60)</f>
        <v>0</v>
      </c>
      <c r="V60" s="54">
        <f>-SUMIFS('Combined P&amp;L'!T:T,'Combined P&amp;L'!$C:$C,'P&amp;L Forecast'!$B60)</f>
        <v>0</v>
      </c>
      <c r="W60" s="54">
        <f>-SUMIFS('Combined P&amp;L'!U:U,'Combined P&amp;L'!$C:$C,'P&amp;L Forecast'!$B60)</f>
        <v>0</v>
      </c>
      <c r="X60" s="54">
        <f>-SUMIFS('Combined P&amp;L'!V:V,'Combined P&amp;L'!$C:$C,'P&amp;L Forecast'!$B60)</f>
        <v>0</v>
      </c>
      <c r="Y60" s="54">
        <f>-SUMIFS('Combined P&amp;L'!W:W,'Combined P&amp;L'!$C:$C,'P&amp;L Forecast'!$B60)</f>
        <v>0</v>
      </c>
      <c r="Z60" s="54">
        <f>-SUMIFS('Combined P&amp;L'!X:X,'Combined P&amp;L'!$C:$C,'P&amp;L Forecast'!$B60)</f>
        <v>0</v>
      </c>
      <c r="AA60" s="54">
        <f>-SUMIFS('Combined P&amp;L'!Y:Y,'Combined P&amp;L'!$C:$C,'P&amp;L Forecast'!$B60)</f>
        <v>-2.7359999999999999E-2</v>
      </c>
      <c r="AB60" s="54">
        <f>-SUMIFS('Combined P&amp;L'!Z:Z,'Combined P&amp;L'!$C:$C,'P&amp;L Forecast'!$B60)</f>
        <v>0</v>
      </c>
      <c r="AC60" s="54">
        <f>-SUMIFS('Combined P&amp;L'!AA:AA,'Combined P&amp;L'!$C:$C,'P&amp;L Forecast'!$B60)</f>
        <v>-1.993E-2</v>
      </c>
      <c r="AD60" s="54">
        <f>-SUMIFS('Combined P&amp;L'!AB:AB,'Combined P&amp;L'!$C:$C,'P&amp;L Forecast'!$B60)</f>
        <v>-1.2930000000000001E-2</v>
      </c>
      <c r="AE60" s="54">
        <f>-SUMIFS('Combined P&amp;L'!AC:AC,'Combined P&amp;L'!$C:$C,'P&amp;L Forecast'!$B60)</f>
        <v>-1.9629999999999998E-2</v>
      </c>
      <c r="AF60" s="54">
        <f>-SUMIFS('Combined P&amp;L'!AD:AD,'Combined P&amp;L'!$C:$C,'P&amp;L Forecast'!$B60)</f>
        <v>-2.3149999999999997E-2</v>
      </c>
      <c r="AG60" s="54">
        <f>-SUMIFS('Combined P&amp;L'!AE:AE,'Combined P&amp;L'!$C:$C,'P&amp;L Forecast'!$B60)</f>
        <v>-9.6200000000000001E-3</v>
      </c>
      <c r="AH60" s="54">
        <f>-SUMIFS('Combined P&amp;L'!AF:AF,'Combined P&amp;L'!$C:$C,'P&amp;L Forecast'!$B60)</f>
        <v>-3.2070000000000001E-2</v>
      </c>
      <c r="AI60" s="54">
        <f>-SUMIFS('Combined P&amp;L'!AG:AG,'Combined P&amp;L'!$C:$C,'P&amp;L Forecast'!$B60)</f>
        <v>-1.634E-2</v>
      </c>
      <c r="AJ60" s="54">
        <f>-SUMIFS('Combined P&amp;L'!AH:AH,'Combined P&amp;L'!$C:$C,'P&amp;L Forecast'!$B60)</f>
        <v>-1.584E-2</v>
      </c>
      <c r="AK60" s="54">
        <f>-SUMIFS('Combined P&amp;L'!AI:AI,'Combined P&amp;L'!$C:$C,'P&amp;L Forecast'!$B60)</f>
        <v>-2.3960000000000002E-2</v>
      </c>
      <c r="AL60" s="54">
        <f>-SUMIFS('Combined P&amp;L'!AJ:AJ,'Combined P&amp;L'!$C:$C,'P&amp;L Forecast'!$B60)</f>
        <v>-2.513E-2</v>
      </c>
      <c r="AM60" s="54">
        <f>-SUMIFS('Combined P&amp;L'!AK:AK,'Combined P&amp;L'!$C:$C,'P&amp;L Forecast'!$B60)</f>
        <v>-1.8620000000000001E-2</v>
      </c>
      <c r="AN60" s="54">
        <f>-SUMIFS('Combined P&amp;L'!AL:AL,'Combined P&amp;L'!$C:$C,'P&amp;L Forecast'!$B60)</f>
        <v>-1.03E-2</v>
      </c>
      <c r="AO60" s="54">
        <f>-SUMIFS('Combined P&amp;L'!AM:AM,'Combined P&amp;L'!$C:$C,'P&amp;L Forecast'!$B60)</f>
        <v>-1.3800000000000002E-2</v>
      </c>
      <c r="AP60" s="54">
        <f>-SUMIFS('Combined P&amp;L'!AN:AN,'Combined P&amp;L'!$C:$C,'P&amp;L Forecast'!$B60)</f>
        <v>-9.2499999999999995E-3</v>
      </c>
      <c r="AQ60" s="54">
        <f>-SUMIFS('Combined P&amp;L'!AO:AO,'Combined P&amp;L'!$C:$C,'P&amp;L Forecast'!$B60)</f>
        <v>-6.1810000000000004E-2</v>
      </c>
      <c r="AR60" s="54">
        <f>-SUMIFS('Combined P&amp;L'!AP:AP,'Combined P&amp;L'!$C:$C,'P&amp;L Forecast'!$B60)</f>
        <v>-3.3159999999999995E-2</v>
      </c>
      <c r="AS60" s="54">
        <f>-SUMIFS('Combined P&amp;L'!AQ:AQ,'Combined P&amp;L'!$C:$C,'P&amp;L Forecast'!$B60)</f>
        <v>-1.6140000000000002E-2</v>
      </c>
      <c r="AT60" s="54">
        <f>-SUMIFS('Combined P&amp;L'!AR:AR,'Combined P&amp;L'!$C:$C,'P&amp;L Forecast'!$B60)</f>
        <v>-1.141E-2</v>
      </c>
    </row>
    <row r="61" spans="2:46" x14ac:dyDescent="0.2">
      <c r="B61" s="58" t="s">
        <v>107</v>
      </c>
      <c r="C61" s="24">
        <f>SUMIFS($P61:$AT61,$P$5:$AT$5,"&gt;"&amp;C$172,$P$5:$AT$5,"&lt;"&amp;C$173)</f>
        <v>15.899579999999998</v>
      </c>
      <c r="D61" s="24">
        <f>SUMIFS($P61:$AT61,$P$5:$AT$5,"&gt;"&amp;D$172,$P$5:$AT$5,"&lt;"&amp;D$173)</f>
        <v>19.378</v>
      </c>
      <c r="E61" s="24"/>
      <c r="F61" s="24">
        <f>SUMIFS($P61:$AT61,$P$5:$AT$5,"&gt;"&amp;F$172,$P$5:$AT$5,"&lt;"&amp;F$173)</f>
        <v>12.74039</v>
      </c>
      <c r="G61" s="24">
        <f>SUMIFS($P61:$AT61,$P$5:$AT$5,"&gt;"&amp;G$172,$P$5:$AT$5,"&lt;"&amp;G$173)</f>
        <v>11.77191</v>
      </c>
      <c r="H61" s="24"/>
      <c r="I61" s="24">
        <f>SUMIFS($P61:$AT61,$P$5:$AT$5,"&gt;"&amp;I$172,$P$5:$AT$5,"&lt;"&amp;I$173)</f>
        <v>15.450569999999999</v>
      </c>
      <c r="J61" s="24">
        <f>SUMIFS($P61:$AT61,$P$5:$AT$5,"&gt;"&amp;J$172,$P$5:$AT$5,"&lt;"&amp;J$173)</f>
        <v>17.956009999999999</v>
      </c>
      <c r="K61" s="66">
        <f>+C162</f>
        <v>17.956009999999999</v>
      </c>
      <c r="L61" s="66"/>
      <c r="M61" s="24">
        <f t="shared" ref="M61" si="84">+J61-K61</f>
        <v>0</v>
      </c>
      <c r="N61" s="67">
        <f t="shared" ref="N61" si="85">IFERROR(K61/J61-1,0)</f>
        <v>0</v>
      </c>
      <c r="O61" s="53"/>
      <c r="P61" s="54">
        <f>SUMIFS('Combined P&amp;L'!N:N,'Combined P&amp;L'!$C:$C,'P&amp;L Forecast'!$B61)</f>
        <v>1.19783</v>
      </c>
      <c r="Q61" s="54">
        <f>SUMIFS('Combined P&amp;L'!O:O,'Combined P&amp;L'!$C:$C,'P&amp;L Forecast'!$B61)</f>
        <v>1.34599</v>
      </c>
      <c r="R61" s="54">
        <f>SUMIFS('Combined P&amp;L'!P:P,'Combined P&amp;L'!$C:$C,'P&amp;L Forecast'!$B61)</f>
        <v>3.9837499999999997</v>
      </c>
      <c r="S61" s="54">
        <f>SUMIFS('Combined P&amp;L'!Q:Q,'Combined P&amp;L'!$C:$C,'P&amp;L Forecast'!$B61)</f>
        <v>4.0654399999999997</v>
      </c>
      <c r="T61" s="54">
        <f>SUMIFS('Combined P&amp;L'!R:R,'Combined P&amp;L'!$C:$C,'P&amp;L Forecast'!$B61)</f>
        <v>1.0669900000000001</v>
      </c>
      <c r="U61" s="54">
        <f>SUMIFS('Combined P&amp;L'!S:S,'Combined P&amp;L'!$C:$C,'P&amp;L Forecast'!$B61)</f>
        <v>1.0122</v>
      </c>
      <c r="V61" s="54">
        <f>SUMIFS('Combined P&amp;L'!T:T,'Combined P&amp;L'!$C:$C,'P&amp;L Forecast'!$B61)</f>
        <v>5.6299999999999996E-3</v>
      </c>
      <c r="W61" s="54">
        <f>SUMIFS('Combined P&amp;L'!U:U,'Combined P&amp;L'!$C:$C,'P&amp;L Forecast'!$B61)</f>
        <v>0.17100000000000001</v>
      </c>
      <c r="X61" s="54">
        <f>SUMIFS('Combined P&amp;L'!V:V,'Combined P&amp;L'!$C:$C,'P&amp;L Forecast'!$B61)</f>
        <v>1.1635</v>
      </c>
      <c r="Y61" s="54">
        <f>SUMIFS('Combined P&amp;L'!W:W,'Combined P&amp;L'!$C:$C,'P&amp;L Forecast'!$B61)</f>
        <v>0.52825</v>
      </c>
      <c r="Z61" s="54">
        <f>SUMIFS('Combined P&amp;L'!X:X,'Combined P&amp;L'!$C:$C,'P&amp;L Forecast'!$B61)</f>
        <v>0.20442000000000002</v>
      </c>
      <c r="AA61" s="54">
        <f>SUMIFS('Combined P&amp;L'!Y:Y,'Combined P&amp;L'!$C:$C,'P&amp;L Forecast'!$B61)</f>
        <v>1.1545799999999999</v>
      </c>
      <c r="AB61" s="54">
        <f>SUMIFS('Combined P&amp;L'!Z:Z,'Combined P&amp;L'!$C:$C,'P&amp;L Forecast'!$B61)</f>
        <v>0.61331000000000002</v>
      </c>
      <c r="AC61" s="54">
        <f>SUMIFS('Combined P&amp;L'!AA:AA,'Combined P&amp;L'!$C:$C,'P&amp;L Forecast'!$B61)</f>
        <v>0.63213000000000008</v>
      </c>
      <c r="AD61" s="54">
        <f>SUMIFS('Combined P&amp;L'!AB:AB,'Combined P&amp;L'!$C:$C,'P&amp;L Forecast'!$B61)</f>
        <v>5.3820199999999989</v>
      </c>
      <c r="AE61" s="54">
        <f>SUMIFS('Combined P&amp;L'!AC:AC,'Combined P&amp;L'!$C:$C,'P&amp;L Forecast'!$B61)</f>
        <v>4.3278199999999991</v>
      </c>
      <c r="AF61" s="54">
        <f>SUMIFS('Combined P&amp;L'!AD:AD,'Combined P&amp;L'!$C:$C,'P&amp;L Forecast'!$B61)</f>
        <v>0.93786000000000003</v>
      </c>
      <c r="AG61" s="54">
        <f>SUMIFS('Combined P&amp;L'!AE:AE,'Combined P&amp;L'!$C:$C,'P&amp;L Forecast'!$B61)</f>
        <v>0.33005000000000001</v>
      </c>
      <c r="AH61" s="54">
        <f>SUMIFS('Combined P&amp;L'!AF:AF,'Combined P&amp;L'!$C:$C,'P&amp;L Forecast'!$B61)</f>
        <v>0.51719999999999999</v>
      </c>
      <c r="AI61" s="54">
        <f>SUMIFS('Combined P&amp;L'!AG:AG,'Combined P&amp;L'!$C:$C,'P&amp;L Forecast'!$B61)</f>
        <v>0.67979000000000001</v>
      </c>
      <c r="AJ61" s="54">
        <f>SUMIFS('Combined P&amp;L'!AH:AH,'Combined P&amp;L'!$C:$C,'P&amp;L Forecast'!$B61)</f>
        <v>0.73354999999999992</v>
      </c>
      <c r="AK61" s="54">
        <f>SUMIFS('Combined P&amp;L'!AI:AI,'Combined P&amp;L'!$C:$C,'P&amp;L Forecast'!$B61)</f>
        <v>1.5191300000000001</v>
      </c>
      <c r="AL61" s="54">
        <f>SUMIFS('Combined P&amp;L'!AJ:AJ,'Combined P&amp;L'!$C:$C,'P&amp;L Forecast'!$B61)</f>
        <v>0.34955000000000003</v>
      </c>
      <c r="AM61" s="54">
        <f>SUMIFS('Combined P&amp;L'!AK:AK,'Combined P&amp;L'!$C:$C,'P&amp;L Forecast'!$B61)</f>
        <v>3.3555900000000003</v>
      </c>
      <c r="AN61" s="54">
        <f>SUMIFS('Combined P&amp;L'!AL:AL,'Combined P&amp;L'!$C:$C,'P&amp;L Forecast'!$B61)</f>
        <v>1.40831</v>
      </c>
      <c r="AO61" s="54">
        <f>SUMIFS('Combined P&amp;L'!AM:AM,'Combined P&amp;L'!$C:$C,'P&amp;L Forecast'!$B61)</f>
        <v>3.7292999999999998</v>
      </c>
      <c r="AP61" s="54">
        <f>SUMIFS('Combined P&amp;L'!AN:AN,'Combined P&amp;L'!$C:$C,'P&amp;L Forecast'!$B61)</f>
        <v>3.4081999999999995</v>
      </c>
      <c r="AQ61" s="54">
        <f>SUMIFS('Combined P&amp;L'!AO:AO,'Combined P&amp;L'!$C:$C,'P&amp;L Forecast'!$B61)</f>
        <v>0.67764000000000002</v>
      </c>
      <c r="AR61" s="54">
        <f>SUMIFS('Combined P&amp;L'!AP:AP,'Combined P&amp;L'!$C:$C,'P&amp;L Forecast'!$B61)</f>
        <v>0.92959999999999998</v>
      </c>
      <c r="AS61" s="54">
        <f>SUMIFS('Combined P&amp;L'!AQ:AQ,'Combined P&amp;L'!$C:$C,'P&amp;L Forecast'!$B61)</f>
        <v>0.64815</v>
      </c>
      <c r="AT61" s="54">
        <f>SUMIFS('Combined P&amp;L'!AR:AR,'Combined P&amp;L'!$C:$C,'P&amp;L Forecast'!$B61)</f>
        <v>0.97070999999999996</v>
      </c>
    </row>
    <row r="62" spans="2:46" x14ac:dyDescent="0.2">
      <c r="B62" s="94" t="s">
        <v>300</v>
      </c>
      <c r="C62" s="60">
        <f>SUM(C44:C61)</f>
        <v>113.94989999999999</v>
      </c>
      <c r="D62" s="60">
        <f>SUM(D44:D61)</f>
        <v>205.54162000000002</v>
      </c>
      <c r="F62" s="60">
        <f>SUM(F44:F61)</f>
        <v>121.59989000000002</v>
      </c>
      <c r="G62" s="60">
        <f>SUM(G44:G61)</f>
        <v>189.30078999999998</v>
      </c>
      <c r="I62" s="60">
        <f>SUM(I44:I61)</f>
        <v>164.35516000000004</v>
      </c>
      <c r="J62" s="60">
        <f>SUM(J44:J61)</f>
        <v>242.57616000000002</v>
      </c>
      <c r="K62" s="60">
        <f>SUM(K44:K61)</f>
        <v>219.80844000000002</v>
      </c>
      <c r="L62" s="72"/>
      <c r="M62" s="60">
        <f>SUM(M44:M61)</f>
        <v>22.767720000000001</v>
      </c>
      <c r="N62" s="92">
        <f t="shared" ref="N62:N64" si="86">IFERROR(K62/J62-1,0)</f>
        <v>-9.3858027928218513E-2</v>
      </c>
      <c r="P62" s="60">
        <f t="shared" ref="P62:AT62" si="87">SUM(P44:P61)</f>
        <v>6.3498899999999994</v>
      </c>
      <c r="Q62" s="60">
        <f t="shared" si="87"/>
        <v>9.3383300000000009</v>
      </c>
      <c r="R62" s="60">
        <f t="shared" si="87"/>
        <v>10.572559999999999</v>
      </c>
      <c r="S62" s="60">
        <f t="shared" si="87"/>
        <v>17.246530000000003</v>
      </c>
      <c r="T62" s="60">
        <f t="shared" si="87"/>
        <v>5.7650100000000002</v>
      </c>
      <c r="U62" s="60">
        <f t="shared" si="87"/>
        <v>12.701700000000001</v>
      </c>
      <c r="V62" s="60">
        <f t="shared" si="87"/>
        <v>6.1308299999999996</v>
      </c>
      <c r="W62" s="60">
        <f t="shared" si="87"/>
        <v>6.3450800000000012</v>
      </c>
      <c r="X62" s="60">
        <f t="shared" si="87"/>
        <v>12.34346</v>
      </c>
      <c r="Y62" s="60">
        <f t="shared" si="87"/>
        <v>6.8983999999999996</v>
      </c>
      <c r="Z62" s="60">
        <f t="shared" si="87"/>
        <v>7.9963599999999984</v>
      </c>
      <c r="AA62" s="60">
        <f t="shared" si="87"/>
        <v>12.261750000000001</v>
      </c>
      <c r="AB62" s="60">
        <f t="shared" si="87"/>
        <v>12.998240000000001</v>
      </c>
      <c r="AC62" s="60">
        <f t="shared" si="87"/>
        <v>29.570220000000003</v>
      </c>
      <c r="AD62" s="60">
        <f t="shared" si="87"/>
        <v>15.127749999999995</v>
      </c>
      <c r="AE62" s="60">
        <f t="shared" si="87"/>
        <v>26.672890000000002</v>
      </c>
      <c r="AF62" s="60">
        <f t="shared" si="87"/>
        <v>16.811419999999995</v>
      </c>
      <c r="AG62" s="60">
        <f t="shared" si="87"/>
        <v>11.19876</v>
      </c>
      <c r="AH62" s="60">
        <f t="shared" si="87"/>
        <v>9.2206100000000024</v>
      </c>
      <c r="AI62" s="60">
        <f t="shared" si="87"/>
        <v>14.376060000000001</v>
      </c>
      <c r="AJ62" s="60">
        <f t="shared" si="87"/>
        <v>15.38611</v>
      </c>
      <c r="AK62" s="60">
        <f t="shared" si="87"/>
        <v>12.7422</v>
      </c>
      <c r="AL62" s="60">
        <f t="shared" si="87"/>
        <v>14.61088</v>
      </c>
      <c r="AM62" s="60">
        <f t="shared" si="87"/>
        <v>26.826480000000007</v>
      </c>
      <c r="AN62" s="60">
        <f t="shared" si="87"/>
        <v>10.238199999999999</v>
      </c>
      <c r="AO62" s="60">
        <f t="shared" si="87"/>
        <v>17.660679999999999</v>
      </c>
      <c r="AP62" s="60">
        <f t="shared" si="87"/>
        <v>37.953969999999998</v>
      </c>
      <c r="AQ62" s="60">
        <f t="shared" si="87"/>
        <v>30.732040000000001</v>
      </c>
      <c r="AR62" s="60">
        <f t="shared" si="87"/>
        <v>36.065340000000006</v>
      </c>
      <c r="AS62" s="60">
        <f t="shared" si="87"/>
        <v>16.763590000000001</v>
      </c>
      <c r="AT62" s="60">
        <f t="shared" si="87"/>
        <v>39.886970000000005</v>
      </c>
    </row>
    <row r="63" spans="2:46" ht="3.95" customHeight="1" x14ac:dyDescent="0.2"/>
    <row r="64" spans="2:46" x14ac:dyDescent="0.2">
      <c r="B64" s="106" t="s">
        <v>114</v>
      </c>
      <c r="C64" s="107">
        <f>+C24-C36-C42-C62</f>
        <v>145.4718500000001</v>
      </c>
      <c r="D64" s="108">
        <f>+D24-D36-D42-D62</f>
        <v>130.98029999999983</v>
      </c>
      <c r="F64" s="112">
        <f>+F24-F36-F42-F62</f>
        <v>103.83597999999972</v>
      </c>
      <c r="G64" s="108">
        <f>+G24-G36-G42-G62</f>
        <v>76.14350000000033</v>
      </c>
      <c r="I64" s="112">
        <f>+I24-I36-I42-I62</f>
        <v>145.36932999999985</v>
      </c>
      <c r="J64" s="107">
        <f>+J24-J36-J42-J62</f>
        <v>135.16143000000045</v>
      </c>
      <c r="K64" s="108">
        <f>+K24-K36-K42-K62</f>
        <v>126.62694000000033</v>
      </c>
      <c r="L64" s="72"/>
      <c r="M64" s="112">
        <f>+M24+M36+M42+M62</f>
        <v>-8.534490000000087</v>
      </c>
      <c r="N64" s="114">
        <f t="shared" si="86"/>
        <v>-6.314293952054284E-2</v>
      </c>
      <c r="P64" s="112">
        <f t="shared" ref="P64:AT64" si="88">+P24-P36-P42-P62</f>
        <v>32.29054</v>
      </c>
      <c r="Q64" s="107">
        <f t="shared" si="88"/>
        <v>23.655570000000012</v>
      </c>
      <c r="R64" s="107">
        <f t="shared" si="88"/>
        <v>18.009040000000002</v>
      </c>
      <c r="S64" s="107">
        <f t="shared" si="88"/>
        <v>3.3036999999999814</v>
      </c>
      <c r="T64" s="107">
        <f t="shared" si="88"/>
        <v>0.97158000000002254</v>
      </c>
      <c r="U64" s="107">
        <f t="shared" si="88"/>
        <v>10.027299999999999</v>
      </c>
      <c r="V64" s="107">
        <f t="shared" si="88"/>
        <v>26.037100000000013</v>
      </c>
      <c r="W64" s="107">
        <f t="shared" si="88"/>
        <v>28.863819999999997</v>
      </c>
      <c r="X64" s="107">
        <f t="shared" si="88"/>
        <v>10.835770000000004</v>
      </c>
      <c r="Y64" s="107">
        <f t="shared" si="88"/>
        <v>11.887049999999981</v>
      </c>
      <c r="Z64" s="107">
        <f t="shared" si="88"/>
        <v>-11.563829999999996</v>
      </c>
      <c r="AA64" s="107">
        <f t="shared" si="88"/>
        <v>-8.8457899999999778</v>
      </c>
      <c r="AB64" s="107">
        <f t="shared" si="88"/>
        <v>20.371919999999967</v>
      </c>
      <c r="AC64" s="107">
        <f t="shared" si="88"/>
        <v>7.5049699999999966</v>
      </c>
      <c r="AD64" s="107">
        <f t="shared" si="88"/>
        <v>20.557870000000005</v>
      </c>
      <c r="AE64" s="107">
        <f t="shared" si="88"/>
        <v>-3.217779999999987</v>
      </c>
      <c r="AF64" s="107">
        <f t="shared" si="88"/>
        <v>17.914550000000009</v>
      </c>
      <c r="AG64" s="107">
        <f t="shared" si="88"/>
        <v>25.023679999999977</v>
      </c>
      <c r="AH64" s="107">
        <f t="shared" si="88"/>
        <v>15.680769999999987</v>
      </c>
      <c r="AI64" s="107">
        <f t="shared" si="88"/>
        <v>18.057059999999971</v>
      </c>
      <c r="AJ64" s="107">
        <f t="shared" si="88"/>
        <v>2.7743600000000104</v>
      </c>
      <c r="AK64" s="107">
        <f t="shared" si="88"/>
        <v>2.5894700000000057</v>
      </c>
      <c r="AL64" s="107">
        <f t="shared" si="88"/>
        <v>13.519970000000038</v>
      </c>
      <c r="AM64" s="107">
        <f t="shared" si="88"/>
        <v>-9.7965400000000109</v>
      </c>
      <c r="AN64" s="107">
        <f t="shared" si="88"/>
        <v>31.645769999999949</v>
      </c>
      <c r="AO64" s="107">
        <f t="shared" si="88"/>
        <v>70.339949999999973</v>
      </c>
      <c r="AP64" s="107">
        <f t="shared" si="88"/>
        <v>-13.787130000000019</v>
      </c>
      <c r="AQ64" s="107">
        <f t="shared" si="88"/>
        <v>-4.524490000000025</v>
      </c>
      <c r="AR64" s="107">
        <f t="shared" si="88"/>
        <v>-0.17472000000000065</v>
      </c>
      <c r="AS64" s="107">
        <f t="shared" si="88"/>
        <v>8.8369600000000688</v>
      </c>
      <c r="AT64" s="108">
        <f t="shared" si="88"/>
        <v>-16.192839999999997</v>
      </c>
    </row>
    <row r="65" spans="1:46" s="99" customFormat="1" x14ac:dyDescent="0.2">
      <c r="B65" s="109" t="s">
        <v>307</v>
      </c>
      <c r="C65" s="110">
        <f>C64/C$24</f>
        <v>0.12817288731638937</v>
      </c>
      <c r="D65" s="111">
        <f>D64/D$24</f>
        <v>6.9693240249527957E-2</v>
      </c>
      <c r="F65" s="113">
        <f>F64/F$24</f>
        <v>0.10405729947024299</v>
      </c>
      <c r="G65" s="111">
        <f>G64/G$24</f>
        <v>4.5567046067398989E-2</v>
      </c>
      <c r="I65" s="113">
        <f>I64/I$24</f>
        <v>9.8641619184297466E-2</v>
      </c>
      <c r="J65" s="110">
        <f>J64/J$24</f>
        <v>5.5022263996797945E-2</v>
      </c>
      <c r="K65" s="111">
        <f>K64/K$24</f>
        <v>4.1202465301694559E-2</v>
      </c>
      <c r="L65" s="105"/>
      <c r="M65" s="113">
        <v>0</v>
      </c>
      <c r="N65" s="115">
        <v>0</v>
      </c>
      <c r="P65" s="113">
        <f t="shared" ref="P65:AT65" si="89">P64/P$24</f>
        <v>0.39907678731874074</v>
      </c>
      <c r="Q65" s="110">
        <f t="shared" si="89"/>
        <v>0.29112505338087064</v>
      </c>
      <c r="R65" s="110">
        <f t="shared" si="89"/>
        <v>0.23055348588312713</v>
      </c>
      <c r="S65" s="110">
        <f t="shared" si="89"/>
        <v>3.9634903477126664E-2</v>
      </c>
      <c r="T65" s="110">
        <f t="shared" si="89"/>
        <v>1.0771856670157455E-2</v>
      </c>
      <c r="U65" s="110">
        <f t="shared" si="89"/>
        <v>0.11151877645530595</v>
      </c>
      <c r="V65" s="110">
        <f t="shared" si="89"/>
        <v>0.24872554559258261</v>
      </c>
      <c r="W65" s="110">
        <f t="shared" si="89"/>
        <v>0.27722551846845006</v>
      </c>
      <c r="X65" s="110">
        <f t="shared" si="89"/>
        <v>0.11015011779176656</v>
      </c>
      <c r="Y65" s="110">
        <f t="shared" si="89"/>
        <v>0.11999981828992633</v>
      </c>
      <c r="Z65" s="110">
        <f t="shared" si="89"/>
        <v>-0.10585972007729956</v>
      </c>
      <c r="AA65" s="110">
        <f t="shared" si="89"/>
        <v>-7.6420290474838865E-2</v>
      </c>
      <c r="AB65" s="110">
        <f t="shared" si="89"/>
        <v>0.14691724622113159</v>
      </c>
      <c r="AC65" s="110">
        <f t="shared" si="89"/>
        <v>5.8723140217804622E-2</v>
      </c>
      <c r="AD65" s="110">
        <f t="shared" si="89"/>
        <v>0.15264751707122823</v>
      </c>
      <c r="AE65" s="110">
        <f t="shared" si="89"/>
        <v>-2.3664392729283685E-2</v>
      </c>
      <c r="AF65" s="110">
        <f t="shared" si="89"/>
        <v>0.11781925710247981</v>
      </c>
      <c r="AG65" s="110">
        <f t="shared" si="89"/>
        <v>0.16320676168834009</v>
      </c>
      <c r="AH65" s="110">
        <f t="shared" si="89"/>
        <v>0.10091833751896462</v>
      </c>
      <c r="AI65" s="110">
        <f t="shared" si="89"/>
        <v>0.11294605003511514</v>
      </c>
      <c r="AJ65" s="110">
        <f t="shared" si="89"/>
        <v>1.6916910758289692E-2</v>
      </c>
      <c r="AK65" s="110">
        <f t="shared" si="89"/>
        <v>1.4446600906115619E-2</v>
      </c>
      <c r="AL65" s="110">
        <f t="shared" si="89"/>
        <v>7.4412058126513955E-2</v>
      </c>
      <c r="AM65" s="110">
        <f t="shared" si="89"/>
        <v>-4.9803795250781595E-2</v>
      </c>
      <c r="AN65" s="110">
        <f t="shared" si="89"/>
        <v>0.14914164930768267</v>
      </c>
      <c r="AO65" s="110">
        <f t="shared" si="89"/>
        <v>0.29078545945995543</v>
      </c>
      <c r="AP65" s="110">
        <f t="shared" si="89"/>
        <v>-5.9556833430995562E-2</v>
      </c>
      <c r="AQ65" s="110">
        <f t="shared" si="89"/>
        <v>-1.8826980602112783E-2</v>
      </c>
      <c r="AR65" s="110">
        <f t="shared" si="89"/>
        <v>-7.0967025231840307E-4</v>
      </c>
      <c r="AS65" s="110">
        <f t="shared" si="89"/>
        <v>3.5704989872698906E-2</v>
      </c>
      <c r="AT65" s="111">
        <f t="shared" si="89"/>
        <v>-6.4404038009615944E-2</v>
      </c>
    </row>
    <row r="66" spans="1:46" ht="3.95" customHeight="1" x14ac:dyDescent="0.2"/>
    <row r="67" spans="1:46" s="99" customFormat="1" ht="12" customHeight="1" x14ac:dyDescent="0.2">
      <c r="A67" s="99" t="s">
        <v>295</v>
      </c>
      <c r="B67" s="99" t="s">
        <v>306</v>
      </c>
      <c r="C67" s="103">
        <f>C64-'Combined P&amp;L'!E114</f>
        <v>0</v>
      </c>
      <c r="D67" s="103">
        <f>D64-'Combined P&amp;L'!F114</f>
        <v>0</v>
      </c>
      <c r="E67" s="103"/>
      <c r="F67" s="103">
        <f>F64-'Combined P&amp;L'!H114</f>
        <v>-2.2737367544323206E-13</v>
      </c>
      <c r="G67" s="103">
        <f>G64-'Combined P&amp;L'!I114</f>
        <v>3.2684965844964609E-13</v>
      </c>
      <c r="H67" s="103"/>
      <c r="I67" s="103">
        <f>I64-'Combined P&amp;L'!K114</f>
        <v>0</v>
      </c>
      <c r="J67" s="103">
        <f>J64-'Combined P&amp;L'!L114</f>
        <v>4.2632564145606011E-13</v>
      </c>
      <c r="K67" s="103"/>
      <c r="L67" s="104"/>
      <c r="M67" s="104"/>
      <c r="N67" s="104"/>
      <c r="O67" s="104"/>
      <c r="P67" s="103">
        <f>P64-'Combined P&amp;L'!N114</f>
        <v>0</v>
      </c>
      <c r="Q67" s="103">
        <f>Q64-'Combined P&amp;L'!O114</f>
        <v>0</v>
      </c>
      <c r="R67" s="103">
        <f>R64-'Combined P&amp;L'!P114</f>
        <v>0</v>
      </c>
      <c r="S67" s="103">
        <f>S64-'Combined P&amp;L'!Q114</f>
        <v>-8.8817841970012523E-15</v>
      </c>
      <c r="T67" s="103">
        <f>T64-'Combined P&amp;L'!R114</f>
        <v>1.5987211554602254E-14</v>
      </c>
      <c r="U67" s="103">
        <f>U64-'Combined P&amp;L'!S114</f>
        <v>0</v>
      </c>
      <c r="V67" s="103">
        <f>V64-'Combined P&amp;L'!T114</f>
        <v>0</v>
      </c>
      <c r="W67" s="103">
        <f>W64-'Combined P&amp;L'!U114</f>
        <v>0</v>
      </c>
      <c r="X67" s="103">
        <f>X64-'Combined P&amp;L'!V114</f>
        <v>0</v>
      </c>
      <c r="Y67" s="103">
        <f>Y64-'Combined P&amp;L'!W114</f>
        <v>-1.4210854715202004E-14</v>
      </c>
      <c r="Z67" s="103">
        <f>Z64-'Combined P&amp;L'!X114</f>
        <v>-1.4210854715202004E-14</v>
      </c>
      <c r="AA67" s="103">
        <f>AA64-'Combined P&amp;L'!Y114</f>
        <v>2.3092638912203256E-14</v>
      </c>
      <c r="AB67" s="103">
        <f>AB64-'Combined P&amp;L'!Z114</f>
        <v>0</v>
      </c>
      <c r="AC67" s="103">
        <f>AC64-'Combined P&amp;L'!AA114</f>
        <v>0</v>
      </c>
      <c r="AD67" s="103">
        <f>AD64-'Combined P&amp;L'!AB114</f>
        <v>0</v>
      </c>
      <c r="AE67" s="103">
        <f>AE64-'Combined P&amp;L'!AC114</f>
        <v>3.0642155479654321E-14</v>
      </c>
      <c r="AF67" s="103">
        <f>AF64-'Combined P&amp;L'!AD114</f>
        <v>0</v>
      </c>
      <c r="AG67" s="103">
        <f>AG64-'Combined P&amp;L'!AE114</f>
        <v>0</v>
      </c>
      <c r="AH67" s="103">
        <f>AH64-'Combined P&amp;L'!AF114</f>
        <v>0</v>
      </c>
      <c r="AI67" s="103">
        <f>AI64-'Combined P&amp;L'!AG114</f>
        <v>-3.5527136788005009E-14</v>
      </c>
      <c r="AJ67" s="103">
        <f>AJ64-'Combined P&amp;L'!AH114</f>
        <v>2.1316282072803006E-14</v>
      </c>
      <c r="AK67" s="103">
        <f>AK64-'Combined P&amp;L'!AI114</f>
        <v>4.5741188614556449E-14</v>
      </c>
      <c r="AL67" s="103">
        <f>AL64-'Combined P&amp;L'!AJ114</f>
        <v>-1.7763568394002505E-14</v>
      </c>
      <c r="AM67" s="103">
        <f>AM64-'Combined P&amp;L'!AK114</f>
        <v>-3.0198066269804258E-14</v>
      </c>
      <c r="AN67" s="103">
        <f>AN64-'Combined P&amp;L'!AL114</f>
        <v>-3.907985046680551E-14</v>
      </c>
      <c r="AO67" s="103">
        <f>AO64-'Combined P&amp;L'!AM114</f>
        <v>0</v>
      </c>
      <c r="AP67" s="103">
        <f>AP64-'Combined P&amp;L'!AN114</f>
        <v>-3.5527136788005009E-14</v>
      </c>
      <c r="AQ67" s="103">
        <f>AQ64-'Combined P&amp;L'!AO114</f>
        <v>0</v>
      </c>
      <c r="AR67" s="103">
        <f>AR64-'Combined P&amp;L'!AP114</f>
        <v>-7.9936057773011271E-15</v>
      </c>
      <c r="AS67" s="103">
        <f>AS64-'Combined P&amp;L'!AQ114</f>
        <v>5.1514348342607263E-14</v>
      </c>
      <c r="AT67" s="103">
        <f>AT64-'Combined P&amp;L'!AR114</f>
        <v>0</v>
      </c>
    </row>
    <row r="68" spans="1:46" ht="3.95" customHeight="1" x14ac:dyDescent="0.2"/>
    <row r="69" spans="1:46" x14ac:dyDescent="0.2">
      <c r="B69" s="43" t="s">
        <v>298</v>
      </c>
      <c r="C69" s="44"/>
      <c r="D69" s="44"/>
      <c r="E69" s="6"/>
      <c r="F69" s="44"/>
      <c r="G69" s="44"/>
      <c r="H69" s="6"/>
      <c r="I69" s="44"/>
      <c r="J69" s="44"/>
      <c r="K69" s="44"/>
      <c r="L69" s="6"/>
      <c r="M69" s="44"/>
      <c r="N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</row>
    <row r="70" spans="1:46" x14ac:dyDescent="0.2">
      <c r="B70" s="14" t="str">
        <f>+B64</f>
        <v>Net Income</v>
      </c>
      <c r="C70" s="66">
        <f>+C64</f>
        <v>145.4718500000001</v>
      </c>
      <c r="D70" s="66">
        <f>+D64</f>
        <v>130.98029999999983</v>
      </c>
      <c r="E70" s="6"/>
      <c r="F70" s="66">
        <f>+F64</f>
        <v>103.83597999999972</v>
      </c>
      <c r="G70" s="66">
        <f>+G64</f>
        <v>76.14350000000033</v>
      </c>
      <c r="H70" s="6"/>
      <c r="I70" s="66">
        <f>+I64</f>
        <v>145.36932999999985</v>
      </c>
      <c r="J70" s="66">
        <f>+J64</f>
        <v>135.16143000000045</v>
      </c>
      <c r="K70" s="66">
        <f>+K64</f>
        <v>126.62694000000033</v>
      </c>
      <c r="L70" s="6"/>
      <c r="M70" s="66">
        <f>+M64</f>
        <v>-8.534490000000087</v>
      </c>
      <c r="N70" s="67">
        <f t="shared" ref="N70:N74" si="90">IFERROR(K70/J70-1,0)</f>
        <v>-6.314293952054284E-2</v>
      </c>
      <c r="P70" s="66">
        <f t="shared" ref="P70:AT70" si="91">+P64</f>
        <v>32.29054</v>
      </c>
      <c r="Q70" s="66">
        <f t="shared" si="91"/>
        <v>23.655570000000012</v>
      </c>
      <c r="R70" s="66">
        <f t="shared" si="91"/>
        <v>18.009040000000002</v>
      </c>
      <c r="S70" s="66">
        <f t="shared" si="91"/>
        <v>3.3036999999999814</v>
      </c>
      <c r="T70" s="66">
        <f t="shared" si="91"/>
        <v>0.97158000000002254</v>
      </c>
      <c r="U70" s="66">
        <f t="shared" si="91"/>
        <v>10.027299999999999</v>
      </c>
      <c r="V70" s="66">
        <f t="shared" si="91"/>
        <v>26.037100000000013</v>
      </c>
      <c r="W70" s="66">
        <f t="shared" si="91"/>
        <v>28.863819999999997</v>
      </c>
      <c r="X70" s="66">
        <f t="shared" si="91"/>
        <v>10.835770000000004</v>
      </c>
      <c r="Y70" s="66">
        <f t="shared" si="91"/>
        <v>11.887049999999981</v>
      </c>
      <c r="Z70" s="66">
        <f t="shared" si="91"/>
        <v>-11.563829999999996</v>
      </c>
      <c r="AA70" s="66">
        <f t="shared" si="91"/>
        <v>-8.8457899999999778</v>
      </c>
      <c r="AB70" s="66">
        <f t="shared" si="91"/>
        <v>20.371919999999967</v>
      </c>
      <c r="AC70" s="66">
        <f t="shared" si="91"/>
        <v>7.5049699999999966</v>
      </c>
      <c r="AD70" s="66">
        <f t="shared" si="91"/>
        <v>20.557870000000005</v>
      </c>
      <c r="AE70" s="66">
        <f t="shared" si="91"/>
        <v>-3.217779999999987</v>
      </c>
      <c r="AF70" s="66">
        <f t="shared" si="91"/>
        <v>17.914550000000009</v>
      </c>
      <c r="AG70" s="66">
        <f t="shared" si="91"/>
        <v>25.023679999999977</v>
      </c>
      <c r="AH70" s="66">
        <f t="shared" si="91"/>
        <v>15.680769999999987</v>
      </c>
      <c r="AI70" s="66">
        <f t="shared" si="91"/>
        <v>18.057059999999971</v>
      </c>
      <c r="AJ70" s="66">
        <f t="shared" si="91"/>
        <v>2.7743600000000104</v>
      </c>
      <c r="AK70" s="66">
        <f t="shared" si="91"/>
        <v>2.5894700000000057</v>
      </c>
      <c r="AL70" s="66">
        <f t="shared" si="91"/>
        <v>13.519970000000038</v>
      </c>
      <c r="AM70" s="66">
        <f t="shared" si="91"/>
        <v>-9.7965400000000109</v>
      </c>
      <c r="AN70" s="66">
        <f t="shared" si="91"/>
        <v>31.645769999999949</v>
      </c>
      <c r="AO70" s="66">
        <f t="shared" si="91"/>
        <v>70.339949999999973</v>
      </c>
      <c r="AP70" s="66">
        <f t="shared" si="91"/>
        <v>-13.787130000000019</v>
      </c>
      <c r="AQ70" s="66">
        <f t="shared" si="91"/>
        <v>-4.524490000000025</v>
      </c>
      <c r="AR70" s="66">
        <f t="shared" si="91"/>
        <v>-0.17472000000000065</v>
      </c>
      <c r="AS70" s="66">
        <f t="shared" si="91"/>
        <v>8.8369600000000688</v>
      </c>
      <c r="AT70" s="66">
        <f t="shared" si="91"/>
        <v>-16.192839999999997</v>
      </c>
    </row>
    <row r="71" spans="1:46" x14ac:dyDescent="0.2">
      <c r="B71" s="95" t="s">
        <v>302</v>
      </c>
      <c r="C71" s="66">
        <f>+C51</f>
        <v>6.673</v>
      </c>
      <c r="D71" s="66">
        <f>+D51</f>
        <v>6.673</v>
      </c>
      <c r="E71" s="24"/>
      <c r="F71" s="66">
        <f>+F51</f>
        <v>0</v>
      </c>
      <c r="G71" s="66">
        <f>+G51</f>
        <v>0</v>
      </c>
      <c r="H71" s="24"/>
      <c r="I71" s="66">
        <f>+I51</f>
        <v>6.673</v>
      </c>
      <c r="J71" s="66">
        <f>+J51</f>
        <v>6.673</v>
      </c>
      <c r="K71" s="66">
        <f>+K51</f>
        <v>6.673</v>
      </c>
      <c r="L71" s="66"/>
      <c r="M71" s="66">
        <f>+M51</f>
        <v>0</v>
      </c>
      <c r="N71" s="67">
        <f t="shared" si="90"/>
        <v>0</v>
      </c>
      <c r="O71" s="53"/>
      <c r="P71" s="66">
        <f t="shared" ref="P71:AT71" si="92">+P51</f>
        <v>0</v>
      </c>
      <c r="Q71" s="66">
        <f t="shared" si="92"/>
        <v>0</v>
      </c>
      <c r="R71" s="66">
        <f t="shared" si="92"/>
        <v>0</v>
      </c>
      <c r="S71" s="66">
        <f t="shared" si="92"/>
        <v>0</v>
      </c>
      <c r="T71" s="66">
        <f t="shared" si="92"/>
        <v>0</v>
      </c>
      <c r="U71" s="66">
        <f t="shared" si="92"/>
        <v>0</v>
      </c>
      <c r="V71" s="66">
        <f t="shared" si="92"/>
        <v>0</v>
      </c>
      <c r="W71" s="66">
        <f t="shared" si="92"/>
        <v>0</v>
      </c>
      <c r="X71" s="66">
        <f t="shared" si="92"/>
        <v>0</v>
      </c>
      <c r="Y71" s="66">
        <f t="shared" si="92"/>
        <v>0</v>
      </c>
      <c r="Z71" s="66">
        <f t="shared" si="92"/>
        <v>0</v>
      </c>
      <c r="AA71" s="66">
        <f t="shared" si="92"/>
        <v>6.673</v>
      </c>
      <c r="AB71" s="66">
        <f t="shared" si="92"/>
        <v>0</v>
      </c>
      <c r="AC71" s="66">
        <f t="shared" si="92"/>
        <v>0</v>
      </c>
      <c r="AD71" s="66">
        <f t="shared" si="92"/>
        <v>0</v>
      </c>
      <c r="AE71" s="66">
        <f t="shared" si="92"/>
        <v>0</v>
      </c>
      <c r="AF71" s="66">
        <f t="shared" si="92"/>
        <v>0</v>
      </c>
      <c r="AG71" s="66">
        <f t="shared" si="92"/>
        <v>0</v>
      </c>
      <c r="AH71" s="66">
        <f t="shared" si="92"/>
        <v>0</v>
      </c>
      <c r="AI71" s="66">
        <f t="shared" si="92"/>
        <v>0</v>
      </c>
      <c r="AJ71" s="66">
        <f t="shared" si="92"/>
        <v>0</v>
      </c>
      <c r="AK71" s="66">
        <f t="shared" si="92"/>
        <v>0</v>
      </c>
      <c r="AL71" s="66">
        <f t="shared" si="92"/>
        <v>0</v>
      </c>
      <c r="AM71" s="66">
        <f t="shared" si="92"/>
        <v>6.673</v>
      </c>
      <c r="AN71" s="66">
        <f t="shared" si="92"/>
        <v>0</v>
      </c>
      <c r="AO71" s="66">
        <f t="shared" si="92"/>
        <v>0</v>
      </c>
      <c r="AP71" s="66">
        <f t="shared" si="92"/>
        <v>0</v>
      </c>
      <c r="AQ71" s="66">
        <f t="shared" si="92"/>
        <v>0</v>
      </c>
      <c r="AR71" s="66">
        <f t="shared" si="92"/>
        <v>0</v>
      </c>
      <c r="AS71" s="66">
        <f t="shared" si="92"/>
        <v>0</v>
      </c>
      <c r="AT71" s="66">
        <f t="shared" si="92"/>
        <v>0</v>
      </c>
    </row>
    <row r="72" spans="1:46" x14ac:dyDescent="0.2">
      <c r="B72" s="95" t="s">
        <v>304</v>
      </c>
      <c r="C72" s="66">
        <f>+C53</f>
        <v>7.4969999999999999</v>
      </c>
      <c r="D72" s="66">
        <f>+D53</f>
        <v>9.984</v>
      </c>
      <c r="E72" s="24"/>
      <c r="F72" s="66">
        <f>+F53</f>
        <v>5.8940000000000001</v>
      </c>
      <c r="G72" s="66">
        <f>+G53</f>
        <v>1.1719999999999997</v>
      </c>
      <c r="H72" s="24"/>
      <c r="I72" s="66">
        <f>+I53</f>
        <v>4.673</v>
      </c>
      <c r="J72" s="66">
        <f>+J53</f>
        <v>5.2619999999999996</v>
      </c>
      <c r="K72" s="66">
        <f>+K53</f>
        <v>5.2619999999999996</v>
      </c>
      <c r="L72" s="66"/>
      <c r="M72" s="66">
        <f>+M53</f>
        <v>0</v>
      </c>
      <c r="N72" s="67">
        <f t="shared" si="90"/>
        <v>0</v>
      </c>
      <c r="O72" s="53"/>
      <c r="P72" s="66">
        <f t="shared" ref="P72:AT72" si="93">+P53</f>
        <v>0</v>
      </c>
      <c r="Q72" s="66">
        <f t="shared" si="93"/>
        <v>0</v>
      </c>
      <c r="R72" s="66">
        <f t="shared" si="93"/>
        <v>0</v>
      </c>
      <c r="S72" s="66">
        <f t="shared" si="93"/>
        <v>6.2460000000000004</v>
      </c>
      <c r="T72" s="66">
        <f t="shared" si="93"/>
        <v>0</v>
      </c>
      <c r="U72" s="66">
        <f t="shared" si="93"/>
        <v>2.472</v>
      </c>
      <c r="V72" s="66">
        <f t="shared" si="93"/>
        <v>0</v>
      </c>
      <c r="W72" s="66">
        <f t="shared" si="93"/>
        <v>0</v>
      </c>
      <c r="X72" s="66">
        <f t="shared" si="93"/>
        <v>2.472</v>
      </c>
      <c r="Y72" s="66">
        <f t="shared" si="93"/>
        <v>0</v>
      </c>
      <c r="Z72" s="66">
        <f t="shared" si="93"/>
        <v>0</v>
      </c>
      <c r="AA72" s="66">
        <f t="shared" si="93"/>
        <v>-3.6930000000000001</v>
      </c>
      <c r="AB72" s="66">
        <f t="shared" si="93"/>
        <v>2.472</v>
      </c>
      <c r="AC72" s="66">
        <f t="shared" si="93"/>
        <v>0</v>
      </c>
      <c r="AD72" s="66">
        <f t="shared" si="93"/>
        <v>0</v>
      </c>
      <c r="AE72" s="66">
        <f t="shared" si="93"/>
        <v>3.649</v>
      </c>
      <c r="AF72" s="66">
        <f t="shared" si="93"/>
        <v>-2.2719999999999998</v>
      </c>
      <c r="AG72" s="66">
        <f t="shared" si="93"/>
        <v>2.0449999999999999</v>
      </c>
      <c r="AH72" s="66">
        <f t="shared" si="93"/>
        <v>0</v>
      </c>
      <c r="AI72" s="66">
        <f t="shared" si="93"/>
        <v>0</v>
      </c>
      <c r="AJ72" s="66">
        <f t="shared" si="93"/>
        <v>2.0449999999999999</v>
      </c>
      <c r="AK72" s="66">
        <f t="shared" si="93"/>
        <v>0</v>
      </c>
      <c r="AL72" s="66">
        <f t="shared" si="93"/>
        <v>0</v>
      </c>
      <c r="AM72" s="66">
        <f t="shared" si="93"/>
        <v>2.0449999999999999</v>
      </c>
      <c r="AN72" s="66">
        <f t="shared" si="93"/>
        <v>0</v>
      </c>
      <c r="AO72" s="66">
        <f t="shared" si="93"/>
        <v>0</v>
      </c>
      <c r="AP72" s="66">
        <f t="shared" si="93"/>
        <v>5.0359999999999996</v>
      </c>
      <c r="AQ72" s="66">
        <f t="shared" si="93"/>
        <v>-4.8639999999999999</v>
      </c>
      <c r="AR72" s="66">
        <f t="shared" si="93"/>
        <v>0</v>
      </c>
      <c r="AS72" s="66">
        <f t="shared" si="93"/>
        <v>1</v>
      </c>
      <c r="AT72" s="66">
        <f t="shared" si="93"/>
        <v>0</v>
      </c>
    </row>
    <row r="73" spans="1:46" x14ac:dyDescent="0.2">
      <c r="B73" s="95" t="s">
        <v>303</v>
      </c>
      <c r="C73" s="66">
        <f>+C57</f>
        <v>7.9639999999999989E-2</v>
      </c>
      <c r="D73" s="66">
        <f>+D57</f>
        <v>1.4224800000000002</v>
      </c>
      <c r="E73" s="24"/>
      <c r="F73" s="66">
        <f>+F57</f>
        <v>1.07704</v>
      </c>
      <c r="G73" s="66">
        <f>+G57</f>
        <v>0.81103000000000003</v>
      </c>
      <c r="H73" s="24"/>
      <c r="I73" s="66">
        <f>+I57</f>
        <v>0.81467999999999996</v>
      </c>
      <c r="J73" s="66">
        <f>+J57</f>
        <v>1.49847</v>
      </c>
      <c r="K73" s="66">
        <f>+K57</f>
        <v>1.49847</v>
      </c>
      <c r="L73" s="66"/>
      <c r="M73" s="66">
        <f>+M57</f>
        <v>0</v>
      </c>
      <c r="N73" s="67">
        <f t="shared" si="90"/>
        <v>0</v>
      </c>
      <c r="O73" s="53"/>
      <c r="P73" s="66">
        <f t="shared" ref="P73:AT73" si="94">+P57</f>
        <v>0</v>
      </c>
      <c r="Q73" s="66">
        <f t="shared" si="94"/>
        <v>0</v>
      </c>
      <c r="R73" s="66">
        <f t="shared" si="94"/>
        <v>0</v>
      </c>
      <c r="S73" s="66">
        <f t="shared" si="94"/>
        <v>0</v>
      </c>
      <c r="T73" s="66">
        <f t="shared" si="94"/>
        <v>0</v>
      </c>
      <c r="U73" s="66">
        <f t="shared" si="94"/>
        <v>0</v>
      </c>
      <c r="V73" s="66">
        <f t="shared" si="94"/>
        <v>0</v>
      </c>
      <c r="W73" s="66">
        <f t="shared" si="94"/>
        <v>0</v>
      </c>
      <c r="X73" s="66">
        <f t="shared" si="94"/>
        <v>0</v>
      </c>
      <c r="Y73" s="66">
        <f t="shared" si="94"/>
        <v>0</v>
      </c>
      <c r="Z73" s="66">
        <f t="shared" si="94"/>
        <v>7.1499999999999994E-2</v>
      </c>
      <c r="AA73" s="66">
        <f t="shared" si="94"/>
        <v>8.1400000000000014E-3</v>
      </c>
      <c r="AB73" s="66">
        <f t="shared" si="94"/>
        <v>0.11752</v>
      </c>
      <c r="AC73" s="66">
        <f t="shared" si="94"/>
        <v>0.20646</v>
      </c>
      <c r="AD73" s="66">
        <f t="shared" si="94"/>
        <v>1.174E-2</v>
      </c>
      <c r="AE73" s="66">
        <f t="shared" si="94"/>
        <v>3.6600000000000001E-2</v>
      </c>
      <c r="AF73" s="66">
        <f t="shared" si="94"/>
        <v>0.11484</v>
      </c>
      <c r="AG73" s="66">
        <f t="shared" si="94"/>
        <v>0.24787999999999999</v>
      </c>
      <c r="AH73" s="66">
        <f t="shared" si="94"/>
        <v>0.34200000000000003</v>
      </c>
      <c r="AI73" s="66">
        <f t="shared" si="94"/>
        <v>0.25108999999999998</v>
      </c>
      <c r="AJ73" s="66">
        <f t="shared" si="94"/>
        <v>6.5290000000000001E-2</v>
      </c>
      <c r="AK73" s="66">
        <f t="shared" si="94"/>
        <v>1.916E-2</v>
      </c>
      <c r="AL73" s="66">
        <f t="shared" si="94"/>
        <v>9.9000000000000008E-3</v>
      </c>
      <c r="AM73" s="66">
        <f t="shared" si="94"/>
        <v>0</v>
      </c>
      <c r="AN73" s="66">
        <f t="shared" si="94"/>
        <v>0.28870000000000001</v>
      </c>
      <c r="AO73" s="66">
        <f t="shared" si="94"/>
        <v>0.14452999999999999</v>
      </c>
      <c r="AP73" s="66">
        <f t="shared" si="94"/>
        <v>0</v>
      </c>
      <c r="AQ73" s="66">
        <f t="shared" si="94"/>
        <v>0.15</v>
      </c>
      <c r="AR73" s="66">
        <f t="shared" si="94"/>
        <v>0.11769</v>
      </c>
      <c r="AS73" s="66">
        <f t="shared" si="94"/>
        <v>0.11011</v>
      </c>
      <c r="AT73" s="66">
        <f t="shared" si="94"/>
        <v>0</v>
      </c>
    </row>
    <row r="74" spans="1:46" x14ac:dyDescent="0.2">
      <c r="B74" s="94" t="s">
        <v>301</v>
      </c>
      <c r="C74" s="60">
        <f>SUM(C70:C73)</f>
        <v>159.7214900000001</v>
      </c>
      <c r="D74" s="60">
        <f>SUM(D70:D73)</f>
        <v>149.05977999999985</v>
      </c>
      <c r="F74" s="60">
        <f>SUM(F70:F73)</f>
        <v>110.80701999999972</v>
      </c>
      <c r="G74" s="60">
        <f>SUM(G70:G73)</f>
        <v>78.126530000000329</v>
      </c>
      <c r="I74" s="60">
        <f>SUM(I70:I73)</f>
        <v>157.53000999999986</v>
      </c>
      <c r="J74" s="60">
        <f>SUM(J70:J73)</f>
        <v>148.59490000000045</v>
      </c>
      <c r="K74" s="60">
        <f>SUM(K70:K73)</f>
        <v>140.06041000000033</v>
      </c>
      <c r="L74" s="72"/>
      <c r="M74" s="60">
        <f>SUM(M70:M73)</f>
        <v>-8.534490000000087</v>
      </c>
      <c r="N74" s="92">
        <f t="shared" si="90"/>
        <v>-5.7434609128577674E-2</v>
      </c>
      <c r="P74" s="60">
        <f t="shared" ref="P74:AT74" si="95">SUM(P70:P73)</f>
        <v>32.29054</v>
      </c>
      <c r="Q74" s="60">
        <f t="shared" si="95"/>
        <v>23.655570000000012</v>
      </c>
      <c r="R74" s="60">
        <f t="shared" si="95"/>
        <v>18.009040000000002</v>
      </c>
      <c r="S74" s="60">
        <f t="shared" si="95"/>
        <v>9.5496999999999819</v>
      </c>
      <c r="T74" s="60">
        <f t="shared" si="95"/>
        <v>0.97158000000002254</v>
      </c>
      <c r="U74" s="60">
        <f t="shared" si="95"/>
        <v>12.499299999999998</v>
      </c>
      <c r="V74" s="60">
        <f t="shared" si="95"/>
        <v>26.037100000000013</v>
      </c>
      <c r="W74" s="60">
        <f t="shared" si="95"/>
        <v>28.863819999999997</v>
      </c>
      <c r="X74" s="60">
        <f t="shared" si="95"/>
        <v>13.307770000000003</v>
      </c>
      <c r="Y74" s="60">
        <f t="shared" si="95"/>
        <v>11.887049999999981</v>
      </c>
      <c r="Z74" s="60">
        <f t="shared" si="95"/>
        <v>-11.492329999999995</v>
      </c>
      <c r="AA74" s="60">
        <f t="shared" si="95"/>
        <v>-5.8576499999999774</v>
      </c>
      <c r="AB74" s="60">
        <f t="shared" si="95"/>
        <v>22.961439999999968</v>
      </c>
      <c r="AC74" s="60">
        <f t="shared" si="95"/>
        <v>7.7114299999999965</v>
      </c>
      <c r="AD74" s="60">
        <f t="shared" si="95"/>
        <v>20.569610000000004</v>
      </c>
      <c r="AE74" s="60">
        <f t="shared" si="95"/>
        <v>0.46782000000001306</v>
      </c>
      <c r="AF74" s="60">
        <f t="shared" si="95"/>
        <v>15.757390000000008</v>
      </c>
      <c r="AG74" s="60">
        <f t="shared" si="95"/>
        <v>27.316559999999978</v>
      </c>
      <c r="AH74" s="60">
        <f t="shared" si="95"/>
        <v>16.022769999999987</v>
      </c>
      <c r="AI74" s="60">
        <f t="shared" si="95"/>
        <v>18.308149999999973</v>
      </c>
      <c r="AJ74" s="60">
        <f t="shared" si="95"/>
        <v>4.8846500000000104</v>
      </c>
      <c r="AK74" s="60">
        <f t="shared" si="95"/>
        <v>2.6086300000000056</v>
      </c>
      <c r="AL74" s="60">
        <f t="shared" si="95"/>
        <v>13.529870000000038</v>
      </c>
      <c r="AM74" s="60">
        <f t="shared" si="95"/>
        <v>-1.0785400000000109</v>
      </c>
      <c r="AN74" s="60">
        <f t="shared" si="95"/>
        <v>31.934469999999948</v>
      </c>
      <c r="AO74" s="60">
        <f t="shared" si="95"/>
        <v>70.484479999999976</v>
      </c>
      <c r="AP74" s="60">
        <f t="shared" si="95"/>
        <v>-8.7511300000000194</v>
      </c>
      <c r="AQ74" s="60">
        <f t="shared" si="95"/>
        <v>-9.2384900000000254</v>
      </c>
      <c r="AR74" s="60">
        <f t="shared" si="95"/>
        <v>-5.703000000000065E-2</v>
      </c>
      <c r="AS74" s="60">
        <f t="shared" si="95"/>
        <v>9.9470700000000694</v>
      </c>
      <c r="AT74" s="60">
        <f t="shared" si="95"/>
        <v>-16.192839999999997</v>
      </c>
    </row>
    <row r="75" spans="1:46" ht="3.95" customHeight="1" x14ac:dyDescent="0.2"/>
    <row r="76" spans="1:46" x14ac:dyDescent="0.2">
      <c r="B76" s="43" t="s">
        <v>308</v>
      </c>
      <c r="C76" s="44"/>
      <c r="D76" s="44"/>
      <c r="E76" s="6"/>
      <c r="F76" s="44"/>
      <c r="G76" s="44"/>
      <c r="H76" s="6"/>
      <c r="I76" s="44"/>
      <c r="J76" s="44"/>
      <c r="K76" s="44"/>
      <c r="L76" s="6"/>
      <c r="M76" s="44"/>
      <c r="N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</row>
    <row r="77" spans="1:46" x14ac:dyDescent="0.2">
      <c r="B77" s="125" t="s">
        <v>324</v>
      </c>
      <c r="C77" s="24">
        <f>SUMIFS($P77:$AT77,$P$5:$AT$5,"&gt;"&amp;C$172,$P$5:$AT$5,"&lt;"&amp;C$173)</f>
        <v>0</v>
      </c>
      <c r="D77" s="24">
        <f>SUMIFS($P77:$AT77,$P$5:$AT$5,"&gt;"&amp;D$172,$P$5:$AT$5,"&lt;"&amp;D$173)</f>
        <v>29.761219999999998</v>
      </c>
      <c r="E77" s="24"/>
      <c r="F77" s="24">
        <f>SUMIFS($P77:$AT77,$P$5:$AT$5,"&gt;"&amp;F$172,$P$5:$AT$5,"&lt;"&amp;F$173)</f>
        <v>22.295579999999998</v>
      </c>
      <c r="G77" s="24">
        <f>SUMIFS($P77:$AT77,$P$5:$AT$5,"&gt;"&amp;G$172,$P$5:$AT$5,"&lt;"&amp;G$173)</f>
        <v>20.685420000000001</v>
      </c>
      <c r="H77" s="24"/>
      <c r="I77" s="24">
        <f>SUMIFS($P77:$AT77,$P$5:$AT$5,"&gt;"&amp;I$172,$P$5:$AT$5,"&lt;"&amp;I$173)</f>
        <v>22.197919999999996</v>
      </c>
      <c r="J77" s="24">
        <f>SUMIFS($P77:$AT77,$P$5:$AT$5,"&gt;"&amp;J$172,$P$5:$AT$5,"&lt;"&amp;J$173)</f>
        <v>28.23873</v>
      </c>
      <c r="K77" s="66">
        <f>+C147</f>
        <v>28.23873</v>
      </c>
      <c r="L77" s="66"/>
      <c r="M77" s="24">
        <f t="shared" ref="M77" si="96">+J77-K77</f>
        <v>0</v>
      </c>
      <c r="N77" s="67">
        <f t="shared" ref="N77" si="97">IFERROR(K77/J77-1,0)</f>
        <v>0</v>
      </c>
      <c r="O77" s="53"/>
      <c r="P77" s="54">
        <f>SUMIFS('Combined P&amp;L'!N:N,'Combined P&amp;L'!$D:$D,'P&amp;L Forecast'!$B77)</f>
        <v>0</v>
      </c>
      <c r="Q77" s="54">
        <f>SUMIFS('Combined P&amp;L'!O:O,'Combined P&amp;L'!$D:$D,'P&amp;L Forecast'!$B77)</f>
        <v>0</v>
      </c>
      <c r="R77" s="54">
        <f>SUMIFS('Combined P&amp;L'!P:P,'Combined P&amp;L'!$D:$D,'P&amp;L Forecast'!$B77)</f>
        <v>0</v>
      </c>
      <c r="S77" s="54">
        <f>SUMIFS('Combined P&amp;L'!Q:Q,'Combined P&amp;L'!$D:$D,'P&amp;L Forecast'!$B77)</f>
        <v>0</v>
      </c>
      <c r="T77" s="54">
        <f>SUMIFS('Combined P&amp;L'!R:R,'Combined P&amp;L'!$D:$D,'P&amp;L Forecast'!$B77)</f>
        <v>0</v>
      </c>
      <c r="U77" s="54">
        <f>SUMIFS('Combined P&amp;L'!S:S,'Combined P&amp;L'!$D:$D,'P&amp;L Forecast'!$B77)</f>
        <v>0</v>
      </c>
      <c r="V77" s="54">
        <f>SUMIFS('Combined P&amp;L'!T:T,'Combined P&amp;L'!$D:$D,'P&amp;L Forecast'!$B77)</f>
        <v>0</v>
      </c>
      <c r="W77" s="54">
        <f>SUMIFS('Combined P&amp;L'!U:U,'Combined P&amp;L'!$D:$D,'P&amp;L Forecast'!$B77)</f>
        <v>0</v>
      </c>
      <c r="X77" s="54">
        <f>SUMIFS('Combined P&amp;L'!V:V,'Combined P&amp;L'!$D:$D,'P&amp;L Forecast'!$B77)</f>
        <v>0</v>
      </c>
      <c r="Y77" s="54">
        <f>SUMIFS('Combined P&amp;L'!W:W,'Combined P&amp;L'!$D:$D,'P&amp;L Forecast'!$B77)</f>
        <v>0</v>
      </c>
      <c r="Z77" s="54">
        <f>SUMIFS('Combined P&amp;L'!X:X,'Combined P&amp;L'!$D:$D,'P&amp;L Forecast'!$B77)</f>
        <v>0</v>
      </c>
      <c r="AA77" s="54">
        <f>SUMIFS('Combined P&amp;L'!Y:Y,'Combined P&amp;L'!$D:$D,'P&amp;L Forecast'!$B77)</f>
        <v>0</v>
      </c>
      <c r="AB77" s="54">
        <f>SUMIFS('Combined P&amp;L'!Z:Z,'Combined P&amp;L'!$D:$D,'P&amp;L Forecast'!$B77)</f>
        <v>6.9100000000000003E-3</v>
      </c>
      <c r="AC77" s="54">
        <f>SUMIFS('Combined P&amp;L'!AA:AA,'Combined P&amp;L'!$D:$D,'P&amp;L Forecast'!$B77)</f>
        <v>0</v>
      </c>
      <c r="AD77" s="54">
        <f>SUMIFS('Combined P&amp;L'!AB:AB,'Combined P&amp;L'!$D:$D,'P&amp;L Forecast'!$B77)</f>
        <v>0</v>
      </c>
      <c r="AE77" s="54">
        <f>SUMIFS('Combined P&amp;L'!AC:AC,'Combined P&amp;L'!$D:$D,'P&amp;L Forecast'!$B77)</f>
        <v>11.40629</v>
      </c>
      <c r="AF77" s="54">
        <f>SUMIFS('Combined P&amp;L'!AD:AD,'Combined P&amp;L'!$D:$D,'P&amp;L Forecast'!$B77)</f>
        <v>10.784719999999997</v>
      </c>
      <c r="AG77" s="54">
        <f>SUMIFS('Combined P&amp;L'!AE:AE,'Combined P&amp;L'!$D:$D,'P&amp;L Forecast'!$B77)</f>
        <v>0</v>
      </c>
      <c r="AH77" s="54">
        <f>SUMIFS('Combined P&amp;L'!AF:AF,'Combined P&amp;L'!$D:$D,'P&amp;L Forecast'!$B77)</f>
        <v>9.7659999999999997E-2</v>
      </c>
      <c r="AI77" s="54">
        <f>SUMIFS('Combined P&amp;L'!AG:AG,'Combined P&amp;L'!$D:$D,'P&amp;L Forecast'!$B77)</f>
        <v>0.92152000000000001</v>
      </c>
      <c r="AJ77" s="54">
        <f>SUMIFS('Combined P&amp;L'!AH:AH,'Combined P&amp;L'!$D:$D,'P&amp;L Forecast'!$B77)</f>
        <v>2.9642300000000006</v>
      </c>
      <c r="AK77" s="54">
        <f>SUMIFS('Combined P&amp;L'!AI:AI,'Combined P&amp;L'!$D:$D,'P&amp;L Forecast'!$B77)</f>
        <v>1.0367900000000001</v>
      </c>
      <c r="AL77" s="54">
        <f>SUMIFS('Combined P&amp;L'!AJ:AJ,'Combined P&amp;L'!$D:$D,'P&amp;L Forecast'!$B77)</f>
        <v>2.11036</v>
      </c>
      <c r="AM77" s="54">
        <f>SUMIFS('Combined P&amp;L'!AK:AK,'Combined P&amp;L'!$D:$D,'P&amp;L Forecast'!$B77)</f>
        <v>0.43274000000000001</v>
      </c>
      <c r="AN77" s="54">
        <f>SUMIFS('Combined P&amp;L'!AL:AL,'Combined P&amp;L'!$D:$D,'P&amp;L Forecast'!$B77)</f>
        <v>0</v>
      </c>
      <c r="AO77" s="54">
        <f>SUMIFS('Combined P&amp;L'!AM:AM,'Combined P&amp;L'!$D:$D,'P&amp;L Forecast'!$B77)</f>
        <v>0</v>
      </c>
      <c r="AP77" s="54">
        <f>SUMIFS('Combined P&amp;L'!AN:AN,'Combined P&amp;L'!$D:$D,'P&amp;L Forecast'!$B77)</f>
        <v>0</v>
      </c>
      <c r="AQ77" s="54">
        <f>SUMIFS('Combined P&amp;L'!AO:AO,'Combined P&amp;L'!$D:$D,'P&amp;L Forecast'!$B77)</f>
        <v>9.7651000000000003</v>
      </c>
      <c r="AR77" s="54">
        <f>SUMIFS('Combined P&amp;L'!AP:AP,'Combined P&amp;L'!$D:$D,'P&amp;L Forecast'!$B77)</f>
        <v>10.254430000000001</v>
      </c>
      <c r="AS77" s="54">
        <f>SUMIFS('Combined P&amp;L'!AQ:AQ,'Combined P&amp;L'!$D:$D,'P&amp;L Forecast'!$B77)</f>
        <v>0.65590000000000004</v>
      </c>
      <c r="AT77" s="54">
        <f>SUMIFS('Combined P&amp;L'!AR:AR,'Combined P&amp;L'!$D:$D,'P&amp;L Forecast'!$B77)</f>
        <v>9.9900000000000006E-3</v>
      </c>
    </row>
    <row r="78" spans="1:46" x14ac:dyDescent="0.2">
      <c r="B78" s="125" t="s">
        <v>325</v>
      </c>
      <c r="C78" s="24">
        <f>SUMIFS($P78:$AT78,$P$5:$AT$5,"&gt;"&amp;C$172,$P$5:$AT$5,"&lt;"&amp;C$173)</f>
        <v>0</v>
      </c>
      <c r="D78" s="24">
        <f>SUMIFS($P78:$AT78,$P$5:$AT$5,"&gt;"&amp;D$172,$P$5:$AT$5,"&lt;"&amp;D$173)</f>
        <v>2.7040000000000002</v>
      </c>
      <c r="E78" s="24"/>
      <c r="F78" s="24">
        <f>SUMIFS($P78:$AT78,$P$5:$AT$5,"&gt;"&amp;F$172,$P$5:$AT$5,"&lt;"&amp;F$173)</f>
        <v>0</v>
      </c>
      <c r="G78" s="24">
        <f>SUMIFS($P78:$AT78,$P$5:$AT$5,"&gt;"&amp;G$172,$P$5:$AT$5,"&lt;"&amp;G$173)</f>
        <v>0</v>
      </c>
      <c r="H78" s="24"/>
      <c r="I78" s="24">
        <f>SUMIFS($P78:$AT78,$P$5:$AT$5,"&gt;"&amp;I$172,$P$5:$AT$5,"&lt;"&amp;I$173)</f>
        <v>0</v>
      </c>
      <c r="J78" s="24">
        <f>SUMIFS($P78:$AT78,$P$5:$AT$5,"&gt;"&amp;J$172,$P$5:$AT$5,"&lt;"&amp;J$173)</f>
        <v>2.7040000000000002</v>
      </c>
      <c r="K78" s="66">
        <f>J78</f>
        <v>2.7040000000000002</v>
      </c>
      <c r="L78" s="66"/>
      <c r="M78" s="24">
        <f t="shared" ref="M78" si="98">+J78-K78</f>
        <v>0</v>
      </c>
      <c r="N78" s="67">
        <f t="shared" ref="N78:N79" si="99">IFERROR(K78/J78-1,0)</f>
        <v>0</v>
      </c>
      <c r="O78" s="53"/>
      <c r="P78" s="54">
        <f>SUMIFS('Combined P&amp;L'!N:N,'Combined P&amp;L'!$D:$D,'P&amp;L Forecast'!$B78)</f>
        <v>0</v>
      </c>
      <c r="Q78" s="54">
        <f>SUMIFS('Combined P&amp;L'!O:O,'Combined P&amp;L'!$D:$D,'P&amp;L Forecast'!$B78)</f>
        <v>0</v>
      </c>
      <c r="R78" s="54">
        <f>SUMIFS('Combined P&amp;L'!P:P,'Combined P&amp;L'!$D:$D,'P&amp;L Forecast'!$B78)</f>
        <v>0</v>
      </c>
      <c r="S78" s="54">
        <f>SUMIFS('Combined P&amp;L'!Q:Q,'Combined P&amp;L'!$D:$D,'P&amp;L Forecast'!$B78)</f>
        <v>0</v>
      </c>
      <c r="T78" s="54">
        <f>SUMIFS('Combined P&amp;L'!R:R,'Combined P&amp;L'!$D:$D,'P&amp;L Forecast'!$B78)</f>
        <v>0</v>
      </c>
      <c r="U78" s="54">
        <f>SUMIFS('Combined P&amp;L'!S:S,'Combined P&amp;L'!$D:$D,'P&amp;L Forecast'!$B78)</f>
        <v>0</v>
      </c>
      <c r="V78" s="54">
        <f>SUMIFS('Combined P&amp;L'!T:T,'Combined P&amp;L'!$D:$D,'P&amp;L Forecast'!$B78)</f>
        <v>0</v>
      </c>
      <c r="W78" s="54">
        <f>SUMIFS('Combined P&amp;L'!U:U,'Combined P&amp;L'!$D:$D,'P&amp;L Forecast'!$B78)</f>
        <v>0</v>
      </c>
      <c r="X78" s="54">
        <f>SUMIFS('Combined P&amp;L'!V:V,'Combined P&amp;L'!$D:$D,'P&amp;L Forecast'!$B78)</f>
        <v>0</v>
      </c>
      <c r="Y78" s="54">
        <f>SUMIFS('Combined P&amp;L'!W:W,'Combined P&amp;L'!$D:$D,'P&amp;L Forecast'!$B78)</f>
        <v>0</v>
      </c>
      <c r="Z78" s="54">
        <f>SUMIFS('Combined P&amp;L'!X:X,'Combined P&amp;L'!$D:$D,'P&amp;L Forecast'!$B78)</f>
        <v>0</v>
      </c>
      <c r="AA78" s="54">
        <f>SUMIFS('Combined P&amp;L'!Y:Y,'Combined P&amp;L'!$D:$D,'P&amp;L Forecast'!$B78)</f>
        <v>0</v>
      </c>
      <c r="AB78" s="54">
        <f>SUMIFS('Combined P&amp;L'!Z:Z,'Combined P&amp;L'!$D:$D,'P&amp;L Forecast'!$B78)</f>
        <v>0</v>
      </c>
      <c r="AC78" s="54">
        <f>SUMIFS('Combined P&amp;L'!AA:AA,'Combined P&amp;L'!$D:$D,'P&amp;L Forecast'!$B78)</f>
        <v>0</v>
      </c>
      <c r="AD78" s="54">
        <f>SUMIFS('Combined P&amp;L'!AB:AB,'Combined P&amp;L'!$D:$D,'P&amp;L Forecast'!$B78)</f>
        <v>0</v>
      </c>
      <c r="AE78" s="54">
        <f>SUMIFS('Combined P&amp;L'!AC:AC,'Combined P&amp;L'!$D:$D,'P&amp;L Forecast'!$B78)</f>
        <v>0</v>
      </c>
      <c r="AF78" s="54">
        <f>SUMIFS('Combined P&amp;L'!AD:AD,'Combined P&amp;L'!$D:$D,'P&amp;L Forecast'!$B78)</f>
        <v>0</v>
      </c>
      <c r="AG78" s="54">
        <f>SUMIFS('Combined P&amp;L'!AE:AE,'Combined P&amp;L'!$D:$D,'P&amp;L Forecast'!$B78)</f>
        <v>0</v>
      </c>
      <c r="AH78" s="54">
        <f>SUMIFS('Combined P&amp;L'!AF:AF,'Combined P&amp;L'!$D:$D,'P&amp;L Forecast'!$B78)</f>
        <v>0</v>
      </c>
      <c r="AI78" s="54">
        <f>SUMIFS('Combined P&amp;L'!AG:AG,'Combined P&amp;L'!$D:$D,'P&amp;L Forecast'!$B78)</f>
        <v>0</v>
      </c>
      <c r="AJ78" s="54">
        <f>SUMIFS('Combined P&amp;L'!AH:AH,'Combined P&amp;L'!$D:$D,'P&amp;L Forecast'!$B78)</f>
        <v>0</v>
      </c>
      <c r="AK78" s="54">
        <f>SUMIFS('Combined P&amp;L'!AI:AI,'Combined P&amp;L'!$D:$D,'P&amp;L Forecast'!$B78)</f>
        <v>0</v>
      </c>
      <c r="AL78" s="54">
        <f>SUMIFS('Combined P&amp;L'!AJ:AJ,'Combined P&amp;L'!$D:$D,'P&amp;L Forecast'!$B78)</f>
        <v>0</v>
      </c>
      <c r="AM78" s="54">
        <f>SUMIFS('Combined P&amp;L'!AK:AK,'Combined P&amp;L'!$D:$D,'P&amp;L Forecast'!$B78)</f>
        <v>2.7040000000000002</v>
      </c>
      <c r="AN78" s="54">
        <f>SUMIFS('Combined P&amp;L'!AL:AL,'Combined P&amp;L'!$D:$D,'P&amp;L Forecast'!$B78)</f>
        <v>0</v>
      </c>
      <c r="AO78" s="54">
        <f>SUMIFS('Combined P&amp;L'!AM:AM,'Combined P&amp;L'!$D:$D,'P&amp;L Forecast'!$B78)</f>
        <v>0</v>
      </c>
      <c r="AP78" s="54">
        <f>SUMIFS('Combined P&amp;L'!AN:AN,'Combined P&amp;L'!$D:$D,'P&amp;L Forecast'!$B78)</f>
        <v>0</v>
      </c>
      <c r="AQ78" s="54">
        <f>SUMIFS('Combined P&amp;L'!AO:AO,'Combined P&amp;L'!$D:$D,'P&amp;L Forecast'!$B78)</f>
        <v>0</v>
      </c>
      <c r="AR78" s="54">
        <f>SUMIFS('Combined P&amp;L'!AP:AP,'Combined P&amp;L'!$D:$D,'P&amp;L Forecast'!$B78)</f>
        <v>0</v>
      </c>
      <c r="AS78" s="54">
        <f>SUMIFS('Combined P&amp;L'!AQ:AQ,'Combined P&amp;L'!$D:$D,'P&amp;L Forecast'!$B78)</f>
        <v>0</v>
      </c>
      <c r="AT78" s="54">
        <f>SUMIFS('Combined P&amp;L'!AR:AR,'Combined P&amp;L'!$D:$D,'P&amp;L Forecast'!$B78)</f>
        <v>0</v>
      </c>
    </row>
    <row r="79" spans="1:46" x14ac:dyDescent="0.2">
      <c r="B79" s="106" t="s">
        <v>312</v>
      </c>
      <c r="C79" s="107">
        <f>+C74+C77+C78</f>
        <v>159.7214900000001</v>
      </c>
      <c r="D79" s="108">
        <f t="shared" ref="D79" si="100">+D74+D77+D78</f>
        <v>181.52499999999986</v>
      </c>
      <c r="F79" s="112">
        <f t="shared" ref="F79:G79" si="101">+F74+F77+F78</f>
        <v>133.10259999999971</v>
      </c>
      <c r="G79" s="108">
        <f t="shared" si="101"/>
        <v>98.811950000000337</v>
      </c>
      <c r="I79" s="112">
        <f t="shared" ref="I79:K79" si="102">+I74+I77+I78</f>
        <v>179.72792999999984</v>
      </c>
      <c r="J79" s="107">
        <f t="shared" si="102"/>
        <v>179.53763000000046</v>
      </c>
      <c r="K79" s="108">
        <f t="shared" si="102"/>
        <v>171.00314000000034</v>
      </c>
      <c r="L79" s="72"/>
      <c r="M79" s="112">
        <f>+M74+M77+M78</f>
        <v>-8.534490000000087</v>
      </c>
      <c r="N79" s="114">
        <f t="shared" si="99"/>
        <v>-4.7535939958659901E-2</v>
      </c>
      <c r="P79" s="112">
        <f t="shared" ref="P79" si="103">+P74+P77+P78</f>
        <v>32.29054</v>
      </c>
      <c r="Q79" s="107">
        <f t="shared" ref="Q79" si="104">+Q74+Q77+Q78</f>
        <v>23.655570000000012</v>
      </c>
      <c r="R79" s="107">
        <f t="shared" ref="R79" si="105">+R74+R77+R78</f>
        <v>18.009040000000002</v>
      </c>
      <c r="S79" s="107">
        <f t="shared" ref="S79" si="106">+S74+S77+S78</f>
        <v>9.5496999999999819</v>
      </c>
      <c r="T79" s="107">
        <f t="shared" ref="T79" si="107">+T74+T77+T78</f>
        <v>0.97158000000002254</v>
      </c>
      <c r="U79" s="107">
        <f t="shared" ref="U79" si="108">+U74+U77+U78</f>
        <v>12.499299999999998</v>
      </c>
      <c r="V79" s="107">
        <f t="shared" ref="V79" si="109">+V74+V77+V78</f>
        <v>26.037100000000013</v>
      </c>
      <c r="W79" s="107">
        <f t="shared" ref="W79" si="110">+W74+W77+W78</f>
        <v>28.863819999999997</v>
      </c>
      <c r="X79" s="107">
        <f t="shared" ref="X79" si="111">+X74+X77+X78</f>
        <v>13.307770000000003</v>
      </c>
      <c r="Y79" s="107">
        <f t="shared" ref="Y79" si="112">+Y74+Y77+Y78</f>
        <v>11.887049999999981</v>
      </c>
      <c r="Z79" s="107">
        <f t="shared" ref="Z79" si="113">+Z74+Z77+Z78</f>
        <v>-11.492329999999995</v>
      </c>
      <c r="AA79" s="107">
        <f t="shared" ref="AA79" si="114">+AA74+AA77+AA78</f>
        <v>-5.8576499999999774</v>
      </c>
      <c r="AB79" s="107">
        <f t="shared" ref="AB79" si="115">+AB74+AB77+AB78</f>
        <v>22.968349999999969</v>
      </c>
      <c r="AC79" s="107">
        <f t="shared" ref="AC79" si="116">+AC74+AC77+AC78</f>
        <v>7.7114299999999965</v>
      </c>
      <c r="AD79" s="107">
        <f t="shared" ref="AD79" si="117">+AD74+AD77+AD78</f>
        <v>20.569610000000004</v>
      </c>
      <c r="AE79" s="107">
        <f t="shared" ref="AE79" si="118">+AE74+AE77+AE78</f>
        <v>11.874110000000014</v>
      </c>
      <c r="AF79" s="107">
        <f t="shared" ref="AF79" si="119">+AF74+AF77+AF78</f>
        <v>26.542110000000005</v>
      </c>
      <c r="AG79" s="107">
        <f t="shared" ref="AG79" si="120">+AG74+AG77+AG78</f>
        <v>27.316559999999978</v>
      </c>
      <c r="AH79" s="107">
        <f t="shared" ref="AH79" si="121">+AH74+AH77+AH78</f>
        <v>16.120429999999988</v>
      </c>
      <c r="AI79" s="107">
        <f t="shared" ref="AI79" si="122">+AI74+AI77+AI78</f>
        <v>19.229669999999974</v>
      </c>
      <c r="AJ79" s="107">
        <f t="shared" ref="AJ79" si="123">+AJ74+AJ77+AJ78</f>
        <v>7.848880000000011</v>
      </c>
      <c r="AK79" s="107">
        <f t="shared" ref="AK79" si="124">+AK74+AK77+AK78</f>
        <v>3.6454200000000059</v>
      </c>
      <c r="AL79" s="107">
        <f t="shared" ref="AL79" si="125">+AL74+AL77+AL78</f>
        <v>15.640230000000038</v>
      </c>
      <c r="AM79" s="107">
        <f t="shared" ref="AM79" si="126">+AM74+AM77+AM78</f>
        <v>2.0581999999999891</v>
      </c>
      <c r="AN79" s="107">
        <f t="shared" ref="AN79" si="127">+AN74+AN77+AN78</f>
        <v>31.934469999999948</v>
      </c>
      <c r="AO79" s="107">
        <f t="shared" ref="AO79" si="128">+AO74+AO77+AO78</f>
        <v>70.484479999999976</v>
      </c>
      <c r="AP79" s="107">
        <f t="shared" ref="AP79" si="129">+AP74+AP77+AP78</f>
        <v>-8.7511300000000194</v>
      </c>
      <c r="AQ79" s="107">
        <f t="shared" ref="AQ79" si="130">+AQ74+AQ77+AQ78</f>
        <v>0.52660999999997493</v>
      </c>
      <c r="AR79" s="107">
        <f t="shared" ref="AR79" si="131">+AR74+AR77+AR78</f>
        <v>10.1974</v>
      </c>
      <c r="AS79" s="107">
        <f t="shared" ref="AS79" si="132">+AS74+AS77+AS78</f>
        <v>10.60297000000007</v>
      </c>
      <c r="AT79" s="108">
        <f t="shared" ref="AT79" si="133">+AT74+AT77+AT78</f>
        <v>-16.182849999999998</v>
      </c>
    </row>
    <row r="80" spans="1:46" s="99" customFormat="1" x14ac:dyDescent="0.2">
      <c r="B80" s="109" t="s">
        <v>307</v>
      </c>
      <c r="C80" s="110">
        <f>C79/C$24</f>
        <v>0.14072801397504611</v>
      </c>
      <c r="D80" s="111">
        <f>D79/D$24</f>
        <v>9.6587543594689962E-2</v>
      </c>
      <c r="F80" s="113">
        <f>F79/F$24</f>
        <v>0.13338629932002349</v>
      </c>
      <c r="G80" s="111">
        <f>G79/G$24</f>
        <v>5.9132672882905579E-2</v>
      </c>
      <c r="I80" s="113">
        <f>I79/I$24</f>
        <v>0.12195594509407229</v>
      </c>
      <c r="J80" s="110">
        <f>J79/J$24</f>
        <v>7.308717342824371E-2</v>
      </c>
      <c r="K80" s="111">
        <f>K79/K$24</f>
        <v>5.5641800570485338E-2</v>
      </c>
      <c r="L80" s="105"/>
      <c r="M80" s="113">
        <v>0</v>
      </c>
      <c r="N80" s="115">
        <v>0</v>
      </c>
      <c r="P80" s="113">
        <f t="shared" ref="P80" si="134">P79/P$24</f>
        <v>0.39907678731874074</v>
      </c>
      <c r="Q80" s="110">
        <f t="shared" ref="Q80" si="135">Q79/Q$24</f>
        <v>0.29112505338087064</v>
      </c>
      <c r="R80" s="110">
        <f t="shared" ref="R80" si="136">R79/R$24</f>
        <v>0.23055348588312713</v>
      </c>
      <c r="S80" s="110">
        <f t="shared" ref="S80" si="137">S79/S$24</f>
        <v>0.11456894927975236</v>
      </c>
      <c r="T80" s="110">
        <f t="shared" ref="T80" si="138">T79/T$24</f>
        <v>1.0771856670157455E-2</v>
      </c>
      <c r="U80" s="110">
        <f t="shared" ref="U80" si="139">U79/U$24</f>
        <v>0.13901116377766753</v>
      </c>
      <c r="V80" s="110">
        <f t="shared" ref="V80" si="140">V79/V$24</f>
        <v>0.24872554559258261</v>
      </c>
      <c r="W80" s="110">
        <f t="shared" ref="W80" si="141">W79/W$24</f>
        <v>0.27722551846845006</v>
      </c>
      <c r="X80" s="110">
        <f t="shared" ref="X80" si="142">X79/X$24</f>
        <v>0.13527902798285099</v>
      </c>
      <c r="Y80" s="110">
        <f t="shared" ref="Y80" si="143">Y79/Y$24</f>
        <v>0.11999981828992633</v>
      </c>
      <c r="Z80" s="110">
        <f t="shared" ref="Z80" si="144">Z79/Z$24</f>
        <v>-0.10520518174652793</v>
      </c>
      <c r="AA80" s="110">
        <f t="shared" ref="AA80" si="145">AA79/AA$24</f>
        <v>-5.0605238706767766E-2</v>
      </c>
      <c r="AB80" s="110">
        <f t="shared" ref="AB80" si="146">AB79/AB$24</f>
        <v>0.16564205692164158</v>
      </c>
      <c r="AC80" s="110">
        <f t="shared" ref="AC80" si="147">AC79/AC$24</f>
        <v>6.0338600310165809E-2</v>
      </c>
      <c r="AD80" s="110">
        <f t="shared" ref="AD80" si="148">AD79/AD$24</f>
        <v>0.15273468961636139</v>
      </c>
      <c r="AE80" s="110">
        <f t="shared" ref="AE80" si="149">AE79/AE$24</f>
        <v>8.7325299539035034E-2</v>
      </c>
      <c r="AF80" s="110">
        <f t="shared" ref="AF80" si="150">AF79/AF$24</f>
        <v>0.17456043730555884</v>
      </c>
      <c r="AG80" s="110">
        <f t="shared" ref="AG80" si="151">AG79/AG$24</f>
        <v>0.17816113769298694</v>
      </c>
      <c r="AH80" s="110">
        <f t="shared" ref="AH80" si="152">AH79/AH$24</f>
        <v>0.10374790241109608</v>
      </c>
      <c r="AI80" s="110">
        <f t="shared" ref="AI80" si="153">AI79/AI$24</f>
        <v>0.12028066972025087</v>
      </c>
      <c r="AJ80" s="110">
        <f t="shared" ref="AJ80" si="154">AJ79/AJ$24</f>
        <v>4.7859254931776868E-2</v>
      </c>
      <c r="AK80" s="110">
        <f t="shared" ref="AK80" si="155">AK79/AK$24</f>
        <v>2.0337724659938893E-2</v>
      </c>
      <c r="AL80" s="110">
        <f t="shared" ref="AL80" si="156">AL79/AL$24</f>
        <v>8.6081677982425039E-2</v>
      </c>
      <c r="AM80" s="110">
        <f t="shared" ref="AM80" si="157">AM79/AM$24</f>
        <v>1.0463507665477609E-2</v>
      </c>
      <c r="AN80" s="110">
        <f t="shared" ref="AN80" si="158">AN79/AN$24</f>
        <v>0.15050224802767362</v>
      </c>
      <c r="AO80" s="110">
        <f t="shared" ref="AO80" si="159">AO79/AO$24</f>
        <v>0.29138294669808606</v>
      </c>
      <c r="AP80" s="110">
        <f t="shared" ref="AP80" si="160">AP79/AP$24</f>
        <v>-3.7802616769624181E-2</v>
      </c>
      <c r="AQ80" s="110">
        <f t="shared" ref="AQ80" si="161">AQ79/AQ$24</f>
        <v>2.1912914505011804E-3</v>
      </c>
      <c r="AR80" s="110">
        <f t="shared" ref="AR80" si="162">AR79/AR$24</f>
        <v>4.1419364875181185E-2</v>
      </c>
      <c r="AS80" s="110">
        <f t="shared" ref="AS80" si="163">AS79/AS$24</f>
        <v>4.2840403993062083E-2</v>
      </c>
      <c r="AT80" s="111">
        <f t="shared" ref="AT80" si="164">AT79/AT$24</f>
        <v>-6.4364304625001756E-2</v>
      </c>
    </row>
    <row r="81" spans="2:46" ht="3.95" customHeight="1" x14ac:dyDescent="0.2"/>
    <row r="82" spans="2:46" x14ac:dyDescent="0.2">
      <c r="B82" s="43" t="s">
        <v>323</v>
      </c>
      <c r="C82" s="44"/>
      <c r="D82" s="44"/>
      <c r="E82" s="6"/>
      <c r="F82" s="44"/>
      <c r="G82" s="44"/>
      <c r="H82" s="6"/>
      <c r="I82" s="44"/>
      <c r="J82" s="44"/>
      <c r="K82" s="44"/>
      <c r="L82" s="6"/>
      <c r="M82" s="44"/>
      <c r="N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</row>
    <row r="83" spans="2:46" x14ac:dyDescent="0.2">
      <c r="B83" s="125" t="s">
        <v>326</v>
      </c>
      <c r="C83" s="66">
        <f>-$C$165+C$31</f>
        <v>-200</v>
      </c>
      <c r="D83" s="66">
        <f>-$C$165+D$31</f>
        <v>-109.33296</v>
      </c>
      <c r="E83" s="24"/>
      <c r="F83" s="66">
        <f>-$C$165/12*7+F$31</f>
        <v>-71.200546666666668</v>
      </c>
      <c r="G83" s="66">
        <f>-$C$165/12*7+G$31</f>
        <v>-53.523646666666679</v>
      </c>
      <c r="H83" s="24"/>
      <c r="I83" s="66">
        <f>-$C$165+I$31</f>
        <v>-164.05674999999999</v>
      </c>
      <c r="J83" s="66">
        <f>-$C$165+J$31</f>
        <v>-91.656059999999997</v>
      </c>
      <c r="K83" s="66">
        <f>-$C$165+K$31</f>
        <v>-91.656059999999997</v>
      </c>
      <c r="L83" s="66"/>
      <c r="M83" s="24">
        <f t="shared" ref="M83" si="165">K83-J83</f>
        <v>0</v>
      </c>
      <c r="N83" s="67">
        <f t="shared" ref="N83" si="166">IFERROR(K83/J83-1,0)</f>
        <v>0</v>
      </c>
      <c r="P83" s="66">
        <f>-$C$165/12+P$31</f>
        <v>-16.666666666666668</v>
      </c>
      <c r="Q83" s="66">
        <f>-$C$165/12+Q$31</f>
        <v>-16.666666666666668</v>
      </c>
      <c r="R83" s="66">
        <f>-$C$165/12+R$31</f>
        <v>-16.666666666666668</v>
      </c>
      <c r="S83" s="66">
        <f>-$C$165/12+S$31</f>
        <v>-16.666666666666668</v>
      </c>
      <c r="T83" s="66">
        <f>-$C$165/12+T$31</f>
        <v>-16.666666666666668</v>
      </c>
      <c r="U83" s="66">
        <f>-$C$165/12+U$31</f>
        <v>-16.666666666666668</v>
      </c>
      <c r="V83" s="66">
        <f>-$C$165/12+V$31</f>
        <v>-16.666666666666668</v>
      </c>
      <c r="W83" s="66">
        <f>-$C$165/12+W$31</f>
        <v>-16.666666666666668</v>
      </c>
      <c r="X83" s="66">
        <f>-$C$165/12+X$31</f>
        <v>-16.666666666666668</v>
      </c>
      <c r="Y83" s="66">
        <f>-$C$165/12+Y$31</f>
        <v>-16.666666666666668</v>
      </c>
      <c r="Z83" s="66">
        <f>-$C$165/12+Z$31</f>
        <v>-16.666666666666668</v>
      </c>
      <c r="AA83" s="66">
        <f>-$C$165/12+AA$31</f>
        <v>-16.666666666666668</v>
      </c>
      <c r="AB83" s="66">
        <f>-$C$165/12+AB$31</f>
        <v>-16.666666666666668</v>
      </c>
      <c r="AC83" s="66">
        <f>-$C$165/12+AC$31</f>
        <v>-16.666666666666668</v>
      </c>
      <c r="AD83" s="66">
        <f>-$C$165/12+AD$31</f>
        <v>-7.7602766666666678</v>
      </c>
      <c r="AE83" s="66">
        <f>-$C$165/12+AE$31</f>
        <v>-7.4334366666666689</v>
      </c>
      <c r="AF83" s="66">
        <f>-$C$165/12+AF$31</f>
        <v>-7.5578266666666671</v>
      </c>
      <c r="AG83" s="66">
        <f>-$C$165/12+AG$31</f>
        <v>-7.9718766666666667</v>
      </c>
      <c r="AH83" s="66">
        <f>-$C$165/12+AH$31</f>
        <v>-7.1437966666666668</v>
      </c>
      <c r="AI83" s="66">
        <f>-$C$165/12+AI$31</f>
        <v>-7.9718566666666675</v>
      </c>
      <c r="AJ83" s="66">
        <f>-$C$165/12+AJ$31</f>
        <v>-7.5578266666666671</v>
      </c>
      <c r="AK83" s="66">
        <f>-$C$165/12+AK$31</f>
        <v>-7.1437966666666668</v>
      </c>
      <c r="AL83" s="66">
        <f>-$C$165/12+AL$31</f>
        <v>-8.3859066666666671</v>
      </c>
      <c r="AM83" s="66">
        <f>-$C$165/12+AM$31</f>
        <v>-7.073026666666669</v>
      </c>
      <c r="AN83" s="66">
        <f>-$C$165/12+AN$31</f>
        <v>-7.3904566666666689</v>
      </c>
      <c r="AO83" s="66">
        <f>-$C$165/12+AO$31</f>
        <v>-8.3440366666666694</v>
      </c>
      <c r="AP83" s="66">
        <f>-$C$165/12+AP$31</f>
        <v>-7.5578366666666685</v>
      </c>
      <c r="AQ83" s="66">
        <f>-$C$165/12+AQ$31</f>
        <v>-7.5578366666666685</v>
      </c>
      <c r="AR83" s="66">
        <f>-$C$165/12+AR$31</f>
        <v>-7.9718566666666675</v>
      </c>
      <c r="AS83" s="66">
        <f>-$C$165/12+AS$31</f>
        <v>-7.5578266666666671</v>
      </c>
      <c r="AT83" s="66">
        <f>-$C$165/12+AT$31</f>
        <v>-7.1437966666666668</v>
      </c>
    </row>
    <row r="84" spans="2:46" ht="12" customHeight="1" x14ac:dyDescent="0.2">
      <c r="B84" s="117" t="s">
        <v>317</v>
      </c>
      <c r="C84" s="118">
        <v>0</v>
      </c>
      <c r="D84" s="118">
        <v>0</v>
      </c>
      <c r="F84" s="118">
        <v>0</v>
      </c>
      <c r="G84" s="118">
        <v>0</v>
      </c>
      <c r="I84" s="118">
        <v>0</v>
      </c>
      <c r="J84" s="118">
        <v>0</v>
      </c>
      <c r="K84" s="118">
        <v>100</v>
      </c>
      <c r="M84" s="24">
        <f>K84-J84</f>
        <v>100</v>
      </c>
      <c r="N84" s="67">
        <f t="shared" ref="N84" si="167">IFERROR(K84/J84-1,0)</f>
        <v>0</v>
      </c>
      <c r="P84" s="118">
        <v>0</v>
      </c>
      <c r="Q84" s="118">
        <v>0</v>
      </c>
      <c r="R84" s="118">
        <v>0</v>
      </c>
      <c r="S84" s="118">
        <v>0</v>
      </c>
      <c r="T84" s="118">
        <v>0</v>
      </c>
      <c r="U84" s="118">
        <v>0</v>
      </c>
      <c r="V84" s="118">
        <v>0</v>
      </c>
      <c r="W84" s="118">
        <v>0</v>
      </c>
      <c r="X84" s="118">
        <v>0</v>
      </c>
      <c r="Y84" s="118">
        <v>0</v>
      </c>
      <c r="Z84" s="118">
        <v>0</v>
      </c>
      <c r="AA84" s="118">
        <v>0</v>
      </c>
      <c r="AB84" s="118">
        <v>0</v>
      </c>
      <c r="AC84" s="118">
        <v>0</v>
      </c>
      <c r="AD84" s="118">
        <v>0</v>
      </c>
      <c r="AE84" s="118">
        <v>0</v>
      </c>
      <c r="AF84" s="118">
        <v>0</v>
      </c>
      <c r="AG84" s="118">
        <v>0</v>
      </c>
      <c r="AH84" s="118">
        <v>0</v>
      </c>
      <c r="AI84" s="118">
        <v>0</v>
      </c>
      <c r="AJ84" s="118">
        <v>0</v>
      </c>
      <c r="AK84" s="118">
        <v>0</v>
      </c>
      <c r="AL84" s="118">
        <v>0</v>
      </c>
      <c r="AM84" s="118">
        <v>0</v>
      </c>
      <c r="AN84" s="118">
        <v>0</v>
      </c>
      <c r="AO84" s="118">
        <v>0</v>
      </c>
      <c r="AP84" s="118">
        <v>0</v>
      </c>
      <c r="AQ84" s="118">
        <v>0</v>
      </c>
      <c r="AR84" s="118">
        <v>0</v>
      </c>
      <c r="AS84" s="118">
        <v>0</v>
      </c>
      <c r="AT84" s="118">
        <v>0</v>
      </c>
    </row>
    <row r="85" spans="2:46" ht="12" customHeight="1" x14ac:dyDescent="0.2">
      <c r="B85" s="117" t="s">
        <v>336</v>
      </c>
      <c r="C85" s="66">
        <f>+C44-$C$167</f>
        <v>0</v>
      </c>
      <c r="D85" s="66">
        <f>+D44-$C$167</f>
        <v>8.8067000000000029</v>
      </c>
      <c r="F85" s="66">
        <f>+F44-$C$167/12*7</f>
        <v>1.3773541666666684</v>
      </c>
      <c r="G85" s="66">
        <f>+G44-$C$167/12*7</f>
        <v>46.913354166666664</v>
      </c>
      <c r="I85" s="66">
        <f>+I44-$C$167</f>
        <v>4.6810000000000045</v>
      </c>
      <c r="J85" s="66">
        <f>+J44-$C$167</f>
        <v>35.392700000000005</v>
      </c>
      <c r="K85" s="66">
        <f>+K44-$C$167</f>
        <v>35.392700000000005</v>
      </c>
      <c r="M85" s="24"/>
      <c r="N85" s="67"/>
      <c r="P85" s="66">
        <f>+P44-$C$167/12</f>
        <v>-1.5195208333333332</v>
      </c>
      <c r="Q85" s="66">
        <f t="shared" ref="Q85:AT85" si="168">+Q44-$C$167/12</f>
        <v>-0.35302083333333312</v>
      </c>
      <c r="R85" s="66">
        <f t="shared" si="168"/>
        <v>-0.35302083333333312</v>
      </c>
      <c r="S85" s="66">
        <f t="shared" si="168"/>
        <v>-0.35285083333333311</v>
      </c>
      <c r="T85" s="66">
        <f t="shared" si="168"/>
        <v>-0.35285083333333311</v>
      </c>
      <c r="U85" s="66">
        <f t="shared" si="168"/>
        <v>1.1471391666666666</v>
      </c>
      <c r="V85" s="66">
        <f t="shared" si="168"/>
        <v>-0.35285083333333311</v>
      </c>
      <c r="W85" s="66">
        <f t="shared" si="168"/>
        <v>-0.35285083333333311</v>
      </c>
      <c r="X85" s="66">
        <f t="shared" si="168"/>
        <v>1.5483891666666667</v>
      </c>
      <c r="Y85" s="66">
        <f t="shared" si="168"/>
        <v>-0.35285083333333311</v>
      </c>
      <c r="Z85" s="66">
        <f t="shared" si="168"/>
        <v>0.64714916666666666</v>
      </c>
      <c r="AA85" s="66">
        <f t="shared" si="168"/>
        <v>0.6471391666666666</v>
      </c>
      <c r="AB85" s="66">
        <f t="shared" si="168"/>
        <v>0.64714916666666666</v>
      </c>
      <c r="AC85" s="66">
        <f t="shared" si="168"/>
        <v>0.64714916666666666</v>
      </c>
      <c r="AD85" s="66">
        <f t="shared" si="168"/>
        <v>0.6471391666666666</v>
      </c>
      <c r="AE85" s="66">
        <f t="shared" si="168"/>
        <v>1.241149166666667</v>
      </c>
      <c r="AF85" s="66">
        <f t="shared" si="168"/>
        <v>6.7149166666666815E-2</v>
      </c>
      <c r="AG85" s="66">
        <f t="shared" si="168"/>
        <v>-0.35286083333333318</v>
      </c>
      <c r="AH85" s="66">
        <f t="shared" si="168"/>
        <v>-1.5195208333333332</v>
      </c>
      <c r="AI85" s="66">
        <f t="shared" si="168"/>
        <v>-1.3195208333333333</v>
      </c>
      <c r="AJ85" s="66">
        <f t="shared" si="168"/>
        <v>-0.19257083333333314</v>
      </c>
      <c r="AK85" s="66">
        <f t="shared" si="168"/>
        <v>-1.5195208333333332</v>
      </c>
      <c r="AL85" s="66">
        <f t="shared" si="168"/>
        <v>4.480479166666667</v>
      </c>
      <c r="AM85" s="66">
        <f t="shared" si="168"/>
        <v>5.980479166666667</v>
      </c>
      <c r="AN85" s="66">
        <f t="shared" si="168"/>
        <v>-1.5195208333333332</v>
      </c>
      <c r="AO85" s="66">
        <f t="shared" si="168"/>
        <v>-1.5195208333333332</v>
      </c>
      <c r="AP85" s="66">
        <f t="shared" si="168"/>
        <v>5.0804791666666667</v>
      </c>
      <c r="AQ85" s="66">
        <f t="shared" si="168"/>
        <v>12.480479166666667</v>
      </c>
      <c r="AR85" s="66">
        <f t="shared" si="168"/>
        <v>16.480479166666665</v>
      </c>
      <c r="AS85" s="66">
        <f t="shared" si="168"/>
        <v>-1.5195208333333332</v>
      </c>
      <c r="AT85" s="66">
        <f t="shared" si="168"/>
        <v>17.430479166666665</v>
      </c>
    </row>
    <row r="86" spans="2:46" x14ac:dyDescent="0.2">
      <c r="B86" s="117" t="s">
        <v>331</v>
      </c>
      <c r="C86" s="118">
        <v>0</v>
      </c>
      <c r="D86" s="118">
        <v>0</v>
      </c>
      <c r="F86" s="118">
        <v>0</v>
      </c>
      <c r="G86" s="118">
        <v>0</v>
      </c>
      <c r="I86" s="118">
        <v>0</v>
      </c>
      <c r="J86" s="118">
        <v>0</v>
      </c>
      <c r="K86" s="118">
        <v>0</v>
      </c>
      <c r="M86" s="24">
        <f>K86-J86</f>
        <v>0</v>
      </c>
      <c r="N86" s="67">
        <f t="shared" ref="N86" si="169">IFERROR(K86/J86-1,0)</f>
        <v>0</v>
      </c>
      <c r="P86" s="118">
        <v>0</v>
      </c>
      <c r="Q86" s="118">
        <v>0</v>
      </c>
      <c r="R86" s="118">
        <v>0</v>
      </c>
      <c r="S86" s="118">
        <v>0</v>
      </c>
      <c r="T86" s="118">
        <v>0</v>
      </c>
      <c r="U86" s="118">
        <v>0</v>
      </c>
      <c r="V86" s="118">
        <v>0</v>
      </c>
      <c r="W86" s="118">
        <v>0</v>
      </c>
      <c r="X86" s="118">
        <v>0</v>
      </c>
      <c r="Y86" s="118">
        <v>0</v>
      </c>
      <c r="Z86" s="118">
        <v>0</v>
      </c>
      <c r="AA86" s="118">
        <v>0</v>
      </c>
      <c r="AB86" s="118">
        <v>0</v>
      </c>
      <c r="AC86" s="118">
        <v>0</v>
      </c>
      <c r="AD86" s="118">
        <v>0</v>
      </c>
      <c r="AE86" s="118">
        <v>0</v>
      </c>
      <c r="AF86" s="118">
        <v>0</v>
      </c>
      <c r="AG86" s="118">
        <v>0</v>
      </c>
      <c r="AH86" s="118">
        <v>0</v>
      </c>
      <c r="AI86" s="118">
        <v>0</v>
      </c>
      <c r="AJ86" s="118">
        <v>0</v>
      </c>
      <c r="AK86" s="118">
        <v>0</v>
      </c>
      <c r="AL86" s="118">
        <v>0</v>
      </c>
      <c r="AM86" s="118">
        <v>0</v>
      </c>
      <c r="AN86" s="118">
        <v>0</v>
      </c>
      <c r="AO86" s="118">
        <v>0</v>
      </c>
      <c r="AP86" s="118">
        <v>0</v>
      </c>
      <c r="AQ86" s="118">
        <v>0</v>
      </c>
      <c r="AR86" s="118">
        <v>0</v>
      </c>
      <c r="AS86" s="118">
        <v>0</v>
      </c>
      <c r="AT86" s="118">
        <v>0</v>
      </c>
    </row>
    <row r="87" spans="2:46" x14ac:dyDescent="0.2">
      <c r="B87" s="117" t="s">
        <v>338</v>
      </c>
      <c r="C87" s="118">
        <v>0</v>
      </c>
      <c r="D87" s="118">
        <v>0</v>
      </c>
      <c r="F87" s="118">
        <v>0</v>
      </c>
      <c r="G87" s="118">
        <v>0</v>
      </c>
      <c r="I87" s="118">
        <v>0</v>
      </c>
      <c r="J87" s="118">
        <v>0</v>
      </c>
      <c r="K87" s="118">
        <v>0</v>
      </c>
      <c r="M87" s="24">
        <f>K87-J87</f>
        <v>0</v>
      </c>
      <c r="N87" s="67">
        <f t="shared" ref="N87" si="170">IFERROR(K87/J87-1,0)</f>
        <v>0</v>
      </c>
      <c r="P87" s="118">
        <v>0</v>
      </c>
      <c r="Q87" s="118">
        <v>0</v>
      </c>
      <c r="R87" s="118">
        <v>0</v>
      </c>
      <c r="S87" s="118">
        <v>0</v>
      </c>
      <c r="T87" s="118">
        <v>0</v>
      </c>
      <c r="U87" s="118">
        <v>0</v>
      </c>
      <c r="V87" s="118">
        <v>0</v>
      </c>
      <c r="W87" s="118">
        <v>0</v>
      </c>
      <c r="X87" s="118">
        <v>0</v>
      </c>
      <c r="Y87" s="118">
        <v>0</v>
      </c>
      <c r="Z87" s="118">
        <v>0</v>
      </c>
      <c r="AA87" s="118">
        <v>0</v>
      </c>
      <c r="AB87" s="118">
        <v>0</v>
      </c>
      <c r="AC87" s="118">
        <v>0</v>
      </c>
      <c r="AD87" s="118">
        <v>0</v>
      </c>
      <c r="AE87" s="118">
        <v>0</v>
      </c>
      <c r="AF87" s="118">
        <v>0</v>
      </c>
      <c r="AG87" s="118">
        <v>0</v>
      </c>
      <c r="AH87" s="118">
        <v>0</v>
      </c>
      <c r="AI87" s="118">
        <v>0</v>
      </c>
      <c r="AJ87" s="118">
        <v>0</v>
      </c>
      <c r="AK87" s="118">
        <v>0</v>
      </c>
      <c r="AL87" s="118">
        <v>0</v>
      </c>
      <c r="AM87" s="118">
        <v>0</v>
      </c>
      <c r="AN87" s="118">
        <v>0</v>
      </c>
      <c r="AO87" s="118">
        <v>0</v>
      </c>
      <c r="AP87" s="118">
        <v>0</v>
      </c>
      <c r="AQ87" s="118">
        <v>0</v>
      </c>
      <c r="AR87" s="118">
        <v>0</v>
      </c>
      <c r="AS87" s="118">
        <v>0</v>
      </c>
      <c r="AT87" s="118">
        <v>0</v>
      </c>
    </row>
    <row r="88" spans="2:46" x14ac:dyDescent="0.2">
      <c r="B88" s="125" t="s">
        <v>332</v>
      </c>
      <c r="C88" s="118">
        <v>0</v>
      </c>
      <c r="D88" s="118">
        <v>0</v>
      </c>
      <c r="F88" s="118">
        <v>0</v>
      </c>
      <c r="G88" s="118">
        <v>0</v>
      </c>
      <c r="I88" s="118">
        <v>0</v>
      </c>
      <c r="J88" s="118">
        <v>0</v>
      </c>
      <c r="K88" s="118">
        <v>0</v>
      </c>
      <c r="M88" s="24">
        <f>K88-J88</f>
        <v>0</v>
      </c>
      <c r="N88" s="67">
        <f t="shared" ref="N88:N91" si="171">IFERROR(K88/J88-1,0)</f>
        <v>0</v>
      </c>
      <c r="P88" s="118">
        <v>0</v>
      </c>
      <c r="Q88" s="118">
        <v>0</v>
      </c>
      <c r="R88" s="118">
        <v>0</v>
      </c>
      <c r="S88" s="118">
        <v>0</v>
      </c>
      <c r="T88" s="118">
        <v>0</v>
      </c>
      <c r="U88" s="118">
        <v>0</v>
      </c>
      <c r="V88" s="118">
        <v>0</v>
      </c>
      <c r="W88" s="118">
        <v>0</v>
      </c>
      <c r="X88" s="118">
        <v>0</v>
      </c>
      <c r="Y88" s="118">
        <v>0</v>
      </c>
      <c r="Z88" s="118">
        <v>0</v>
      </c>
      <c r="AA88" s="118">
        <v>0</v>
      </c>
      <c r="AB88" s="118">
        <v>0</v>
      </c>
      <c r="AC88" s="118">
        <v>0</v>
      </c>
      <c r="AD88" s="118">
        <v>0</v>
      </c>
      <c r="AE88" s="118">
        <v>0</v>
      </c>
      <c r="AF88" s="118">
        <v>0</v>
      </c>
      <c r="AG88" s="118">
        <v>0</v>
      </c>
      <c r="AH88" s="118">
        <v>0</v>
      </c>
      <c r="AI88" s="118">
        <v>0</v>
      </c>
      <c r="AJ88" s="118">
        <v>0</v>
      </c>
      <c r="AK88" s="118">
        <v>0</v>
      </c>
      <c r="AL88" s="118">
        <v>0</v>
      </c>
      <c r="AM88" s="118">
        <v>0</v>
      </c>
      <c r="AN88" s="118">
        <v>0</v>
      </c>
      <c r="AO88" s="118">
        <v>0</v>
      </c>
      <c r="AP88" s="118">
        <v>0</v>
      </c>
      <c r="AQ88" s="118">
        <v>0</v>
      </c>
      <c r="AR88" s="118">
        <v>0</v>
      </c>
      <c r="AS88" s="118">
        <v>0</v>
      </c>
      <c r="AT88" s="118">
        <v>0</v>
      </c>
    </row>
    <row r="89" spans="2:46" x14ac:dyDescent="0.2">
      <c r="B89" s="94" t="s">
        <v>335</v>
      </c>
      <c r="C89" s="60">
        <f>SUM(C83:C88)</f>
        <v>-200</v>
      </c>
      <c r="D89" s="60">
        <f>SUM(D83:D88)</f>
        <v>-100.52625999999999</v>
      </c>
      <c r="F89" s="60">
        <f t="shared" ref="F89:G89" si="172">SUM(F83:F88)</f>
        <v>-69.823192500000005</v>
      </c>
      <c r="G89" s="60">
        <f t="shared" si="172"/>
        <v>-6.6102925000000141</v>
      </c>
      <c r="I89" s="60">
        <f t="shared" ref="I89:K89" si="173">SUM(I83:I88)</f>
        <v>-159.37574999999998</v>
      </c>
      <c r="J89" s="60">
        <f t="shared" si="173"/>
        <v>-56.263359999999992</v>
      </c>
      <c r="K89" s="60">
        <f t="shared" si="173"/>
        <v>43.736640000000008</v>
      </c>
      <c r="L89" s="72"/>
      <c r="M89" s="60">
        <f>SUM(M83:M88)</f>
        <v>100</v>
      </c>
      <c r="N89" s="92">
        <f t="shared" si="171"/>
        <v>-1.7773556360658165</v>
      </c>
      <c r="P89" s="60">
        <f t="shared" ref="P89:AT89" si="174">SUM(P83:P88)</f>
        <v>-18.186187500000003</v>
      </c>
      <c r="Q89" s="60">
        <f t="shared" si="174"/>
        <v>-17.0196875</v>
      </c>
      <c r="R89" s="60">
        <f t="shared" si="174"/>
        <v>-17.0196875</v>
      </c>
      <c r="S89" s="60">
        <f t="shared" si="174"/>
        <v>-17.019517499999999</v>
      </c>
      <c r="T89" s="60">
        <f t="shared" si="174"/>
        <v>-17.019517499999999</v>
      </c>
      <c r="U89" s="60">
        <f t="shared" si="174"/>
        <v>-15.519527500000001</v>
      </c>
      <c r="V89" s="60">
        <f t="shared" si="174"/>
        <v>-17.019517499999999</v>
      </c>
      <c r="W89" s="60">
        <f t="shared" si="174"/>
        <v>-17.019517499999999</v>
      </c>
      <c r="X89" s="60">
        <f t="shared" si="174"/>
        <v>-15.118277500000001</v>
      </c>
      <c r="Y89" s="60">
        <f t="shared" si="174"/>
        <v>-17.019517499999999</v>
      </c>
      <c r="Z89" s="60">
        <f t="shared" si="174"/>
        <v>-16.019517500000003</v>
      </c>
      <c r="AA89" s="60">
        <f t="shared" si="174"/>
        <v>-16.019527500000002</v>
      </c>
      <c r="AB89" s="60">
        <f t="shared" si="174"/>
        <v>-16.019517500000003</v>
      </c>
      <c r="AC89" s="60">
        <f t="shared" si="174"/>
        <v>-16.019517500000003</v>
      </c>
      <c r="AD89" s="60">
        <f t="shared" si="174"/>
        <v>-7.1131375000000014</v>
      </c>
      <c r="AE89" s="60">
        <f t="shared" si="174"/>
        <v>-6.1922875000000017</v>
      </c>
      <c r="AF89" s="60">
        <f t="shared" si="174"/>
        <v>-7.4906775000000003</v>
      </c>
      <c r="AG89" s="60">
        <f t="shared" si="174"/>
        <v>-8.3247374999999995</v>
      </c>
      <c r="AH89" s="60">
        <f t="shared" si="174"/>
        <v>-8.6633174999999998</v>
      </c>
      <c r="AI89" s="60">
        <f t="shared" si="174"/>
        <v>-9.2913775000000012</v>
      </c>
      <c r="AJ89" s="60">
        <f t="shared" si="174"/>
        <v>-7.7503975000000001</v>
      </c>
      <c r="AK89" s="60">
        <f t="shared" si="174"/>
        <v>-8.6633174999999998</v>
      </c>
      <c r="AL89" s="60">
        <f t="shared" si="174"/>
        <v>-3.9054275000000001</v>
      </c>
      <c r="AM89" s="60">
        <f t="shared" si="174"/>
        <v>-1.092547500000002</v>
      </c>
      <c r="AN89" s="60">
        <f t="shared" si="174"/>
        <v>-8.9099775000000019</v>
      </c>
      <c r="AO89" s="60">
        <f t="shared" si="174"/>
        <v>-9.8635575000000024</v>
      </c>
      <c r="AP89" s="60">
        <f t="shared" si="174"/>
        <v>-2.4773575000000019</v>
      </c>
      <c r="AQ89" s="60">
        <f t="shared" si="174"/>
        <v>4.9226424999999985</v>
      </c>
      <c r="AR89" s="60">
        <f t="shared" si="174"/>
        <v>8.5086224999999978</v>
      </c>
      <c r="AS89" s="60">
        <f t="shared" si="174"/>
        <v>-9.0773475000000001</v>
      </c>
      <c r="AT89" s="60">
        <f t="shared" si="174"/>
        <v>10.286682499999998</v>
      </c>
    </row>
    <row r="90" spans="2:46" ht="3.95" customHeight="1" x14ac:dyDescent="0.2">
      <c r="B90" s="125"/>
      <c r="C90" s="118"/>
      <c r="D90" s="118"/>
      <c r="F90" s="118"/>
      <c r="G90" s="118"/>
      <c r="I90" s="118"/>
      <c r="J90" s="118"/>
      <c r="K90" s="118"/>
      <c r="M90" s="24"/>
      <c r="N90" s="67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</row>
    <row r="91" spans="2:46" x14ac:dyDescent="0.2">
      <c r="B91" s="106" t="s">
        <v>334</v>
      </c>
      <c r="C91" s="107">
        <f>+C89+C79</f>
        <v>-40.278509999999898</v>
      </c>
      <c r="D91" s="108">
        <f>+D89+D79</f>
        <v>80.99873999999987</v>
      </c>
      <c r="F91" s="112">
        <f t="shared" ref="F91:G91" si="175">+F89+F79</f>
        <v>63.279407499999706</v>
      </c>
      <c r="G91" s="108">
        <f t="shared" si="175"/>
        <v>92.201657500000323</v>
      </c>
      <c r="I91" s="112">
        <f t="shared" ref="I91:K91" si="176">+I89+I79</f>
        <v>20.352179999999862</v>
      </c>
      <c r="J91" s="107">
        <f t="shared" si="176"/>
        <v>123.27427000000047</v>
      </c>
      <c r="K91" s="108">
        <f t="shared" si="176"/>
        <v>214.73978000000034</v>
      </c>
      <c r="L91" s="72"/>
      <c r="M91" s="112">
        <f>+M89+M79</f>
        <v>91.465509999999909</v>
      </c>
      <c r="N91" s="114">
        <f t="shared" si="171"/>
        <v>0.74196756549440135</v>
      </c>
      <c r="P91" s="112">
        <f t="shared" ref="P91:AT91" si="177">+P89+P79</f>
        <v>14.104352499999997</v>
      </c>
      <c r="Q91" s="107">
        <f t="shared" si="177"/>
        <v>6.6358825000000117</v>
      </c>
      <c r="R91" s="107">
        <f t="shared" si="177"/>
        <v>0.98935250000000252</v>
      </c>
      <c r="S91" s="107">
        <f t="shared" si="177"/>
        <v>-7.4698175000000173</v>
      </c>
      <c r="T91" s="107">
        <f t="shared" si="177"/>
        <v>-16.047937499999975</v>
      </c>
      <c r="U91" s="107">
        <f t="shared" si="177"/>
        <v>-3.0202275000000025</v>
      </c>
      <c r="V91" s="107">
        <f t="shared" si="177"/>
        <v>9.0175825000000138</v>
      </c>
      <c r="W91" s="107">
        <f t="shared" si="177"/>
        <v>11.844302499999998</v>
      </c>
      <c r="X91" s="107">
        <f t="shared" si="177"/>
        <v>-1.8105074999999982</v>
      </c>
      <c r="Y91" s="107">
        <f t="shared" si="177"/>
        <v>-5.1324675000000184</v>
      </c>
      <c r="Z91" s="107">
        <f t="shared" si="177"/>
        <v>-27.511847499999998</v>
      </c>
      <c r="AA91" s="107">
        <f t="shared" si="177"/>
        <v>-21.877177499999981</v>
      </c>
      <c r="AB91" s="107">
        <f t="shared" si="177"/>
        <v>6.9488324999999662</v>
      </c>
      <c r="AC91" s="107">
        <f t="shared" si="177"/>
        <v>-8.3080875000000063</v>
      </c>
      <c r="AD91" s="107">
        <f t="shared" si="177"/>
        <v>13.456472500000004</v>
      </c>
      <c r="AE91" s="107">
        <f t="shared" si="177"/>
        <v>5.6818225000000124</v>
      </c>
      <c r="AF91" s="107">
        <f t="shared" si="177"/>
        <v>19.051432500000004</v>
      </c>
      <c r="AG91" s="107">
        <f t="shared" si="177"/>
        <v>18.991822499999977</v>
      </c>
      <c r="AH91" s="107">
        <f t="shared" si="177"/>
        <v>7.4571124999999885</v>
      </c>
      <c r="AI91" s="107">
        <f t="shared" si="177"/>
        <v>9.9382924999999727</v>
      </c>
      <c r="AJ91" s="107">
        <f t="shared" si="177"/>
        <v>9.8482500000010909E-2</v>
      </c>
      <c r="AK91" s="107">
        <f t="shared" si="177"/>
        <v>-5.0178974999999939</v>
      </c>
      <c r="AL91" s="107">
        <f t="shared" si="177"/>
        <v>11.734802500000038</v>
      </c>
      <c r="AM91" s="107">
        <f t="shared" si="177"/>
        <v>0.96565249999998715</v>
      </c>
      <c r="AN91" s="107">
        <f t="shared" si="177"/>
        <v>23.024492499999944</v>
      </c>
      <c r="AO91" s="107">
        <f t="shared" si="177"/>
        <v>60.620922499999978</v>
      </c>
      <c r="AP91" s="107">
        <f t="shared" si="177"/>
        <v>-11.228487500000021</v>
      </c>
      <c r="AQ91" s="107">
        <f t="shared" si="177"/>
        <v>5.4492524999999734</v>
      </c>
      <c r="AR91" s="107">
        <f t="shared" si="177"/>
        <v>18.706022499999996</v>
      </c>
      <c r="AS91" s="107">
        <f t="shared" si="177"/>
        <v>1.52562250000007</v>
      </c>
      <c r="AT91" s="108">
        <f t="shared" si="177"/>
        <v>-5.8961675000000007</v>
      </c>
    </row>
    <row r="92" spans="2:46" s="99" customFormat="1" x14ac:dyDescent="0.2">
      <c r="B92" s="109" t="s">
        <v>307</v>
      </c>
      <c r="C92" s="110">
        <f>C91/C$24</f>
        <v>-3.548874179782581E-2</v>
      </c>
      <c r="D92" s="111">
        <f>D91/D$24</f>
        <v>4.3098577776421711E-2</v>
      </c>
      <c r="F92" s="113">
        <f>F91/F$24</f>
        <v>6.3414283339233934E-2</v>
      </c>
      <c r="G92" s="111">
        <f>G91/G$24</f>
        <v>5.5176832885184421E-2</v>
      </c>
      <c r="I92" s="113">
        <f>I91/I$24</f>
        <v>1.3810148186899284E-2</v>
      </c>
      <c r="J92" s="110">
        <f>J91/J$24</f>
        <v>5.0183173024675398E-2</v>
      </c>
      <c r="K92" s="111">
        <f>K91/K$24</f>
        <v>6.9873032818636494E-2</v>
      </c>
      <c r="L92" s="105"/>
      <c r="M92" s="113">
        <v>0</v>
      </c>
      <c r="N92" s="115">
        <v>0</v>
      </c>
      <c r="P92" s="113">
        <f t="shared" ref="P92:AT92" si="178">P91/P$24</f>
        <v>0.17431482046788466</v>
      </c>
      <c r="Q92" s="110">
        <f t="shared" si="178"/>
        <v>8.1666670768943114E-2</v>
      </c>
      <c r="R92" s="110">
        <f t="shared" si="178"/>
        <v>1.2665787162568748E-2</v>
      </c>
      <c r="S92" s="110">
        <f t="shared" si="178"/>
        <v>-8.961633792543329E-2</v>
      </c>
      <c r="T92" s="110">
        <f t="shared" si="178"/>
        <v>-0.17792264414833639</v>
      </c>
      <c r="U92" s="110">
        <f t="shared" si="178"/>
        <v>-3.3589508184323581E-2</v>
      </c>
      <c r="V92" s="110">
        <f t="shared" si="178"/>
        <v>8.614258604985299E-2</v>
      </c>
      <c r="W92" s="110">
        <f t="shared" si="178"/>
        <v>0.11375981770464405</v>
      </c>
      <c r="X92" s="110">
        <f t="shared" si="178"/>
        <v>-1.8404563255576347E-2</v>
      </c>
      <c r="Y92" s="110">
        <f t="shared" si="178"/>
        <v>-5.1812280370567607E-2</v>
      </c>
      <c r="Z92" s="110">
        <f t="shared" si="178"/>
        <v>-0.25185396837893281</v>
      </c>
      <c r="AA92" s="110">
        <f t="shared" si="178"/>
        <v>-0.18900067255944486</v>
      </c>
      <c r="AB92" s="110">
        <f t="shared" si="178"/>
        <v>5.0113260573961517E-2</v>
      </c>
      <c r="AC92" s="110">
        <f t="shared" si="178"/>
        <v>-6.5007186864743022E-2</v>
      </c>
      <c r="AD92" s="110">
        <f t="shared" si="178"/>
        <v>9.9917798666022475E-2</v>
      </c>
      <c r="AE92" s="110">
        <f t="shared" si="178"/>
        <v>4.1785603446500785E-2</v>
      </c>
      <c r="AF92" s="110">
        <f t="shared" si="178"/>
        <v>0.12529623260913833</v>
      </c>
      <c r="AG92" s="110">
        <f t="shared" si="178"/>
        <v>0.12386642767110011</v>
      </c>
      <c r="AH92" s="110">
        <f t="shared" si="178"/>
        <v>4.7992502676328368E-2</v>
      </c>
      <c r="AI92" s="110">
        <f t="shared" si="178"/>
        <v>6.2163546112634513E-2</v>
      </c>
      <c r="AJ92" s="110">
        <f t="shared" si="178"/>
        <v>6.0050594146161373E-4</v>
      </c>
      <c r="AK92" s="110">
        <f t="shared" si="178"/>
        <v>-2.7994748952602289E-2</v>
      </c>
      <c r="AL92" s="110">
        <f t="shared" si="178"/>
        <v>6.458674137096175E-2</v>
      </c>
      <c r="AM92" s="110">
        <f t="shared" si="178"/>
        <v>4.9091984918557654E-3</v>
      </c>
      <c r="AN92" s="110">
        <f t="shared" si="178"/>
        <v>0.10851089374416761</v>
      </c>
      <c r="AO92" s="110">
        <f t="shared" si="178"/>
        <v>0.25060698510659801</v>
      </c>
      <c r="AP92" s="110">
        <f t="shared" si="178"/>
        <v>-4.850416001876505E-2</v>
      </c>
      <c r="AQ92" s="110">
        <f t="shared" si="178"/>
        <v>2.2675035443445235E-2</v>
      </c>
      <c r="AR92" s="110">
        <f t="shared" si="178"/>
        <v>7.5979325248676011E-2</v>
      </c>
      <c r="AS92" s="110">
        <f t="shared" si="178"/>
        <v>6.1641487470876482E-3</v>
      </c>
      <c r="AT92" s="111">
        <f t="shared" si="178"/>
        <v>-2.3450920022742291E-2</v>
      </c>
    </row>
    <row r="93" spans="2:46" ht="3.95" customHeight="1" x14ac:dyDescent="0.2"/>
    <row r="94" spans="2:46" x14ac:dyDescent="0.2">
      <c r="B94" s="43" t="s">
        <v>311</v>
      </c>
      <c r="C94" s="44"/>
      <c r="D94" s="44"/>
      <c r="E94" s="6"/>
      <c r="F94" s="44"/>
      <c r="G94" s="44"/>
      <c r="H94" s="6"/>
      <c r="I94" s="44"/>
      <c r="J94" s="44"/>
      <c r="K94" s="44"/>
      <c r="L94" s="6"/>
      <c r="M94" s="44"/>
      <c r="N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</row>
    <row r="95" spans="2:46" x14ac:dyDescent="0.2">
      <c r="B95" s="95" t="s">
        <v>313</v>
      </c>
      <c r="C95" s="66">
        <f>-C10</f>
        <v>-44.058500000000002</v>
      </c>
      <c r="D95" s="66">
        <f>-D10</f>
        <v>-74.519299999999987</v>
      </c>
      <c r="E95" s="24"/>
      <c r="F95" s="66">
        <f>-F10</f>
        <v>-42.254049999999999</v>
      </c>
      <c r="G95" s="66">
        <f>-G10</f>
        <v>-59.055000000000007</v>
      </c>
      <c r="H95" s="24"/>
      <c r="I95" s="66">
        <f>-I10</f>
        <v>-55.660549999999994</v>
      </c>
      <c r="J95" s="66">
        <f>-J10</f>
        <v>-91.655749999999998</v>
      </c>
      <c r="K95" s="66">
        <f>-K10</f>
        <v>-103.5675</v>
      </c>
      <c r="L95" s="66"/>
      <c r="M95" s="24">
        <f t="shared" ref="M95:M99" si="179">K95-J95</f>
        <v>-11.911749999999998</v>
      </c>
      <c r="N95" s="67">
        <f t="shared" ref="N95" si="180">IFERROR(K95/J95-1,0)</f>
        <v>0.12996184091014484</v>
      </c>
      <c r="P95" s="85">
        <f t="shared" ref="P95:AT95" si="181">-P10</f>
        <v>-5.4649999999999999</v>
      </c>
      <c r="Q95" s="85">
        <f t="shared" si="181"/>
        <v>-3.9</v>
      </c>
      <c r="R95" s="85">
        <f t="shared" si="181"/>
        <v>-2.7549999999999999</v>
      </c>
      <c r="S95" s="85">
        <f t="shared" si="181"/>
        <v>-3.5019999999999998</v>
      </c>
      <c r="T95" s="85">
        <f t="shared" si="181"/>
        <v>-4.6589999999999998</v>
      </c>
      <c r="U95" s="85">
        <f t="shared" si="181"/>
        <v>-3.9369999999999998</v>
      </c>
      <c r="V95" s="85">
        <f t="shared" si="181"/>
        <v>-4.6020000000000003</v>
      </c>
      <c r="W95" s="85">
        <f t="shared" si="181"/>
        <v>-4.7380000000000004</v>
      </c>
      <c r="X95" s="85">
        <f t="shared" si="181"/>
        <v>-2.1190000000000002</v>
      </c>
      <c r="Y95" s="85">
        <f t="shared" si="181"/>
        <v>-2.0640000000000001</v>
      </c>
      <c r="Z95" s="85">
        <f t="shared" si="181"/>
        <v>-3.0125000000000002</v>
      </c>
      <c r="AA95" s="85">
        <f t="shared" si="181"/>
        <v>-3.3050000000000002</v>
      </c>
      <c r="AB95" s="85">
        <f t="shared" si="181"/>
        <v>-3.0790000000000002</v>
      </c>
      <c r="AC95" s="85">
        <f t="shared" si="181"/>
        <v>-0.7</v>
      </c>
      <c r="AD95" s="85">
        <f t="shared" si="181"/>
        <v>-10.438549999999999</v>
      </c>
      <c r="AE95" s="85">
        <f t="shared" si="181"/>
        <v>-4.3</v>
      </c>
      <c r="AF95" s="85">
        <f t="shared" si="181"/>
        <v>-11.14</v>
      </c>
      <c r="AG95" s="85">
        <f t="shared" si="181"/>
        <v>-6.1624999999999996</v>
      </c>
      <c r="AH95" s="85">
        <f t="shared" si="181"/>
        <v>-6.4340000000000002</v>
      </c>
      <c r="AI95" s="85">
        <f t="shared" si="181"/>
        <v>-3.9649999999999999</v>
      </c>
      <c r="AJ95" s="85">
        <f t="shared" si="181"/>
        <v>-3.92</v>
      </c>
      <c r="AK95" s="85">
        <f t="shared" si="181"/>
        <v>-9.1364999999999998</v>
      </c>
      <c r="AL95" s="85">
        <f t="shared" si="181"/>
        <v>-5.2537500000000001</v>
      </c>
      <c r="AM95" s="85">
        <f t="shared" si="181"/>
        <v>-9.99</v>
      </c>
      <c r="AN95" s="85">
        <f t="shared" si="181"/>
        <v>-10.2105</v>
      </c>
      <c r="AO95" s="85">
        <f t="shared" si="181"/>
        <v>-6.6749999999999998</v>
      </c>
      <c r="AP95" s="85">
        <f t="shared" si="181"/>
        <v>-9.0990000000000002</v>
      </c>
      <c r="AQ95" s="85">
        <f t="shared" si="181"/>
        <v>-8.9544999999999995</v>
      </c>
      <c r="AR95" s="85">
        <f t="shared" si="181"/>
        <v>-12.606</v>
      </c>
      <c r="AS95" s="85">
        <f t="shared" si="181"/>
        <v>-5.4115000000000002</v>
      </c>
      <c r="AT95" s="85">
        <f t="shared" si="181"/>
        <v>-6.0984999999999996</v>
      </c>
    </row>
    <row r="96" spans="2:46" x14ac:dyDescent="0.2">
      <c r="B96" s="95" t="s">
        <v>314</v>
      </c>
      <c r="C96" s="85">
        <f>+C30</f>
        <v>122.81254999999999</v>
      </c>
      <c r="D96" s="85">
        <f>+D30</f>
        <v>152.16972000000001</v>
      </c>
      <c r="F96" s="85">
        <f>+F30</f>
        <v>73.949619999999996</v>
      </c>
      <c r="G96" s="85">
        <f>+G30</f>
        <v>111.27999</v>
      </c>
      <c r="I96" s="85">
        <f>+I30</f>
        <v>115.8168</v>
      </c>
      <c r="J96" s="85">
        <f>+J30</f>
        <v>186.54353999999998</v>
      </c>
      <c r="K96" s="85">
        <f>+K30</f>
        <v>197.14943999999997</v>
      </c>
      <c r="M96" s="24">
        <f t="shared" si="179"/>
        <v>10.605899999999991</v>
      </c>
      <c r="N96" s="67">
        <f t="shared" ref="N96" si="182">IFERROR(K96/J96-1,0)</f>
        <v>5.6854823276110134E-2</v>
      </c>
      <c r="P96" s="85">
        <f t="shared" ref="P96:AT96" si="183">+P30</f>
        <v>9.1372800000000005</v>
      </c>
      <c r="Q96" s="85">
        <f t="shared" si="183"/>
        <v>8.9629599999999989</v>
      </c>
      <c r="R96" s="85">
        <f t="shared" si="183"/>
        <v>10.19584</v>
      </c>
      <c r="S96" s="85">
        <f t="shared" si="183"/>
        <v>15.04429</v>
      </c>
      <c r="T96" s="85">
        <f t="shared" si="183"/>
        <v>16.637439999999998</v>
      </c>
      <c r="U96" s="85">
        <f t="shared" si="183"/>
        <v>7.4949899999999996</v>
      </c>
      <c r="V96" s="85">
        <f t="shared" si="183"/>
        <v>7.9820200000000003</v>
      </c>
      <c r="W96" s="85">
        <f t="shared" si="183"/>
        <v>5.9027399999999997</v>
      </c>
      <c r="X96" s="85">
        <f t="shared" si="183"/>
        <v>7.7676300000000005</v>
      </c>
      <c r="Y96" s="85">
        <f t="shared" si="183"/>
        <v>8.2141699999999993</v>
      </c>
      <c r="Z96" s="85">
        <f t="shared" si="183"/>
        <v>12.622719999999999</v>
      </c>
      <c r="AA96" s="85">
        <f t="shared" si="183"/>
        <v>12.85047</v>
      </c>
      <c r="AB96" s="85">
        <f t="shared" si="183"/>
        <v>10.345559999999999</v>
      </c>
      <c r="AC96" s="85">
        <f t="shared" si="183"/>
        <v>8.0879799999999999</v>
      </c>
      <c r="AD96" s="85">
        <f t="shared" si="183"/>
        <v>9.7528700000000015</v>
      </c>
      <c r="AE96" s="85">
        <f t="shared" si="183"/>
        <v>10.28</v>
      </c>
      <c r="AF96" s="85">
        <f t="shared" si="183"/>
        <v>11.13632</v>
      </c>
      <c r="AG96" s="85">
        <f t="shared" si="183"/>
        <v>10.874319999999999</v>
      </c>
      <c r="AH96" s="85">
        <f t="shared" si="183"/>
        <v>13.472569999999999</v>
      </c>
      <c r="AI96" s="85">
        <f t="shared" si="183"/>
        <v>12.70407</v>
      </c>
      <c r="AJ96" s="85">
        <f t="shared" si="183"/>
        <v>14.698840000000001</v>
      </c>
      <c r="AK96" s="85">
        <f t="shared" si="183"/>
        <v>15.543059999999999</v>
      </c>
      <c r="AL96" s="85">
        <f t="shared" si="183"/>
        <v>14.34361</v>
      </c>
      <c r="AM96" s="85">
        <f t="shared" si="183"/>
        <v>20.930520000000001</v>
      </c>
      <c r="AN96" s="85">
        <f t="shared" si="183"/>
        <v>16.553939999999997</v>
      </c>
      <c r="AO96" s="85">
        <f t="shared" si="183"/>
        <v>11.52661</v>
      </c>
      <c r="AP96" s="85">
        <f t="shared" si="183"/>
        <v>14.938829999999999</v>
      </c>
      <c r="AQ96" s="85">
        <f t="shared" si="183"/>
        <v>15.58352</v>
      </c>
      <c r="AR96" s="85">
        <f t="shared" si="183"/>
        <v>19.603400000000001</v>
      </c>
      <c r="AS96" s="85">
        <f t="shared" si="183"/>
        <v>16.644569999999998</v>
      </c>
      <c r="AT96" s="85">
        <f t="shared" si="183"/>
        <v>16.429119999999998</v>
      </c>
    </row>
    <row r="97" spans="1:46" x14ac:dyDescent="0.2">
      <c r="B97" s="95" t="s">
        <v>315</v>
      </c>
      <c r="C97" s="85">
        <f>+C32</f>
        <v>0</v>
      </c>
      <c r="D97" s="85">
        <f>+D32</f>
        <v>19.149630000000002</v>
      </c>
      <c r="F97" s="85">
        <f>+F32</f>
        <v>3.09945</v>
      </c>
      <c r="G97" s="85">
        <f>+G32</f>
        <v>51.941310000000001</v>
      </c>
      <c r="I97" s="85">
        <f>+I32</f>
        <v>1.4667999999999999</v>
      </c>
      <c r="J97" s="85">
        <f>+J32</f>
        <v>61.428380000000004</v>
      </c>
      <c r="K97" s="85">
        <f>+K32</f>
        <v>98.349119999999999</v>
      </c>
      <c r="M97" s="24">
        <f t="shared" si="179"/>
        <v>36.920739999999995</v>
      </c>
      <c r="N97" s="67">
        <f t="shared" ref="N97" si="184">IFERROR(K97/J97-1,0)</f>
        <v>0.60103717532515089</v>
      </c>
      <c r="P97" s="85">
        <f t="shared" ref="P97:AT97" si="185">+P32</f>
        <v>0</v>
      </c>
      <c r="Q97" s="85">
        <f t="shared" si="185"/>
        <v>0</v>
      </c>
      <c r="R97" s="85">
        <f t="shared" si="185"/>
        <v>0</v>
      </c>
      <c r="S97" s="85">
        <f t="shared" si="185"/>
        <v>0</v>
      </c>
      <c r="T97" s="85">
        <f t="shared" si="185"/>
        <v>0</v>
      </c>
      <c r="U97" s="85">
        <f t="shared" si="185"/>
        <v>0</v>
      </c>
      <c r="V97" s="85">
        <f t="shared" si="185"/>
        <v>0</v>
      </c>
      <c r="W97" s="85">
        <f t="shared" si="185"/>
        <v>0</v>
      </c>
      <c r="X97" s="85">
        <f t="shared" si="185"/>
        <v>0</v>
      </c>
      <c r="Y97" s="85">
        <f t="shared" si="185"/>
        <v>0</v>
      </c>
      <c r="Z97" s="85">
        <f t="shared" si="185"/>
        <v>0</v>
      </c>
      <c r="AA97" s="85">
        <f t="shared" si="185"/>
        <v>0</v>
      </c>
      <c r="AB97" s="85">
        <f t="shared" si="185"/>
        <v>0</v>
      </c>
      <c r="AC97" s="85">
        <f t="shared" si="185"/>
        <v>0</v>
      </c>
      <c r="AD97" s="85">
        <f t="shared" si="185"/>
        <v>0</v>
      </c>
      <c r="AE97" s="85">
        <f t="shared" si="185"/>
        <v>0</v>
      </c>
      <c r="AF97" s="85">
        <f t="shared" si="185"/>
        <v>0</v>
      </c>
      <c r="AG97" s="85">
        <f t="shared" si="185"/>
        <v>1.4667999999999999</v>
      </c>
      <c r="AH97" s="85">
        <f t="shared" si="185"/>
        <v>1.6326500000000002</v>
      </c>
      <c r="AI97" s="85">
        <f t="shared" si="185"/>
        <v>1.7180499999999999</v>
      </c>
      <c r="AJ97" s="85">
        <f t="shared" si="185"/>
        <v>1.9145999999999999</v>
      </c>
      <c r="AK97" s="85">
        <f t="shared" si="185"/>
        <v>2.3529</v>
      </c>
      <c r="AL97" s="85">
        <f t="shared" si="185"/>
        <v>2.2452399999999999</v>
      </c>
      <c r="AM97" s="85">
        <f t="shared" si="185"/>
        <v>7.8193900000000003</v>
      </c>
      <c r="AN97" s="85">
        <f t="shared" si="185"/>
        <v>5.6533999999999995</v>
      </c>
      <c r="AO97" s="85">
        <f t="shared" si="185"/>
        <v>5.9568900000000005</v>
      </c>
      <c r="AP97" s="85">
        <f t="shared" si="185"/>
        <v>7.7827999999999999</v>
      </c>
      <c r="AQ97" s="85">
        <f t="shared" si="185"/>
        <v>8.1370100000000001</v>
      </c>
      <c r="AR97" s="85">
        <f t="shared" si="185"/>
        <v>7.8082500000000001</v>
      </c>
      <c r="AS97" s="85">
        <f t="shared" si="185"/>
        <v>8.4072000000000013</v>
      </c>
      <c r="AT97" s="85">
        <f t="shared" si="185"/>
        <v>8.1957599999999999</v>
      </c>
    </row>
    <row r="98" spans="1:46" x14ac:dyDescent="0.2">
      <c r="B98" s="95" t="s">
        <v>320</v>
      </c>
      <c r="C98" s="85">
        <f>+C45</f>
        <v>24.819999999999997</v>
      </c>
      <c r="D98" s="85">
        <f>+D45</f>
        <v>27.153739999999999</v>
      </c>
      <c r="F98" s="85">
        <f>+F45</f>
        <v>17.089500000000001</v>
      </c>
      <c r="G98" s="85">
        <f>+G45</f>
        <v>20.62969</v>
      </c>
      <c r="I98" s="85">
        <f>+I45</f>
        <v>23.719750000000001</v>
      </c>
      <c r="J98" s="85">
        <f>+J45</f>
        <v>30.69416</v>
      </c>
      <c r="K98" s="85">
        <f>+K45</f>
        <v>30.69416</v>
      </c>
      <c r="M98" s="24">
        <f t="shared" si="179"/>
        <v>0</v>
      </c>
      <c r="N98" s="67">
        <f t="shared" ref="N98" si="186">IFERROR(K98/J98-1,0)</f>
        <v>0</v>
      </c>
      <c r="P98" s="85">
        <f>+P45</f>
        <v>2.21</v>
      </c>
      <c r="Q98" s="85">
        <f>+Q45</f>
        <v>2.7349999999999999</v>
      </c>
      <c r="R98" s="85">
        <f>+R45</f>
        <v>2.7149999999999999</v>
      </c>
      <c r="S98" s="85">
        <f>+S45</f>
        <v>2.7349999999999999</v>
      </c>
      <c r="T98" s="85">
        <f>+T45</f>
        <v>0.78</v>
      </c>
      <c r="U98" s="85">
        <f>+U45</f>
        <v>3.2450000000000001</v>
      </c>
      <c r="V98" s="85">
        <f>+V45</f>
        <v>1.28</v>
      </c>
      <c r="W98" s="85">
        <f>+W45</f>
        <v>1.3</v>
      </c>
      <c r="X98" s="85">
        <f>+X45</f>
        <v>1.81</v>
      </c>
      <c r="Y98" s="85">
        <f>+Y45</f>
        <v>1.82</v>
      </c>
      <c r="Z98" s="85">
        <f>+Z45</f>
        <v>1.835</v>
      </c>
      <c r="AA98" s="85">
        <f>+AA45</f>
        <v>2.355</v>
      </c>
      <c r="AB98" s="85">
        <f>+AB45</f>
        <v>1.4702500000000001</v>
      </c>
      <c r="AC98" s="85">
        <f>+AC45</f>
        <v>1.665</v>
      </c>
      <c r="AD98" s="85">
        <f>+AD45</f>
        <v>2.6277499999999998</v>
      </c>
      <c r="AE98" s="85">
        <f>+AE45</f>
        <v>1.24875</v>
      </c>
      <c r="AF98" s="85">
        <f>+AF45</f>
        <v>2.1539999999999999</v>
      </c>
      <c r="AG98" s="85">
        <f>+AG45</f>
        <v>4.1539999999999999</v>
      </c>
      <c r="AH98" s="85">
        <f>+AH45</f>
        <v>3.7697500000000002</v>
      </c>
      <c r="AI98" s="85">
        <f>+AI45</f>
        <v>1.696</v>
      </c>
      <c r="AJ98" s="85">
        <f>+AJ45</f>
        <v>2.2275</v>
      </c>
      <c r="AK98" s="85">
        <f>+AK45</f>
        <v>1.6645000000000001</v>
      </c>
      <c r="AL98" s="85">
        <f>+AL45</f>
        <v>1.71879</v>
      </c>
      <c r="AM98" s="85">
        <f>+AM45</f>
        <v>2.75745</v>
      </c>
      <c r="AN98" s="85">
        <f>+AN45</f>
        <v>1.8688</v>
      </c>
      <c r="AO98" s="85">
        <f>+AO45</f>
        <v>4.4399100000000002</v>
      </c>
      <c r="AP98" s="85">
        <f>+AP45</f>
        <v>2.3936100000000002</v>
      </c>
      <c r="AQ98" s="85">
        <f>+AQ45</f>
        <v>3.6578600000000003</v>
      </c>
      <c r="AR98" s="85">
        <f>+AR45</f>
        <v>2.9337900000000001</v>
      </c>
      <c r="AS98" s="85">
        <f>+AS45</f>
        <v>1.5662</v>
      </c>
      <c r="AT98" s="85">
        <f>+AT45</f>
        <v>3.76952</v>
      </c>
    </row>
    <row r="99" spans="1:46" x14ac:dyDescent="0.2">
      <c r="B99" s="95" t="s">
        <v>316</v>
      </c>
      <c r="C99" s="85">
        <f>+C49</f>
        <v>0</v>
      </c>
      <c r="D99" s="85">
        <f>+D49</f>
        <v>11.4983</v>
      </c>
      <c r="F99" s="85">
        <f>+F49</f>
        <v>0</v>
      </c>
      <c r="G99" s="85">
        <f>+G49</f>
        <v>11.84548</v>
      </c>
      <c r="I99" s="85">
        <f>+I49</f>
        <v>0</v>
      </c>
      <c r="J99" s="85">
        <f>+J49</f>
        <v>11.648780000000002</v>
      </c>
      <c r="K99" s="85">
        <f>+K49</f>
        <v>11.648780000000002</v>
      </c>
      <c r="M99" s="24">
        <f t="shared" si="179"/>
        <v>0</v>
      </c>
      <c r="N99" s="67">
        <f t="shared" ref="N99:N100" si="187">IFERROR(K99/J99-1,0)</f>
        <v>0</v>
      </c>
      <c r="P99" s="85">
        <f t="shared" ref="P99:AT99" si="188">+P49</f>
        <v>0</v>
      </c>
      <c r="Q99" s="85">
        <f t="shared" si="188"/>
        <v>0</v>
      </c>
      <c r="R99" s="85">
        <f t="shared" si="188"/>
        <v>0</v>
      </c>
      <c r="S99" s="85">
        <f t="shared" si="188"/>
        <v>0</v>
      </c>
      <c r="T99" s="85">
        <f t="shared" si="188"/>
        <v>0</v>
      </c>
      <c r="U99" s="85">
        <f t="shared" si="188"/>
        <v>0</v>
      </c>
      <c r="V99" s="85">
        <f t="shared" si="188"/>
        <v>0</v>
      </c>
      <c r="W99" s="85">
        <f t="shared" si="188"/>
        <v>0</v>
      </c>
      <c r="X99" s="85">
        <f t="shared" si="188"/>
        <v>0</v>
      </c>
      <c r="Y99" s="85">
        <f t="shared" si="188"/>
        <v>0</v>
      </c>
      <c r="Z99" s="85">
        <f t="shared" si="188"/>
        <v>0</v>
      </c>
      <c r="AA99" s="85">
        <f t="shared" si="188"/>
        <v>0</v>
      </c>
      <c r="AB99" s="85">
        <f t="shared" si="188"/>
        <v>0</v>
      </c>
      <c r="AC99" s="85">
        <f t="shared" si="188"/>
        <v>0</v>
      </c>
      <c r="AD99" s="85">
        <f t="shared" si="188"/>
        <v>0</v>
      </c>
      <c r="AE99" s="85">
        <f t="shared" si="188"/>
        <v>0</v>
      </c>
      <c r="AF99" s="85">
        <f t="shared" si="188"/>
        <v>0</v>
      </c>
      <c r="AG99" s="85">
        <f t="shared" si="188"/>
        <v>0</v>
      </c>
      <c r="AH99" s="85">
        <f t="shared" si="188"/>
        <v>0</v>
      </c>
      <c r="AI99" s="85">
        <f t="shared" si="188"/>
        <v>7.17</v>
      </c>
      <c r="AJ99" s="85">
        <f t="shared" si="188"/>
        <v>1.6495</v>
      </c>
      <c r="AK99" s="85">
        <f t="shared" si="188"/>
        <v>2.6788000000000003</v>
      </c>
      <c r="AL99" s="85">
        <f t="shared" si="188"/>
        <v>0</v>
      </c>
      <c r="AM99" s="85">
        <f t="shared" si="188"/>
        <v>0</v>
      </c>
      <c r="AN99" s="85">
        <f t="shared" si="188"/>
        <v>0.05</v>
      </c>
      <c r="AO99" s="85">
        <f t="shared" si="188"/>
        <v>0</v>
      </c>
      <c r="AP99" s="85">
        <f t="shared" si="188"/>
        <v>0</v>
      </c>
      <c r="AQ99" s="85">
        <f t="shared" si="188"/>
        <v>0</v>
      </c>
      <c r="AR99" s="85">
        <f t="shared" si="188"/>
        <v>9.8049999999999998E-2</v>
      </c>
      <c r="AS99" s="85">
        <f t="shared" si="188"/>
        <v>2.4300000000000003E-3</v>
      </c>
      <c r="AT99" s="85">
        <f t="shared" si="188"/>
        <v>11.695</v>
      </c>
    </row>
    <row r="100" spans="1:46" x14ac:dyDescent="0.2">
      <c r="B100" s="94" t="s">
        <v>321</v>
      </c>
      <c r="C100" s="60">
        <f>SUM(C95:C99)</f>
        <v>103.57404999999997</v>
      </c>
      <c r="D100" s="60">
        <f>SUM(D95:D99)</f>
        <v>135.45209000000003</v>
      </c>
      <c r="F100" s="60">
        <f>SUM(F95:F99)</f>
        <v>51.884519999999995</v>
      </c>
      <c r="G100" s="60">
        <f>SUM(G95:G99)</f>
        <v>136.64147</v>
      </c>
      <c r="I100" s="60">
        <f>SUM(I95:I99)</f>
        <v>85.342800000000011</v>
      </c>
      <c r="J100" s="60">
        <f>SUM(J95:J99)</f>
        <v>198.65911</v>
      </c>
      <c r="K100" s="60">
        <f>SUM(K95:K99)</f>
        <v>234.274</v>
      </c>
      <c r="L100" s="72"/>
      <c r="M100" s="60">
        <f>SUM(M95:M99)</f>
        <v>35.614889999999988</v>
      </c>
      <c r="N100" s="92">
        <f t="shared" si="187"/>
        <v>0.17927639965768494</v>
      </c>
      <c r="P100" s="60">
        <f t="shared" ref="P100:AT100" si="189">SUM(P95:P99)</f>
        <v>5.8822800000000006</v>
      </c>
      <c r="Q100" s="60">
        <f t="shared" si="189"/>
        <v>7.797959999999998</v>
      </c>
      <c r="R100" s="60">
        <f t="shared" si="189"/>
        <v>10.155840000000001</v>
      </c>
      <c r="S100" s="60">
        <f t="shared" si="189"/>
        <v>14.277290000000001</v>
      </c>
      <c r="T100" s="60">
        <f t="shared" si="189"/>
        <v>12.758439999999998</v>
      </c>
      <c r="U100" s="60">
        <f t="shared" si="189"/>
        <v>6.8029899999999994</v>
      </c>
      <c r="V100" s="60">
        <f t="shared" si="189"/>
        <v>4.6600200000000003</v>
      </c>
      <c r="W100" s="60">
        <f t="shared" si="189"/>
        <v>2.464739999999999</v>
      </c>
      <c r="X100" s="60">
        <f t="shared" si="189"/>
        <v>7.4586300000000012</v>
      </c>
      <c r="Y100" s="60">
        <f t="shared" si="189"/>
        <v>7.9701699999999995</v>
      </c>
      <c r="Z100" s="60">
        <f t="shared" si="189"/>
        <v>11.445219999999999</v>
      </c>
      <c r="AA100" s="60">
        <f t="shared" si="189"/>
        <v>11.90047</v>
      </c>
      <c r="AB100" s="60">
        <f t="shared" si="189"/>
        <v>8.7368099999999984</v>
      </c>
      <c r="AC100" s="60">
        <f t="shared" si="189"/>
        <v>9.0529799999999998</v>
      </c>
      <c r="AD100" s="60">
        <f t="shared" si="189"/>
        <v>1.942070000000002</v>
      </c>
      <c r="AE100" s="60">
        <f t="shared" si="189"/>
        <v>7.2287499999999998</v>
      </c>
      <c r="AF100" s="60">
        <f t="shared" si="189"/>
        <v>2.1503199999999989</v>
      </c>
      <c r="AG100" s="60">
        <f t="shared" si="189"/>
        <v>10.332619999999999</v>
      </c>
      <c r="AH100" s="60">
        <f t="shared" si="189"/>
        <v>12.44097</v>
      </c>
      <c r="AI100" s="60">
        <f t="shared" si="189"/>
        <v>19.323119999999999</v>
      </c>
      <c r="AJ100" s="60">
        <f t="shared" si="189"/>
        <v>16.570440000000001</v>
      </c>
      <c r="AK100" s="60">
        <f t="shared" si="189"/>
        <v>13.10276</v>
      </c>
      <c r="AL100" s="60">
        <f t="shared" si="189"/>
        <v>13.053890000000001</v>
      </c>
      <c r="AM100" s="60">
        <f t="shared" si="189"/>
        <v>21.51736</v>
      </c>
      <c r="AN100" s="60">
        <f t="shared" si="189"/>
        <v>13.915639999999998</v>
      </c>
      <c r="AO100" s="60">
        <f t="shared" si="189"/>
        <v>15.24841</v>
      </c>
      <c r="AP100" s="60">
        <f t="shared" si="189"/>
        <v>16.01624</v>
      </c>
      <c r="AQ100" s="60">
        <f t="shared" si="189"/>
        <v>18.42389</v>
      </c>
      <c r="AR100" s="60">
        <f t="shared" si="189"/>
        <v>17.837490000000003</v>
      </c>
      <c r="AS100" s="60">
        <f t="shared" si="189"/>
        <v>21.2089</v>
      </c>
      <c r="AT100" s="60">
        <f t="shared" si="189"/>
        <v>33.990899999999996</v>
      </c>
    </row>
    <row r="101" spans="1:46" ht="3.95" customHeight="1" x14ac:dyDescent="0.2"/>
    <row r="102" spans="1:46" x14ac:dyDescent="0.2">
      <c r="B102" s="106" t="s">
        <v>322</v>
      </c>
      <c r="C102" s="107">
        <f t="shared" ref="C102:D102" si="190">+C91+C100</f>
        <v>63.295540000000074</v>
      </c>
      <c r="D102" s="108">
        <f t="shared" si="190"/>
        <v>216.45082999999988</v>
      </c>
      <c r="F102" s="112">
        <f t="shared" ref="F102:G102" si="191">+F91+F100</f>
        <v>115.1639274999997</v>
      </c>
      <c r="G102" s="108">
        <f t="shared" si="191"/>
        <v>228.84312750000032</v>
      </c>
      <c r="I102" s="112">
        <f t="shared" ref="I102:K102" si="192">+I91+I100</f>
        <v>105.69497999999987</v>
      </c>
      <c r="J102" s="107">
        <f t="shared" si="192"/>
        <v>321.93338000000045</v>
      </c>
      <c r="K102" s="108">
        <f>+K91+K100</f>
        <v>449.01378000000034</v>
      </c>
      <c r="L102" s="72"/>
      <c r="M102" s="112">
        <f>+M79+M100</f>
        <v>27.080399999999901</v>
      </c>
      <c r="N102" s="114">
        <f t="shared" ref="N102" si="193">IFERROR(K102/J102-1,0)</f>
        <v>0.39474129709693262</v>
      </c>
      <c r="P102" s="112">
        <f t="shared" ref="P102:AT102" si="194">+P91+P100</f>
        <v>19.986632499999999</v>
      </c>
      <c r="Q102" s="107">
        <f t="shared" si="194"/>
        <v>14.43384250000001</v>
      </c>
      <c r="R102" s="107">
        <f t="shared" si="194"/>
        <v>11.145192500000004</v>
      </c>
      <c r="S102" s="107">
        <f t="shared" si="194"/>
        <v>6.8074724999999834</v>
      </c>
      <c r="T102" s="107">
        <f t="shared" si="194"/>
        <v>-3.2894974999999764</v>
      </c>
      <c r="U102" s="107">
        <f t="shared" si="194"/>
        <v>3.7827624999999969</v>
      </c>
      <c r="V102" s="107">
        <f t="shared" si="194"/>
        <v>13.677602500000013</v>
      </c>
      <c r="W102" s="107">
        <f t="shared" si="194"/>
        <v>14.309042499999997</v>
      </c>
      <c r="X102" s="107">
        <f t="shared" si="194"/>
        <v>5.648122500000003</v>
      </c>
      <c r="Y102" s="107">
        <f t="shared" si="194"/>
        <v>2.8377024999999811</v>
      </c>
      <c r="Z102" s="107">
        <f t="shared" si="194"/>
        <v>-16.066627499999999</v>
      </c>
      <c r="AA102" s="107">
        <f t="shared" si="194"/>
        <v>-9.9767074999999803</v>
      </c>
      <c r="AB102" s="107">
        <f t="shared" si="194"/>
        <v>15.685642499999965</v>
      </c>
      <c r="AC102" s="107">
        <f t="shared" si="194"/>
        <v>0.74489249999999352</v>
      </c>
      <c r="AD102" s="107">
        <f t="shared" si="194"/>
        <v>15.398542500000005</v>
      </c>
      <c r="AE102" s="107">
        <f t="shared" si="194"/>
        <v>12.910572500000011</v>
      </c>
      <c r="AF102" s="107">
        <f t="shared" si="194"/>
        <v>21.201752500000005</v>
      </c>
      <c r="AG102" s="107">
        <f t="shared" si="194"/>
        <v>29.324442499999975</v>
      </c>
      <c r="AH102" s="107">
        <f t="shared" si="194"/>
        <v>19.898082499999987</v>
      </c>
      <c r="AI102" s="107">
        <f t="shared" si="194"/>
        <v>29.26141249999997</v>
      </c>
      <c r="AJ102" s="107">
        <f t="shared" si="194"/>
        <v>16.668922500000011</v>
      </c>
      <c r="AK102" s="107">
        <f t="shared" si="194"/>
        <v>8.0848625000000069</v>
      </c>
      <c r="AL102" s="107">
        <f t="shared" si="194"/>
        <v>24.788692500000039</v>
      </c>
      <c r="AM102" s="107">
        <f t="shared" si="194"/>
        <v>22.483012499999987</v>
      </c>
      <c r="AN102" s="107">
        <f t="shared" si="194"/>
        <v>36.94013249999994</v>
      </c>
      <c r="AO102" s="107">
        <f t="shared" si="194"/>
        <v>75.869332499999985</v>
      </c>
      <c r="AP102" s="107">
        <f t="shared" si="194"/>
        <v>4.7877524999999785</v>
      </c>
      <c r="AQ102" s="107">
        <f t="shared" si="194"/>
        <v>23.873142499999972</v>
      </c>
      <c r="AR102" s="107">
        <f t="shared" si="194"/>
        <v>36.543512499999999</v>
      </c>
      <c r="AS102" s="107">
        <f t="shared" si="194"/>
        <v>22.734522500000068</v>
      </c>
      <c r="AT102" s="108">
        <f t="shared" si="194"/>
        <v>28.094732499999996</v>
      </c>
    </row>
    <row r="103" spans="1:46" s="99" customFormat="1" x14ac:dyDescent="0.2">
      <c r="B103" s="109" t="s">
        <v>307</v>
      </c>
      <c r="C103" s="110">
        <f>C102/C$24</f>
        <v>5.5768673568460297E-2</v>
      </c>
      <c r="D103" s="111">
        <f>D102/D$24</f>
        <v>0.11517121045989163</v>
      </c>
      <c r="F103" s="113">
        <f>F102/F$24</f>
        <v>0.11540939173528149</v>
      </c>
      <c r="G103" s="111">
        <f>G102/G$24</f>
        <v>0.1369480695397523</v>
      </c>
      <c r="I103" s="113">
        <f>I102/I$24</f>
        <v>7.1720245025907015E-2</v>
      </c>
      <c r="J103" s="110">
        <f>J102/J$24</f>
        <v>0.13105442450365787</v>
      </c>
      <c r="K103" s="111">
        <f>K102/K$24</f>
        <v>0.14610220139910732</v>
      </c>
      <c r="L103" s="105"/>
      <c r="M103" s="113">
        <v>0</v>
      </c>
      <c r="N103" s="115">
        <v>0</v>
      </c>
      <c r="P103" s="113">
        <f t="shared" ref="P103" si="195">P102/P$24</f>
        <v>0.24701355528338426</v>
      </c>
      <c r="Q103" s="110">
        <f t="shared" ref="Q103" si="196">Q102/Q$24</f>
        <v>0.17763483054111906</v>
      </c>
      <c r="R103" s="110">
        <f t="shared" ref="R103" si="197">R102/R$24</f>
        <v>0.14268184099282832</v>
      </c>
      <c r="S103" s="110">
        <f t="shared" ref="S103" si="198">S102/S$24</f>
        <v>8.1670101843598089E-2</v>
      </c>
      <c r="T103" s="110">
        <f t="shared" ref="T103" si="199">T102/T$24</f>
        <v>-3.6470486822330839E-2</v>
      </c>
      <c r="U103" s="110">
        <f t="shared" ref="U103" si="200">U102/U$24</f>
        <v>4.2070053316547222E-2</v>
      </c>
      <c r="V103" s="110">
        <f t="shared" ref="V103" si="201">V102/V$24</f>
        <v>0.13065852741706924</v>
      </c>
      <c r="W103" s="110">
        <f t="shared" ref="W103" si="202">W102/W$24</f>
        <v>0.13743266573341942</v>
      </c>
      <c r="X103" s="110">
        <f t="shared" ref="X103" si="203">X102/X$24</f>
        <v>5.7415519033472209E-2</v>
      </c>
      <c r="Y103" s="110">
        <f t="shared" ref="Y103" si="204">Y102/Y$24</f>
        <v>2.8646618325056928E-2</v>
      </c>
      <c r="Z103" s="110">
        <f t="shared" ref="Z103" si="205">Z102/Z$24</f>
        <v>-0.14708004958013424</v>
      </c>
      <c r="AA103" s="110">
        <f t="shared" ref="AA103" si="206">AA102/AA$24</f>
        <v>-8.6190479892977762E-2</v>
      </c>
      <c r="AB103" s="110">
        <f t="shared" ref="AB103" si="207">AB102/AB$24</f>
        <v>0.11312097246156202</v>
      </c>
      <c r="AC103" s="110">
        <f t="shared" ref="AC103" si="208">AC102/AC$24</f>
        <v>5.8284612363128253E-3</v>
      </c>
      <c r="AD103" s="110">
        <f t="shared" ref="AD103" si="209">AD102/AD$24</f>
        <v>0.1143381721521142</v>
      </c>
      <c r="AE103" s="110">
        <f t="shared" ref="AE103" si="210">AE102/AE$24</f>
        <v>9.4947714884141055E-2</v>
      </c>
      <c r="AF103" s="110">
        <f t="shared" ref="AF103" si="211">AF102/AF$24</f>
        <v>0.13943831850761773</v>
      </c>
      <c r="AG103" s="110">
        <f t="shared" ref="AG103" si="212">AG102/AG$24</f>
        <v>0.19125673357159828</v>
      </c>
      <c r="AH103" s="110">
        <f t="shared" ref="AH103" si="213">AH102/AH$24</f>
        <v>0.12806012751384044</v>
      </c>
      <c r="AI103" s="110">
        <f t="shared" ref="AI103" si="214">AI102/AI$24</f>
        <v>0.18302874113079015</v>
      </c>
      <c r="AJ103" s="110">
        <f t="shared" ref="AJ103" si="215">AJ102/AJ$24</f>
        <v>0.10164026095003757</v>
      </c>
      <c r="AK103" s="110">
        <f t="shared" ref="AK103" si="216">AK102/AK$24</f>
        <v>4.510528483369957E-2</v>
      </c>
      <c r="AL103" s="110">
        <f t="shared" ref="AL103" si="217">AL102/AL$24</f>
        <v>0.13643355918617264</v>
      </c>
      <c r="AM103" s="110">
        <f t="shared" ref="AM103" si="218">AM102/AM$24</f>
        <v>0.11429947217800993</v>
      </c>
      <c r="AN103" s="110">
        <f t="shared" ref="AN103" si="219">AN102/AN$24</f>
        <v>0.17409316590161439</v>
      </c>
      <c r="AO103" s="110">
        <f t="shared" ref="AO103" si="220">AO102/AO$24</f>
        <v>0.31364393506012778</v>
      </c>
      <c r="AP103" s="110">
        <f t="shared" ref="AP103" si="221">AP102/AP$24</f>
        <v>2.0681851708900325E-2</v>
      </c>
      <c r="AQ103" s="110">
        <f t="shared" ref="AQ103" si="222">AQ102/AQ$24</f>
        <v>9.9339194198455799E-2</v>
      </c>
      <c r="AR103" s="110">
        <f t="shared" ref="AR103" si="223">AR102/AR$24</f>
        <v>0.14843088219136688</v>
      </c>
      <c r="AS103" s="110">
        <f t="shared" ref="AS103" si="224">AS102/AS$24</f>
        <v>9.1856916362996047E-2</v>
      </c>
      <c r="AT103" s="111">
        <f t="shared" ref="AT103" si="225">AT102/AT$24</f>
        <v>0.1117416228283607</v>
      </c>
    </row>
    <row r="106" spans="1:46" x14ac:dyDescent="0.2">
      <c r="A106" s="119" t="s">
        <v>295</v>
      </c>
      <c r="B106" s="120" t="s">
        <v>333</v>
      </c>
      <c r="C106" s="121"/>
      <c r="D106" s="122" t="s">
        <v>288</v>
      </c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</row>
    <row r="107" spans="1:46" x14ac:dyDescent="0.2">
      <c r="A107" s="119"/>
      <c r="B107" s="43" t="s">
        <v>280</v>
      </c>
      <c r="C107" s="124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</row>
    <row r="108" spans="1:46" x14ac:dyDescent="0.2">
      <c r="B108" s="58" t="str">
        <f>+B7</f>
        <v>STR Subscription</v>
      </c>
      <c r="C108" s="47">
        <f>+AT7*12</f>
        <v>2410.0500000000002</v>
      </c>
      <c r="D108" s="97" t="s">
        <v>289</v>
      </c>
      <c r="E108" s="46"/>
      <c r="F108" s="88"/>
      <c r="G108" s="88"/>
      <c r="H108" s="46"/>
      <c r="I108" s="88"/>
      <c r="J108" s="88"/>
      <c r="K108" s="88"/>
      <c r="L108" s="88"/>
      <c r="M108" s="88"/>
      <c r="N108" s="88"/>
    </row>
    <row r="109" spans="1:46" x14ac:dyDescent="0.2">
      <c r="B109" s="58" t="str">
        <f>+B9</f>
        <v>SMB Subscription</v>
      </c>
      <c r="C109" s="84">
        <f>+AT9*12</f>
        <v>119.706</v>
      </c>
      <c r="D109" s="97" t="s">
        <v>289</v>
      </c>
      <c r="F109" s="85"/>
      <c r="G109" s="85"/>
      <c r="I109" s="85"/>
      <c r="J109" s="85"/>
      <c r="K109" s="85"/>
      <c r="L109" s="85"/>
      <c r="M109" s="85"/>
      <c r="N109" s="85"/>
    </row>
    <row r="110" spans="1:46" x14ac:dyDescent="0.2">
      <c r="B110" s="58" t="str">
        <f>+B8</f>
        <v>Occupancy Taxes</v>
      </c>
      <c r="C110" s="84">
        <f>+AT8*12</f>
        <v>192.82980000000001</v>
      </c>
      <c r="D110" s="97" t="s">
        <v>289</v>
      </c>
      <c r="F110" s="85"/>
      <c r="G110" s="85"/>
      <c r="I110" s="85"/>
      <c r="J110" s="85"/>
      <c r="K110" s="85"/>
      <c r="L110" s="85"/>
      <c r="M110" s="85"/>
      <c r="N110" s="85"/>
    </row>
    <row r="111" spans="1:46" x14ac:dyDescent="0.2">
      <c r="B111" s="58" t="str">
        <f>+B10</f>
        <v>Onboarding</v>
      </c>
      <c r="C111" s="84">
        <f>AVERAGE(AM10:AT10)*12</f>
        <v>103.5675</v>
      </c>
      <c r="D111" s="97" t="s">
        <v>290</v>
      </c>
      <c r="F111" s="85"/>
      <c r="G111" s="85"/>
      <c r="I111" s="85"/>
      <c r="J111" s="85"/>
      <c r="K111" s="85"/>
      <c r="L111" s="85"/>
      <c r="M111" s="85"/>
      <c r="N111" s="85"/>
    </row>
    <row r="112" spans="1:46" x14ac:dyDescent="0.2">
      <c r="B112" s="58" t="str">
        <f>+B12</f>
        <v>STR Bill Pay</v>
      </c>
      <c r="C112" s="84">
        <f>+AT12*12</f>
        <v>83.460000000000008</v>
      </c>
      <c r="D112" s="97" t="s">
        <v>289</v>
      </c>
      <c r="F112" s="85"/>
      <c r="G112" s="85"/>
      <c r="I112" s="85"/>
      <c r="J112" s="85"/>
      <c r="K112" s="85"/>
      <c r="L112" s="85"/>
      <c r="M112" s="85"/>
      <c r="N112" s="85"/>
    </row>
    <row r="113" spans="2:14" x14ac:dyDescent="0.2">
      <c r="B113" s="58" t="str">
        <f>+B11</f>
        <v>Topkey Subscription</v>
      </c>
      <c r="C113" s="84">
        <f>+AT11*12</f>
        <v>94.835999999999999</v>
      </c>
      <c r="D113" s="97" t="s">
        <v>289</v>
      </c>
      <c r="F113" s="85"/>
      <c r="G113" s="85"/>
      <c r="I113" s="85"/>
      <c r="J113" s="85"/>
      <c r="K113" s="85"/>
      <c r="L113" s="85"/>
      <c r="M113" s="85"/>
      <c r="N113" s="85"/>
    </row>
    <row r="114" spans="2:14" x14ac:dyDescent="0.2">
      <c r="B114" s="58" t="str">
        <f>+B13</f>
        <v>Controller Services</v>
      </c>
      <c r="C114" s="84">
        <f>+AT13*12</f>
        <v>42</v>
      </c>
      <c r="D114" s="97" t="s">
        <v>289</v>
      </c>
      <c r="F114" s="85"/>
      <c r="G114" s="85"/>
      <c r="I114" s="85"/>
      <c r="J114" s="85"/>
      <c r="K114" s="85"/>
      <c r="L114" s="85"/>
      <c r="M114" s="85"/>
      <c r="N114" s="85"/>
    </row>
    <row r="115" spans="2:14" x14ac:dyDescent="0.2">
      <c r="B115" s="58" t="str">
        <f>+B14</f>
        <v>Historical Cleanup</v>
      </c>
      <c r="C115" s="84">
        <f>+AT14*12</f>
        <v>0</v>
      </c>
      <c r="D115" s="97" t="s">
        <v>291</v>
      </c>
      <c r="F115" s="85"/>
      <c r="G115" s="85"/>
      <c r="I115" s="85"/>
      <c r="J115" s="85"/>
      <c r="K115" s="85"/>
      <c r="L115" s="85"/>
      <c r="M115" s="85"/>
      <c r="N115" s="85"/>
    </row>
    <row r="116" spans="2:14" x14ac:dyDescent="0.2">
      <c r="B116" s="59" t="str">
        <f>+B15</f>
        <v>Total Recurring Revenue</v>
      </c>
      <c r="C116" s="60">
        <f>SUM(C108:C115)</f>
        <v>3046.4493000000002</v>
      </c>
      <c r="D116" s="72"/>
      <c r="F116" s="72"/>
      <c r="G116" s="72"/>
      <c r="I116" s="72"/>
      <c r="J116" s="72"/>
      <c r="K116" s="72"/>
      <c r="L116" s="72"/>
      <c r="M116" s="72"/>
      <c r="N116" s="72"/>
    </row>
    <row r="117" spans="2:14" ht="3.95" customHeight="1" x14ac:dyDescent="0.2"/>
    <row r="118" spans="2:14" x14ac:dyDescent="0.2">
      <c r="B118" s="58" t="str">
        <f>+B18</f>
        <v>1099 Filing</v>
      </c>
      <c r="C118" s="84">
        <v>10</v>
      </c>
      <c r="D118" s="97" t="s">
        <v>292</v>
      </c>
    </row>
    <row r="119" spans="2:14" x14ac:dyDescent="0.2">
      <c r="B119" s="58" t="str">
        <f>+B19</f>
        <v>Income Tax</v>
      </c>
      <c r="C119" s="84">
        <v>0</v>
      </c>
      <c r="D119" s="97" t="s">
        <v>292</v>
      </c>
    </row>
    <row r="120" spans="2:14" x14ac:dyDescent="0.2">
      <c r="B120" s="58" t="str">
        <f>+B17</f>
        <v>Profit Share</v>
      </c>
      <c r="C120" s="84">
        <f>AVERAGE(AI17:AT17)*12</f>
        <v>16.836220000000001</v>
      </c>
      <c r="D120" s="97" t="s">
        <v>293</v>
      </c>
    </row>
    <row r="121" spans="2:14" x14ac:dyDescent="0.2">
      <c r="B121" s="58" t="str">
        <f>+B20</f>
        <v>Billable Expense Income</v>
      </c>
      <c r="C121" s="84">
        <v>0</v>
      </c>
      <c r="D121" s="97" t="s">
        <v>292</v>
      </c>
    </row>
    <row r="122" spans="2:14" x14ac:dyDescent="0.2">
      <c r="B122" s="58" t="str">
        <f>+B21</f>
        <v>Offshore Recruiting</v>
      </c>
      <c r="C122" s="84">
        <v>0</v>
      </c>
      <c r="D122" s="97" t="s">
        <v>292</v>
      </c>
    </row>
    <row r="123" spans="2:14" x14ac:dyDescent="0.2">
      <c r="B123" s="59" t="str">
        <f>+B22</f>
        <v>Total Nonrecurring Revenue</v>
      </c>
      <c r="C123" s="60">
        <f>SUM(C118:C122)</f>
        <v>26.836220000000001</v>
      </c>
    </row>
    <row r="125" spans="2:14" x14ac:dyDescent="0.2">
      <c r="B125" s="43" t="s">
        <v>281</v>
      </c>
      <c r="C125" s="4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7" t="s">
        <v>63</v>
      </c>
      <c r="C126" s="84">
        <f>AT27*12</f>
        <v>694.74455999999998</v>
      </c>
      <c r="D126" s="97" t="s">
        <v>289</v>
      </c>
      <c r="F126" s="85"/>
      <c r="G126" s="85"/>
      <c r="I126" s="85"/>
      <c r="J126" s="85"/>
      <c r="K126" s="85"/>
      <c r="L126" s="85"/>
      <c r="M126" s="85"/>
      <c r="N126" s="85"/>
    </row>
    <row r="127" spans="2:14" x14ac:dyDescent="0.2">
      <c r="B127" s="58" t="s">
        <v>34</v>
      </c>
      <c r="C127" s="84">
        <f>AT28*12</f>
        <v>533.85120000000006</v>
      </c>
      <c r="D127" s="97" t="s">
        <v>289</v>
      </c>
      <c r="F127" s="85"/>
      <c r="G127" s="85"/>
      <c r="I127" s="85"/>
      <c r="J127" s="85"/>
      <c r="K127" s="85"/>
      <c r="L127" s="85"/>
      <c r="M127" s="85"/>
      <c r="N127" s="85"/>
    </row>
    <row r="128" spans="2:14" x14ac:dyDescent="0.2">
      <c r="B128" s="95" t="s">
        <v>278</v>
      </c>
      <c r="C128" s="85">
        <f>+J31</f>
        <v>108.34394</v>
      </c>
      <c r="D128" s="97" t="s">
        <v>328</v>
      </c>
      <c r="F128" s="85"/>
      <c r="G128" s="85"/>
      <c r="I128" s="85"/>
      <c r="J128" s="85"/>
      <c r="K128" s="85"/>
      <c r="L128" s="85"/>
      <c r="M128" s="85"/>
      <c r="N128" s="85"/>
    </row>
    <row r="129" spans="2:14" x14ac:dyDescent="0.2">
      <c r="B129" s="58" t="s">
        <v>35</v>
      </c>
      <c r="C129" s="84">
        <f>AT29*12</f>
        <v>392.92452000000003</v>
      </c>
      <c r="D129" s="97" t="s">
        <v>289</v>
      </c>
      <c r="F129" s="85"/>
      <c r="G129" s="85"/>
      <c r="I129" s="85"/>
      <c r="J129" s="85"/>
      <c r="K129" s="85"/>
      <c r="L129" s="85"/>
      <c r="M129" s="85"/>
      <c r="N129" s="85"/>
    </row>
    <row r="130" spans="2:14" x14ac:dyDescent="0.2">
      <c r="B130" s="58" t="s">
        <v>279</v>
      </c>
      <c r="C130" s="84">
        <f>AT32*12</f>
        <v>98.349119999999999</v>
      </c>
      <c r="D130" s="97" t="s">
        <v>289</v>
      </c>
      <c r="F130" s="85"/>
      <c r="G130" s="85"/>
      <c r="I130" s="85"/>
      <c r="J130" s="85"/>
      <c r="K130" s="85"/>
      <c r="L130" s="85"/>
      <c r="M130" s="85"/>
      <c r="N130" s="85"/>
    </row>
    <row r="131" spans="2:14" x14ac:dyDescent="0.2">
      <c r="B131" s="58" t="s">
        <v>36</v>
      </c>
      <c r="C131" s="84">
        <f>AT33*12</f>
        <v>68.113200000000006</v>
      </c>
      <c r="D131" s="97" t="s">
        <v>289</v>
      </c>
      <c r="F131" s="85"/>
      <c r="G131" s="85"/>
      <c r="I131" s="85"/>
      <c r="J131" s="85"/>
      <c r="K131" s="85"/>
      <c r="L131" s="85"/>
      <c r="M131" s="85"/>
      <c r="N131" s="85"/>
    </row>
    <row r="132" spans="2:14" x14ac:dyDescent="0.2">
      <c r="B132" s="58" t="s">
        <v>38</v>
      </c>
      <c r="C132" s="84">
        <f>AT34*12</f>
        <v>33.081240000000001</v>
      </c>
      <c r="D132" s="97" t="s">
        <v>289</v>
      </c>
      <c r="F132" s="85"/>
      <c r="G132" s="85"/>
      <c r="I132" s="85"/>
      <c r="J132" s="85"/>
      <c r="K132" s="85"/>
      <c r="L132" s="85"/>
      <c r="M132" s="85"/>
      <c r="N132" s="85"/>
    </row>
    <row r="133" spans="2:14" x14ac:dyDescent="0.2">
      <c r="B133" s="58" t="s">
        <v>37</v>
      </c>
      <c r="C133" s="84">
        <f>AT30*12</f>
        <v>197.14943999999997</v>
      </c>
      <c r="D133" s="97" t="s">
        <v>289</v>
      </c>
      <c r="F133" s="85"/>
      <c r="G133" s="85"/>
      <c r="I133" s="85"/>
      <c r="J133" s="85"/>
      <c r="K133" s="85"/>
      <c r="L133" s="85"/>
      <c r="M133" s="85"/>
      <c r="N133" s="85"/>
    </row>
    <row r="134" spans="2:14" x14ac:dyDescent="0.2">
      <c r="B134" s="57" t="str">
        <f>+B35</f>
        <v>Employee Benefits</v>
      </c>
      <c r="C134" s="84">
        <f>+AT35*12</f>
        <v>32.178359999999998</v>
      </c>
      <c r="D134" s="97" t="s">
        <v>289</v>
      </c>
      <c r="F134" s="85"/>
      <c r="G134" s="85"/>
      <c r="I134" s="85"/>
      <c r="J134" s="85"/>
      <c r="K134" s="85"/>
      <c r="L134" s="85"/>
      <c r="M134" s="85"/>
      <c r="N134" s="85"/>
    </row>
    <row r="135" spans="2:14" x14ac:dyDescent="0.2">
      <c r="B135" s="59" t="str">
        <f>+B36</f>
        <v>Total Payroll Expenses</v>
      </c>
      <c r="C135" s="60">
        <f>SUM(C126:C134)</f>
        <v>2158.73558</v>
      </c>
      <c r="D135" s="85"/>
      <c r="F135" s="85"/>
      <c r="G135" s="85"/>
      <c r="I135" s="85"/>
      <c r="J135" s="85"/>
      <c r="K135" s="85"/>
      <c r="L135" s="85"/>
      <c r="M135" s="85"/>
      <c r="N135" s="85"/>
    </row>
    <row r="136" spans="2:14" x14ac:dyDescent="0.2">
      <c r="D136" s="85"/>
      <c r="F136" s="85"/>
      <c r="G136" s="85"/>
      <c r="I136" s="85"/>
      <c r="J136" s="85"/>
      <c r="K136" s="85"/>
      <c r="L136" s="85"/>
      <c r="M136" s="85"/>
      <c r="N136" s="85"/>
    </row>
    <row r="137" spans="2:14" x14ac:dyDescent="0.2">
      <c r="B137" s="43" t="s">
        <v>305</v>
      </c>
      <c r="C137" s="44"/>
      <c r="D137" s="85"/>
      <c r="F137" s="85"/>
      <c r="G137" s="85"/>
      <c r="I137" s="85"/>
      <c r="J137" s="85"/>
      <c r="K137" s="85"/>
      <c r="L137" s="85"/>
      <c r="M137" s="85"/>
      <c r="N137" s="85"/>
    </row>
    <row r="138" spans="2:14" x14ac:dyDescent="0.2">
      <c r="B138" s="57" t="str">
        <f>+B38</f>
        <v>Software &amp; Apps - COGS</v>
      </c>
      <c r="C138" s="84">
        <f>+AT38*12</f>
        <v>335.70816000000002</v>
      </c>
      <c r="D138" s="97" t="s">
        <v>289</v>
      </c>
      <c r="F138" s="85"/>
      <c r="G138" s="85"/>
      <c r="I138" s="85"/>
      <c r="J138" s="85"/>
      <c r="K138" s="85"/>
      <c r="L138" s="85"/>
      <c r="M138" s="85"/>
      <c r="N138" s="85"/>
    </row>
    <row r="139" spans="2:14" x14ac:dyDescent="0.2">
      <c r="B139" s="57" t="str">
        <f>+B39</f>
        <v>Software &amp; Apps - G&amp;A</v>
      </c>
      <c r="C139" s="84">
        <f>+AT39*12</f>
        <v>155.82264000000001</v>
      </c>
      <c r="D139" s="97" t="s">
        <v>289</v>
      </c>
      <c r="F139" s="85"/>
      <c r="G139" s="85"/>
      <c r="I139" s="85"/>
      <c r="J139" s="85"/>
      <c r="K139" s="85"/>
      <c r="L139" s="85"/>
      <c r="M139" s="85"/>
      <c r="N139" s="85"/>
    </row>
    <row r="140" spans="2:14" x14ac:dyDescent="0.2">
      <c r="B140" s="57" t="str">
        <f>+B40</f>
        <v>Software &amp; Apps - Topkey</v>
      </c>
      <c r="C140" s="84">
        <f>AT40*12</f>
        <v>60.84</v>
      </c>
      <c r="D140" s="97" t="s">
        <v>289</v>
      </c>
      <c r="F140" s="85"/>
      <c r="G140" s="85"/>
      <c r="I140" s="85"/>
      <c r="J140" s="85"/>
      <c r="K140" s="85"/>
      <c r="L140" s="85"/>
      <c r="M140" s="85"/>
      <c r="N140" s="85"/>
    </row>
    <row r="141" spans="2:14" x14ac:dyDescent="0.2">
      <c r="B141" s="57" t="str">
        <f>+B41</f>
        <v>Software &amp; Apps - AI tools</v>
      </c>
      <c r="C141" s="84">
        <f>+AT41*12</f>
        <v>15.743759999999998</v>
      </c>
      <c r="D141" s="97" t="s">
        <v>289</v>
      </c>
      <c r="F141" s="85"/>
      <c r="G141" s="85"/>
      <c r="I141" s="85"/>
      <c r="J141" s="85"/>
      <c r="K141" s="85"/>
      <c r="L141" s="85"/>
      <c r="M141" s="85"/>
      <c r="N141" s="85"/>
    </row>
    <row r="142" spans="2:14" x14ac:dyDescent="0.2">
      <c r="B142" s="59" t="str">
        <f>+B42</f>
        <v>Total Software Expenses</v>
      </c>
      <c r="C142" s="60">
        <f>SUM(C138:C141)</f>
        <v>568.11455999999998</v>
      </c>
      <c r="D142" s="97"/>
      <c r="F142" s="85"/>
      <c r="G142" s="85"/>
      <c r="I142" s="85"/>
      <c r="J142" s="85"/>
      <c r="K142" s="85"/>
      <c r="L142" s="85"/>
      <c r="M142" s="85"/>
      <c r="N142" s="85"/>
    </row>
    <row r="143" spans="2:14" x14ac:dyDescent="0.2">
      <c r="B143" s="57"/>
      <c r="C143" s="84"/>
      <c r="D143" s="97"/>
      <c r="F143" s="85"/>
      <c r="G143" s="85"/>
      <c r="I143" s="85"/>
      <c r="J143" s="85"/>
      <c r="K143" s="85"/>
      <c r="L143" s="85"/>
      <c r="M143" s="85"/>
      <c r="N143" s="85"/>
    </row>
    <row r="144" spans="2:14" x14ac:dyDescent="0.2">
      <c r="B144" s="43" t="s">
        <v>284</v>
      </c>
      <c r="C144" s="44"/>
      <c r="D144" s="97"/>
      <c r="F144" s="85"/>
      <c r="G144" s="85"/>
      <c r="I144" s="85"/>
      <c r="J144" s="85"/>
      <c r="K144" s="85"/>
      <c r="L144" s="85"/>
      <c r="M144" s="85"/>
      <c r="N144" s="85"/>
    </row>
    <row r="145" spans="2:14" x14ac:dyDescent="0.2">
      <c r="B145" s="57" t="str">
        <f>+B44</f>
        <v>Other Professional Fees</v>
      </c>
      <c r="C145" s="85">
        <f t="shared" ref="C145:C150" si="226">+J44</f>
        <v>53.626950000000001</v>
      </c>
      <c r="D145" s="97" t="s">
        <v>294</v>
      </c>
      <c r="F145" s="85"/>
      <c r="G145" s="85"/>
      <c r="I145" s="85"/>
      <c r="J145" s="85"/>
      <c r="K145" s="116"/>
      <c r="L145" s="85"/>
      <c r="M145" s="85"/>
      <c r="N145" s="85"/>
    </row>
    <row r="146" spans="2:14" x14ac:dyDescent="0.2">
      <c r="B146" s="58" t="s">
        <v>42</v>
      </c>
      <c r="C146" s="85">
        <f t="shared" si="226"/>
        <v>30.69416</v>
      </c>
      <c r="D146" s="97" t="s">
        <v>294</v>
      </c>
      <c r="F146" s="85"/>
      <c r="G146" s="85"/>
      <c r="I146" s="85"/>
      <c r="J146" s="85"/>
      <c r="K146" s="85"/>
      <c r="L146" s="85"/>
      <c r="M146" s="85"/>
      <c r="N146" s="85"/>
    </row>
    <row r="147" spans="2:14" x14ac:dyDescent="0.2">
      <c r="B147" s="57" t="str">
        <f>+B46</f>
        <v>Travel, Meals &amp; Entertainment</v>
      </c>
      <c r="C147" s="85">
        <f t="shared" si="226"/>
        <v>28.23873</v>
      </c>
      <c r="D147" s="97" t="s">
        <v>294</v>
      </c>
      <c r="F147" s="85"/>
      <c r="G147" s="85"/>
      <c r="I147" s="85"/>
      <c r="J147" s="85"/>
      <c r="K147" s="85"/>
      <c r="L147" s="85"/>
      <c r="M147" s="85"/>
      <c r="N147" s="85"/>
    </row>
    <row r="148" spans="2:14" x14ac:dyDescent="0.2">
      <c r="B148" s="57" t="str">
        <f>+B47</f>
        <v>Payment Collection Fees</v>
      </c>
      <c r="C148" s="85">
        <f t="shared" si="226"/>
        <v>15.652799999999997</v>
      </c>
      <c r="D148" s="97" t="s">
        <v>294</v>
      </c>
      <c r="F148" s="85"/>
      <c r="G148" s="85"/>
      <c r="I148" s="85"/>
      <c r="J148" s="85"/>
      <c r="K148" s="85"/>
      <c r="L148" s="85"/>
      <c r="M148" s="85"/>
      <c r="N148" s="85"/>
    </row>
    <row r="149" spans="2:14" x14ac:dyDescent="0.2">
      <c r="B149" s="57" t="str">
        <f>+B48</f>
        <v>Professional Organizations</v>
      </c>
      <c r="C149" s="85">
        <f t="shared" si="226"/>
        <v>12.156920000000003</v>
      </c>
      <c r="D149" s="97" t="s">
        <v>294</v>
      </c>
      <c r="F149" s="85"/>
      <c r="G149" s="85"/>
      <c r="I149" s="85"/>
      <c r="J149" s="85"/>
      <c r="K149" s="85"/>
      <c r="L149" s="85"/>
      <c r="M149" s="85"/>
      <c r="N149" s="85"/>
    </row>
    <row r="150" spans="2:14" x14ac:dyDescent="0.2">
      <c r="B150" s="57" t="str">
        <f>+B49</f>
        <v>S&amp;M Events</v>
      </c>
      <c r="C150" s="85">
        <f t="shared" si="226"/>
        <v>11.648780000000002</v>
      </c>
      <c r="D150" s="97" t="s">
        <v>294</v>
      </c>
      <c r="F150" s="85"/>
      <c r="G150" s="85"/>
      <c r="I150" s="85"/>
      <c r="J150" s="85"/>
      <c r="K150" s="85"/>
      <c r="L150" s="85"/>
      <c r="M150" s="85"/>
      <c r="N150" s="85"/>
    </row>
    <row r="151" spans="2:14" x14ac:dyDescent="0.2">
      <c r="B151" s="57" t="str">
        <f>+B59</f>
        <v>Contract Labor - Tax</v>
      </c>
      <c r="C151" s="85">
        <f>+C118</f>
        <v>10</v>
      </c>
      <c r="D151" s="97" t="s">
        <v>330</v>
      </c>
      <c r="F151" s="85"/>
      <c r="G151" s="85"/>
      <c r="I151" s="85"/>
      <c r="J151" s="85"/>
      <c r="K151" s="85"/>
      <c r="L151" s="85"/>
      <c r="M151" s="85"/>
      <c r="N151" s="85"/>
    </row>
    <row r="152" spans="2:14" x14ac:dyDescent="0.2">
      <c r="B152" s="57" t="str">
        <f t="shared" ref="B152:B158" si="227">+B50</f>
        <v>Recruiting Fees</v>
      </c>
      <c r="C152" s="85">
        <f>+J50</f>
        <v>8.8458499999999987</v>
      </c>
      <c r="D152" s="97" t="s">
        <v>294</v>
      </c>
      <c r="F152" s="85"/>
      <c r="G152" s="85"/>
      <c r="I152" s="85"/>
      <c r="J152" s="85"/>
      <c r="K152" s="85"/>
      <c r="L152" s="85"/>
      <c r="M152" s="85"/>
      <c r="N152" s="85"/>
    </row>
    <row r="153" spans="2:14" x14ac:dyDescent="0.2">
      <c r="B153" s="57" t="str">
        <f t="shared" si="227"/>
        <v>Amortization</v>
      </c>
      <c r="C153" s="85">
        <f>+J51</f>
        <v>6.673</v>
      </c>
      <c r="D153" s="97" t="s">
        <v>294</v>
      </c>
      <c r="F153" s="85"/>
      <c r="G153" s="85"/>
      <c r="I153" s="85"/>
      <c r="J153" s="85"/>
      <c r="K153" s="85"/>
      <c r="L153" s="85"/>
      <c r="M153" s="85"/>
      <c r="N153" s="85"/>
    </row>
    <row r="154" spans="2:14" x14ac:dyDescent="0.2">
      <c r="B154" s="57" t="str">
        <f t="shared" si="227"/>
        <v>Website</v>
      </c>
      <c r="C154" s="85">
        <f>+J52</f>
        <v>4.9035700000000002</v>
      </c>
      <c r="D154" s="97" t="s">
        <v>294</v>
      </c>
      <c r="F154" s="85"/>
      <c r="G154" s="85"/>
      <c r="I154" s="85"/>
      <c r="J154" s="85"/>
      <c r="K154" s="85"/>
      <c r="L154" s="85"/>
      <c r="M154" s="85"/>
      <c r="N154" s="85"/>
    </row>
    <row r="155" spans="2:14" x14ac:dyDescent="0.2">
      <c r="B155" s="57" t="str">
        <f t="shared" si="227"/>
        <v>State Taxes</v>
      </c>
      <c r="C155" s="85">
        <f>+J53</f>
        <v>5.2619999999999996</v>
      </c>
      <c r="D155" s="97" t="s">
        <v>294</v>
      </c>
      <c r="F155" s="85"/>
      <c r="G155" s="85"/>
      <c r="I155" s="85"/>
      <c r="J155" s="85"/>
      <c r="K155" s="85"/>
      <c r="L155" s="85"/>
      <c r="M155" s="85"/>
      <c r="N155" s="85"/>
    </row>
    <row r="156" spans="2:14" x14ac:dyDescent="0.2">
      <c r="B156" s="57" t="str">
        <f t="shared" si="227"/>
        <v>Insurance</v>
      </c>
      <c r="C156" s="85">
        <f>+J54</f>
        <v>4.897689999999999</v>
      </c>
      <c r="D156" s="97" t="s">
        <v>294</v>
      </c>
      <c r="F156" s="85"/>
      <c r="G156" s="85"/>
      <c r="I156" s="85"/>
      <c r="J156" s="85"/>
      <c r="K156" s="85"/>
      <c r="L156" s="85"/>
      <c r="M156" s="85"/>
      <c r="N156" s="85"/>
    </row>
    <row r="157" spans="2:14" x14ac:dyDescent="0.2">
      <c r="B157" s="57" t="str">
        <f t="shared" si="227"/>
        <v>Occupancy Tax Filing Fees</v>
      </c>
      <c r="C157" s="84">
        <f>+AT56*12</f>
        <v>3.516</v>
      </c>
      <c r="D157" s="97" t="s">
        <v>289</v>
      </c>
      <c r="F157" s="85"/>
      <c r="G157" s="85"/>
      <c r="I157" s="85"/>
      <c r="J157" s="85"/>
      <c r="K157" s="85"/>
      <c r="L157" s="85"/>
      <c r="M157" s="85"/>
      <c r="N157" s="85"/>
    </row>
    <row r="158" spans="2:14" x14ac:dyDescent="0.2">
      <c r="B158" s="57" t="str">
        <f t="shared" si="227"/>
        <v>Utilities</v>
      </c>
      <c r="C158" s="85">
        <f>+J56</f>
        <v>3.1680000000000001</v>
      </c>
      <c r="D158" s="97" t="s">
        <v>294</v>
      </c>
      <c r="F158" s="85"/>
      <c r="G158" s="85"/>
      <c r="I158" s="85"/>
      <c r="J158" s="85"/>
      <c r="K158" s="85"/>
      <c r="L158" s="85"/>
      <c r="M158" s="85"/>
      <c r="N158" s="85"/>
    </row>
    <row r="159" spans="2:14" x14ac:dyDescent="0.2">
      <c r="B159" s="57" t="str">
        <f>+B58</f>
        <v>1099 Filing Fees</v>
      </c>
      <c r="C159" s="85">
        <f>+C58</f>
        <v>1.3459299999999998</v>
      </c>
      <c r="D159" s="97" t="s">
        <v>329</v>
      </c>
      <c r="F159" s="85"/>
      <c r="G159" s="85"/>
      <c r="I159" s="85"/>
      <c r="J159" s="85"/>
      <c r="K159" s="85"/>
      <c r="L159" s="85"/>
      <c r="M159" s="85"/>
      <c r="N159" s="85"/>
    </row>
    <row r="160" spans="2:14" x14ac:dyDescent="0.2">
      <c r="B160" s="57" t="str">
        <f>+B57</f>
        <v>Interest</v>
      </c>
      <c r="C160" s="85">
        <f>+J57</f>
        <v>1.49847</v>
      </c>
      <c r="D160" s="97" t="s">
        <v>294</v>
      </c>
      <c r="F160" s="85"/>
      <c r="G160" s="85"/>
      <c r="I160" s="85"/>
      <c r="J160" s="85"/>
      <c r="K160" s="85"/>
      <c r="L160" s="85"/>
      <c r="M160" s="85"/>
      <c r="N160" s="85"/>
    </row>
    <row r="161" spans="1:14" x14ac:dyDescent="0.2">
      <c r="B161" s="57" t="str">
        <f>+B60</f>
        <v>Other Income</v>
      </c>
      <c r="C161" s="85">
        <f>+J60</f>
        <v>-0.27642000000000005</v>
      </c>
      <c r="D161" s="97" t="s">
        <v>294</v>
      </c>
      <c r="F161" s="85"/>
      <c r="G161" s="85"/>
      <c r="I161" s="85"/>
      <c r="J161" s="85"/>
      <c r="K161" s="85"/>
      <c r="L161" s="85"/>
      <c r="M161" s="85"/>
      <c r="N161" s="85"/>
    </row>
    <row r="162" spans="1:14" x14ac:dyDescent="0.2">
      <c r="B162" s="57" t="str">
        <f>+B61</f>
        <v>Other Expenses</v>
      </c>
      <c r="C162" s="85">
        <f>+J61</f>
        <v>17.956009999999999</v>
      </c>
      <c r="D162" s="97" t="s">
        <v>294</v>
      </c>
      <c r="F162" s="85"/>
      <c r="G162" s="85"/>
      <c r="I162" s="85"/>
      <c r="J162" s="85"/>
      <c r="K162" s="85"/>
      <c r="L162" s="85"/>
      <c r="M162" s="85"/>
      <c r="N162" s="85"/>
    </row>
    <row r="163" spans="1:14" x14ac:dyDescent="0.2">
      <c r="B163" s="57"/>
      <c r="C163" s="85"/>
      <c r="D163" s="97"/>
      <c r="F163" s="85"/>
      <c r="G163" s="85"/>
      <c r="I163" s="85"/>
      <c r="J163" s="85"/>
      <c r="K163" s="85"/>
      <c r="L163" s="85"/>
      <c r="M163" s="85"/>
      <c r="N163" s="85"/>
    </row>
    <row r="164" spans="1:14" x14ac:dyDescent="0.2">
      <c r="B164" s="43" t="str">
        <f>+B82</f>
        <v>Year-One Adjustments</v>
      </c>
      <c r="C164" s="44"/>
      <c r="D164" s="97"/>
      <c r="F164" s="85"/>
      <c r="G164" s="85"/>
      <c r="I164" s="85"/>
      <c r="J164" s="85"/>
      <c r="K164" s="85"/>
      <c r="L164" s="85"/>
      <c r="M164" s="85"/>
      <c r="N164" s="85"/>
    </row>
    <row r="165" spans="1:14" x14ac:dyDescent="0.2">
      <c r="B165" s="95" t="s">
        <v>278</v>
      </c>
      <c r="C165" s="84">
        <v>200</v>
      </c>
      <c r="D165" s="126" t="s">
        <v>327</v>
      </c>
      <c r="F165" s="85"/>
      <c r="G165" s="85"/>
      <c r="I165" s="85"/>
      <c r="J165" s="85"/>
      <c r="K165" s="85"/>
      <c r="L165" s="85"/>
      <c r="M165" s="85"/>
      <c r="N165" s="85"/>
    </row>
    <row r="166" spans="1:14" x14ac:dyDescent="0.2">
      <c r="B166" s="57" t="s">
        <v>318</v>
      </c>
      <c r="C166" s="84">
        <v>100</v>
      </c>
      <c r="D166" s="97" t="s">
        <v>319</v>
      </c>
    </row>
    <row r="167" spans="1:14" x14ac:dyDescent="0.2">
      <c r="B167" s="133" t="s">
        <v>337</v>
      </c>
      <c r="C167" s="85">
        <f>+C44</f>
        <v>18.234249999999999</v>
      </c>
      <c r="D167" s="97" t="s">
        <v>329</v>
      </c>
    </row>
    <row r="168" spans="1:14" x14ac:dyDescent="0.2">
      <c r="A168" s="132" t="s">
        <v>295</v>
      </c>
    </row>
    <row r="172" spans="1:14" x14ac:dyDescent="0.2">
      <c r="C172" s="34">
        <v>45291</v>
      </c>
      <c r="D172" s="36">
        <f>C173</f>
        <v>45657</v>
      </c>
      <c r="E172" s="36"/>
      <c r="F172" s="34">
        <v>45657</v>
      </c>
      <c r="G172" s="34">
        <v>46022</v>
      </c>
      <c r="H172" s="34"/>
      <c r="I172" s="34">
        <v>45473</v>
      </c>
      <c r="J172" s="36">
        <f>I173</f>
        <v>45838</v>
      </c>
    </row>
    <row r="173" spans="1:14" x14ac:dyDescent="0.2">
      <c r="C173" s="35">
        <f>EOMONTH(C172,12)</f>
        <v>45657</v>
      </c>
      <c r="D173" s="35">
        <f>EOMONTH(D172,12)</f>
        <v>46022</v>
      </c>
      <c r="E173" s="35"/>
      <c r="F173" s="35">
        <v>45869</v>
      </c>
      <c r="G173" s="35">
        <f>EOMONTH(G172,12)</f>
        <v>46387</v>
      </c>
      <c r="H173" s="35"/>
      <c r="I173" s="35">
        <f>EOMONTH(I172,12)</f>
        <v>45838</v>
      </c>
      <c r="J173" s="35">
        <f>EOMONTH(J172,12)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45" zoomScaleNormal="175" zoomScaleSheetLayoutView="145" workbookViewId="0">
      <selection activeCell="S35" sqref="S35"/>
    </sheetView>
  </sheetViews>
  <sheetFormatPr defaultRowHeight="12" x14ac:dyDescent="0.2"/>
  <cols>
    <col min="1" max="1" width="1.7109375" style="37" customWidth="1"/>
    <col min="2" max="2" width="25.42578125" style="37" customWidth="1"/>
    <col min="3" max="5" width="7.7109375" style="37" customWidth="1"/>
    <col min="6" max="6" width="0.85546875" style="37" customWidth="1"/>
    <col min="7" max="7" width="6.7109375" style="37" customWidth="1"/>
    <col min="8" max="8" width="6.7109375" style="37" bestFit="1" customWidth="1"/>
    <col min="9" max="9" width="6.42578125" style="37" bestFit="1" customWidth="1"/>
    <col min="10" max="10" width="6.5703125" style="37" bestFit="1" customWidth="1"/>
    <col min="11" max="11" width="6.7109375" style="37" bestFit="1" customWidth="1"/>
    <col min="12" max="12" width="6.5703125" style="37" bestFit="1" customWidth="1"/>
    <col min="13" max="13" width="6.42578125" style="37" bestFit="1" customWidth="1"/>
    <col min="14" max="14" width="6.7109375" style="37" bestFit="1" customWidth="1"/>
    <col min="15" max="15" width="6.42578125" style="37" bestFit="1" customWidth="1"/>
    <col min="16" max="16" width="6.85546875" style="37" bestFit="1" customWidth="1"/>
    <col min="17" max="17" width="6.5703125" style="37" bestFit="1" customWidth="1"/>
    <col min="18" max="18" width="6" style="37" bestFit="1" customWidth="1"/>
    <col min="19" max="19" width="6.140625" style="37" customWidth="1"/>
    <col min="20" max="16384" width="9.140625" style="37"/>
  </cols>
  <sheetData>
    <row r="2" spans="2:21" ht="16.5" x14ac:dyDescent="0.25">
      <c r="B2" s="38" t="str">
        <f>+Cover!B24</f>
        <v>Keystone Bookkeepers</v>
      </c>
    </row>
    <row r="3" spans="2:21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T3" s="37" t="s">
        <v>277</v>
      </c>
      <c r="U3" s="79">
        <v>1</v>
      </c>
    </row>
    <row r="5" spans="2:21" x14ac:dyDescent="0.2">
      <c r="B5" s="74"/>
      <c r="C5" s="75" t="s">
        <v>270</v>
      </c>
      <c r="D5" s="76"/>
      <c r="E5" s="77" t="s">
        <v>271</v>
      </c>
      <c r="F5" s="78"/>
      <c r="G5" s="75" t="s">
        <v>267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21" ht="12" customHeight="1" x14ac:dyDescent="0.2">
      <c r="B6" s="41" t="s">
        <v>265</v>
      </c>
      <c r="C6" s="42" t="s">
        <v>269</v>
      </c>
      <c r="D6" s="42" t="s">
        <v>268</v>
      </c>
      <c r="E6" s="42" t="s">
        <v>268</v>
      </c>
      <c r="F6" s="52"/>
      <c r="G6" s="45">
        <f>+'P&amp;L Overview'!AE5</f>
        <v>45870</v>
      </c>
      <c r="H6" s="45">
        <f t="shared" ref="H6:R6" si="0">EOMONTH(G6,0)+1</f>
        <v>45901</v>
      </c>
      <c r="I6" s="45">
        <f t="shared" si="0"/>
        <v>45931</v>
      </c>
      <c r="J6" s="45">
        <f t="shared" si="0"/>
        <v>45962</v>
      </c>
      <c r="K6" s="45">
        <f t="shared" si="0"/>
        <v>45992</v>
      </c>
      <c r="L6" s="45">
        <f t="shared" si="0"/>
        <v>46023</v>
      </c>
      <c r="M6" s="45">
        <f t="shared" si="0"/>
        <v>46054</v>
      </c>
      <c r="N6" s="45">
        <f t="shared" si="0"/>
        <v>46082</v>
      </c>
      <c r="O6" s="45">
        <f t="shared" si="0"/>
        <v>46113</v>
      </c>
      <c r="P6" s="45">
        <f t="shared" si="0"/>
        <v>46143</v>
      </c>
      <c r="Q6" s="45">
        <f t="shared" si="0"/>
        <v>46174</v>
      </c>
      <c r="R6" s="45">
        <f t="shared" si="0"/>
        <v>46204</v>
      </c>
    </row>
    <row r="7" spans="2:21" x14ac:dyDescent="0.2">
      <c r="B7" s="43" t="s">
        <v>266</v>
      </c>
      <c r="C7" s="44"/>
      <c r="D7" s="44"/>
      <c r="E7" s="44"/>
      <c r="F7" s="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21" x14ac:dyDescent="0.2">
      <c r="B8" s="57" t="str">
        <f>+'P&amp;L Forecast'!B7</f>
        <v>STR Subscription</v>
      </c>
      <c r="C8" s="50">
        <f>+'P&amp;L Forecast'!I7</f>
        <v>1098.5075000000002</v>
      </c>
      <c r="D8" s="50">
        <f>+'P&amp;L Forecast'!J7</f>
        <v>1881.6971000000001</v>
      </c>
      <c r="E8" s="50">
        <f>+'P&amp;L Forecast'!K7</f>
        <v>2410.0500000000002</v>
      </c>
      <c r="F8" s="49"/>
      <c r="G8" s="48">
        <f>+'P&amp;L Forecast'!AI7</f>
        <v>130.08525</v>
      </c>
      <c r="H8" s="48">
        <f>+'P&amp;L Forecast'!AJ7</f>
        <v>133.59049999999999</v>
      </c>
      <c r="I8" s="48">
        <f>+'P&amp;L Forecast'!AK7</f>
        <v>139.60900000000001</v>
      </c>
      <c r="J8" s="48">
        <f>+'P&amp;L Forecast'!AL7</f>
        <v>145.28075000000001</v>
      </c>
      <c r="K8" s="48">
        <f>+'P&amp;L Forecast'!AM7</f>
        <v>150.39824999999999</v>
      </c>
      <c r="L8" s="48">
        <f>+'P&amp;L Forecast'!AN7</f>
        <v>156.53879999999998</v>
      </c>
      <c r="M8" s="48">
        <f>+'P&amp;L Forecast'!AO7</f>
        <v>164.9034</v>
      </c>
      <c r="N8" s="48">
        <f>+'P&amp;L Forecast'!AP7</f>
        <v>170.34424999999999</v>
      </c>
      <c r="O8" s="48">
        <f>+'P&amp;L Forecast'!AQ7</f>
        <v>183.66200000000001</v>
      </c>
      <c r="P8" s="48">
        <f>+'P&amp;L Forecast'!AR7</f>
        <v>190.78440000000001</v>
      </c>
      <c r="Q8" s="48">
        <f>+'P&amp;L Forecast'!AS7</f>
        <v>194.40649999999999</v>
      </c>
      <c r="R8" s="48">
        <f>+'P&amp;L Forecast'!AT7</f>
        <v>200.83750000000001</v>
      </c>
    </row>
    <row r="9" spans="2:21" x14ac:dyDescent="0.2">
      <c r="B9" s="57" t="str">
        <f>+'P&amp;L Forecast'!B8</f>
        <v>Occupancy Taxes</v>
      </c>
      <c r="C9" s="65">
        <f>+'P&amp;L Forecast'!I8</f>
        <v>18.727000000000004</v>
      </c>
      <c r="D9" s="65">
        <f>+'P&amp;L Forecast'!J8</f>
        <v>112.49548999999999</v>
      </c>
      <c r="E9" s="65">
        <f>+'P&amp;L Forecast'!K8</f>
        <v>192.82980000000001</v>
      </c>
      <c r="F9" s="24"/>
      <c r="G9" s="54">
        <f>+'P&amp;L Forecast'!AI8</f>
        <v>4.7300000000000004</v>
      </c>
      <c r="H9" s="54">
        <f>+'P&amp;L Forecast'!AJ8</f>
        <v>4.82</v>
      </c>
      <c r="I9" s="54">
        <f>+'P&amp;L Forecast'!AK8</f>
        <v>5.37</v>
      </c>
      <c r="J9" s="54">
        <f>+'P&amp;L Forecast'!AL8</f>
        <v>8.0500000000000007</v>
      </c>
      <c r="K9" s="54">
        <f>+'P&amp;L Forecast'!AM8</f>
        <v>8.8849999999999998</v>
      </c>
      <c r="L9" s="54">
        <f>+'P&amp;L Forecast'!AN8</f>
        <v>10.909520000000001</v>
      </c>
      <c r="M9" s="54">
        <f>+'P&amp;L Forecast'!AO8</f>
        <v>10.33497</v>
      </c>
      <c r="N9" s="54">
        <f>+'P&amp;L Forecast'!AP8</f>
        <v>11.175000000000001</v>
      </c>
      <c r="O9" s="54">
        <f>+'P&amp;L Forecast'!AQ8</f>
        <v>11.953110000000001</v>
      </c>
      <c r="P9" s="54">
        <f>+'P&amp;L Forecast'!AR8</f>
        <v>15.040709999999999</v>
      </c>
      <c r="Q9" s="54">
        <f>+'P&amp;L Forecast'!AS8</f>
        <v>16.168680000000002</v>
      </c>
      <c r="R9" s="54">
        <f>+'P&amp;L Forecast'!AT8</f>
        <v>16.06915</v>
      </c>
    </row>
    <row r="10" spans="2:21" x14ac:dyDescent="0.2">
      <c r="B10" s="57" t="str">
        <f>+'P&amp;L Forecast'!B9</f>
        <v>SMB Subscription</v>
      </c>
      <c r="C10" s="65">
        <f>+'P&amp;L Forecast'!I9</f>
        <v>174.62999999999997</v>
      </c>
      <c r="D10" s="65">
        <f>+'P&amp;L Forecast'!J9</f>
        <v>135.298</v>
      </c>
      <c r="E10" s="65">
        <f>+'P&amp;L Forecast'!K9</f>
        <v>119.706</v>
      </c>
      <c r="F10" s="24"/>
      <c r="G10" s="54">
        <f>+'P&amp;L Forecast'!AI9</f>
        <v>11.8575</v>
      </c>
      <c r="H10" s="54">
        <f>+'P&amp;L Forecast'!AJ9</f>
        <v>12.3025</v>
      </c>
      <c r="I10" s="54">
        <f>+'P&amp;L Forecast'!AK9</f>
        <v>11.692500000000001</v>
      </c>
      <c r="J10" s="54">
        <f>+'P&amp;L Forecast'!AL9</f>
        <v>11.717499999999999</v>
      </c>
      <c r="K10" s="54">
        <f>+'P&amp;L Forecast'!AM9</f>
        <v>11.7475</v>
      </c>
      <c r="L10" s="54">
        <f>+'P&amp;L Forecast'!AN9</f>
        <v>11.2805</v>
      </c>
      <c r="M10" s="54">
        <f>+'P&amp;L Forecast'!AO9</f>
        <v>10.9305</v>
      </c>
      <c r="N10" s="54">
        <f>+'P&amp;L Forecast'!AP9</f>
        <v>10.625500000000001</v>
      </c>
      <c r="O10" s="54">
        <f>+'P&amp;L Forecast'!AQ9</f>
        <v>10.3155</v>
      </c>
      <c r="P10" s="54">
        <f>+'P&amp;L Forecast'!AR9</f>
        <v>10.3155</v>
      </c>
      <c r="Q10" s="54">
        <f>+'P&amp;L Forecast'!AS9</f>
        <v>9.9755000000000003</v>
      </c>
      <c r="R10" s="54">
        <f>+'P&amp;L Forecast'!AT9</f>
        <v>9.9755000000000003</v>
      </c>
    </row>
    <row r="11" spans="2:21" x14ac:dyDescent="0.2">
      <c r="B11" s="57" t="str">
        <f>+'P&amp;L Forecast'!B10</f>
        <v>Onboarding</v>
      </c>
      <c r="C11" s="65">
        <f>+'P&amp;L Forecast'!I10</f>
        <v>55.660549999999994</v>
      </c>
      <c r="D11" s="65">
        <f>+'P&amp;L Forecast'!J10</f>
        <v>91.655749999999998</v>
      </c>
      <c r="E11" s="65">
        <f>+'P&amp;L Forecast'!K10</f>
        <v>103.5675</v>
      </c>
      <c r="F11" s="71"/>
      <c r="G11" s="54">
        <f>+'P&amp;L Forecast'!AI10</f>
        <v>3.9649999999999999</v>
      </c>
      <c r="H11" s="54">
        <f>+'P&amp;L Forecast'!AJ10</f>
        <v>3.92</v>
      </c>
      <c r="I11" s="54">
        <f>+'P&amp;L Forecast'!AK10</f>
        <v>9.1364999999999998</v>
      </c>
      <c r="J11" s="54">
        <f>+'P&amp;L Forecast'!AL10</f>
        <v>5.2537500000000001</v>
      </c>
      <c r="K11" s="54">
        <f>+'P&amp;L Forecast'!AM10</f>
        <v>9.99</v>
      </c>
      <c r="L11" s="54">
        <f>+'P&amp;L Forecast'!AN10</f>
        <v>10.2105</v>
      </c>
      <c r="M11" s="54">
        <f>+'P&amp;L Forecast'!AO10</f>
        <v>6.6749999999999998</v>
      </c>
      <c r="N11" s="54">
        <f>+'P&amp;L Forecast'!AP10</f>
        <v>9.0990000000000002</v>
      </c>
      <c r="O11" s="54">
        <f>+'P&amp;L Forecast'!AQ10</f>
        <v>8.9544999999999995</v>
      </c>
      <c r="P11" s="54">
        <f>+'P&amp;L Forecast'!AR10</f>
        <v>12.606</v>
      </c>
      <c r="Q11" s="54">
        <f>+'P&amp;L Forecast'!AS10</f>
        <v>5.4115000000000002</v>
      </c>
      <c r="R11" s="54">
        <f>+'P&amp;L Forecast'!AT10</f>
        <v>6.0984999999999996</v>
      </c>
    </row>
    <row r="12" spans="2:21" x14ac:dyDescent="0.2">
      <c r="B12" s="57" t="str">
        <f>+'P&amp;L Forecast'!B11</f>
        <v>Topkey Subscription</v>
      </c>
      <c r="C12" s="65">
        <f>+'P&amp;L Forecast'!I11</f>
        <v>0</v>
      </c>
      <c r="D12" s="65">
        <f>+'P&amp;L Forecast'!J11</f>
        <v>47.129999999999995</v>
      </c>
      <c r="E12" s="65">
        <f>+'P&amp;L Forecast'!K11</f>
        <v>94.835999999999999</v>
      </c>
      <c r="F12" s="24"/>
      <c r="G12" s="54">
        <f>+'P&amp;L Forecast'!AI11</f>
        <v>0</v>
      </c>
      <c r="H12" s="54">
        <f>+'P&amp;L Forecast'!AJ11</f>
        <v>0.52</v>
      </c>
      <c r="I12" s="54">
        <f>+'P&amp;L Forecast'!AK11</f>
        <v>2.3570000000000002</v>
      </c>
      <c r="J12" s="54">
        <f>+'P&amp;L Forecast'!AL11</f>
        <v>2.8109999999999999</v>
      </c>
      <c r="K12" s="54">
        <f>+'P&amp;L Forecast'!AM11</f>
        <v>4.2590000000000003</v>
      </c>
      <c r="L12" s="54">
        <f>+'P&amp;L Forecast'!AN11</f>
        <v>5.2539999999999996</v>
      </c>
      <c r="M12" s="54">
        <f>+'P&amp;L Forecast'!AO11</f>
        <v>5.6520000000000001</v>
      </c>
      <c r="N12" s="54">
        <f>+'P&amp;L Forecast'!AP11</f>
        <v>5.3239999999999998</v>
      </c>
      <c r="O12" s="54">
        <f>+'P&amp;L Forecast'!AQ11</f>
        <v>6.3209999999999997</v>
      </c>
      <c r="P12" s="54">
        <f>+'P&amp;L Forecast'!AR11</f>
        <v>6.9589999999999996</v>
      </c>
      <c r="Q12" s="54">
        <f>+'P&amp;L Forecast'!AS11</f>
        <v>7.673</v>
      </c>
      <c r="R12" s="54">
        <f>+'P&amp;L Forecast'!AT11</f>
        <v>7.9029999999999996</v>
      </c>
    </row>
    <row r="13" spans="2:21" x14ac:dyDescent="0.2">
      <c r="B13" s="57" t="str">
        <f>+'P&amp;L Forecast'!B12</f>
        <v>STR Bill Pay</v>
      </c>
      <c r="C13" s="65">
        <f>+'P&amp;L Forecast'!I12</f>
        <v>11.631500000000001</v>
      </c>
      <c r="D13" s="65">
        <f>+'P&amp;L Forecast'!J12</f>
        <v>63.209999999999994</v>
      </c>
      <c r="E13" s="65">
        <f>+'P&amp;L Forecast'!K12</f>
        <v>83.460000000000008</v>
      </c>
      <c r="F13" s="24"/>
      <c r="G13" s="54">
        <f>+'P&amp;L Forecast'!AI12</f>
        <v>3.9049999999999998</v>
      </c>
      <c r="H13" s="54">
        <f>+'P&amp;L Forecast'!AJ12</f>
        <v>3.78</v>
      </c>
      <c r="I13" s="54">
        <f>+'P&amp;L Forecast'!AK12</f>
        <v>3.7949999999999999</v>
      </c>
      <c r="J13" s="54">
        <f>+'P&amp;L Forecast'!AL12</f>
        <v>4.33</v>
      </c>
      <c r="K13" s="54">
        <f>+'P&amp;L Forecast'!AM12</f>
        <v>5.3049999999999997</v>
      </c>
      <c r="L13" s="54">
        <f>+'P&amp;L Forecast'!AN12</f>
        <v>6.3</v>
      </c>
      <c r="M13" s="54">
        <f>+'P&amp;L Forecast'!AO12</f>
        <v>6.39</v>
      </c>
      <c r="N13" s="54">
        <f>+'P&amp;L Forecast'!AP12</f>
        <v>6.4249999999999998</v>
      </c>
      <c r="O13" s="54">
        <f>+'P&amp;L Forecast'!AQ12</f>
        <v>6.08</v>
      </c>
      <c r="P13" s="54">
        <f>+'P&amp;L Forecast'!AR12</f>
        <v>6.3250000000000002</v>
      </c>
      <c r="Q13" s="54">
        <f>+'P&amp;L Forecast'!AS12</f>
        <v>6.6550000000000002</v>
      </c>
      <c r="R13" s="54">
        <f>+'P&amp;L Forecast'!AT12</f>
        <v>6.9550000000000001</v>
      </c>
    </row>
    <row r="14" spans="2:21" x14ac:dyDescent="0.2">
      <c r="B14" s="57" t="str">
        <f>+'P&amp;L Forecast'!B13</f>
        <v>Controller Services</v>
      </c>
      <c r="C14" s="65">
        <f>+'P&amp;L Forecast'!I13</f>
        <v>41.25</v>
      </c>
      <c r="D14" s="65">
        <f>+'P&amp;L Forecast'!J13</f>
        <v>39.65</v>
      </c>
      <c r="E14" s="65">
        <f>+'P&amp;L Forecast'!K13</f>
        <v>42</v>
      </c>
      <c r="F14" s="24"/>
      <c r="G14" s="54">
        <f>+'P&amp;L Forecast'!AI13</f>
        <v>2.95</v>
      </c>
      <c r="H14" s="54">
        <f>+'P&amp;L Forecast'!AJ13</f>
        <v>3.0249999999999999</v>
      </c>
      <c r="I14" s="54">
        <f>+'P&amp;L Forecast'!AK13</f>
        <v>3.0249999999999999</v>
      </c>
      <c r="J14" s="54">
        <f>+'P&amp;L Forecast'!AL13</f>
        <v>2.95</v>
      </c>
      <c r="K14" s="54">
        <f>+'P&amp;L Forecast'!AM13</f>
        <v>2.95</v>
      </c>
      <c r="L14" s="54">
        <f>+'P&amp;L Forecast'!AN13</f>
        <v>2.75</v>
      </c>
      <c r="M14" s="54">
        <f>+'P&amp;L Forecast'!AO13</f>
        <v>3.5</v>
      </c>
      <c r="N14" s="54">
        <f>+'P&amp;L Forecast'!AP13</f>
        <v>2.75</v>
      </c>
      <c r="O14" s="54">
        <f>+'P&amp;L Forecast'!AQ13</f>
        <v>4.75</v>
      </c>
      <c r="P14" s="54">
        <f>+'P&amp;L Forecast'!AR13</f>
        <v>3.5</v>
      </c>
      <c r="Q14" s="54">
        <f>+'P&amp;L Forecast'!AS13</f>
        <v>3.5</v>
      </c>
      <c r="R14" s="54">
        <f>+'P&amp;L Forecast'!AT13</f>
        <v>3.5</v>
      </c>
    </row>
    <row r="15" spans="2:21" x14ac:dyDescent="0.2">
      <c r="B15" s="57" t="str">
        <f>+'P&amp;L Forecast'!B14</f>
        <v>Historical Cleanup</v>
      </c>
      <c r="C15" s="65">
        <f>+'P&amp;L Forecast'!I14</f>
        <v>14.305250000000001</v>
      </c>
      <c r="D15" s="65">
        <f>+'P&amp;L Forecast'!J14</f>
        <v>0.59499999999999997</v>
      </c>
      <c r="E15" s="65">
        <f>+'P&amp;L Forecast'!K14</f>
        <v>0</v>
      </c>
      <c r="F15" s="24"/>
      <c r="G15" s="54">
        <f>+'P&amp;L Forecast'!AI14</f>
        <v>0</v>
      </c>
      <c r="H15" s="54">
        <f>+'P&amp;L Forecast'!AJ14</f>
        <v>0</v>
      </c>
      <c r="I15" s="54">
        <f>+'P&amp;L Forecast'!AK14</f>
        <v>0.59499999999999997</v>
      </c>
      <c r="J15" s="54">
        <f>+'P&amp;L Forecast'!AL14</f>
        <v>0</v>
      </c>
      <c r="K15" s="54">
        <f>+'P&amp;L Forecast'!AM14</f>
        <v>0</v>
      </c>
      <c r="L15" s="54">
        <f>+'P&amp;L Forecast'!AN14</f>
        <v>0</v>
      </c>
      <c r="M15" s="54">
        <f>+'P&amp;L Forecast'!AO14</f>
        <v>0</v>
      </c>
      <c r="N15" s="54">
        <f>+'P&amp;L Forecast'!AP14</f>
        <v>0</v>
      </c>
      <c r="O15" s="54">
        <f>+'P&amp;L Forecast'!AQ14</f>
        <v>0</v>
      </c>
      <c r="P15" s="54">
        <f>+'P&amp;L Forecast'!AR14</f>
        <v>0</v>
      </c>
      <c r="Q15" s="54">
        <f>+'P&amp;L Forecast'!AS14</f>
        <v>0</v>
      </c>
      <c r="R15" s="54">
        <f>+'P&amp;L Forecast'!AT14</f>
        <v>0</v>
      </c>
    </row>
    <row r="16" spans="2:21" x14ac:dyDescent="0.2">
      <c r="B16" s="61" t="s">
        <v>260</v>
      </c>
      <c r="C16" s="62">
        <f t="shared" ref="C16:D16" si="1">SUM(C8:C15)</f>
        <v>1414.7118</v>
      </c>
      <c r="D16" s="62">
        <f t="shared" si="1"/>
        <v>2371.7313400000003</v>
      </c>
      <c r="E16" s="134">
        <f>SUM(E8:E15)</f>
        <v>3046.4493000000002</v>
      </c>
      <c r="F16" s="72"/>
      <c r="G16" s="64">
        <f t="shared" ref="G16:R16" si="2">SUM(G8:G15)</f>
        <v>157.49274999999997</v>
      </c>
      <c r="H16" s="62">
        <f t="shared" si="2"/>
        <v>161.958</v>
      </c>
      <c r="I16" s="62">
        <f t="shared" si="2"/>
        <v>175.58</v>
      </c>
      <c r="J16" s="62">
        <f t="shared" si="2"/>
        <v>180.39300000000003</v>
      </c>
      <c r="K16" s="62">
        <f t="shared" si="2"/>
        <v>193.53474999999997</v>
      </c>
      <c r="L16" s="62">
        <f t="shared" si="2"/>
        <v>203.24331999999995</v>
      </c>
      <c r="M16" s="62">
        <f t="shared" si="2"/>
        <v>208.38586999999998</v>
      </c>
      <c r="N16" s="62">
        <f t="shared" si="2"/>
        <v>215.74275</v>
      </c>
      <c r="O16" s="62">
        <f t="shared" si="2"/>
        <v>232.03611000000001</v>
      </c>
      <c r="P16" s="62">
        <f t="shared" si="2"/>
        <v>245.53060999999997</v>
      </c>
      <c r="Q16" s="62">
        <f t="shared" si="2"/>
        <v>243.79017999999999</v>
      </c>
      <c r="R16" s="63">
        <f t="shared" si="2"/>
        <v>251.33865000000003</v>
      </c>
    </row>
    <row r="17" spans="2:18" ht="3.95" customHeight="1" x14ac:dyDescent="0.2">
      <c r="E17" s="87"/>
    </row>
    <row r="18" spans="2:18" x14ac:dyDescent="0.2">
      <c r="B18" s="57" t="str">
        <f>+'P&amp;L Forecast'!B17</f>
        <v>Profit Share</v>
      </c>
      <c r="C18" s="65">
        <f>+'P&amp;L Forecast'!I17</f>
        <v>17.947879999999998</v>
      </c>
      <c r="D18" s="65">
        <f>+'P&amp;L Forecast'!J17</f>
        <v>17.796090000000003</v>
      </c>
      <c r="E18" s="65">
        <f>+'P&amp;L Forecast'!K17</f>
        <v>16.836220000000001</v>
      </c>
      <c r="F18" s="71"/>
      <c r="G18" s="54">
        <f>+'P&amp;L Forecast'!AI17</f>
        <v>2.04088</v>
      </c>
      <c r="H18" s="54">
        <f>+'P&amp;L Forecast'!AJ17</f>
        <v>1.1362099999999999</v>
      </c>
      <c r="I18" s="54">
        <f>+'P&amp;L Forecast'!AK17</f>
        <v>2.01424</v>
      </c>
      <c r="J18" s="54">
        <f>+'P&amp;L Forecast'!AL17</f>
        <v>1.29758</v>
      </c>
      <c r="K18" s="54">
        <f>+'P&amp;L Forecast'!AM17</f>
        <v>2.2679299999999998</v>
      </c>
      <c r="L18" s="54">
        <f>+'P&amp;L Forecast'!AN17</f>
        <v>2.6778400000000002</v>
      </c>
      <c r="M18" s="54">
        <f>+'P&amp;L Forecast'!AO17</f>
        <v>2.3540100000000002</v>
      </c>
      <c r="N18" s="54">
        <f>+'P&amp;L Forecast'!AP17</f>
        <v>0.2276</v>
      </c>
      <c r="O18" s="54">
        <f>+'P&amp;L Forecast'!AQ17</f>
        <v>1.4783599999999999</v>
      </c>
      <c r="P18" s="54">
        <f>+'P&amp;L Forecast'!AR17</f>
        <v>0.66824000000000006</v>
      </c>
      <c r="Q18" s="54">
        <f>+'P&amp;L Forecast'!AS17</f>
        <v>0.58613000000000004</v>
      </c>
      <c r="R18" s="54">
        <f>+'P&amp;L Forecast'!AT17</f>
        <v>8.72E-2</v>
      </c>
    </row>
    <row r="19" spans="2:18" x14ac:dyDescent="0.2">
      <c r="B19" s="57" t="str">
        <f>+'P&amp;L Forecast'!B18</f>
        <v>1099 Filing</v>
      </c>
      <c r="C19" s="65">
        <f>+'P&amp;L Forecast'!I18</f>
        <v>23.52</v>
      </c>
      <c r="D19" s="65">
        <f>+'P&amp;L Forecast'!J18</f>
        <v>38.761499999999998</v>
      </c>
      <c r="E19" s="65">
        <f>+'P&amp;L Forecast'!K18</f>
        <v>10</v>
      </c>
      <c r="F19" s="71"/>
      <c r="G19" s="54">
        <f>+'P&amp;L Forecast'!AI18</f>
        <v>0.03</v>
      </c>
      <c r="H19" s="54">
        <f>+'P&amp;L Forecast'!AJ18</f>
        <v>0.03</v>
      </c>
      <c r="I19" s="54">
        <f>+'P&amp;L Forecast'!AK18</f>
        <v>0</v>
      </c>
      <c r="J19" s="54">
        <f>+'P&amp;L Forecast'!AL18</f>
        <v>0</v>
      </c>
      <c r="K19" s="54">
        <f>+'P&amp;L Forecast'!AM18</f>
        <v>0</v>
      </c>
      <c r="L19" s="54">
        <f>+'P&amp;L Forecast'!AN18</f>
        <v>6.1050000000000004</v>
      </c>
      <c r="M19" s="54">
        <f>+'P&amp;L Forecast'!AO18</f>
        <v>31.156500000000001</v>
      </c>
      <c r="N19" s="54">
        <f>+'P&amp;L Forecast'!AP18</f>
        <v>1.26</v>
      </c>
      <c r="O19" s="54">
        <f>+'P&amp;L Forecast'!AQ18</f>
        <v>0.18</v>
      </c>
      <c r="P19" s="54">
        <f>+'P&amp;L Forecast'!AR18</f>
        <v>0</v>
      </c>
      <c r="Q19" s="54">
        <f>+'P&amp;L Forecast'!AS18</f>
        <v>0</v>
      </c>
      <c r="R19" s="54">
        <f>+'P&amp;L Forecast'!AT18</f>
        <v>0</v>
      </c>
    </row>
    <row r="20" spans="2:18" x14ac:dyDescent="0.2">
      <c r="B20" s="57" t="str">
        <f>+'P&amp;L Forecast'!B19</f>
        <v>Income Tax</v>
      </c>
      <c r="C20" s="65">
        <f>+'P&amp;L Forecast'!I19</f>
        <v>0</v>
      </c>
      <c r="D20" s="65">
        <f>+'P&amp;L Forecast'!J19</f>
        <v>27.315000000000001</v>
      </c>
      <c r="E20" s="65">
        <f>+'P&amp;L Forecast'!K19</f>
        <v>0</v>
      </c>
      <c r="F20" s="66"/>
      <c r="G20" s="54">
        <f>+'P&amp;L Forecast'!AI19</f>
        <v>0</v>
      </c>
      <c r="H20" s="54">
        <f>+'P&amp;L Forecast'!AJ19</f>
        <v>0.875</v>
      </c>
      <c r="I20" s="54">
        <f>+'P&amp;L Forecast'!AK19</f>
        <v>1.65</v>
      </c>
      <c r="J20" s="54">
        <f>+'P&amp;L Forecast'!AL19</f>
        <v>0</v>
      </c>
      <c r="K20" s="54">
        <f>+'P&amp;L Forecast'!AM19</f>
        <v>0.875</v>
      </c>
      <c r="L20" s="54">
        <f>+'P&amp;L Forecast'!AN19</f>
        <v>0</v>
      </c>
      <c r="M20" s="54">
        <f>+'P&amp;L Forecast'!AO19</f>
        <v>0</v>
      </c>
      <c r="N20" s="54">
        <f>+'P&amp;L Forecast'!AP19</f>
        <v>14.19</v>
      </c>
      <c r="O20" s="54">
        <f>+'P&amp;L Forecast'!AQ19</f>
        <v>6.625</v>
      </c>
      <c r="P20" s="54">
        <f>+'P&amp;L Forecast'!AR19</f>
        <v>0</v>
      </c>
      <c r="Q20" s="54">
        <f>+'P&amp;L Forecast'!AS19</f>
        <v>3.1</v>
      </c>
      <c r="R20" s="54">
        <f>+'P&amp;L Forecast'!AT19</f>
        <v>0</v>
      </c>
    </row>
    <row r="21" spans="2:18" x14ac:dyDescent="0.2">
      <c r="B21" s="57" t="str">
        <f>+'P&amp;L Forecast'!B20</f>
        <v>Billable Expense Income</v>
      </c>
      <c r="C21" s="65">
        <f>+'P&amp;L Forecast'!I20</f>
        <v>0.79723999999999995</v>
      </c>
      <c r="D21" s="65">
        <f>+'P&amp;L Forecast'!J20</f>
        <v>0.88222999999999985</v>
      </c>
      <c r="E21" s="65">
        <f>+'P&amp;L Forecast'!K20</f>
        <v>0</v>
      </c>
      <c r="F21" s="71"/>
      <c r="G21" s="54">
        <f>+'P&amp;L Forecast'!AI20</f>
        <v>0.30969000000000002</v>
      </c>
      <c r="H21" s="54">
        <f>+'P&amp;L Forecast'!AJ20</f>
        <v>0</v>
      </c>
      <c r="I21" s="54">
        <f>+'P&amp;L Forecast'!AK20</f>
        <v>0</v>
      </c>
      <c r="J21" s="54">
        <f>+'P&amp;L Forecast'!AL20</f>
        <v>0</v>
      </c>
      <c r="K21" s="54">
        <f>+'P&amp;L Forecast'!AM20</f>
        <v>2.5000000000000001E-2</v>
      </c>
      <c r="L21" s="54">
        <f>+'P&amp;L Forecast'!AN20</f>
        <v>0.15984000000000001</v>
      </c>
      <c r="M21" s="54">
        <f>+'P&amp;L Forecast'!AO20</f>
        <v>0</v>
      </c>
      <c r="N21" s="54">
        <f>+'P&amp;L Forecast'!AP20</f>
        <v>7.4999999999999997E-2</v>
      </c>
      <c r="O21" s="54">
        <f>+'P&amp;L Forecast'!AQ20</f>
        <v>0</v>
      </c>
      <c r="P21" s="54">
        <f>+'P&amp;L Forecast'!AR20</f>
        <v>0</v>
      </c>
      <c r="Q21" s="54">
        <f>+'P&amp;L Forecast'!AS20</f>
        <v>2.299E-2</v>
      </c>
      <c r="R21" s="54">
        <f>+'P&amp;L Forecast'!AT20</f>
        <v>0</v>
      </c>
    </row>
    <row r="22" spans="2:18" x14ac:dyDescent="0.2">
      <c r="B22" s="57" t="str">
        <f>+'P&amp;L Forecast'!B21</f>
        <v>Offshore Recruiting</v>
      </c>
      <c r="C22" s="65">
        <f>+'P&amp;L Forecast'!I21</f>
        <v>16.735000000000003</v>
      </c>
      <c r="D22" s="65">
        <f>+'P&amp;L Forecast'!J21</f>
        <v>0</v>
      </c>
      <c r="E22" s="65">
        <f>+'P&amp;L Forecast'!K21</f>
        <v>0</v>
      </c>
      <c r="F22" s="71"/>
      <c r="G22" s="54">
        <f>+'P&amp;L Forecast'!AI21</f>
        <v>0</v>
      </c>
      <c r="H22" s="54">
        <f>+'P&amp;L Forecast'!AJ21</f>
        <v>0</v>
      </c>
      <c r="I22" s="54">
        <f>+'P&amp;L Forecast'!AK21</f>
        <v>0</v>
      </c>
      <c r="J22" s="54">
        <f>+'P&amp;L Forecast'!AL21</f>
        <v>0</v>
      </c>
      <c r="K22" s="54">
        <f>+'P&amp;L Forecast'!AM21</f>
        <v>0</v>
      </c>
      <c r="L22" s="54">
        <f>+'P&amp;L Forecast'!AN21</f>
        <v>0</v>
      </c>
      <c r="M22" s="54">
        <f>+'P&amp;L Forecast'!AO21</f>
        <v>0</v>
      </c>
      <c r="N22" s="54">
        <f>+'P&amp;L Forecast'!AP21</f>
        <v>0</v>
      </c>
      <c r="O22" s="54">
        <f>+'P&amp;L Forecast'!AQ21</f>
        <v>0</v>
      </c>
      <c r="P22" s="54">
        <f>+'P&amp;L Forecast'!AR21</f>
        <v>0</v>
      </c>
      <c r="Q22" s="54">
        <f>+'P&amp;L Forecast'!AS21</f>
        <v>0</v>
      </c>
      <c r="R22" s="54">
        <f>+'P&amp;L Forecast'!AT21</f>
        <v>0</v>
      </c>
    </row>
    <row r="23" spans="2:18" x14ac:dyDescent="0.2">
      <c r="B23" s="59" t="s">
        <v>287</v>
      </c>
      <c r="C23" s="60">
        <f t="shared" ref="C23:E23" si="3">SUM(C18:C22)</f>
        <v>59.000119999999995</v>
      </c>
      <c r="D23" s="60">
        <f t="shared" si="3"/>
        <v>84.754819999999995</v>
      </c>
      <c r="E23" s="135">
        <f t="shared" si="3"/>
        <v>26.836220000000001</v>
      </c>
      <c r="F23" s="72"/>
      <c r="G23" s="60">
        <f t="shared" ref="G23:R23" si="4">SUM(G18:G22)</f>
        <v>2.3805699999999996</v>
      </c>
      <c r="H23" s="60">
        <f t="shared" si="4"/>
        <v>2.04121</v>
      </c>
      <c r="I23" s="60">
        <f t="shared" si="4"/>
        <v>3.6642399999999999</v>
      </c>
      <c r="J23" s="60">
        <f t="shared" si="4"/>
        <v>1.29758</v>
      </c>
      <c r="K23" s="60">
        <f t="shared" si="4"/>
        <v>3.1679299999999997</v>
      </c>
      <c r="L23" s="60">
        <f t="shared" si="4"/>
        <v>8.9426800000000011</v>
      </c>
      <c r="M23" s="60">
        <f t="shared" si="4"/>
        <v>33.510510000000004</v>
      </c>
      <c r="N23" s="60">
        <f t="shared" si="4"/>
        <v>15.752599999999999</v>
      </c>
      <c r="O23" s="60">
        <f t="shared" si="4"/>
        <v>8.2833600000000001</v>
      </c>
      <c r="P23" s="60">
        <f t="shared" si="4"/>
        <v>0.66824000000000006</v>
      </c>
      <c r="Q23" s="60">
        <f t="shared" si="4"/>
        <v>3.7091200000000004</v>
      </c>
      <c r="R23" s="60">
        <f t="shared" si="4"/>
        <v>8.72E-2</v>
      </c>
    </row>
    <row r="24" spans="2:18" ht="5.0999999999999996" customHeight="1" x14ac:dyDescent="0.2">
      <c r="E24" s="87"/>
    </row>
    <row r="25" spans="2:18" x14ac:dyDescent="0.2">
      <c r="B25" s="61" t="s">
        <v>262</v>
      </c>
      <c r="C25" s="62">
        <f>+C23+C16</f>
        <v>1473.71192</v>
      </c>
      <c r="D25" s="62">
        <f>+D23+D16</f>
        <v>2456.4861600000004</v>
      </c>
      <c r="E25" s="134">
        <f>+E23+E16</f>
        <v>3073.2855200000004</v>
      </c>
      <c r="F25" s="72"/>
      <c r="G25" s="64">
        <f t="shared" ref="G25:R25" si="5">+G23+G16</f>
        <v>159.87331999999998</v>
      </c>
      <c r="H25" s="62">
        <f t="shared" si="5"/>
        <v>163.99921000000001</v>
      </c>
      <c r="I25" s="62">
        <f t="shared" si="5"/>
        <v>179.24424000000002</v>
      </c>
      <c r="J25" s="62">
        <f t="shared" si="5"/>
        <v>181.69058000000004</v>
      </c>
      <c r="K25" s="62">
        <f t="shared" si="5"/>
        <v>196.70267999999999</v>
      </c>
      <c r="L25" s="62">
        <f t="shared" si="5"/>
        <v>212.18599999999995</v>
      </c>
      <c r="M25" s="62">
        <f t="shared" si="5"/>
        <v>241.89637999999999</v>
      </c>
      <c r="N25" s="62">
        <f t="shared" si="5"/>
        <v>231.49535</v>
      </c>
      <c r="O25" s="62">
        <f t="shared" si="5"/>
        <v>240.31947</v>
      </c>
      <c r="P25" s="62">
        <f t="shared" si="5"/>
        <v>246.19884999999996</v>
      </c>
      <c r="Q25" s="62">
        <f t="shared" si="5"/>
        <v>247.49930000000001</v>
      </c>
      <c r="R25" s="63">
        <f t="shared" si="5"/>
        <v>251.42585000000003</v>
      </c>
    </row>
    <row r="26" spans="2:18" ht="3.95" customHeight="1" x14ac:dyDescent="0.2"/>
    <row r="27" spans="2:18" x14ac:dyDescent="0.2">
      <c r="B27" s="43" t="s">
        <v>272</v>
      </c>
      <c r="C27" s="44"/>
      <c r="D27" s="44"/>
      <c r="E27" s="44"/>
      <c r="F27" s="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2:18" x14ac:dyDescent="0.2">
      <c r="B28" s="57" t="str">
        <f>+B8</f>
        <v>STR Subscription</v>
      </c>
      <c r="C28" s="67">
        <f>C8/C$16</f>
        <v>0.77648853992735489</v>
      </c>
      <c r="D28" s="67">
        <f>D8/D$16</f>
        <v>0.79338543462515443</v>
      </c>
      <c r="E28" s="67">
        <f>E8/E$16</f>
        <v>0.79110129947017338</v>
      </c>
      <c r="F28" s="67"/>
      <c r="G28" s="67">
        <f t="shared" ref="G28:R28" si="6">G8/G$16</f>
        <v>0.82597611636091206</v>
      </c>
      <c r="H28" s="67">
        <f t="shared" si="6"/>
        <v>0.82484656515886834</v>
      </c>
      <c r="I28" s="67">
        <f t="shared" si="6"/>
        <v>0.7951304248775487</v>
      </c>
      <c r="J28" s="67">
        <f t="shared" si="6"/>
        <v>0.80535691517963548</v>
      </c>
      <c r="K28" s="67">
        <f t="shared" si="6"/>
        <v>0.77711237904304009</v>
      </c>
      <c r="L28" s="67">
        <f t="shared" si="6"/>
        <v>0.77020391125277832</v>
      </c>
      <c r="M28" s="67">
        <f t="shared" si="6"/>
        <v>0.79133676386023688</v>
      </c>
      <c r="N28" s="67">
        <f t="shared" si="6"/>
        <v>0.78957114433741105</v>
      </c>
      <c r="O28" s="67">
        <f t="shared" si="6"/>
        <v>0.79152335384350303</v>
      </c>
      <c r="P28" s="67">
        <f t="shared" si="6"/>
        <v>0.77702898225194827</v>
      </c>
      <c r="Q28" s="67">
        <f t="shared" si="6"/>
        <v>0.79743367841969681</v>
      </c>
      <c r="R28" s="67">
        <f t="shared" si="6"/>
        <v>0.79907129285527712</v>
      </c>
    </row>
    <row r="29" spans="2:18" x14ac:dyDescent="0.2">
      <c r="B29" s="57" t="str">
        <f t="shared" ref="B29:B35" si="7">+B9</f>
        <v>Occupancy Taxes</v>
      </c>
      <c r="C29" s="67">
        <f t="shared" ref="C29:D35" si="8">C9/C$16</f>
        <v>1.3237325086282593E-2</v>
      </c>
      <c r="D29" s="67">
        <f t="shared" si="8"/>
        <v>4.7431801445099585E-2</v>
      </c>
      <c r="E29" s="67">
        <f t="shared" ref="E29" si="9">E9/E$16</f>
        <v>6.3296572833166795E-2</v>
      </c>
      <c r="F29" s="67"/>
      <c r="G29" s="67">
        <f t="shared" ref="G29:R29" si="10">G9/G$16</f>
        <v>3.003312850909011E-2</v>
      </c>
      <c r="H29" s="67">
        <f t="shared" si="10"/>
        <v>2.9760802183282087E-2</v>
      </c>
      <c r="I29" s="67">
        <f t="shared" si="10"/>
        <v>3.0584349014694156E-2</v>
      </c>
      <c r="J29" s="67">
        <f t="shared" si="10"/>
        <v>4.4624791427605282E-2</v>
      </c>
      <c r="K29" s="67">
        <f t="shared" si="10"/>
        <v>4.5909068009750191E-2</v>
      </c>
      <c r="L29" s="67">
        <f t="shared" si="10"/>
        <v>5.3677139302782513E-2</v>
      </c>
      <c r="M29" s="67">
        <f t="shared" si="10"/>
        <v>4.9595349243209248E-2</v>
      </c>
      <c r="N29" s="67">
        <f t="shared" si="10"/>
        <v>5.1797800853099353E-2</v>
      </c>
      <c r="O29" s="67">
        <f t="shared" si="10"/>
        <v>5.1514007884376274E-2</v>
      </c>
      <c r="P29" s="67">
        <f t="shared" si="10"/>
        <v>6.1257983271413699E-2</v>
      </c>
      <c r="Q29" s="67">
        <f t="shared" si="10"/>
        <v>6.6322113548626133E-2</v>
      </c>
      <c r="R29" s="67">
        <f t="shared" si="10"/>
        <v>6.3934257624125856E-2</v>
      </c>
    </row>
    <row r="30" spans="2:18" x14ac:dyDescent="0.2">
      <c r="B30" s="57" t="str">
        <f t="shared" si="7"/>
        <v>SMB Subscription</v>
      </c>
      <c r="C30" s="67">
        <f t="shared" si="8"/>
        <v>0.12343856890145397</v>
      </c>
      <c r="D30" s="67">
        <f t="shared" si="8"/>
        <v>5.7046090220319805E-2</v>
      </c>
      <c r="E30" s="67">
        <f t="shared" ref="E30" si="11">E10/E$16</f>
        <v>3.9293613059636343E-2</v>
      </c>
      <c r="F30" s="67"/>
      <c r="G30" s="67">
        <f t="shared" ref="G30:R30" si="12">G10/G$16</f>
        <v>7.5289179978125995E-2</v>
      </c>
      <c r="H30" s="67">
        <f t="shared" si="12"/>
        <v>7.5961051630669685E-2</v>
      </c>
      <c r="I30" s="67">
        <f t="shared" si="12"/>
        <v>6.6593575578084069E-2</v>
      </c>
      <c r="J30" s="67">
        <f t="shared" si="12"/>
        <v>6.4955402925834141E-2</v>
      </c>
      <c r="K30" s="67">
        <f t="shared" si="12"/>
        <v>6.0699693465902128E-2</v>
      </c>
      <c r="L30" s="67">
        <f t="shared" si="12"/>
        <v>5.5502439145355444E-2</v>
      </c>
      <c r="M30" s="67">
        <f t="shared" si="12"/>
        <v>5.2453172568754307E-2</v>
      </c>
      <c r="N30" s="67">
        <f t="shared" si="12"/>
        <v>4.9250785947615852E-2</v>
      </c>
      <c r="O30" s="67">
        <f t="shared" si="12"/>
        <v>4.4456442576976486E-2</v>
      </c>
      <c r="P30" s="67">
        <f t="shared" si="12"/>
        <v>4.2013091565243132E-2</v>
      </c>
      <c r="Q30" s="67">
        <f t="shared" si="12"/>
        <v>4.0918383176877758E-2</v>
      </c>
      <c r="R30" s="67">
        <f t="shared" si="12"/>
        <v>3.968947871726055E-2</v>
      </c>
    </row>
    <row r="31" spans="2:18" x14ac:dyDescent="0.2">
      <c r="B31" s="57" t="str">
        <f t="shared" si="7"/>
        <v>Onboarding</v>
      </c>
      <c r="C31" s="67">
        <f t="shared" si="8"/>
        <v>3.934409114280378E-2</v>
      </c>
      <c r="D31" s="67">
        <f t="shared" si="8"/>
        <v>3.8645081107710956E-2</v>
      </c>
      <c r="E31" s="67">
        <f t="shared" ref="E31" si="13">E11/E$16</f>
        <v>3.3996134450686569E-2</v>
      </c>
      <c r="F31" s="67"/>
      <c r="G31" s="67">
        <f t="shared" ref="G31:R31" si="14">G11/G$16</f>
        <v>2.517576205888843E-2</v>
      </c>
      <c r="H31" s="67">
        <f t="shared" si="14"/>
        <v>2.42038059249929E-2</v>
      </c>
      <c r="I31" s="67">
        <f t="shared" si="14"/>
        <v>5.2036108896229637E-2</v>
      </c>
      <c r="J31" s="67">
        <f t="shared" si="14"/>
        <v>2.9123912790407606E-2</v>
      </c>
      <c r="K31" s="67">
        <f t="shared" si="14"/>
        <v>5.161863696312937E-2</v>
      </c>
      <c r="L31" s="67">
        <f t="shared" si="14"/>
        <v>5.0237813474017262E-2</v>
      </c>
      <c r="M31" s="67">
        <f t="shared" si="14"/>
        <v>3.2031922317957547E-2</v>
      </c>
      <c r="N31" s="67">
        <f t="shared" si="14"/>
        <v>4.2175229526832302E-2</v>
      </c>
      <c r="O31" s="67">
        <f t="shared" si="14"/>
        <v>3.8590976206246519E-2</v>
      </c>
      <c r="P31" s="67">
        <f t="shared" si="14"/>
        <v>5.1341867313407487E-2</v>
      </c>
      <c r="Q31" s="67">
        <f t="shared" si="14"/>
        <v>2.219736660434805E-2</v>
      </c>
      <c r="R31" s="67">
        <f t="shared" si="14"/>
        <v>2.4264075580894537E-2</v>
      </c>
    </row>
    <row r="32" spans="2:18" x14ac:dyDescent="0.2">
      <c r="B32" s="57" t="str">
        <f t="shared" si="7"/>
        <v>Topkey Subscription</v>
      </c>
      <c r="C32" s="67">
        <f t="shared" si="8"/>
        <v>0</v>
      </c>
      <c r="D32" s="67">
        <f t="shared" si="8"/>
        <v>1.9871559314133778E-2</v>
      </c>
      <c r="E32" s="67">
        <f t="shared" ref="E32" si="15">E12/E$16</f>
        <v>3.1130010927803719E-2</v>
      </c>
      <c r="F32" s="67"/>
      <c r="G32" s="67">
        <f t="shared" ref="G32:R32" si="16">G12/G$16</f>
        <v>0</v>
      </c>
      <c r="H32" s="67">
        <f t="shared" si="16"/>
        <v>3.210708949233752E-3</v>
      </c>
      <c r="I32" s="67">
        <f t="shared" si="16"/>
        <v>1.342408019136576E-2</v>
      </c>
      <c r="J32" s="67">
        <f t="shared" si="16"/>
        <v>1.5582644559378687E-2</v>
      </c>
      <c r="K32" s="67">
        <f t="shared" si="16"/>
        <v>2.2006383866463263E-2</v>
      </c>
      <c r="L32" s="67">
        <f t="shared" si="16"/>
        <v>2.5850788109542791E-2</v>
      </c>
      <c r="M32" s="67">
        <f t="shared" si="16"/>
        <v>2.712276029080091E-2</v>
      </c>
      <c r="N32" s="67">
        <f t="shared" si="16"/>
        <v>2.4677538410908362E-2</v>
      </c>
      <c r="O32" s="67">
        <f t="shared" si="16"/>
        <v>2.7241449617475485E-2</v>
      </c>
      <c r="P32" s="67">
        <f t="shared" si="16"/>
        <v>2.8342698289227565E-2</v>
      </c>
      <c r="Q32" s="67">
        <f t="shared" si="16"/>
        <v>3.1473786187778359E-2</v>
      </c>
      <c r="R32" s="67">
        <f t="shared" si="16"/>
        <v>3.1443631928475775E-2</v>
      </c>
    </row>
    <row r="33" spans="2:18" x14ac:dyDescent="0.2">
      <c r="B33" s="57" t="str">
        <f t="shared" si="7"/>
        <v>STR Bill Pay</v>
      </c>
      <c r="C33" s="67">
        <f t="shared" si="8"/>
        <v>8.2218159203874611E-3</v>
      </c>
      <c r="D33" s="67">
        <f t="shared" si="8"/>
        <v>2.6651416597632E-2</v>
      </c>
      <c r="E33" s="67">
        <f t="shared" ref="E33" si="17">E13/E$16</f>
        <v>2.7395827660745907E-2</v>
      </c>
      <c r="F33" s="67"/>
      <c r="G33" s="67">
        <f t="shared" ref="G33:R33" si="18">G13/G$16</f>
        <v>2.4794792141225552E-2</v>
      </c>
      <c r="H33" s="67">
        <f t="shared" si="18"/>
        <v>2.3339384284814579E-2</v>
      </c>
      <c r="I33" s="67">
        <f t="shared" si="18"/>
        <v>2.1614079052283856E-2</v>
      </c>
      <c r="J33" s="67">
        <f t="shared" si="18"/>
        <v>2.4003148680935508E-2</v>
      </c>
      <c r="K33" s="67">
        <f t="shared" si="18"/>
        <v>2.7411098006947077E-2</v>
      </c>
      <c r="L33" s="67">
        <f t="shared" si="18"/>
        <v>3.0997328719093949E-2</v>
      </c>
      <c r="M33" s="67">
        <f t="shared" si="18"/>
        <v>3.0664267207752619E-2</v>
      </c>
      <c r="N33" s="67">
        <f t="shared" si="18"/>
        <v>2.9780838521804322E-2</v>
      </c>
      <c r="O33" s="67">
        <f t="shared" si="18"/>
        <v>2.6202818173429988E-2</v>
      </c>
      <c r="P33" s="67">
        <f t="shared" si="18"/>
        <v>2.5760535519379849E-2</v>
      </c>
      <c r="Q33" s="67">
        <f t="shared" si="18"/>
        <v>2.7298064261653199E-2</v>
      </c>
      <c r="R33" s="67">
        <f t="shared" si="18"/>
        <v>2.7671828427502095E-2</v>
      </c>
    </row>
    <row r="34" spans="2:18" x14ac:dyDescent="0.2">
      <c r="B34" s="57" t="str">
        <f t="shared" si="7"/>
        <v>Controller Services</v>
      </c>
      <c r="C34" s="67">
        <f t="shared" si="8"/>
        <v>2.9157882191977191E-2</v>
      </c>
      <c r="D34" s="67">
        <f t="shared" si="8"/>
        <v>1.6717745105143313E-2</v>
      </c>
      <c r="E34" s="67">
        <f t="shared" ref="E34" si="19">E14/E$16</f>
        <v>1.3786541597787298E-2</v>
      </c>
      <c r="F34" s="67"/>
      <c r="G34" s="67">
        <f t="shared" ref="G34:R34" si="20">G14/G$16</f>
        <v>1.87310209517581E-2</v>
      </c>
      <c r="H34" s="67">
        <f t="shared" si="20"/>
        <v>1.8677681868138653E-2</v>
      </c>
      <c r="I34" s="67">
        <f t="shared" si="20"/>
        <v>1.7228613737327713E-2</v>
      </c>
      <c r="J34" s="67">
        <f t="shared" si="20"/>
        <v>1.6353184436203178E-2</v>
      </c>
      <c r="K34" s="67">
        <f t="shared" si="20"/>
        <v>1.5242740644767933E-2</v>
      </c>
      <c r="L34" s="67">
        <f t="shared" si="20"/>
        <v>1.3530579996429898E-2</v>
      </c>
      <c r="M34" s="67">
        <f t="shared" si="20"/>
        <v>1.6795764511288603E-2</v>
      </c>
      <c r="N34" s="67">
        <f t="shared" si="20"/>
        <v>1.2746662402328699E-2</v>
      </c>
      <c r="O34" s="67">
        <f t="shared" si="20"/>
        <v>2.0470951697992179E-2</v>
      </c>
      <c r="P34" s="67">
        <f t="shared" si="20"/>
        <v>1.4254841789380152E-2</v>
      </c>
      <c r="Q34" s="67">
        <f t="shared" si="20"/>
        <v>1.4356607801019713E-2</v>
      </c>
      <c r="R34" s="67">
        <f t="shared" si="20"/>
        <v>1.3925434866464029E-2</v>
      </c>
    </row>
    <row r="35" spans="2:18" x14ac:dyDescent="0.2">
      <c r="B35" s="57" t="str">
        <f t="shared" si="7"/>
        <v>Historical Cleanup</v>
      </c>
      <c r="C35" s="67">
        <f t="shared" si="8"/>
        <v>1.0111776829740163E-2</v>
      </c>
      <c r="D35" s="67">
        <f t="shared" si="8"/>
        <v>2.5087158480605981E-4</v>
      </c>
      <c r="E35" s="67">
        <f t="shared" ref="E35" si="21">E15/E$16</f>
        <v>0</v>
      </c>
      <c r="F35" s="67"/>
      <c r="G35" s="67">
        <f t="shared" ref="G35:R35" si="22">G15/G$16</f>
        <v>0</v>
      </c>
      <c r="H35" s="67">
        <f t="shared" si="22"/>
        <v>0</v>
      </c>
      <c r="I35" s="67">
        <f t="shared" si="22"/>
        <v>3.3887686524661119E-3</v>
      </c>
      <c r="J35" s="67">
        <f t="shared" si="22"/>
        <v>0</v>
      </c>
      <c r="K35" s="67">
        <f t="shared" si="22"/>
        <v>0</v>
      </c>
      <c r="L35" s="67">
        <f t="shared" si="22"/>
        <v>0</v>
      </c>
      <c r="M35" s="67">
        <f t="shared" si="22"/>
        <v>0</v>
      </c>
      <c r="N35" s="67">
        <f t="shared" si="22"/>
        <v>0</v>
      </c>
      <c r="O35" s="67">
        <f t="shared" si="22"/>
        <v>0</v>
      </c>
      <c r="P35" s="67">
        <f t="shared" si="22"/>
        <v>0</v>
      </c>
      <c r="Q35" s="67">
        <f t="shared" si="22"/>
        <v>0</v>
      </c>
      <c r="R35" s="67">
        <f t="shared" si="22"/>
        <v>0</v>
      </c>
    </row>
    <row r="36" spans="2:18" ht="3.95" customHeight="1" x14ac:dyDescent="0.2"/>
    <row r="37" spans="2:18" x14ac:dyDescent="0.2">
      <c r="B37" s="43" t="s">
        <v>273</v>
      </c>
      <c r="C37" s="44"/>
      <c r="D37" s="44"/>
      <c r="E37" s="44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2:18" x14ac:dyDescent="0.2">
      <c r="B38" s="57" t="str">
        <f>+B8</f>
        <v>STR Subscription</v>
      </c>
      <c r="C38" s="67"/>
      <c r="D38" s="67">
        <f t="shared" ref="D38:E46" si="23">IFERROR(D8/C8-1,0)</f>
        <v>0.71295789969572332</v>
      </c>
      <c r="E38" s="67">
        <f t="shared" si="23"/>
        <v>0.28078530811361735</v>
      </c>
      <c r="F38" s="67"/>
      <c r="G38" s="67">
        <f>IFERROR('P&amp;L Overview'!AE7/'P&amp;L Overview'!AD7-1,0)</f>
        <v>6.5451619244188963E-2</v>
      </c>
      <c r="H38" s="67">
        <f t="shared" ref="H38:R38" si="24">IFERROR(H8/G8-1,0)</f>
        <v>2.6945791317616541E-2</v>
      </c>
      <c r="I38" s="67">
        <f t="shared" si="24"/>
        <v>4.5051856232292131E-2</v>
      </c>
      <c r="J38" s="67">
        <f t="shared" si="24"/>
        <v>4.0625962509580393E-2</v>
      </c>
      <c r="K38" s="67">
        <f t="shared" si="24"/>
        <v>3.5224900752508281E-2</v>
      </c>
      <c r="L38" s="67">
        <f t="shared" si="24"/>
        <v>4.082860006682254E-2</v>
      </c>
      <c r="M38" s="67">
        <f t="shared" si="24"/>
        <v>5.3434675620357641E-2</v>
      </c>
      <c r="N38" s="67">
        <f t="shared" si="24"/>
        <v>3.2994165068761294E-2</v>
      </c>
      <c r="O38" s="67">
        <f t="shared" si="24"/>
        <v>7.8181388570497834E-2</v>
      </c>
      <c r="P38" s="67">
        <f t="shared" si="24"/>
        <v>3.877993270246427E-2</v>
      </c>
      <c r="Q38" s="67">
        <f t="shared" si="24"/>
        <v>1.8985304878176512E-2</v>
      </c>
      <c r="R38" s="67">
        <f t="shared" si="24"/>
        <v>3.308016964453353E-2</v>
      </c>
    </row>
    <row r="39" spans="2:18" x14ac:dyDescent="0.2">
      <c r="B39" s="57" t="str">
        <f t="shared" ref="B39:B45" si="25">+B9</f>
        <v>Occupancy Taxes</v>
      </c>
      <c r="C39" s="67"/>
      <c r="D39" s="67">
        <f t="shared" si="23"/>
        <v>5.007128210605007</v>
      </c>
      <c r="E39" s="67">
        <f t="shared" si="23"/>
        <v>0.71411138348746261</v>
      </c>
      <c r="F39" s="67"/>
      <c r="G39" s="67">
        <f>IFERROR('P&amp;L Overview'!AE8/'P&amp;L Overview'!AD8-1,0)</f>
        <v>-5.4237288135593253E-2</v>
      </c>
      <c r="H39" s="67">
        <f t="shared" ref="H39:R39" si="26">IFERROR(H9/G9-1,0)</f>
        <v>1.9027484143763207E-2</v>
      </c>
      <c r="I39" s="67">
        <f t="shared" si="26"/>
        <v>0.11410788381742742</v>
      </c>
      <c r="J39" s="67">
        <f t="shared" si="26"/>
        <v>0.49906890130353831</v>
      </c>
      <c r="K39" s="67">
        <f t="shared" si="26"/>
        <v>0.1037267080745341</v>
      </c>
      <c r="L39" s="67">
        <f t="shared" si="26"/>
        <v>0.22785818795723145</v>
      </c>
      <c r="M39" s="67">
        <f t="shared" si="26"/>
        <v>-5.2665011842867537E-2</v>
      </c>
      <c r="N39" s="67">
        <f t="shared" si="26"/>
        <v>8.1280352047466087E-2</v>
      </c>
      <c r="O39" s="67">
        <f t="shared" si="26"/>
        <v>6.9629530201342327E-2</v>
      </c>
      <c r="P39" s="67">
        <f t="shared" si="26"/>
        <v>0.25830934376074488</v>
      </c>
      <c r="Q39" s="67">
        <f t="shared" si="26"/>
        <v>7.4994465021930745E-2</v>
      </c>
      <c r="R39" s="67">
        <f t="shared" si="26"/>
        <v>-6.1557282350817033E-3</v>
      </c>
    </row>
    <row r="40" spans="2:18" x14ac:dyDescent="0.2">
      <c r="B40" s="57" t="str">
        <f t="shared" si="25"/>
        <v>SMB Subscription</v>
      </c>
      <c r="C40" s="67"/>
      <c r="D40" s="67">
        <f t="shared" si="23"/>
        <v>-0.22523048731603945</v>
      </c>
      <c r="E40" s="67">
        <f t="shared" si="23"/>
        <v>-0.11524191044952625</v>
      </c>
      <c r="F40" s="67"/>
      <c r="G40" s="67">
        <f>IFERROR('P&amp;L Overview'!AE9/'P&amp;L Overview'!AD9-1,0)</f>
        <v>-6.4940199663931941E-2</v>
      </c>
      <c r="H40" s="67">
        <f t="shared" ref="H40:R40" si="27">IFERROR(H10/G10-1,0)</f>
        <v>3.7528990090659908E-2</v>
      </c>
      <c r="I40" s="67">
        <f t="shared" si="27"/>
        <v>-4.9583418004470636E-2</v>
      </c>
      <c r="J40" s="67">
        <f t="shared" si="27"/>
        <v>2.1381227282444293E-3</v>
      </c>
      <c r="K40" s="67">
        <f t="shared" si="27"/>
        <v>2.5602730957969833E-3</v>
      </c>
      <c r="L40" s="67">
        <f t="shared" si="27"/>
        <v>-3.97531389657374E-2</v>
      </c>
      <c r="M40" s="67">
        <f t="shared" si="27"/>
        <v>-3.1026993484331356E-2</v>
      </c>
      <c r="N40" s="67">
        <f t="shared" si="27"/>
        <v>-2.7903572572160473E-2</v>
      </c>
      <c r="O40" s="67">
        <f t="shared" si="27"/>
        <v>-2.9175097642463954E-2</v>
      </c>
      <c r="P40" s="67">
        <f t="shared" si="27"/>
        <v>0</v>
      </c>
      <c r="Q40" s="67">
        <f t="shared" si="27"/>
        <v>-3.2960108574475289E-2</v>
      </c>
      <c r="R40" s="67">
        <f t="shared" si="27"/>
        <v>0</v>
      </c>
    </row>
    <row r="41" spans="2:18" x14ac:dyDescent="0.2">
      <c r="B41" s="57" t="str">
        <f t="shared" si="25"/>
        <v>Onboarding</v>
      </c>
      <c r="C41" s="67"/>
      <c r="D41" s="67">
        <f t="shared" si="23"/>
        <v>0.64669141788933104</v>
      </c>
      <c r="E41" s="67">
        <f t="shared" si="23"/>
        <v>0.12996184091014484</v>
      </c>
      <c r="F41" s="67"/>
      <c r="G41" s="67">
        <f>IFERROR('P&amp;L Overview'!AE10/'P&amp;L Overview'!AD10-1,0)</f>
        <v>-0.38374261734535287</v>
      </c>
      <c r="H41" s="67">
        <f t="shared" ref="H41:R41" si="28">IFERROR(H11/G11-1,0)</f>
        <v>-1.1349306431273631E-2</v>
      </c>
      <c r="I41" s="67">
        <f t="shared" si="28"/>
        <v>1.3307397959183676</v>
      </c>
      <c r="J41" s="67">
        <f t="shared" si="28"/>
        <v>-0.42497126908553606</v>
      </c>
      <c r="K41" s="67">
        <f t="shared" si="28"/>
        <v>0.90149892933618836</v>
      </c>
      <c r="L41" s="67">
        <f t="shared" si="28"/>
        <v>2.2072072072071958E-2</v>
      </c>
      <c r="M41" s="67">
        <f t="shared" si="28"/>
        <v>-0.34626120170412811</v>
      </c>
      <c r="N41" s="67">
        <f t="shared" si="28"/>
        <v>0.3631460674157303</v>
      </c>
      <c r="O41" s="67">
        <f t="shared" si="28"/>
        <v>-1.5880866029234109E-2</v>
      </c>
      <c r="P41" s="67">
        <f t="shared" si="28"/>
        <v>0.40778379585683178</v>
      </c>
      <c r="Q41" s="67">
        <f t="shared" si="28"/>
        <v>-0.57072029192448037</v>
      </c>
      <c r="R41" s="67">
        <f t="shared" si="28"/>
        <v>0.12695186177584761</v>
      </c>
    </row>
    <row r="42" spans="2:18" x14ac:dyDescent="0.2">
      <c r="B42" s="57" t="str">
        <f t="shared" si="25"/>
        <v>Topkey Subscription</v>
      </c>
      <c r="C42" s="67"/>
      <c r="D42" s="67">
        <f t="shared" si="23"/>
        <v>0</v>
      </c>
      <c r="E42" s="67">
        <f t="shared" si="23"/>
        <v>1.0122215149586253</v>
      </c>
      <c r="F42" s="67"/>
      <c r="G42" s="67">
        <f>IFERROR('P&amp;L Overview'!AE11/'P&amp;L Overview'!AD11-1,0)</f>
        <v>-3.8265306122449161E-3</v>
      </c>
      <c r="H42" s="67">
        <f t="shared" ref="H42:R42" si="29">IFERROR(H12/G12-1,0)</f>
        <v>0</v>
      </c>
      <c r="I42" s="67">
        <f t="shared" si="29"/>
        <v>3.532692307692308</v>
      </c>
      <c r="J42" s="67">
        <f t="shared" si="29"/>
        <v>0.19261773440814589</v>
      </c>
      <c r="K42" s="67">
        <f t="shared" si="29"/>
        <v>0.51511917467093582</v>
      </c>
      <c r="L42" s="67">
        <f t="shared" si="29"/>
        <v>0.2336229161775063</v>
      </c>
      <c r="M42" s="67">
        <f t="shared" si="29"/>
        <v>7.5751808146174548E-2</v>
      </c>
      <c r="N42" s="67">
        <f t="shared" si="29"/>
        <v>-5.8032554847841533E-2</v>
      </c>
      <c r="O42" s="67">
        <f t="shared" si="29"/>
        <v>0.18726521412471819</v>
      </c>
      <c r="P42" s="67">
        <f t="shared" si="29"/>
        <v>0.10093339661445966</v>
      </c>
      <c r="Q42" s="67">
        <f t="shared" si="29"/>
        <v>0.10260094841212819</v>
      </c>
      <c r="R42" s="67">
        <f t="shared" si="29"/>
        <v>2.9975237846995961E-2</v>
      </c>
    </row>
    <row r="43" spans="2:18" x14ac:dyDescent="0.2">
      <c r="B43" s="57" t="str">
        <f t="shared" si="25"/>
        <v>STR Bill Pay</v>
      </c>
      <c r="C43" s="67"/>
      <c r="D43" s="67">
        <f t="shared" si="23"/>
        <v>4.4343807763401104</v>
      </c>
      <c r="E43" s="67">
        <f t="shared" si="23"/>
        <v>0.3203607024205033</v>
      </c>
      <c r="F43" s="67"/>
      <c r="G43" s="67">
        <f>IFERROR('P&amp;L Overview'!AE12/'P&amp;L Overview'!AD12-1,0)</f>
        <v>0</v>
      </c>
      <c r="H43" s="67">
        <f t="shared" ref="H43:R43" si="30">IFERROR(H13/G13-1,0)</f>
        <v>-3.201024327784896E-2</v>
      </c>
      <c r="I43" s="67">
        <f t="shared" si="30"/>
        <v>3.9682539682539542E-3</v>
      </c>
      <c r="J43" s="67">
        <f t="shared" si="30"/>
        <v>0.14097496706192358</v>
      </c>
      <c r="K43" s="67">
        <f t="shared" si="30"/>
        <v>0.22517321016166281</v>
      </c>
      <c r="L43" s="67">
        <f t="shared" si="30"/>
        <v>0.1875589066918002</v>
      </c>
      <c r="M43" s="67">
        <f t="shared" si="30"/>
        <v>1.4285714285714235E-2</v>
      </c>
      <c r="N43" s="67">
        <f t="shared" si="30"/>
        <v>5.4773082942096707E-3</v>
      </c>
      <c r="O43" s="67">
        <f t="shared" si="30"/>
        <v>-5.3696498054474628E-2</v>
      </c>
      <c r="P43" s="67">
        <f t="shared" si="30"/>
        <v>4.0296052631578982E-2</v>
      </c>
      <c r="Q43" s="67">
        <f t="shared" si="30"/>
        <v>5.2173913043478182E-2</v>
      </c>
      <c r="R43" s="67">
        <f t="shared" si="30"/>
        <v>4.5078888054094657E-2</v>
      </c>
    </row>
    <row r="44" spans="2:18" x14ac:dyDescent="0.2">
      <c r="B44" s="57" t="str">
        <f t="shared" si="25"/>
        <v>Controller Services</v>
      </c>
      <c r="C44" s="67"/>
      <c r="D44" s="67">
        <f t="shared" si="23"/>
        <v>-3.8787878787878816E-2</v>
      </c>
      <c r="E44" s="67">
        <f t="shared" si="23"/>
        <v>5.9268600252206927E-2</v>
      </c>
      <c r="F44" s="67"/>
      <c r="G44" s="67">
        <f>IFERROR('P&amp;L Overview'!AE13/'P&amp;L Overview'!AD13-1,0)</f>
        <v>-0.26249999999999996</v>
      </c>
      <c r="H44" s="67">
        <f t="shared" ref="H44:R44" si="31">IFERROR(H14/G14-1,0)</f>
        <v>2.5423728813559254E-2</v>
      </c>
      <c r="I44" s="67">
        <f t="shared" si="31"/>
        <v>0</v>
      </c>
      <c r="J44" s="67">
        <f t="shared" si="31"/>
        <v>-2.4793388429751984E-2</v>
      </c>
      <c r="K44" s="67">
        <f t="shared" si="31"/>
        <v>0</v>
      </c>
      <c r="L44" s="67">
        <f t="shared" si="31"/>
        <v>-6.7796610169491567E-2</v>
      </c>
      <c r="M44" s="67">
        <f t="shared" si="31"/>
        <v>0.27272727272727271</v>
      </c>
      <c r="N44" s="67">
        <f t="shared" si="31"/>
        <v>-0.2142857142857143</v>
      </c>
      <c r="O44" s="67">
        <f t="shared" si="31"/>
        <v>0.72727272727272729</v>
      </c>
      <c r="P44" s="67">
        <f t="shared" si="31"/>
        <v>-0.26315789473684215</v>
      </c>
      <c r="Q44" s="67">
        <f t="shared" si="31"/>
        <v>0</v>
      </c>
      <c r="R44" s="67">
        <f t="shared" si="31"/>
        <v>0</v>
      </c>
    </row>
    <row r="45" spans="2:18" x14ac:dyDescent="0.2">
      <c r="B45" s="57" t="str">
        <f t="shared" si="25"/>
        <v>Historical Cleanup</v>
      </c>
      <c r="C45" s="67"/>
      <c r="D45" s="67">
        <f t="shared" si="23"/>
        <v>-0.95840687859352336</v>
      </c>
      <c r="E45" s="67">
        <f t="shared" si="23"/>
        <v>-1</v>
      </c>
      <c r="F45" s="67"/>
      <c r="G45" s="67">
        <f>IFERROR('P&amp;L Overview'!AE14/'P&amp;L Overview'!AD14-1,0)</f>
        <v>0</v>
      </c>
      <c r="H45" s="67">
        <f t="shared" ref="H45:R45" si="32">IFERROR(H15/G15-1,0)</f>
        <v>0</v>
      </c>
      <c r="I45" s="67">
        <f t="shared" si="32"/>
        <v>0</v>
      </c>
      <c r="J45" s="67">
        <f t="shared" si="32"/>
        <v>-1</v>
      </c>
      <c r="K45" s="67">
        <f t="shared" si="32"/>
        <v>0</v>
      </c>
      <c r="L45" s="67">
        <f t="shared" si="32"/>
        <v>0</v>
      </c>
      <c r="M45" s="67">
        <f t="shared" si="32"/>
        <v>0</v>
      </c>
      <c r="N45" s="67">
        <f t="shared" si="32"/>
        <v>0</v>
      </c>
      <c r="O45" s="67">
        <f t="shared" si="32"/>
        <v>0</v>
      </c>
      <c r="P45" s="67">
        <f t="shared" si="32"/>
        <v>0</v>
      </c>
      <c r="Q45" s="67">
        <f t="shared" si="32"/>
        <v>0</v>
      </c>
      <c r="R45" s="67">
        <f t="shared" si="32"/>
        <v>0</v>
      </c>
    </row>
    <row r="46" spans="2:18" x14ac:dyDescent="0.2">
      <c r="B46" s="61" t="s">
        <v>276</v>
      </c>
      <c r="C46" s="68">
        <f t="shared" ref="C46" si="33">SUM(C38:C45)</f>
        <v>0</v>
      </c>
      <c r="D46" s="68">
        <f t="shared" si="23"/>
        <v>0.67647667885430818</v>
      </c>
      <c r="E46" s="69">
        <f t="shared" si="23"/>
        <v>0.28448330070976757</v>
      </c>
      <c r="F46" s="73"/>
      <c r="G46" s="70">
        <f>IFERROR('P&amp;L Overview'!AE15/'P&amp;L Overview'!AD15-1,0)</f>
        <v>2.2388083924073543E-2</v>
      </c>
      <c r="H46" s="68">
        <f t="shared" ref="H46:R46" si="34">IFERROR(H16/G16-1,0)</f>
        <v>2.8352098747402854E-2</v>
      </c>
      <c r="I46" s="68">
        <f t="shared" si="34"/>
        <v>8.4108225589350383E-2</v>
      </c>
      <c r="J46" s="68">
        <f t="shared" si="34"/>
        <v>2.7412005923225902E-2</v>
      </c>
      <c r="K46" s="68">
        <f t="shared" si="34"/>
        <v>7.2850664937109233E-2</v>
      </c>
      <c r="L46" s="68">
        <f t="shared" si="34"/>
        <v>5.016447950561842E-2</v>
      </c>
      <c r="M46" s="68">
        <f t="shared" si="34"/>
        <v>2.5302430603869386E-2</v>
      </c>
      <c r="N46" s="68">
        <f t="shared" si="34"/>
        <v>3.5304121147945455E-2</v>
      </c>
      <c r="O46" s="68">
        <f t="shared" si="34"/>
        <v>7.5522167025311449E-2</v>
      </c>
      <c r="P46" s="68">
        <f t="shared" si="34"/>
        <v>5.8156896355485266E-2</v>
      </c>
      <c r="Q46" s="68">
        <f t="shared" si="34"/>
        <v>-7.0884440844258823E-3</v>
      </c>
      <c r="R46" s="69">
        <f t="shared" si="34"/>
        <v>3.0962978082218262E-2</v>
      </c>
    </row>
    <row r="52" spans="3:4" x14ac:dyDescent="0.2">
      <c r="C52" s="34">
        <v>45473</v>
      </c>
      <c r="D52" s="36">
        <f>C53</f>
        <v>45838</v>
      </c>
    </row>
    <row r="53" spans="3:4" x14ac:dyDescent="0.2">
      <c r="C53" s="35">
        <f>EOMONTH(C52,12)</f>
        <v>45838</v>
      </c>
      <c r="D53" s="35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dimension ref="B2:AN39"/>
  <sheetViews>
    <sheetView showGridLines="0" zoomScale="160" zoomScaleNormal="160" workbookViewId="0"/>
  </sheetViews>
  <sheetFormatPr defaultRowHeight="12" outlineLevelCol="1" x14ac:dyDescent="0.2"/>
  <cols>
    <col min="1" max="1" width="1.7109375" style="37" customWidth="1"/>
    <col min="2" max="2" width="27.85546875" style="37" bestFit="1" customWidth="1"/>
    <col min="3" max="4" width="11" style="37" hidden="1" customWidth="1" outlineLevel="1"/>
    <col min="5" max="5" width="0.85546875" style="37" hidden="1" customWidth="1" outlineLevel="1"/>
    <col min="6" max="8" width="11" style="37" hidden="1" customWidth="1" outlineLevel="1"/>
    <col min="9" max="9" width="0.85546875" style="37" hidden="1" customWidth="1" outlineLevel="1"/>
    <col min="10" max="10" width="6.5703125" style="37" bestFit="1" customWidth="1" collapsed="1"/>
    <col min="11" max="11" width="6.42578125" style="37" bestFit="1" customWidth="1"/>
    <col min="12" max="12" width="6.7109375" style="37" bestFit="1" customWidth="1"/>
    <col min="13" max="13" width="6.42578125" style="37" bestFit="1" customWidth="1"/>
    <col min="14" max="14" width="6.85546875" style="37" bestFit="1" customWidth="1"/>
    <col min="15" max="15" width="6.5703125" style="37" bestFit="1" customWidth="1"/>
    <col min="16" max="16" width="6" style="37" bestFit="1" customWidth="1"/>
    <col min="17" max="18" width="6.7109375" style="37" bestFit="1" customWidth="1"/>
    <col min="19" max="19" width="6.42578125" style="37" bestFit="1" customWidth="1"/>
    <col min="20" max="20" width="6.5703125" style="37" bestFit="1" customWidth="1"/>
    <col min="21" max="21" width="6.7109375" style="37" bestFit="1" customWidth="1"/>
    <col min="22" max="22" width="6.5703125" style="37" bestFit="1" customWidth="1"/>
    <col min="23" max="23" width="6.42578125" style="37" bestFit="1" customWidth="1"/>
    <col min="24" max="24" width="6.7109375" style="37" bestFit="1" customWidth="1"/>
    <col min="25" max="25" width="6.42578125" style="37" bestFit="1" customWidth="1"/>
    <col min="26" max="26" width="6.85546875" style="37" bestFit="1" customWidth="1"/>
    <col min="27" max="27" width="6.5703125" style="37" bestFit="1" customWidth="1"/>
    <col min="28" max="28" width="6" style="37" bestFit="1" customWidth="1"/>
    <col min="29" max="30" width="6.7109375" style="37" bestFit="1" customWidth="1"/>
    <col min="31" max="31" width="6.42578125" style="37" bestFit="1" customWidth="1"/>
    <col min="32" max="32" width="6.5703125" style="37" bestFit="1" customWidth="1"/>
    <col min="33" max="33" width="6.710937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2" spans="2:40" ht="16.5" x14ac:dyDescent="0.25">
      <c r="B2" s="38" t="str">
        <f>+Cover!B24</f>
        <v>Keystone Bookkeepers</v>
      </c>
    </row>
    <row r="3" spans="2:40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41" t="s">
        <v>264</v>
      </c>
      <c r="C5" s="42" t="s">
        <v>256</v>
      </c>
      <c r="D5" s="42" t="s">
        <v>5</v>
      </c>
      <c r="E5" s="52"/>
      <c r="F5" s="42" t="s">
        <v>254</v>
      </c>
      <c r="G5" s="42" t="s">
        <v>255</v>
      </c>
      <c r="H5" s="42" t="s">
        <v>263</v>
      </c>
      <c r="J5" s="45">
        <v>45292</v>
      </c>
      <c r="K5" s="45">
        <f>EOMONTH(J5,0)+1</f>
        <v>45323</v>
      </c>
      <c r="L5" s="45">
        <f t="shared" ref="L5:AN5" si="0">EOMONTH(K5,0)+1</f>
        <v>45352</v>
      </c>
      <c r="M5" s="45">
        <f t="shared" si="0"/>
        <v>45383</v>
      </c>
      <c r="N5" s="45">
        <f t="shared" si="0"/>
        <v>45413</v>
      </c>
      <c r="O5" s="45">
        <f t="shared" si="0"/>
        <v>45444</v>
      </c>
      <c r="P5" s="45">
        <f t="shared" si="0"/>
        <v>45474</v>
      </c>
      <c r="Q5" s="45">
        <f t="shared" si="0"/>
        <v>45505</v>
      </c>
      <c r="R5" s="45">
        <f t="shared" si="0"/>
        <v>45536</v>
      </c>
      <c r="S5" s="45">
        <f t="shared" si="0"/>
        <v>45566</v>
      </c>
      <c r="T5" s="45">
        <f t="shared" si="0"/>
        <v>45597</v>
      </c>
      <c r="U5" s="45">
        <f t="shared" si="0"/>
        <v>45627</v>
      </c>
      <c r="V5" s="45">
        <f t="shared" si="0"/>
        <v>45658</v>
      </c>
      <c r="W5" s="45">
        <f t="shared" si="0"/>
        <v>45689</v>
      </c>
      <c r="X5" s="45">
        <f t="shared" si="0"/>
        <v>45717</v>
      </c>
      <c r="Y5" s="45">
        <f t="shared" si="0"/>
        <v>45748</v>
      </c>
      <c r="Z5" s="45">
        <f t="shared" si="0"/>
        <v>45778</v>
      </c>
      <c r="AA5" s="45">
        <f t="shared" si="0"/>
        <v>45809</v>
      </c>
      <c r="AB5" s="45">
        <f t="shared" si="0"/>
        <v>45839</v>
      </c>
      <c r="AC5" s="45">
        <f t="shared" si="0"/>
        <v>45870</v>
      </c>
      <c r="AD5" s="45">
        <f t="shared" si="0"/>
        <v>45901</v>
      </c>
      <c r="AE5" s="45">
        <f t="shared" si="0"/>
        <v>45931</v>
      </c>
      <c r="AF5" s="45">
        <f t="shared" si="0"/>
        <v>45962</v>
      </c>
      <c r="AG5" s="45">
        <f t="shared" si="0"/>
        <v>45992</v>
      </c>
      <c r="AH5" s="45">
        <f t="shared" si="0"/>
        <v>46023</v>
      </c>
      <c r="AI5" s="45">
        <f t="shared" si="0"/>
        <v>46054</v>
      </c>
      <c r="AJ5" s="45">
        <f t="shared" si="0"/>
        <v>46082</v>
      </c>
      <c r="AK5" s="45">
        <f t="shared" si="0"/>
        <v>46113</v>
      </c>
      <c r="AL5" s="45">
        <f t="shared" si="0"/>
        <v>46143</v>
      </c>
      <c r="AM5" s="45">
        <f t="shared" si="0"/>
        <v>46174</v>
      </c>
      <c r="AN5" s="45">
        <f t="shared" si="0"/>
        <v>46204</v>
      </c>
    </row>
    <row r="6" spans="2:40" x14ac:dyDescent="0.2">
      <c r="B6" s="19" t="s">
        <v>275</v>
      </c>
      <c r="C6" s="49">
        <f t="shared" ref="C6:D13" si="1">SUMIFS($J6:$AN6,$J$5:$AN$5,"&gt;"&amp;C$25,$J$5:$AN$5,"&lt;"&amp;C$26)</f>
        <v>751.52859999999987</v>
      </c>
      <c r="D6" s="49">
        <f t="shared" si="1"/>
        <v>1261.47685</v>
      </c>
      <c r="E6" s="49"/>
      <c r="F6" s="49">
        <f t="shared" ref="F6:G13" si="2">SUMIFS($J6:$AN6,$J$5:$AN$5,"&gt;"&amp;F$25,$J$5:$AN$5,"&lt;"&amp;F$26)</f>
        <v>1098.5075000000002</v>
      </c>
      <c r="G6" s="49">
        <f t="shared" si="2"/>
        <v>1881.6971000000001</v>
      </c>
      <c r="H6" s="50">
        <f>+'Revenue Analysis'!E8</f>
        <v>2410.0500000000002</v>
      </c>
      <c r="J6" s="48">
        <f>SUMIFS('Combined P&amp;L'!N:N,'Combined P&amp;L'!$C:$C,'Revenue Charts'!$B6)</f>
        <v>44.683500000000002</v>
      </c>
      <c r="K6" s="48">
        <f>SUMIFS('Combined P&amp;L'!O:O,'Combined P&amp;L'!$C:$C,'Revenue Charts'!$B6)</f>
        <v>47.045999999999999</v>
      </c>
      <c r="L6" s="48">
        <f>SUMIFS('Combined P&amp;L'!P:P,'Combined P&amp;L'!$C:$C,'Revenue Charts'!$B6)</f>
        <v>52.47</v>
      </c>
      <c r="M6" s="48">
        <f>SUMIFS('Combined P&amp;L'!Q:Q,'Combined P&amp;L'!$C:$C,'Revenue Charts'!$B6)</f>
        <v>57.169699999999999</v>
      </c>
      <c r="N6" s="48">
        <f>SUMIFS('Combined P&amp;L'!R:R,'Combined P&amp;L'!$C:$C,'Revenue Charts'!$B6)</f>
        <v>57.514150000000001</v>
      </c>
      <c r="O6" s="48">
        <f>SUMIFS('Combined P&amp;L'!S:S,'Combined P&amp;L'!$C:$C,'Revenue Charts'!$B6)</f>
        <v>65.516000000000005</v>
      </c>
      <c r="P6" s="48">
        <f>SUMIFS('Combined P&amp;L'!T:T,'Combined P&amp;L'!$C:$C,'Revenue Charts'!$B6)</f>
        <v>68.28125</v>
      </c>
      <c r="Q6" s="48">
        <f>SUMIFS('Combined P&amp;L'!U:U,'Combined P&amp;L'!$C:$C,'Revenue Charts'!$B6)</f>
        <v>73.251350000000002</v>
      </c>
      <c r="R6" s="48">
        <f>SUMIFS('Combined P&amp;L'!V:V,'Combined P&amp;L'!$C:$C,'Revenue Charts'!$B6)</f>
        <v>75.551699999999997</v>
      </c>
      <c r="S6" s="48">
        <f>SUMIFS('Combined P&amp;L'!W:W,'Combined P&amp;L'!$C:$C,'Revenue Charts'!$B6)</f>
        <v>79.113249999999994</v>
      </c>
      <c r="T6" s="48">
        <f>SUMIFS('Combined P&amp;L'!X:X,'Combined P&amp;L'!$C:$C,'Revenue Charts'!$B6)</f>
        <v>83.290800000000004</v>
      </c>
      <c r="U6" s="48">
        <f>SUMIFS('Combined P&amp;L'!Y:Y,'Combined P&amp;L'!$C:$C,'Revenue Charts'!$B6)</f>
        <v>89.584550000000007</v>
      </c>
      <c r="V6" s="48">
        <f>SUMIFS('Combined P&amp;L'!Z:Z,'Combined P&amp;L'!$C:$C,'Revenue Charts'!$B6)</f>
        <v>92.418899999999994</v>
      </c>
      <c r="W6" s="48">
        <f>SUMIFS('Combined P&amp;L'!AA:AA,'Combined P&amp;L'!$C:$C,'Revenue Charts'!$B6)</f>
        <v>94.00215</v>
      </c>
      <c r="X6" s="48">
        <f>SUMIFS('Combined P&amp;L'!AB:AB,'Combined P&amp;L'!$C:$C,'Revenue Charts'!$B6)</f>
        <v>101.50605</v>
      </c>
      <c r="Y6" s="48">
        <f>SUMIFS('Combined P&amp;L'!AC:AC,'Combined P&amp;L'!$C:$C,'Revenue Charts'!$B6)</f>
        <v>106.1375</v>
      </c>
      <c r="Z6" s="48">
        <f>SUMIFS('Combined P&amp;L'!AD:AD,'Combined P&amp;L'!$C:$C,'Revenue Charts'!$B6)</f>
        <v>115.93875</v>
      </c>
      <c r="AA6" s="48">
        <f>SUMIFS('Combined P&amp;L'!AE:AE,'Combined P&amp;L'!$C:$C,'Revenue Charts'!$B6)</f>
        <v>119.43125000000001</v>
      </c>
      <c r="AB6" s="48">
        <f>SUMIFS('Combined P&amp;L'!AF:AF,'Combined P&amp;L'!$C:$C,'Revenue Charts'!$B6)</f>
        <v>122.09399999999999</v>
      </c>
      <c r="AC6" s="48">
        <f>SUMIFS('Combined P&amp;L'!AG:AG,'Combined P&amp;L'!$C:$C,'Revenue Charts'!$B6)</f>
        <v>130.08525</v>
      </c>
      <c r="AD6" s="48">
        <f>SUMIFS('Combined P&amp;L'!AH:AH,'Combined P&amp;L'!$C:$C,'Revenue Charts'!$B6)</f>
        <v>133.59049999999999</v>
      </c>
      <c r="AE6" s="48">
        <f>SUMIFS('Combined P&amp;L'!AI:AI,'Combined P&amp;L'!$C:$C,'Revenue Charts'!$B6)</f>
        <v>139.60900000000001</v>
      </c>
      <c r="AF6" s="48">
        <f>SUMIFS('Combined P&amp;L'!AJ:AJ,'Combined P&amp;L'!$C:$C,'Revenue Charts'!$B6)</f>
        <v>145.28075000000001</v>
      </c>
      <c r="AG6" s="48">
        <f>SUMIFS('Combined P&amp;L'!AK:AK,'Combined P&amp;L'!$C:$C,'Revenue Charts'!$B6)</f>
        <v>150.39824999999999</v>
      </c>
      <c r="AH6" s="48">
        <f>SUMIFS('Combined P&amp;L'!AL:AL,'Combined P&amp;L'!$C:$C,'Revenue Charts'!$B6)</f>
        <v>156.53879999999998</v>
      </c>
      <c r="AI6" s="48">
        <f>SUMIFS('Combined P&amp;L'!AM:AM,'Combined P&amp;L'!$C:$C,'Revenue Charts'!$B6)</f>
        <v>164.9034</v>
      </c>
      <c r="AJ6" s="48">
        <f>SUMIFS('Combined P&amp;L'!AN:AN,'Combined P&amp;L'!$C:$C,'Revenue Charts'!$B6)</f>
        <v>170.34424999999999</v>
      </c>
      <c r="AK6" s="48">
        <f>SUMIFS('Combined P&amp;L'!AO:AO,'Combined P&amp;L'!$C:$C,'Revenue Charts'!$B6)</f>
        <v>183.66200000000001</v>
      </c>
      <c r="AL6" s="48">
        <f>SUMIFS('Combined P&amp;L'!AP:AP,'Combined P&amp;L'!$C:$C,'Revenue Charts'!$B6)</f>
        <v>190.78440000000001</v>
      </c>
      <c r="AM6" s="48">
        <f>SUMIFS('Combined P&amp;L'!AQ:AQ,'Combined P&amp;L'!$C:$C,'Revenue Charts'!$B6)</f>
        <v>194.40649999999999</v>
      </c>
      <c r="AN6" s="48">
        <f>SUMIFS('Combined P&amp;L'!AR:AR,'Combined P&amp;L'!$C:$C,'Revenue Charts'!$B6)</f>
        <v>200.83750000000001</v>
      </c>
    </row>
    <row r="7" spans="2:40" x14ac:dyDescent="0.2">
      <c r="B7" s="19" t="s">
        <v>274</v>
      </c>
      <c r="C7" s="24">
        <f t="shared" si="1"/>
        <v>90.452500000000001</v>
      </c>
      <c r="D7" s="24">
        <f t="shared" si="1"/>
        <v>73.418499999999995</v>
      </c>
      <c r="E7" s="24"/>
      <c r="F7" s="24">
        <f t="shared" si="2"/>
        <v>174.62999999999997</v>
      </c>
      <c r="G7" s="24">
        <f t="shared" si="2"/>
        <v>135.298</v>
      </c>
      <c r="H7" s="65">
        <f>+'Revenue Analysis'!E9</f>
        <v>192.82980000000001</v>
      </c>
      <c r="I7" s="53"/>
      <c r="J7" s="54">
        <f>SUMIFS('Combined P&amp;L'!N:N,'Combined P&amp;L'!$C:$C,'Revenue Charts'!$B7)</f>
        <v>22.001000000000001</v>
      </c>
      <c r="K7" s="54">
        <f>SUMIFS('Combined P&amp;L'!O:O,'Combined P&amp;L'!$C:$C,'Revenue Charts'!$B7)</f>
        <v>22.036000000000001</v>
      </c>
      <c r="L7" s="54">
        <f>SUMIFS('Combined P&amp;L'!P:P,'Combined P&amp;L'!$C:$C,'Revenue Charts'!$B7)</f>
        <v>22.111000000000001</v>
      </c>
      <c r="M7" s="54">
        <f>SUMIFS('Combined P&amp;L'!Q:Q,'Combined P&amp;L'!$C:$C,'Revenue Charts'!$B7)</f>
        <v>22.146000000000001</v>
      </c>
      <c r="N7" s="54">
        <f>SUMIFS('Combined P&amp;L'!R:R,'Combined P&amp;L'!$C:$C,'Revenue Charts'!$B7)</f>
        <v>21.966000000000001</v>
      </c>
      <c r="O7" s="54">
        <f>SUMIFS('Combined P&amp;L'!S:S,'Combined P&amp;L'!$C:$C,'Revenue Charts'!$B7)</f>
        <v>17.815999999999999</v>
      </c>
      <c r="P7" s="54">
        <f>SUMIFS('Combined P&amp;L'!T:T,'Combined P&amp;L'!$C:$C,'Revenue Charts'!$B7)</f>
        <v>17.620999999999999</v>
      </c>
      <c r="Q7" s="54">
        <f>SUMIFS('Combined P&amp;L'!U:U,'Combined P&amp;L'!$C:$C,'Revenue Charts'!$B7)</f>
        <v>17.536000000000001</v>
      </c>
      <c r="R7" s="54">
        <f>SUMIFS('Combined P&amp;L'!V:V,'Combined P&amp;L'!$C:$C,'Revenue Charts'!$B7)</f>
        <v>16.425999999999998</v>
      </c>
      <c r="S7" s="54">
        <f>SUMIFS('Combined P&amp;L'!W:W,'Combined P&amp;L'!$C:$C,'Revenue Charts'!$B7)</f>
        <v>15.381</v>
      </c>
      <c r="T7" s="54">
        <f>SUMIFS('Combined P&amp;L'!X:X,'Combined P&amp;L'!$C:$C,'Revenue Charts'!$B7)</f>
        <v>14.6755</v>
      </c>
      <c r="U7" s="54">
        <f>SUMIFS('Combined P&amp;L'!Y:Y,'Combined P&amp;L'!$C:$C,'Revenue Charts'!$B7)</f>
        <v>15.0755</v>
      </c>
      <c r="V7" s="54">
        <f>SUMIFS('Combined P&amp;L'!Z:Z,'Combined P&amp;L'!$C:$C,'Revenue Charts'!$B7)</f>
        <v>14.5625</v>
      </c>
      <c r="W7" s="54">
        <f>SUMIFS('Combined P&amp;L'!AA:AA,'Combined P&amp;L'!$C:$C,'Revenue Charts'!$B7)</f>
        <v>12.8025</v>
      </c>
      <c r="X7" s="54">
        <f>SUMIFS('Combined P&amp;L'!AB:AB,'Combined P&amp;L'!$C:$C,'Revenue Charts'!$B7)</f>
        <v>12.4025</v>
      </c>
      <c r="Y7" s="54">
        <f>SUMIFS('Combined P&amp;L'!AC:AC,'Combined P&amp;L'!$C:$C,'Revenue Charts'!$B7)</f>
        <v>12.602499999999999</v>
      </c>
      <c r="Z7" s="54">
        <f>SUMIFS('Combined P&amp;L'!AD:AD,'Combined P&amp;L'!$C:$C,'Revenue Charts'!$B7)</f>
        <v>12.7525</v>
      </c>
      <c r="AA7" s="54">
        <f>SUMIFS('Combined P&amp;L'!AE:AE,'Combined P&amp;L'!$C:$C,'Revenue Charts'!$B7)</f>
        <v>12.7925</v>
      </c>
      <c r="AB7" s="54">
        <f>SUMIFS('Combined P&amp;L'!AF:AF,'Combined P&amp;L'!$C:$C,'Revenue Charts'!$B7)</f>
        <v>12.5375</v>
      </c>
      <c r="AC7" s="54">
        <f>SUMIFS('Combined P&amp;L'!AG:AG,'Combined P&amp;L'!$C:$C,'Revenue Charts'!$B7)</f>
        <v>11.8575</v>
      </c>
      <c r="AD7" s="54">
        <f>SUMIFS('Combined P&amp;L'!AH:AH,'Combined P&amp;L'!$C:$C,'Revenue Charts'!$B7)</f>
        <v>12.3025</v>
      </c>
      <c r="AE7" s="54">
        <f>SUMIFS('Combined P&amp;L'!AI:AI,'Combined P&amp;L'!$C:$C,'Revenue Charts'!$B7)</f>
        <v>11.692500000000001</v>
      </c>
      <c r="AF7" s="54">
        <f>SUMIFS('Combined P&amp;L'!AJ:AJ,'Combined P&amp;L'!$C:$C,'Revenue Charts'!$B7)</f>
        <v>11.717499999999999</v>
      </c>
      <c r="AG7" s="54">
        <f>SUMIFS('Combined P&amp;L'!AK:AK,'Combined P&amp;L'!$C:$C,'Revenue Charts'!$B7)</f>
        <v>11.7475</v>
      </c>
      <c r="AH7" s="54">
        <f>SUMIFS('Combined P&amp;L'!AL:AL,'Combined P&amp;L'!$C:$C,'Revenue Charts'!$B7)</f>
        <v>11.2805</v>
      </c>
      <c r="AI7" s="54">
        <f>SUMIFS('Combined P&amp;L'!AM:AM,'Combined P&amp;L'!$C:$C,'Revenue Charts'!$B7)</f>
        <v>10.9305</v>
      </c>
      <c r="AJ7" s="54">
        <f>SUMIFS('Combined P&amp;L'!AN:AN,'Combined P&amp;L'!$C:$C,'Revenue Charts'!$B7)</f>
        <v>10.625500000000001</v>
      </c>
      <c r="AK7" s="54">
        <f>SUMIFS('Combined P&amp;L'!AO:AO,'Combined P&amp;L'!$C:$C,'Revenue Charts'!$B7)</f>
        <v>10.3155</v>
      </c>
      <c r="AL7" s="54">
        <f>SUMIFS('Combined P&amp;L'!AP:AP,'Combined P&amp;L'!$C:$C,'Revenue Charts'!$B7)</f>
        <v>10.3155</v>
      </c>
      <c r="AM7" s="54">
        <f>SUMIFS('Combined P&amp;L'!AQ:AQ,'Combined P&amp;L'!$C:$C,'Revenue Charts'!$B7)</f>
        <v>9.9755000000000003</v>
      </c>
      <c r="AN7" s="54">
        <f>SUMIFS('Combined P&amp;L'!AR:AR,'Combined P&amp;L'!$C:$C,'Revenue Charts'!$B7)</f>
        <v>9.9755000000000003</v>
      </c>
    </row>
    <row r="8" spans="2:40" x14ac:dyDescent="0.2">
      <c r="B8" s="81" t="s">
        <v>24</v>
      </c>
      <c r="C8" s="24">
        <f t="shared" si="1"/>
        <v>23.225500000000004</v>
      </c>
      <c r="D8" s="24">
        <f t="shared" si="1"/>
        <v>91.651139999999998</v>
      </c>
      <c r="E8" s="24"/>
      <c r="F8" s="24">
        <f t="shared" si="2"/>
        <v>18.727000000000004</v>
      </c>
      <c r="G8" s="24">
        <f t="shared" si="2"/>
        <v>112.49548999999999</v>
      </c>
      <c r="H8" s="65">
        <f>+'Revenue Analysis'!E10</f>
        <v>119.706</v>
      </c>
      <c r="I8" s="53"/>
      <c r="J8" s="54">
        <f>SUMIFS('Combined P&amp;L'!N:N,'Combined P&amp;L'!$C:$C,'Revenue Charts'!$B8)</f>
        <v>0</v>
      </c>
      <c r="K8" s="54">
        <f>SUMIFS('Combined P&amp;L'!O:O,'Combined P&amp;L'!$C:$C,'Revenue Charts'!$B8)</f>
        <v>0</v>
      </c>
      <c r="L8" s="54">
        <f>SUMIFS('Combined P&amp;L'!P:P,'Combined P&amp;L'!$C:$C,'Revenue Charts'!$B8)</f>
        <v>0</v>
      </c>
      <c r="M8" s="54">
        <f>SUMIFS('Combined P&amp;L'!Q:Q,'Combined P&amp;L'!$C:$C,'Revenue Charts'!$B8)</f>
        <v>0</v>
      </c>
      <c r="N8" s="54">
        <f>SUMIFS('Combined P&amp;L'!R:R,'Combined P&amp;L'!$C:$C,'Revenue Charts'!$B8)</f>
        <v>0</v>
      </c>
      <c r="O8" s="54">
        <f>SUMIFS('Combined P&amp;L'!S:S,'Combined P&amp;L'!$C:$C,'Revenue Charts'!$B8)</f>
        <v>0</v>
      </c>
      <c r="P8" s="54">
        <f>SUMIFS('Combined P&amp;L'!T:T,'Combined P&amp;L'!$C:$C,'Revenue Charts'!$B8)</f>
        <v>0</v>
      </c>
      <c r="Q8" s="54">
        <f>SUMIFS('Combined P&amp;L'!U:U,'Combined P&amp;L'!$C:$C,'Revenue Charts'!$B8)</f>
        <v>0</v>
      </c>
      <c r="R8" s="54">
        <f>SUMIFS('Combined P&amp;L'!V:V,'Combined P&amp;L'!$C:$C,'Revenue Charts'!$B8)</f>
        <v>0</v>
      </c>
      <c r="S8" s="54">
        <f>SUMIFS('Combined P&amp;L'!W:W,'Combined P&amp;L'!$C:$C,'Revenue Charts'!$B8)</f>
        <v>0</v>
      </c>
      <c r="T8" s="54">
        <f>SUMIFS('Combined P&amp;L'!X:X,'Combined P&amp;L'!$C:$C,'Revenue Charts'!$B8)</f>
        <v>0.08</v>
      </c>
      <c r="U8" s="54">
        <f>SUMIFS('Combined P&amp;L'!Y:Y,'Combined P&amp;L'!$C:$C,'Revenue Charts'!$B8)</f>
        <v>0.48</v>
      </c>
      <c r="V8" s="54">
        <f>SUMIFS('Combined P&amp;L'!Z:Z,'Combined P&amp;L'!$C:$C,'Revenue Charts'!$B8)</f>
        <v>1.1299999999999999</v>
      </c>
      <c r="W8" s="54">
        <f>SUMIFS('Combined P&amp;L'!AA:AA,'Combined P&amp;L'!$C:$C,'Revenue Charts'!$B8)</f>
        <v>2.14</v>
      </c>
      <c r="X8" s="54">
        <f>SUMIFS('Combined P&amp;L'!AB:AB,'Combined P&amp;L'!$C:$C,'Revenue Charts'!$B8)</f>
        <v>2.66</v>
      </c>
      <c r="Y8" s="54">
        <f>SUMIFS('Combined P&amp;L'!AC:AC,'Combined P&amp;L'!$C:$C,'Revenue Charts'!$B8)</f>
        <v>3.65</v>
      </c>
      <c r="Z8" s="54">
        <f>SUMIFS('Combined P&amp;L'!AD:AD,'Combined P&amp;L'!$C:$C,'Revenue Charts'!$B8)</f>
        <v>3.6230000000000002</v>
      </c>
      <c r="AA8" s="54">
        <f>SUMIFS('Combined P&amp;L'!AE:AE,'Combined P&amp;L'!$C:$C,'Revenue Charts'!$B8)</f>
        <v>4.9640000000000004</v>
      </c>
      <c r="AB8" s="54">
        <f>SUMIFS('Combined P&amp;L'!AF:AF,'Combined P&amp;L'!$C:$C,'Revenue Charts'!$B8)</f>
        <v>5.0585000000000004</v>
      </c>
      <c r="AC8" s="54">
        <f>SUMIFS('Combined P&amp;L'!AG:AG,'Combined P&amp;L'!$C:$C,'Revenue Charts'!$B8)</f>
        <v>4.7300000000000004</v>
      </c>
      <c r="AD8" s="54">
        <f>SUMIFS('Combined P&amp;L'!AH:AH,'Combined P&amp;L'!$C:$C,'Revenue Charts'!$B8)</f>
        <v>4.82</v>
      </c>
      <c r="AE8" s="54">
        <f>SUMIFS('Combined P&amp;L'!AI:AI,'Combined P&amp;L'!$C:$C,'Revenue Charts'!$B8)</f>
        <v>5.37</v>
      </c>
      <c r="AF8" s="54">
        <f>SUMIFS('Combined P&amp;L'!AJ:AJ,'Combined P&amp;L'!$C:$C,'Revenue Charts'!$B8)</f>
        <v>8.0500000000000007</v>
      </c>
      <c r="AG8" s="54">
        <f>SUMIFS('Combined P&amp;L'!AK:AK,'Combined P&amp;L'!$C:$C,'Revenue Charts'!$B8)</f>
        <v>8.8849999999999998</v>
      </c>
      <c r="AH8" s="54">
        <f>SUMIFS('Combined P&amp;L'!AL:AL,'Combined P&amp;L'!$C:$C,'Revenue Charts'!$B8)</f>
        <v>10.909520000000001</v>
      </c>
      <c r="AI8" s="54">
        <f>SUMIFS('Combined P&amp;L'!AM:AM,'Combined P&amp;L'!$C:$C,'Revenue Charts'!$B8)</f>
        <v>10.33497</v>
      </c>
      <c r="AJ8" s="54">
        <f>SUMIFS('Combined P&amp;L'!AN:AN,'Combined P&amp;L'!$C:$C,'Revenue Charts'!$B8)</f>
        <v>11.175000000000001</v>
      </c>
      <c r="AK8" s="54">
        <f>SUMIFS('Combined P&amp;L'!AO:AO,'Combined P&amp;L'!$C:$C,'Revenue Charts'!$B8)</f>
        <v>11.953110000000001</v>
      </c>
      <c r="AL8" s="54">
        <f>SUMIFS('Combined P&amp;L'!AP:AP,'Combined P&amp;L'!$C:$C,'Revenue Charts'!$B8)</f>
        <v>15.040709999999999</v>
      </c>
      <c r="AM8" s="54">
        <f>SUMIFS('Combined P&amp;L'!AQ:AQ,'Combined P&amp;L'!$C:$C,'Revenue Charts'!$B8)</f>
        <v>16.168680000000002</v>
      </c>
      <c r="AN8" s="54">
        <f>SUMIFS('Combined P&amp;L'!AR:AR,'Combined P&amp;L'!$C:$C,'Revenue Charts'!$B8)</f>
        <v>16.06915</v>
      </c>
    </row>
    <row r="9" spans="2:40" x14ac:dyDescent="0.2">
      <c r="B9" s="81" t="s">
        <v>19</v>
      </c>
      <c r="C9" s="24">
        <f t="shared" si="1"/>
        <v>42.254049999999999</v>
      </c>
      <c r="D9" s="24">
        <f t="shared" si="1"/>
        <v>59.055000000000007</v>
      </c>
      <c r="E9" s="24"/>
      <c r="F9" s="24">
        <f t="shared" si="2"/>
        <v>55.660549999999994</v>
      </c>
      <c r="G9" s="24">
        <f t="shared" si="2"/>
        <v>91.655749999999998</v>
      </c>
      <c r="H9" s="65">
        <f>+'Revenue Analysis'!E11</f>
        <v>103.5675</v>
      </c>
      <c r="I9" s="53"/>
      <c r="J9" s="54">
        <f>SUMIFS('Combined P&amp;L'!N:N,'Combined P&amp;L'!$C:$C,'Revenue Charts'!$B9)</f>
        <v>5.4649999999999999</v>
      </c>
      <c r="K9" s="54">
        <f>SUMIFS('Combined P&amp;L'!O:O,'Combined P&amp;L'!$C:$C,'Revenue Charts'!$B9)</f>
        <v>3.9</v>
      </c>
      <c r="L9" s="54">
        <f>SUMIFS('Combined P&amp;L'!P:P,'Combined P&amp;L'!$C:$C,'Revenue Charts'!$B9)</f>
        <v>2.7549999999999999</v>
      </c>
      <c r="M9" s="54">
        <f>SUMIFS('Combined P&amp;L'!Q:Q,'Combined P&amp;L'!$C:$C,'Revenue Charts'!$B9)</f>
        <v>3.5019999999999998</v>
      </c>
      <c r="N9" s="54">
        <f>SUMIFS('Combined P&amp;L'!R:R,'Combined P&amp;L'!$C:$C,'Revenue Charts'!$B9)</f>
        <v>4.6589999999999998</v>
      </c>
      <c r="O9" s="54">
        <f>SUMIFS('Combined P&amp;L'!S:S,'Combined P&amp;L'!$C:$C,'Revenue Charts'!$B9)</f>
        <v>3.9369999999999998</v>
      </c>
      <c r="P9" s="54">
        <f>SUMIFS('Combined P&amp;L'!T:T,'Combined P&amp;L'!$C:$C,'Revenue Charts'!$B9)</f>
        <v>4.6020000000000003</v>
      </c>
      <c r="Q9" s="54">
        <f>SUMIFS('Combined P&amp;L'!U:U,'Combined P&amp;L'!$C:$C,'Revenue Charts'!$B9)</f>
        <v>4.7380000000000004</v>
      </c>
      <c r="R9" s="54">
        <f>SUMIFS('Combined P&amp;L'!V:V,'Combined P&amp;L'!$C:$C,'Revenue Charts'!$B9)</f>
        <v>2.1190000000000002</v>
      </c>
      <c r="S9" s="54">
        <f>SUMIFS('Combined P&amp;L'!W:W,'Combined P&amp;L'!$C:$C,'Revenue Charts'!$B9)</f>
        <v>2.0640000000000001</v>
      </c>
      <c r="T9" s="54">
        <f>SUMIFS('Combined P&amp;L'!X:X,'Combined P&amp;L'!$C:$C,'Revenue Charts'!$B9)</f>
        <v>3.0125000000000002</v>
      </c>
      <c r="U9" s="54">
        <f>SUMIFS('Combined P&amp;L'!Y:Y,'Combined P&amp;L'!$C:$C,'Revenue Charts'!$B9)</f>
        <v>3.3050000000000002</v>
      </c>
      <c r="V9" s="54">
        <f>SUMIFS('Combined P&amp;L'!Z:Z,'Combined P&amp;L'!$C:$C,'Revenue Charts'!$B9)</f>
        <v>3.0790000000000002</v>
      </c>
      <c r="W9" s="54">
        <f>SUMIFS('Combined P&amp;L'!AA:AA,'Combined P&amp;L'!$C:$C,'Revenue Charts'!$B9)</f>
        <v>0.7</v>
      </c>
      <c r="X9" s="54">
        <f>SUMIFS('Combined P&amp;L'!AB:AB,'Combined P&amp;L'!$C:$C,'Revenue Charts'!$B9)</f>
        <v>10.438549999999999</v>
      </c>
      <c r="Y9" s="54">
        <f>SUMIFS('Combined P&amp;L'!AC:AC,'Combined P&amp;L'!$C:$C,'Revenue Charts'!$B9)</f>
        <v>4.3</v>
      </c>
      <c r="Z9" s="54">
        <f>SUMIFS('Combined P&amp;L'!AD:AD,'Combined P&amp;L'!$C:$C,'Revenue Charts'!$B9)</f>
        <v>11.14</v>
      </c>
      <c r="AA9" s="54">
        <f>SUMIFS('Combined P&amp;L'!AE:AE,'Combined P&amp;L'!$C:$C,'Revenue Charts'!$B9)</f>
        <v>6.1624999999999996</v>
      </c>
      <c r="AB9" s="54">
        <f>SUMIFS('Combined P&amp;L'!AF:AF,'Combined P&amp;L'!$C:$C,'Revenue Charts'!$B9)</f>
        <v>6.4340000000000002</v>
      </c>
      <c r="AC9" s="54">
        <f>SUMIFS('Combined P&amp;L'!AG:AG,'Combined P&amp;L'!$C:$C,'Revenue Charts'!$B9)</f>
        <v>3.9649999999999999</v>
      </c>
      <c r="AD9" s="54">
        <f>SUMIFS('Combined P&amp;L'!AH:AH,'Combined P&amp;L'!$C:$C,'Revenue Charts'!$B9)</f>
        <v>3.92</v>
      </c>
      <c r="AE9" s="54">
        <f>SUMIFS('Combined P&amp;L'!AI:AI,'Combined P&amp;L'!$C:$C,'Revenue Charts'!$B9)</f>
        <v>9.1364999999999998</v>
      </c>
      <c r="AF9" s="54">
        <f>SUMIFS('Combined P&amp;L'!AJ:AJ,'Combined P&amp;L'!$C:$C,'Revenue Charts'!$B9)</f>
        <v>5.2537500000000001</v>
      </c>
      <c r="AG9" s="54">
        <f>SUMIFS('Combined P&amp;L'!AK:AK,'Combined P&amp;L'!$C:$C,'Revenue Charts'!$B9)</f>
        <v>9.99</v>
      </c>
      <c r="AH9" s="54">
        <f>SUMIFS('Combined P&amp;L'!AL:AL,'Combined P&amp;L'!$C:$C,'Revenue Charts'!$B9)</f>
        <v>10.2105</v>
      </c>
      <c r="AI9" s="54">
        <f>SUMIFS('Combined P&amp;L'!AM:AM,'Combined P&amp;L'!$C:$C,'Revenue Charts'!$B9)</f>
        <v>6.6749999999999998</v>
      </c>
      <c r="AJ9" s="54">
        <f>SUMIFS('Combined P&amp;L'!AN:AN,'Combined P&amp;L'!$C:$C,'Revenue Charts'!$B9)</f>
        <v>9.0990000000000002</v>
      </c>
      <c r="AK9" s="54">
        <f>SUMIFS('Combined P&amp;L'!AO:AO,'Combined P&amp;L'!$C:$C,'Revenue Charts'!$B9)</f>
        <v>8.9544999999999995</v>
      </c>
      <c r="AL9" s="54">
        <f>SUMIFS('Combined P&amp;L'!AP:AP,'Combined P&amp;L'!$C:$C,'Revenue Charts'!$B9)</f>
        <v>12.606</v>
      </c>
      <c r="AM9" s="54">
        <f>SUMIFS('Combined P&amp;L'!AQ:AQ,'Combined P&amp;L'!$C:$C,'Revenue Charts'!$B9)</f>
        <v>5.4115000000000002</v>
      </c>
      <c r="AN9" s="54">
        <f>SUMIFS('Combined P&amp;L'!AR:AR,'Combined P&amp;L'!$C:$C,'Revenue Charts'!$B9)</f>
        <v>6.0984999999999996</v>
      </c>
    </row>
    <row r="10" spans="2:40" x14ac:dyDescent="0.2">
      <c r="B10" s="19" t="s">
        <v>25</v>
      </c>
      <c r="C10" s="24">
        <f t="shared" si="1"/>
        <v>15.4915</v>
      </c>
      <c r="D10" s="24">
        <f t="shared" si="1"/>
        <v>45.129999999999995</v>
      </c>
      <c r="E10" s="24"/>
      <c r="F10" s="24">
        <f t="shared" si="2"/>
        <v>11.631500000000001</v>
      </c>
      <c r="G10" s="24">
        <f t="shared" si="2"/>
        <v>63.209999999999994</v>
      </c>
      <c r="H10" s="65">
        <f>+'Revenue Analysis'!E12</f>
        <v>94.835999999999999</v>
      </c>
      <c r="I10" s="53"/>
      <c r="J10" s="54">
        <f>SUMIFS('Combined P&amp;L'!N:N,'Combined P&amp;L'!$C:$C,'Revenue Charts'!$B10)</f>
        <v>0</v>
      </c>
      <c r="K10" s="54">
        <f>SUMIFS('Combined P&amp;L'!O:O,'Combined P&amp;L'!$C:$C,'Revenue Charts'!$B10)</f>
        <v>0</v>
      </c>
      <c r="L10" s="54">
        <f>SUMIFS('Combined P&amp;L'!P:P,'Combined P&amp;L'!$C:$C,'Revenue Charts'!$B10)</f>
        <v>0</v>
      </c>
      <c r="M10" s="54">
        <f>SUMIFS('Combined P&amp;L'!Q:Q,'Combined P&amp;L'!$C:$C,'Revenue Charts'!$B10)</f>
        <v>0</v>
      </c>
      <c r="N10" s="54">
        <f>SUMIFS('Combined P&amp;L'!R:R,'Combined P&amp;L'!$C:$C,'Revenue Charts'!$B10)</f>
        <v>0</v>
      </c>
      <c r="O10" s="54">
        <f>SUMIFS('Combined P&amp;L'!S:S,'Combined P&amp;L'!$C:$C,'Revenue Charts'!$B10)</f>
        <v>0</v>
      </c>
      <c r="P10" s="54">
        <f>SUMIFS('Combined P&amp;L'!T:T,'Combined P&amp;L'!$C:$C,'Revenue Charts'!$B10)</f>
        <v>0</v>
      </c>
      <c r="Q10" s="54">
        <f>SUMIFS('Combined P&amp;L'!U:U,'Combined P&amp;L'!$C:$C,'Revenue Charts'!$B10)</f>
        <v>0</v>
      </c>
      <c r="R10" s="54">
        <f>SUMIFS('Combined P&amp;L'!V:V,'Combined P&amp;L'!$C:$C,'Revenue Charts'!$B10)</f>
        <v>0</v>
      </c>
      <c r="S10" s="54">
        <f>SUMIFS('Combined P&amp;L'!W:W,'Combined P&amp;L'!$C:$C,'Revenue Charts'!$B10)</f>
        <v>0</v>
      </c>
      <c r="T10" s="54">
        <f>SUMIFS('Combined P&amp;L'!X:X,'Combined P&amp;L'!$C:$C,'Revenue Charts'!$B10)</f>
        <v>0</v>
      </c>
      <c r="U10" s="54">
        <f>SUMIFS('Combined P&amp;L'!Y:Y,'Combined P&amp;L'!$C:$C,'Revenue Charts'!$B10)</f>
        <v>0.06</v>
      </c>
      <c r="V10" s="54">
        <f>SUMIFS('Combined P&amp;L'!Z:Z,'Combined P&amp;L'!$C:$C,'Revenue Charts'!$B10)</f>
        <v>0.97</v>
      </c>
      <c r="W10" s="54">
        <f>SUMIFS('Combined P&amp;L'!AA:AA,'Combined P&amp;L'!$C:$C,'Revenue Charts'!$B10)</f>
        <v>1.1000000000000001</v>
      </c>
      <c r="X10" s="54">
        <f>SUMIFS('Combined P&amp;L'!AB:AB,'Combined P&amp;L'!$C:$C,'Revenue Charts'!$B10)</f>
        <v>1.7350000000000001</v>
      </c>
      <c r="Y10" s="54">
        <f>SUMIFS('Combined P&amp;L'!AC:AC,'Combined P&amp;L'!$C:$C,'Revenue Charts'!$B10)</f>
        <v>2.14</v>
      </c>
      <c r="Z10" s="54">
        <f>SUMIFS('Combined P&amp;L'!AD:AD,'Combined P&amp;L'!$C:$C,'Revenue Charts'!$B10)</f>
        <v>2.363</v>
      </c>
      <c r="AA10" s="54">
        <f>SUMIFS('Combined P&amp;L'!AE:AE,'Combined P&amp;L'!$C:$C,'Revenue Charts'!$B10)</f>
        <v>3.2635000000000001</v>
      </c>
      <c r="AB10" s="54">
        <f>SUMIFS('Combined P&amp;L'!AF:AF,'Combined P&amp;L'!$C:$C,'Revenue Charts'!$B10)</f>
        <v>3.92</v>
      </c>
      <c r="AC10" s="54">
        <f>SUMIFS('Combined P&amp;L'!AG:AG,'Combined P&amp;L'!$C:$C,'Revenue Charts'!$B10)</f>
        <v>3.9049999999999998</v>
      </c>
      <c r="AD10" s="54">
        <f>SUMIFS('Combined P&amp;L'!AH:AH,'Combined P&amp;L'!$C:$C,'Revenue Charts'!$B10)</f>
        <v>3.78</v>
      </c>
      <c r="AE10" s="54">
        <f>SUMIFS('Combined P&amp;L'!AI:AI,'Combined P&amp;L'!$C:$C,'Revenue Charts'!$B10)</f>
        <v>3.7949999999999999</v>
      </c>
      <c r="AF10" s="54">
        <f>SUMIFS('Combined P&amp;L'!AJ:AJ,'Combined P&amp;L'!$C:$C,'Revenue Charts'!$B10)</f>
        <v>4.33</v>
      </c>
      <c r="AG10" s="54">
        <f>SUMIFS('Combined P&amp;L'!AK:AK,'Combined P&amp;L'!$C:$C,'Revenue Charts'!$B10)</f>
        <v>5.3049999999999997</v>
      </c>
      <c r="AH10" s="54">
        <f>SUMIFS('Combined P&amp;L'!AL:AL,'Combined P&amp;L'!$C:$C,'Revenue Charts'!$B10)</f>
        <v>6.3</v>
      </c>
      <c r="AI10" s="54">
        <f>SUMIFS('Combined P&amp;L'!AM:AM,'Combined P&amp;L'!$C:$C,'Revenue Charts'!$B10)</f>
        <v>6.39</v>
      </c>
      <c r="AJ10" s="54">
        <f>SUMIFS('Combined P&amp;L'!AN:AN,'Combined P&amp;L'!$C:$C,'Revenue Charts'!$B10)</f>
        <v>6.4249999999999998</v>
      </c>
      <c r="AK10" s="54">
        <f>SUMIFS('Combined P&amp;L'!AO:AO,'Combined P&amp;L'!$C:$C,'Revenue Charts'!$B10)</f>
        <v>6.08</v>
      </c>
      <c r="AL10" s="54">
        <f>SUMIFS('Combined P&amp;L'!AP:AP,'Combined P&amp;L'!$C:$C,'Revenue Charts'!$B10)</f>
        <v>6.3250000000000002</v>
      </c>
      <c r="AM10" s="54">
        <f>SUMIFS('Combined P&amp;L'!AQ:AQ,'Combined P&amp;L'!$C:$C,'Revenue Charts'!$B10)</f>
        <v>6.6550000000000002</v>
      </c>
      <c r="AN10" s="54">
        <f>SUMIFS('Combined P&amp;L'!AR:AR,'Combined P&amp;L'!$C:$C,'Revenue Charts'!$B10)</f>
        <v>6.9550000000000001</v>
      </c>
    </row>
    <row r="11" spans="2:40" x14ac:dyDescent="0.2">
      <c r="B11" s="19" t="s">
        <v>27</v>
      </c>
      <c r="C11" s="24">
        <f t="shared" si="1"/>
        <v>0</v>
      </c>
      <c r="D11" s="24">
        <f t="shared" si="1"/>
        <v>45.085999999999991</v>
      </c>
      <c r="E11" s="24"/>
      <c r="F11" s="24">
        <f t="shared" si="2"/>
        <v>0</v>
      </c>
      <c r="G11" s="24">
        <f t="shared" si="2"/>
        <v>47.129999999999995</v>
      </c>
      <c r="H11" s="65">
        <f>+'Revenue Analysis'!E13</f>
        <v>83.460000000000008</v>
      </c>
      <c r="I11" s="53"/>
      <c r="J11" s="54">
        <f>SUMIFS('Combined P&amp;L'!N:N,'Combined P&amp;L'!$C:$C,'Revenue Charts'!$B11)</f>
        <v>0</v>
      </c>
      <c r="K11" s="54">
        <f>SUMIFS('Combined P&amp;L'!O:O,'Combined P&amp;L'!$C:$C,'Revenue Charts'!$B11)</f>
        <v>0</v>
      </c>
      <c r="L11" s="54">
        <f>SUMIFS('Combined P&amp;L'!P:P,'Combined P&amp;L'!$C:$C,'Revenue Charts'!$B11)</f>
        <v>0</v>
      </c>
      <c r="M11" s="54">
        <f>SUMIFS('Combined P&amp;L'!Q:Q,'Combined P&amp;L'!$C:$C,'Revenue Charts'!$B11)</f>
        <v>0</v>
      </c>
      <c r="N11" s="54">
        <f>SUMIFS('Combined P&amp;L'!R:R,'Combined P&amp;L'!$C:$C,'Revenue Charts'!$B11)</f>
        <v>0</v>
      </c>
      <c r="O11" s="54">
        <f>SUMIFS('Combined P&amp;L'!S:S,'Combined P&amp;L'!$C:$C,'Revenue Charts'!$B11)</f>
        <v>0</v>
      </c>
      <c r="P11" s="54">
        <f>SUMIFS('Combined P&amp;L'!T:T,'Combined P&amp;L'!$C:$C,'Revenue Charts'!$B11)</f>
        <v>0</v>
      </c>
      <c r="Q11" s="54">
        <f>SUMIFS('Combined P&amp;L'!U:U,'Combined P&amp;L'!$C:$C,'Revenue Charts'!$B11)</f>
        <v>0</v>
      </c>
      <c r="R11" s="54">
        <f>SUMIFS('Combined P&amp;L'!V:V,'Combined P&amp;L'!$C:$C,'Revenue Charts'!$B11)</f>
        <v>0</v>
      </c>
      <c r="S11" s="54">
        <f>SUMIFS('Combined P&amp;L'!W:W,'Combined P&amp;L'!$C:$C,'Revenue Charts'!$B11)</f>
        <v>0</v>
      </c>
      <c r="T11" s="54">
        <f>SUMIFS('Combined P&amp;L'!X:X,'Combined P&amp;L'!$C:$C,'Revenue Charts'!$B11)</f>
        <v>0</v>
      </c>
      <c r="U11" s="54">
        <f>SUMIFS('Combined P&amp;L'!Y:Y,'Combined P&amp;L'!$C:$C,'Revenue Charts'!$B11)</f>
        <v>0</v>
      </c>
      <c r="V11" s="54">
        <f>SUMIFS('Combined P&amp;L'!Z:Z,'Combined P&amp;L'!$C:$C,'Revenue Charts'!$B11)</f>
        <v>0</v>
      </c>
      <c r="W11" s="54">
        <f>SUMIFS('Combined P&amp;L'!AA:AA,'Combined P&amp;L'!$C:$C,'Revenue Charts'!$B11)</f>
        <v>0</v>
      </c>
      <c r="X11" s="54">
        <f>SUMIFS('Combined P&amp;L'!AB:AB,'Combined P&amp;L'!$C:$C,'Revenue Charts'!$B11)</f>
        <v>0</v>
      </c>
      <c r="Y11" s="54">
        <f>SUMIFS('Combined P&amp;L'!AC:AC,'Combined P&amp;L'!$C:$C,'Revenue Charts'!$B11)</f>
        <v>0</v>
      </c>
      <c r="Z11" s="54">
        <f>SUMIFS('Combined P&amp;L'!AD:AD,'Combined P&amp;L'!$C:$C,'Revenue Charts'!$B11)</f>
        <v>0</v>
      </c>
      <c r="AA11" s="54">
        <f>SUMIFS('Combined P&amp;L'!AE:AE,'Combined P&amp;L'!$C:$C,'Revenue Charts'!$B11)</f>
        <v>0</v>
      </c>
      <c r="AB11" s="54">
        <f>SUMIFS('Combined P&amp;L'!AF:AF,'Combined P&amp;L'!$C:$C,'Revenue Charts'!$B11)</f>
        <v>0</v>
      </c>
      <c r="AC11" s="54">
        <f>SUMIFS('Combined P&amp;L'!AG:AG,'Combined P&amp;L'!$C:$C,'Revenue Charts'!$B11)</f>
        <v>0</v>
      </c>
      <c r="AD11" s="54">
        <f>SUMIFS('Combined P&amp;L'!AH:AH,'Combined P&amp;L'!$C:$C,'Revenue Charts'!$B11)</f>
        <v>0.52</v>
      </c>
      <c r="AE11" s="54">
        <f>SUMIFS('Combined P&amp;L'!AI:AI,'Combined P&amp;L'!$C:$C,'Revenue Charts'!$B11)</f>
        <v>2.3570000000000002</v>
      </c>
      <c r="AF11" s="54">
        <f>SUMIFS('Combined P&amp;L'!AJ:AJ,'Combined P&amp;L'!$C:$C,'Revenue Charts'!$B11)</f>
        <v>2.8109999999999999</v>
      </c>
      <c r="AG11" s="54">
        <f>SUMIFS('Combined P&amp;L'!AK:AK,'Combined P&amp;L'!$C:$C,'Revenue Charts'!$B11)</f>
        <v>4.2590000000000003</v>
      </c>
      <c r="AH11" s="54">
        <f>SUMIFS('Combined P&amp;L'!AL:AL,'Combined P&amp;L'!$C:$C,'Revenue Charts'!$B11)</f>
        <v>5.2539999999999996</v>
      </c>
      <c r="AI11" s="54">
        <f>SUMIFS('Combined P&amp;L'!AM:AM,'Combined P&amp;L'!$C:$C,'Revenue Charts'!$B11)</f>
        <v>5.6520000000000001</v>
      </c>
      <c r="AJ11" s="54">
        <f>SUMIFS('Combined P&amp;L'!AN:AN,'Combined P&amp;L'!$C:$C,'Revenue Charts'!$B11)</f>
        <v>5.3239999999999998</v>
      </c>
      <c r="AK11" s="54">
        <f>SUMIFS('Combined P&amp;L'!AO:AO,'Combined P&amp;L'!$C:$C,'Revenue Charts'!$B11)</f>
        <v>6.3209999999999997</v>
      </c>
      <c r="AL11" s="54">
        <f>SUMIFS('Combined P&amp;L'!AP:AP,'Combined P&amp;L'!$C:$C,'Revenue Charts'!$B11)</f>
        <v>6.9589999999999996</v>
      </c>
      <c r="AM11" s="54">
        <f>SUMIFS('Combined P&amp;L'!AQ:AQ,'Combined P&amp;L'!$C:$C,'Revenue Charts'!$B11)</f>
        <v>7.673</v>
      </c>
      <c r="AN11" s="54">
        <f>SUMIFS('Combined P&amp;L'!AR:AR,'Combined P&amp;L'!$C:$C,'Revenue Charts'!$B11)</f>
        <v>7.9029999999999996</v>
      </c>
    </row>
    <row r="12" spans="2:40" x14ac:dyDescent="0.2">
      <c r="B12" s="81" t="s">
        <v>23</v>
      </c>
      <c r="C12" s="24">
        <f t="shared" si="1"/>
        <v>31.5</v>
      </c>
      <c r="D12" s="24">
        <f t="shared" si="1"/>
        <v>24.25</v>
      </c>
      <c r="E12" s="24"/>
      <c r="F12" s="24">
        <f t="shared" si="2"/>
        <v>41.25</v>
      </c>
      <c r="G12" s="24">
        <f t="shared" si="2"/>
        <v>39.65</v>
      </c>
      <c r="H12" s="65">
        <f>+'Revenue Analysis'!E14</f>
        <v>42</v>
      </c>
      <c r="I12" s="53"/>
      <c r="J12" s="54">
        <f>SUMIFS('Combined P&amp;L'!N:N,'Combined P&amp;L'!$C:$C,'Revenue Charts'!$B12)</f>
        <v>0</v>
      </c>
      <c r="K12" s="54">
        <f>SUMIFS('Combined P&amp;L'!O:O,'Combined P&amp;L'!$C:$C,'Revenue Charts'!$B12)</f>
        <v>0</v>
      </c>
      <c r="L12" s="54">
        <f>SUMIFS('Combined P&amp;L'!P:P,'Combined P&amp;L'!$C:$C,'Revenue Charts'!$B12)</f>
        <v>0</v>
      </c>
      <c r="M12" s="54">
        <f>SUMIFS('Combined P&amp;L'!Q:Q,'Combined P&amp;L'!$C:$C,'Revenue Charts'!$B12)</f>
        <v>0</v>
      </c>
      <c r="N12" s="54">
        <f>SUMIFS('Combined P&amp;L'!R:R,'Combined P&amp;L'!$C:$C,'Revenue Charts'!$B12)</f>
        <v>0</v>
      </c>
      <c r="O12" s="54">
        <f>SUMIFS('Combined P&amp;L'!S:S,'Combined P&amp;L'!$C:$C,'Revenue Charts'!$B12)</f>
        <v>0</v>
      </c>
      <c r="P12" s="54">
        <f>SUMIFS('Combined P&amp;L'!T:T,'Combined P&amp;L'!$C:$C,'Revenue Charts'!$B12)</f>
        <v>1.25</v>
      </c>
      <c r="Q12" s="54">
        <f>SUMIFS('Combined P&amp;L'!U:U,'Combined P&amp;L'!$C:$C,'Revenue Charts'!$B12)</f>
        <v>1.25</v>
      </c>
      <c r="R12" s="54">
        <f>SUMIFS('Combined P&amp;L'!V:V,'Combined P&amp;L'!$C:$C,'Revenue Charts'!$B12)</f>
        <v>1.25</v>
      </c>
      <c r="S12" s="54">
        <f>SUMIFS('Combined P&amp;L'!W:W,'Combined P&amp;L'!$C:$C,'Revenue Charts'!$B12)</f>
        <v>1.25</v>
      </c>
      <c r="T12" s="54">
        <f>SUMIFS('Combined P&amp;L'!X:X,'Combined P&amp;L'!$C:$C,'Revenue Charts'!$B12)</f>
        <v>5.75</v>
      </c>
      <c r="U12" s="54">
        <f>SUMIFS('Combined P&amp;L'!Y:Y,'Combined P&amp;L'!$C:$C,'Revenue Charts'!$B12)</f>
        <v>3</v>
      </c>
      <c r="V12" s="54">
        <f>SUMIFS('Combined P&amp;L'!Z:Z,'Combined P&amp;L'!$C:$C,'Revenue Charts'!$B12)</f>
        <v>4.45</v>
      </c>
      <c r="W12" s="54">
        <f>SUMIFS('Combined P&amp;L'!AA:AA,'Combined P&amp;L'!$C:$C,'Revenue Charts'!$B12)</f>
        <v>3.45</v>
      </c>
      <c r="X12" s="54">
        <f>SUMIFS('Combined P&amp;L'!AB:AB,'Combined P&amp;L'!$C:$C,'Revenue Charts'!$B12)</f>
        <v>3.45</v>
      </c>
      <c r="Y12" s="54">
        <f>SUMIFS('Combined P&amp;L'!AC:AC,'Combined P&amp;L'!$C:$C,'Revenue Charts'!$B12)</f>
        <v>5.95</v>
      </c>
      <c r="Z12" s="54">
        <f>SUMIFS('Combined P&amp;L'!AD:AD,'Combined P&amp;L'!$C:$C,'Revenue Charts'!$B12)</f>
        <v>5.2</v>
      </c>
      <c r="AA12" s="54">
        <f>SUMIFS('Combined P&amp;L'!AE:AE,'Combined P&amp;L'!$C:$C,'Revenue Charts'!$B12)</f>
        <v>5</v>
      </c>
      <c r="AB12" s="54">
        <f>SUMIFS('Combined P&amp;L'!AF:AF,'Combined P&amp;L'!$C:$C,'Revenue Charts'!$B12)</f>
        <v>4</v>
      </c>
      <c r="AC12" s="54">
        <f>SUMIFS('Combined P&amp;L'!AG:AG,'Combined P&amp;L'!$C:$C,'Revenue Charts'!$B12)</f>
        <v>2.95</v>
      </c>
      <c r="AD12" s="54">
        <f>SUMIFS('Combined P&amp;L'!AH:AH,'Combined P&amp;L'!$C:$C,'Revenue Charts'!$B12)</f>
        <v>3.0249999999999999</v>
      </c>
      <c r="AE12" s="54">
        <f>SUMIFS('Combined P&amp;L'!AI:AI,'Combined P&amp;L'!$C:$C,'Revenue Charts'!$B12)</f>
        <v>3.0249999999999999</v>
      </c>
      <c r="AF12" s="54">
        <f>SUMIFS('Combined P&amp;L'!AJ:AJ,'Combined P&amp;L'!$C:$C,'Revenue Charts'!$B12)</f>
        <v>2.95</v>
      </c>
      <c r="AG12" s="54">
        <f>SUMIFS('Combined P&amp;L'!AK:AK,'Combined P&amp;L'!$C:$C,'Revenue Charts'!$B12)</f>
        <v>2.95</v>
      </c>
      <c r="AH12" s="54">
        <f>SUMIFS('Combined P&amp;L'!AL:AL,'Combined P&amp;L'!$C:$C,'Revenue Charts'!$B12)</f>
        <v>2.75</v>
      </c>
      <c r="AI12" s="54">
        <f>SUMIFS('Combined P&amp;L'!AM:AM,'Combined P&amp;L'!$C:$C,'Revenue Charts'!$B12)</f>
        <v>3.5</v>
      </c>
      <c r="AJ12" s="54">
        <f>SUMIFS('Combined P&amp;L'!AN:AN,'Combined P&amp;L'!$C:$C,'Revenue Charts'!$B12)</f>
        <v>2.75</v>
      </c>
      <c r="AK12" s="54">
        <f>SUMIFS('Combined P&amp;L'!AO:AO,'Combined P&amp;L'!$C:$C,'Revenue Charts'!$B12)</f>
        <v>4.75</v>
      </c>
      <c r="AL12" s="54">
        <f>SUMIFS('Combined P&amp;L'!AP:AP,'Combined P&amp;L'!$C:$C,'Revenue Charts'!$B12)</f>
        <v>3.5</v>
      </c>
      <c r="AM12" s="54">
        <f>SUMIFS('Combined P&amp;L'!AQ:AQ,'Combined P&amp;L'!$C:$C,'Revenue Charts'!$B12)</f>
        <v>3.5</v>
      </c>
      <c r="AN12" s="54">
        <f>SUMIFS('Combined P&amp;L'!AR:AR,'Combined P&amp;L'!$C:$C,'Revenue Charts'!$B12)</f>
        <v>3.5</v>
      </c>
    </row>
    <row r="13" spans="2:40" x14ac:dyDescent="0.2">
      <c r="B13" s="81" t="s">
        <v>18</v>
      </c>
      <c r="C13" s="24">
        <f t="shared" si="1"/>
        <v>4.4387500000000006</v>
      </c>
      <c r="D13" s="24">
        <f t="shared" si="1"/>
        <v>0</v>
      </c>
      <c r="E13" s="24"/>
      <c r="F13" s="24">
        <f t="shared" si="2"/>
        <v>14.305250000000001</v>
      </c>
      <c r="G13" s="24">
        <f t="shared" si="2"/>
        <v>0.59499999999999997</v>
      </c>
      <c r="H13" s="65">
        <f>+'Revenue Analysis'!E15</f>
        <v>0</v>
      </c>
      <c r="I13" s="53"/>
      <c r="J13" s="54">
        <f>SUMIFS('Combined P&amp;L'!N:N,'Combined P&amp;L'!$C:$C,'Revenue Charts'!$B13)</f>
        <v>1.2</v>
      </c>
      <c r="K13" s="54">
        <f>SUMIFS('Combined P&amp;L'!O:O,'Combined P&amp;L'!$C:$C,'Revenue Charts'!$B13)</f>
        <v>1.7625</v>
      </c>
      <c r="L13" s="54">
        <f>SUMIFS('Combined P&amp;L'!P:P,'Combined P&amp;L'!$C:$C,'Revenue Charts'!$B13)</f>
        <v>0.66</v>
      </c>
      <c r="M13" s="54">
        <f>SUMIFS('Combined P&amp;L'!Q:Q,'Combined P&amp;L'!$C:$C,'Revenue Charts'!$B13)</f>
        <v>0.39500000000000002</v>
      </c>
      <c r="N13" s="54">
        <f>SUMIFS('Combined P&amp;L'!R:R,'Combined P&amp;L'!$C:$C,'Revenue Charts'!$B13)</f>
        <v>2.4649999999999999</v>
      </c>
      <c r="O13" s="54">
        <f>SUMIFS('Combined P&amp;L'!S:S,'Combined P&amp;L'!$C:$C,'Revenue Charts'!$B13)</f>
        <v>1.2749999999999999</v>
      </c>
      <c r="P13" s="54">
        <f>SUMIFS('Combined P&amp;L'!T:T,'Combined P&amp;L'!$C:$C,'Revenue Charts'!$B13)</f>
        <v>1.4624999999999999</v>
      </c>
      <c r="Q13" s="54">
        <f>SUMIFS('Combined P&amp;L'!U:U,'Combined P&amp;L'!$C:$C,'Revenue Charts'!$B13)</f>
        <v>0</v>
      </c>
      <c r="R13" s="54">
        <f>SUMIFS('Combined P&amp;L'!V:V,'Combined P&amp;L'!$C:$C,'Revenue Charts'!$B13)</f>
        <v>1.1452500000000001</v>
      </c>
      <c r="S13" s="54">
        <f>SUMIFS('Combined P&amp;L'!W:W,'Combined P&amp;L'!$C:$C,'Revenue Charts'!$B13)</f>
        <v>1.3552500000000001</v>
      </c>
      <c r="T13" s="54">
        <f>SUMIFS('Combined P&amp;L'!X:X,'Combined P&amp;L'!$C:$C,'Revenue Charts'!$B13)</f>
        <v>1.9035</v>
      </c>
      <c r="U13" s="54">
        <f>SUMIFS('Combined P&amp;L'!Y:Y,'Combined P&amp;L'!$C:$C,'Revenue Charts'!$B13)</f>
        <v>4</v>
      </c>
      <c r="V13" s="54">
        <f>SUMIFS('Combined P&amp;L'!Z:Z,'Combined P&amp;L'!$C:$C,'Revenue Charts'!$B13)</f>
        <v>1.08375</v>
      </c>
      <c r="W13" s="54">
        <f>SUMIFS('Combined P&amp;L'!AA:AA,'Combined P&amp;L'!$C:$C,'Revenue Charts'!$B13)</f>
        <v>2</v>
      </c>
      <c r="X13" s="54">
        <f>SUMIFS('Combined P&amp;L'!AB:AB,'Combined P&amp;L'!$C:$C,'Revenue Charts'!$B13)</f>
        <v>1.355</v>
      </c>
      <c r="Y13" s="54">
        <f>SUMIFS('Combined P&amp;L'!AC:AC,'Combined P&amp;L'!$C:$C,'Revenue Charts'!$B13)</f>
        <v>0</v>
      </c>
      <c r="Z13" s="54">
        <f>SUMIFS('Combined P&amp;L'!AD:AD,'Combined P&amp;L'!$C:$C,'Revenue Charts'!$B13)</f>
        <v>0</v>
      </c>
      <c r="AA13" s="54">
        <f>SUMIFS('Combined P&amp;L'!AE:AE,'Combined P&amp;L'!$C:$C,'Revenue Charts'!$B13)</f>
        <v>0</v>
      </c>
      <c r="AB13" s="54">
        <f>SUMIFS('Combined P&amp;L'!AF:AF,'Combined P&amp;L'!$C:$C,'Revenue Charts'!$B13)</f>
        <v>0</v>
      </c>
      <c r="AC13" s="54">
        <f>SUMIFS('Combined P&amp;L'!AG:AG,'Combined P&amp;L'!$C:$C,'Revenue Charts'!$B13)</f>
        <v>0</v>
      </c>
      <c r="AD13" s="54">
        <f>SUMIFS('Combined P&amp;L'!AH:AH,'Combined P&amp;L'!$C:$C,'Revenue Charts'!$B13)</f>
        <v>0</v>
      </c>
      <c r="AE13" s="54">
        <f>SUMIFS('Combined P&amp;L'!AI:AI,'Combined P&amp;L'!$C:$C,'Revenue Charts'!$B13)</f>
        <v>0.59499999999999997</v>
      </c>
      <c r="AF13" s="54">
        <f>SUMIFS('Combined P&amp;L'!AJ:AJ,'Combined P&amp;L'!$C:$C,'Revenue Charts'!$B13)</f>
        <v>0</v>
      </c>
      <c r="AG13" s="54">
        <f>SUMIFS('Combined P&amp;L'!AK:AK,'Combined P&amp;L'!$C:$C,'Revenue Charts'!$B13)</f>
        <v>0</v>
      </c>
      <c r="AH13" s="54">
        <f>SUMIFS('Combined P&amp;L'!AL:AL,'Combined P&amp;L'!$C:$C,'Revenue Charts'!$B13)</f>
        <v>0</v>
      </c>
      <c r="AI13" s="54">
        <f>SUMIFS('Combined P&amp;L'!AM:AM,'Combined P&amp;L'!$C:$C,'Revenue Charts'!$B13)</f>
        <v>0</v>
      </c>
      <c r="AJ13" s="54">
        <f>SUMIFS('Combined P&amp;L'!AN:AN,'Combined P&amp;L'!$C:$C,'Revenue Charts'!$B13)</f>
        <v>0</v>
      </c>
      <c r="AK13" s="54">
        <f>SUMIFS('Combined P&amp;L'!AO:AO,'Combined P&amp;L'!$C:$C,'Revenue Charts'!$B13)</f>
        <v>0</v>
      </c>
      <c r="AL13" s="54">
        <f>SUMIFS('Combined P&amp;L'!AP:AP,'Combined P&amp;L'!$C:$C,'Revenue Charts'!$B13)</f>
        <v>0</v>
      </c>
      <c r="AM13" s="54">
        <f>SUMIFS('Combined P&amp;L'!AQ:AQ,'Combined P&amp;L'!$C:$C,'Revenue Charts'!$B13)</f>
        <v>0</v>
      </c>
      <c r="AN13" s="54">
        <f>SUMIFS('Combined P&amp;L'!AR:AR,'Combined P&amp;L'!$C:$C,'Revenue Charts'!$B13)</f>
        <v>0</v>
      </c>
    </row>
    <row r="14" spans="2:40" x14ac:dyDescent="0.2">
      <c r="B14" s="61" t="s">
        <v>260</v>
      </c>
      <c r="C14" s="62">
        <f>SUM(C6:C13)</f>
        <v>958.89089999999987</v>
      </c>
      <c r="D14" s="62">
        <f>SUM(D6:D13)</f>
        <v>1600.0674900000001</v>
      </c>
      <c r="E14" s="80"/>
      <c r="F14" s="62">
        <f t="shared" ref="F14:H14" si="3">SUM(F6:F13)</f>
        <v>1414.7118</v>
      </c>
      <c r="G14" s="62">
        <f t="shared" si="3"/>
        <v>2371.7313399999998</v>
      </c>
      <c r="H14" s="62">
        <f t="shared" si="3"/>
        <v>3046.4493000000002</v>
      </c>
      <c r="I14" s="80"/>
      <c r="J14" s="62">
        <f t="shared" ref="J14:AN14" si="4">SUM(J6:J13)</f>
        <v>73.349500000000006</v>
      </c>
      <c r="K14" s="62">
        <f t="shared" si="4"/>
        <v>74.744500000000002</v>
      </c>
      <c r="L14" s="62">
        <f t="shared" si="4"/>
        <v>77.995999999999995</v>
      </c>
      <c r="M14" s="62">
        <f t="shared" si="4"/>
        <v>83.212699999999984</v>
      </c>
      <c r="N14" s="62">
        <f t="shared" si="4"/>
        <v>86.604150000000018</v>
      </c>
      <c r="O14" s="62">
        <f t="shared" si="4"/>
        <v>88.544000000000011</v>
      </c>
      <c r="P14" s="62">
        <f t="shared" si="4"/>
        <v>93.216750000000005</v>
      </c>
      <c r="Q14" s="62">
        <f t="shared" si="4"/>
        <v>96.775350000000003</v>
      </c>
      <c r="R14" s="62">
        <f t="shared" si="4"/>
        <v>96.491950000000003</v>
      </c>
      <c r="S14" s="62">
        <f t="shared" si="4"/>
        <v>99.163499999999985</v>
      </c>
      <c r="T14" s="62">
        <f t="shared" si="4"/>
        <v>108.7123</v>
      </c>
      <c r="U14" s="62">
        <f t="shared" si="4"/>
        <v>115.50505000000003</v>
      </c>
      <c r="V14" s="62">
        <f t="shared" si="4"/>
        <v>117.69414999999998</v>
      </c>
      <c r="W14" s="62">
        <f t="shared" si="4"/>
        <v>116.19465</v>
      </c>
      <c r="X14" s="62">
        <f t="shared" si="4"/>
        <v>133.5471</v>
      </c>
      <c r="Y14" s="62">
        <f t="shared" si="4"/>
        <v>134.78</v>
      </c>
      <c r="Z14" s="62">
        <f t="shared" si="4"/>
        <v>151.01724999999999</v>
      </c>
      <c r="AA14" s="62">
        <f t="shared" si="4"/>
        <v>151.61374999999998</v>
      </c>
      <c r="AB14" s="62">
        <f t="shared" si="4"/>
        <v>154.04399999999998</v>
      </c>
      <c r="AC14" s="62">
        <f t="shared" si="4"/>
        <v>157.49274999999997</v>
      </c>
      <c r="AD14" s="62">
        <f t="shared" si="4"/>
        <v>161.958</v>
      </c>
      <c r="AE14" s="62">
        <f t="shared" si="4"/>
        <v>175.58</v>
      </c>
      <c r="AF14" s="62">
        <f t="shared" si="4"/>
        <v>180.39300000000003</v>
      </c>
      <c r="AG14" s="62">
        <f t="shared" si="4"/>
        <v>193.53474999999997</v>
      </c>
      <c r="AH14" s="62">
        <f t="shared" si="4"/>
        <v>203.24331999999998</v>
      </c>
      <c r="AI14" s="62">
        <f t="shared" si="4"/>
        <v>208.38586999999998</v>
      </c>
      <c r="AJ14" s="62">
        <f t="shared" si="4"/>
        <v>215.74275</v>
      </c>
      <c r="AK14" s="62">
        <f t="shared" si="4"/>
        <v>232.03611000000004</v>
      </c>
      <c r="AL14" s="62">
        <f t="shared" si="4"/>
        <v>245.53060999999997</v>
      </c>
      <c r="AM14" s="62">
        <f t="shared" si="4"/>
        <v>243.79017999999999</v>
      </c>
      <c r="AN14" s="63">
        <f t="shared" si="4"/>
        <v>251.33865000000003</v>
      </c>
    </row>
    <row r="15" spans="2:40" ht="3.95" customHeight="1" x14ac:dyDescent="0.2"/>
    <row r="16" spans="2:40" x14ac:dyDescent="0.2">
      <c r="B16" s="81" t="s">
        <v>12</v>
      </c>
      <c r="C16" s="24">
        <f t="shared" ref="C16:D20" si="5">SUMIFS($J16:$AN16,$J$5:$AN$5,"&gt;"&amp;C$25,$J$5:$AN$5,"&lt;"&amp;C$26)</f>
        <v>23.49</v>
      </c>
      <c r="D16" s="24">
        <f t="shared" si="5"/>
        <v>38.701499999999996</v>
      </c>
      <c r="E16" s="24"/>
      <c r="F16" s="24">
        <f t="shared" ref="F16:G20" si="6">SUMIFS($J16:$AN16,$J$5:$AN$5,"&gt;"&amp;F$25,$J$5:$AN$5,"&lt;"&amp;F$26)</f>
        <v>23.52</v>
      </c>
      <c r="G16" s="24">
        <f t="shared" si="6"/>
        <v>38.761499999999998</v>
      </c>
      <c r="H16" s="65">
        <f>+'Revenue Analysis'!E18</f>
        <v>16.836220000000001</v>
      </c>
      <c r="I16" s="53"/>
      <c r="J16" s="54">
        <f>SUMIFS('Combined P&amp;L'!N:N,'Combined P&amp;L'!$C:$C,'Revenue Charts'!$B16)</f>
        <v>6.9450000000000003</v>
      </c>
      <c r="K16" s="54">
        <f>SUMIFS('Combined P&amp;L'!O:O,'Combined P&amp;L'!$C:$C,'Revenue Charts'!$B16)</f>
        <v>3.38</v>
      </c>
      <c r="L16" s="54">
        <f>SUMIFS('Combined P&amp;L'!P:P,'Combined P&amp;L'!$C:$C,'Revenue Charts'!$B16)</f>
        <v>4.4999999999999998E-2</v>
      </c>
      <c r="M16" s="54">
        <f>SUMIFS('Combined P&amp;L'!Q:Q,'Combined P&amp;L'!$C:$C,'Revenue Charts'!$B16)</f>
        <v>0.06</v>
      </c>
      <c r="N16" s="54">
        <f>SUMIFS('Combined P&amp;L'!R:R,'Combined P&amp;L'!$C:$C,'Revenue Charts'!$B16)</f>
        <v>1.4999999999999999E-2</v>
      </c>
      <c r="O16" s="54">
        <f>SUMIFS('Combined P&amp;L'!S:S,'Combined P&amp;L'!$C:$C,'Revenue Charts'!$B16)</f>
        <v>0</v>
      </c>
      <c r="P16" s="54">
        <f>SUMIFS('Combined P&amp;L'!T:T,'Combined P&amp;L'!$C:$C,'Revenue Charts'!$B16)</f>
        <v>0</v>
      </c>
      <c r="Q16" s="54">
        <f>SUMIFS('Combined P&amp;L'!U:U,'Combined P&amp;L'!$C:$C,'Revenue Charts'!$B16)</f>
        <v>1.4999999999999999E-2</v>
      </c>
      <c r="R16" s="54">
        <f>SUMIFS('Combined P&amp;L'!V:V,'Combined P&amp;L'!$C:$C,'Revenue Charts'!$B16)</f>
        <v>0</v>
      </c>
      <c r="S16" s="54">
        <f>SUMIFS('Combined P&amp;L'!W:W,'Combined P&amp;L'!$C:$C,'Revenue Charts'!$B16)</f>
        <v>0</v>
      </c>
      <c r="T16" s="54">
        <f>SUMIFS('Combined P&amp;L'!X:X,'Combined P&amp;L'!$C:$C,'Revenue Charts'!$B16)</f>
        <v>1.4999999999999999E-2</v>
      </c>
      <c r="U16" s="54">
        <f>SUMIFS('Combined P&amp;L'!Y:Y,'Combined P&amp;L'!$C:$C,'Revenue Charts'!$B16)</f>
        <v>0</v>
      </c>
      <c r="V16" s="54">
        <f>SUMIFS('Combined P&amp;L'!Z:Z,'Combined P&amp;L'!$C:$C,'Revenue Charts'!$B16)</f>
        <v>13.484999999999999</v>
      </c>
      <c r="W16" s="54">
        <f>SUMIFS('Combined P&amp;L'!AA:AA,'Combined P&amp;L'!$C:$C,'Revenue Charts'!$B16)</f>
        <v>9.9149999999999991</v>
      </c>
      <c r="X16" s="54">
        <f>SUMIFS('Combined P&amp;L'!AB:AB,'Combined P&amp;L'!$C:$C,'Revenue Charts'!$B16)</f>
        <v>0.06</v>
      </c>
      <c r="Y16" s="54">
        <f>SUMIFS('Combined P&amp;L'!AC:AC,'Combined P&amp;L'!$C:$C,'Revenue Charts'!$B16)</f>
        <v>0.03</v>
      </c>
      <c r="Z16" s="54">
        <f>SUMIFS('Combined P&amp;L'!AD:AD,'Combined P&amp;L'!$C:$C,'Revenue Charts'!$B16)</f>
        <v>0</v>
      </c>
      <c r="AA16" s="54">
        <f>SUMIFS('Combined P&amp;L'!AE:AE,'Combined P&amp;L'!$C:$C,'Revenue Charts'!$B16)</f>
        <v>0</v>
      </c>
      <c r="AB16" s="54">
        <f>SUMIFS('Combined P&amp;L'!AF:AF,'Combined P&amp;L'!$C:$C,'Revenue Charts'!$B16)</f>
        <v>0</v>
      </c>
      <c r="AC16" s="54">
        <f>SUMIFS('Combined P&amp;L'!AG:AG,'Combined P&amp;L'!$C:$C,'Revenue Charts'!$B16)</f>
        <v>0.03</v>
      </c>
      <c r="AD16" s="54">
        <f>SUMIFS('Combined P&amp;L'!AH:AH,'Combined P&amp;L'!$C:$C,'Revenue Charts'!$B16)</f>
        <v>0.03</v>
      </c>
      <c r="AE16" s="54">
        <f>SUMIFS('Combined P&amp;L'!AI:AI,'Combined P&amp;L'!$C:$C,'Revenue Charts'!$B16)</f>
        <v>0</v>
      </c>
      <c r="AF16" s="54">
        <f>SUMIFS('Combined P&amp;L'!AJ:AJ,'Combined P&amp;L'!$C:$C,'Revenue Charts'!$B16)</f>
        <v>0</v>
      </c>
      <c r="AG16" s="54">
        <f>SUMIFS('Combined P&amp;L'!AK:AK,'Combined P&amp;L'!$C:$C,'Revenue Charts'!$B16)</f>
        <v>0</v>
      </c>
      <c r="AH16" s="54">
        <f>SUMIFS('Combined P&amp;L'!AL:AL,'Combined P&amp;L'!$C:$C,'Revenue Charts'!$B16)</f>
        <v>6.1050000000000004</v>
      </c>
      <c r="AI16" s="54">
        <f>SUMIFS('Combined P&amp;L'!AM:AM,'Combined P&amp;L'!$C:$C,'Revenue Charts'!$B16)</f>
        <v>31.156500000000001</v>
      </c>
      <c r="AJ16" s="54">
        <f>SUMIFS('Combined P&amp;L'!AN:AN,'Combined P&amp;L'!$C:$C,'Revenue Charts'!$B16)</f>
        <v>1.26</v>
      </c>
      <c r="AK16" s="54">
        <f>SUMIFS('Combined P&amp;L'!AO:AO,'Combined P&amp;L'!$C:$C,'Revenue Charts'!$B16)</f>
        <v>0.18</v>
      </c>
      <c r="AL16" s="54">
        <f>SUMIFS('Combined P&amp;L'!AP:AP,'Combined P&amp;L'!$C:$C,'Revenue Charts'!$B16)</f>
        <v>0</v>
      </c>
      <c r="AM16" s="54">
        <f>SUMIFS('Combined P&amp;L'!AQ:AQ,'Combined P&amp;L'!$C:$C,'Revenue Charts'!$B16)</f>
        <v>0</v>
      </c>
      <c r="AN16" s="54">
        <f>SUMIFS('Combined P&amp;L'!AR:AR,'Combined P&amp;L'!$C:$C,'Revenue Charts'!$B16)</f>
        <v>0</v>
      </c>
    </row>
    <row r="17" spans="2:40" x14ac:dyDescent="0.2">
      <c r="B17" s="81" t="s">
        <v>261</v>
      </c>
      <c r="C17" s="24">
        <f t="shared" si="5"/>
        <v>0</v>
      </c>
      <c r="D17" s="24">
        <f t="shared" si="5"/>
        <v>23.914999999999999</v>
      </c>
      <c r="E17" s="24"/>
      <c r="F17" s="24">
        <f t="shared" si="6"/>
        <v>0</v>
      </c>
      <c r="G17" s="24">
        <f t="shared" si="6"/>
        <v>27.315000000000001</v>
      </c>
      <c r="H17" s="65">
        <f>+'Revenue Analysis'!E19</f>
        <v>10</v>
      </c>
      <c r="I17" s="53"/>
      <c r="J17" s="54">
        <f>SUMIFS('Combined P&amp;L'!N:N,'Combined P&amp;L'!$C:$C,'Revenue Charts'!$B17)</f>
        <v>0</v>
      </c>
      <c r="K17" s="54">
        <f>SUMIFS('Combined P&amp;L'!O:O,'Combined P&amp;L'!$C:$C,'Revenue Charts'!$B17)</f>
        <v>0</v>
      </c>
      <c r="L17" s="54">
        <f>SUMIFS('Combined P&amp;L'!P:P,'Combined P&amp;L'!$C:$C,'Revenue Charts'!$B17)</f>
        <v>0</v>
      </c>
      <c r="M17" s="54">
        <f>SUMIFS('Combined P&amp;L'!Q:Q,'Combined P&amp;L'!$C:$C,'Revenue Charts'!$B17)</f>
        <v>0</v>
      </c>
      <c r="N17" s="54">
        <f>SUMIFS('Combined P&amp;L'!R:R,'Combined P&amp;L'!$C:$C,'Revenue Charts'!$B17)</f>
        <v>0</v>
      </c>
      <c r="O17" s="54">
        <f>SUMIFS('Combined P&amp;L'!S:S,'Combined P&amp;L'!$C:$C,'Revenue Charts'!$B17)</f>
        <v>0</v>
      </c>
      <c r="P17" s="54">
        <f>SUMIFS('Combined P&amp;L'!T:T,'Combined P&amp;L'!$C:$C,'Revenue Charts'!$B17)</f>
        <v>0</v>
      </c>
      <c r="Q17" s="54">
        <f>SUMIFS('Combined P&amp;L'!U:U,'Combined P&amp;L'!$C:$C,'Revenue Charts'!$B17)</f>
        <v>0</v>
      </c>
      <c r="R17" s="54">
        <f>SUMIFS('Combined P&amp;L'!V:V,'Combined P&amp;L'!$C:$C,'Revenue Charts'!$B17)</f>
        <v>0</v>
      </c>
      <c r="S17" s="54">
        <f>SUMIFS('Combined P&amp;L'!W:W,'Combined P&amp;L'!$C:$C,'Revenue Charts'!$B17)</f>
        <v>0</v>
      </c>
      <c r="T17" s="54">
        <f>SUMIFS('Combined P&amp;L'!X:X,'Combined P&amp;L'!$C:$C,'Revenue Charts'!$B17)</f>
        <v>0</v>
      </c>
      <c r="U17" s="54">
        <f>SUMIFS('Combined P&amp;L'!Y:Y,'Combined P&amp;L'!$C:$C,'Revenue Charts'!$B17)</f>
        <v>0</v>
      </c>
      <c r="V17" s="54">
        <f>SUMIFS('Combined P&amp;L'!Z:Z,'Combined P&amp;L'!$C:$C,'Revenue Charts'!$B17)</f>
        <v>0</v>
      </c>
      <c r="W17" s="54">
        <f>SUMIFS('Combined P&amp;L'!AA:AA,'Combined P&amp;L'!$C:$C,'Revenue Charts'!$B17)</f>
        <v>0</v>
      </c>
      <c r="X17" s="54">
        <f>SUMIFS('Combined P&amp;L'!AB:AB,'Combined P&amp;L'!$C:$C,'Revenue Charts'!$B17)</f>
        <v>0</v>
      </c>
      <c r="Y17" s="54">
        <f>SUMIFS('Combined P&amp;L'!AC:AC,'Combined P&amp;L'!$C:$C,'Revenue Charts'!$B17)</f>
        <v>0</v>
      </c>
      <c r="Z17" s="54">
        <f>SUMIFS('Combined P&amp;L'!AD:AD,'Combined P&amp;L'!$C:$C,'Revenue Charts'!$B17)</f>
        <v>0</v>
      </c>
      <c r="AA17" s="54">
        <f>SUMIFS('Combined P&amp;L'!AE:AE,'Combined P&amp;L'!$C:$C,'Revenue Charts'!$B17)</f>
        <v>0</v>
      </c>
      <c r="AB17" s="54">
        <f>SUMIFS('Combined P&amp;L'!AF:AF,'Combined P&amp;L'!$C:$C,'Revenue Charts'!$B17)</f>
        <v>0</v>
      </c>
      <c r="AC17" s="54">
        <f>SUMIFS('Combined P&amp;L'!AG:AG,'Combined P&amp;L'!$C:$C,'Revenue Charts'!$B17)</f>
        <v>0</v>
      </c>
      <c r="AD17" s="54">
        <f>SUMIFS('Combined P&amp;L'!AH:AH,'Combined P&amp;L'!$C:$C,'Revenue Charts'!$B17)</f>
        <v>0.875</v>
      </c>
      <c r="AE17" s="54">
        <f>SUMIFS('Combined P&amp;L'!AI:AI,'Combined P&amp;L'!$C:$C,'Revenue Charts'!$B17)</f>
        <v>1.65</v>
      </c>
      <c r="AF17" s="54">
        <f>SUMIFS('Combined P&amp;L'!AJ:AJ,'Combined P&amp;L'!$C:$C,'Revenue Charts'!$B17)</f>
        <v>0</v>
      </c>
      <c r="AG17" s="54">
        <f>SUMIFS('Combined P&amp;L'!AK:AK,'Combined P&amp;L'!$C:$C,'Revenue Charts'!$B17)</f>
        <v>0.875</v>
      </c>
      <c r="AH17" s="54">
        <f>SUMIFS('Combined P&amp;L'!AL:AL,'Combined P&amp;L'!$C:$C,'Revenue Charts'!$B17)</f>
        <v>0</v>
      </c>
      <c r="AI17" s="54">
        <f>SUMIFS('Combined P&amp;L'!AM:AM,'Combined P&amp;L'!$C:$C,'Revenue Charts'!$B17)</f>
        <v>0</v>
      </c>
      <c r="AJ17" s="54">
        <f>SUMIFS('Combined P&amp;L'!AN:AN,'Combined P&amp;L'!$C:$C,'Revenue Charts'!$B17)</f>
        <v>14.19</v>
      </c>
      <c r="AK17" s="54">
        <f>SUMIFS('Combined P&amp;L'!AO:AO,'Combined P&amp;L'!$C:$C,'Revenue Charts'!$B17)</f>
        <v>6.625</v>
      </c>
      <c r="AL17" s="54">
        <f>SUMIFS('Combined P&amp;L'!AP:AP,'Combined P&amp;L'!$C:$C,'Revenue Charts'!$B17)</f>
        <v>0</v>
      </c>
      <c r="AM17" s="54">
        <f>SUMIFS('Combined P&amp;L'!AQ:AQ,'Combined P&amp;L'!$C:$C,'Revenue Charts'!$B17)</f>
        <v>3.1</v>
      </c>
      <c r="AN17" s="54">
        <f>SUMIFS('Combined P&amp;L'!AR:AR,'Combined P&amp;L'!$C:$C,'Revenue Charts'!$B17)</f>
        <v>0</v>
      </c>
    </row>
    <row r="18" spans="2:40" x14ac:dyDescent="0.2">
      <c r="B18" s="81" t="s">
        <v>15</v>
      </c>
      <c r="C18" s="24">
        <f t="shared" si="5"/>
        <v>14.504949999999999</v>
      </c>
      <c r="D18" s="24">
        <f t="shared" si="5"/>
        <v>8.0793799999999987</v>
      </c>
      <c r="E18" s="24"/>
      <c r="F18" s="24">
        <f t="shared" si="6"/>
        <v>17.947879999999998</v>
      </c>
      <c r="G18" s="24">
        <f t="shared" si="6"/>
        <v>17.796090000000003</v>
      </c>
      <c r="H18" s="65">
        <f>+'Revenue Analysis'!E20</f>
        <v>0</v>
      </c>
      <c r="I18" s="53"/>
      <c r="J18" s="54">
        <f>SUMIFS('Combined P&amp;L'!N:N,'Combined P&amp;L'!$C:$C,'Revenue Charts'!$B18)</f>
        <v>6.8599999999999994E-2</v>
      </c>
      <c r="K18" s="54">
        <f>SUMIFS('Combined P&amp;L'!O:O,'Combined P&amp;L'!$C:$C,'Revenue Charts'!$B18)</f>
        <v>0.13119999999999998</v>
      </c>
      <c r="L18" s="54">
        <f>SUMIFS('Combined P&amp;L'!P:P,'Combined P&amp;L'!$C:$C,'Revenue Charts'!$B18)</f>
        <v>7.1199999999999999E-2</v>
      </c>
      <c r="M18" s="54">
        <f>SUMIFS('Combined P&amp;L'!Q:Q,'Combined P&amp;L'!$C:$C,'Revenue Charts'!$B18)</f>
        <v>5.5600000000000004E-2</v>
      </c>
      <c r="N18" s="54">
        <f>SUMIFS('Combined P&amp;L'!R:R,'Combined P&amp;L'!$C:$C,'Revenue Charts'!$B18)</f>
        <v>0.57699999999999996</v>
      </c>
      <c r="O18" s="54">
        <f>SUMIFS('Combined P&amp;L'!S:S,'Combined P&amp;L'!$C:$C,'Revenue Charts'!$B18)</f>
        <v>0.80679999999999996</v>
      </c>
      <c r="P18" s="54">
        <f>SUMIFS('Combined P&amp;L'!T:T,'Combined P&amp;L'!$C:$C,'Revenue Charts'!$B18)</f>
        <v>0.66559999999999997</v>
      </c>
      <c r="Q18" s="54">
        <f>SUMIFS('Combined P&amp;L'!U:U,'Combined P&amp;L'!$C:$C,'Revenue Charts'!$B18)</f>
        <v>0.82640000000000002</v>
      </c>
      <c r="R18" s="54">
        <f>SUMIFS('Combined P&amp;L'!V:V,'Combined P&amp;L'!$C:$C,'Revenue Charts'!$B18)</f>
        <v>1.3808</v>
      </c>
      <c r="S18" s="54">
        <f>SUMIFS('Combined P&amp;L'!W:W,'Combined P&amp;L'!$C:$C,'Revenue Charts'!$B18)</f>
        <v>0.86039999999999994</v>
      </c>
      <c r="T18" s="54">
        <f>SUMIFS('Combined P&amp;L'!X:X,'Combined P&amp;L'!$C:$C,'Revenue Charts'!$B18)</f>
        <v>0.51</v>
      </c>
      <c r="U18" s="54">
        <f>SUMIFS('Combined P&amp;L'!Y:Y,'Combined P&amp;L'!$C:$C,'Revenue Charts'!$B18)</f>
        <v>0.24680000000000002</v>
      </c>
      <c r="V18" s="54">
        <f>SUMIFS('Combined P&amp;L'!Z:Z,'Combined P&amp;L'!$C:$C,'Revenue Charts'!$B18)</f>
        <v>7.3583999999999996</v>
      </c>
      <c r="W18" s="54">
        <f>SUMIFS('Combined P&amp;L'!AA:AA,'Combined P&amp;L'!$C:$C,'Revenue Charts'!$B18)</f>
        <v>1.29335</v>
      </c>
      <c r="X18" s="54">
        <f>SUMIFS('Combined P&amp;L'!AB:AB,'Combined P&amp;L'!$C:$C,'Revenue Charts'!$B18)</f>
        <v>0.96833000000000002</v>
      </c>
      <c r="Y18" s="54">
        <f>SUMIFS('Combined P&amp;L'!AC:AC,'Combined P&amp;L'!$C:$C,'Revenue Charts'!$B18)</f>
        <v>1.1656</v>
      </c>
      <c r="Z18" s="54">
        <f>SUMIFS('Combined P&amp;L'!AD:AD,'Combined P&amp;L'!$C:$C,'Revenue Charts'!$B18)</f>
        <v>0.96092999999999995</v>
      </c>
      <c r="AA18" s="54">
        <f>SUMIFS('Combined P&amp;L'!AE:AE,'Combined P&amp;L'!$C:$C,'Revenue Charts'!$B18)</f>
        <v>1.7112700000000001</v>
      </c>
      <c r="AB18" s="54">
        <f>SUMIFS('Combined P&amp;L'!AF:AF,'Combined P&amp;L'!$C:$C,'Revenue Charts'!$B18)</f>
        <v>1.0470699999999999</v>
      </c>
      <c r="AC18" s="54">
        <f>SUMIFS('Combined P&amp;L'!AG:AG,'Combined P&amp;L'!$C:$C,'Revenue Charts'!$B18)</f>
        <v>2.04088</v>
      </c>
      <c r="AD18" s="54">
        <f>SUMIFS('Combined P&amp;L'!AH:AH,'Combined P&amp;L'!$C:$C,'Revenue Charts'!$B18)</f>
        <v>1.1362099999999999</v>
      </c>
      <c r="AE18" s="54">
        <f>SUMIFS('Combined P&amp;L'!AI:AI,'Combined P&amp;L'!$C:$C,'Revenue Charts'!$B18)</f>
        <v>2.01424</v>
      </c>
      <c r="AF18" s="54">
        <f>SUMIFS('Combined P&amp;L'!AJ:AJ,'Combined P&amp;L'!$C:$C,'Revenue Charts'!$B18)</f>
        <v>1.29758</v>
      </c>
      <c r="AG18" s="54">
        <f>SUMIFS('Combined P&amp;L'!AK:AK,'Combined P&amp;L'!$C:$C,'Revenue Charts'!$B18)</f>
        <v>2.2679299999999998</v>
      </c>
      <c r="AH18" s="54">
        <f>SUMIFS('Combined P&amp;L'!AL:AL,'Combined P&amp;L'!$C:$C,'Revenue Charts'!$B18)</f>
        <v>2.6778400000000002</v>
      </c>
      <c r="AI18" s="54">
        <f>SUMIFS('Combined P&amp;L'!AM:AM,'Combined P&amp;L'!$C:$C,'Revenue Charts'!$B18)</f>
        <v>2.3540100000000002</v>
      </c>
      <c r="AJ18" s="54">
        <f>SUMIFS('Combined P&amp;L'!AN:AN,'Combined P&amp;L'!$C:$C,'Revenue Charts'!$B18)</f>
        <v>0.2276</v>
      </c>
      <c r="AK18" s="54">
        <f>SUMIFS('Combined P&amp;L'!AO:AO,'Combined P&amp;L'!$C:$C,'Revenue Charts'!$B18)</f>
        <v>1.4783599999999999</v>
      </c>
      <c r="AL18" s="54">
        <f>SUMIFS('Combined P&amp;L'!AP:AP,'Combined P&amp;L'!$C:$C,'Revenue Charts'!$B18)</f>
        <v>0.66824000000000006</v>
      </c>
      <c r="AM18" s="54">
        <f>SUMIFS('Combined P&amp;L'!AQ:AQ,'Combined P&amp;L'!$C:$C,'Revenue Charts'!$B18)</f>
        <v>0.58613000000000004</v>
      </c>
      <c r="AN18" s="54">
        <f>SUMIFS('Combined P&amp;L'!AR:AR,'Combined P&amp;L'!$C:$C,'Revenue Charts'!$B18)</f>
        <v>8.72E-2</v>
      </c>
    </row>
    <row r="19" spans="2:40" x14ac:dyDescent="0.2">
      <c r="B19" s="81" t="s">
        <v>13</v>
      </c>
      <c r="C19" s="24">
        <f t="shared" si="5"/>
        <v>0.78725000000000001</v>
      </c>
      <c r="D19" s="24">
        <f t="shared" si="5"/>
        <v>0.25783</v>
      </c>
      <c r="E19" s="24"/>
      <c r="F19" s="24">
        <f t="shared" si="6"/>
        <v>0.79723999999999995</v>
      </c>
      <c r="G19" s="24">
        <f t="shared" si="6"/>
        <v>0.88222999999999985</v>
      </c>
      <c r="H19" s="65">
        <f>+'Revenue Analysis'!E21</f>
        <v>0</v>
      </c>
      <c r="I19" s="53"/>
      <c r="J19" s="54">
        <f>SUMIFS('Combined P&amp;L'!N:N,'Combined P&amp;L'!$C:$C,'Revenue Charts'!$B19)</f>
        <v>0.05</v>
      </c>
      <c r="K19" s="54">
        <f>SUMIFS('Combined P&amp;L'!O:O,'Combined P&amp;L'!$C:$C,'Revenue Charts'!$B19)</f>
        <v>0</v>
      </c>
      <c r="L19" s="54">
        <f>SUMIFS('Combined P&amp;L'!P:P,'Combined P&amp;L'!$C:$C,'Revenue Charts'!$B19)</f>
        <v>0</v>
      </c>
      <c r="M19" s="54">
        <f>SUMIFS('Combined P&amp;L'!Q:Q,'Combined P&amp;L'!$C:$C,'Revenue Charts'!$B19)</f>
        <v>2.5000000000000001E-2</v>
      </c>
      <c r="N19" s="54">
        <f>SUMIFS('Combined P&amp;L'!R:R,'Combined P&amp;L'!$C:$C,'Revenue Charts'!$B19)</f>
        <v>0</v>
      </c>
      <c r="O19" s="54">
        <f>SUMIFS('Combined P&amp;L'!S:S,'Combined P&amp;L'!$C:$C,'Revenue Charts'!$B19)</f>
        <v>0</v>
      </c>
      <c r="P19" s="54">
        <f>SUMIFS('Combined P&amp;L'!T:T,'Combined P&amp;L'!$C:$C,'Revenue Charts'!$B19)</f>
        <v>0.29969999999999997</v>
      </c>
      <c r="Q19" s="54">
        <f>SUMIFS('Combined P&amp;L'!U:U,'Combined P&amp;L'!$C:$C,'Revenue Charts'!$B19)</f>
        <v>0</v>
      </c>
      <c r="R19" s="54">
        <f>SUMIFS('Combined P&amp;L'!V:V,'Combined P&amp;L'!$C:$C,'Revenue Charts'!$B19)</f>
        <v>0</v>
      </c>
      <c r="S19" s="54">
        <f>SUMIFS('Combined P&amp;L'!W:W,'Combined P&amp;L'!$C:$C,'Revenue Charts'!$B19)</f>
        <v>0</v>
      </c>
      <c r="T19" s="54">
        <f>SUMIFS('Combined P&amp;L'!X:X,'Combined P&amp;L'!$C:$C,'Revenue Charts'!$B19)</f>
        <v>0</v>
      </c>
      <c r="U19" s="54">
        <f>SUMIFS('Combined P&amp;L'!Y:Y,'Combined P&amp;L'!$C:$C,'Revenue Charts'!$B19)</f>
        <v>0</v>
      </c>
      <c r="V19" s="54">
        <f>SUMIFS('Combined P&amp;L'!Z:Z,'Combined P&amp;L'!$C:$C,'Revenue Charts'!$B19)</f>
        <v>2.5000000000000001E-2</v>
      </c>
      <c r="W19" s="54">
        <f>SUMIFS('Combined P&amp;L'!AA:AA,'Combined P&amp;L'!$C:$C,'Revenue Charts'!$B19)</f>
        <v>0.39960000000000001</v>
      </c>
      <c r="X19" s="54">
        <f>SUMIFS('Combined P&amp;L'!AB:AB,'Combined P&amp;L'!$C:$C,'Revenue Charts'!$B19)</f>
        <v>0</v>
      </c>
      <c r="Y19" s="54">
        <f>SUMIFS('Combined P&amp;L'!AC:AC,'Combined P&amp;L'!$C:$C,'Revenue Charts'!$B19)</f>
        <v>0</v>
      </c>
      <c r="Z19" s="54">
        <f>SUMIFS('Combined P&amp;L'!AD:AD,'Combined P&amp;L'!$C:$C,'Revenue Charts'!$B19)</f>
        <v>7.2939999999999991E-2</v>
      </c>
      <c r="AA19" s="54">
        <f>SUMIFS('Combined P&amp;L'!AE:AE,'Combined P&amp;L'!$C:$C,'Revenue Charts'!$B19)</f>
        <v>0</v>
      </c>
      <c r="AB19" s="54">
        <f>SUMIFS('Combined P&amp;L'!AF:AF,'Combined P&amp;L'!$C:$C,'Revenue Charts'!$B19)</f>
        <v>0.28970999999999997</v>
      </c>
      <c r="AC19" s="54">
        <f>SUMIFS('Combined P&amp;L'!AG:AG,'Combined P&amp;L'!$C:$C,'Revenue Charts'!$B19)</f>
        <v>0.30969000000000002</v>
      </c>
      <c r="AD19" s="54">
        <f>SUMIFS('Combined P&amp;L'!AH:AH,'Combined P&amp;L'!$C:$C,'Revenue Charts'!$B19)</f>
        <v>0</v>
      </c>
      <c r="AE19" s="54">
        <f>SUMIFS('Combined P&amp;L'!AI:AI,'Combined P&amp;L'!$C:$C,'Revenue Charts'!$B19)</f>
        <v>0</v>
      </c>
      <c r="AF19" s="54">
        <f>SUMIFS('Combined P&amp;L'!AJ:AJ,'Combined P&amp;L'!$C:$C,'Revenue Charts'!$B19)</f>
        <v>0</v>
      </c>
      <c r="AG19" s="54">
        <f>SUMIFS('Combined P&amp;L'!AK:AK,'Combined P&amp;L'!$C:$C,'Revenue Charts'!$B19)</f>
        <v>2.5000000000000001E-2</v>
      </c>
      <c r="AH19" s="54">
        <f>SUMIFS('Combined P&amp;L'!AL:AL,'Combined P&amp;L'!$C:$C,'Revenue Charts'!$B19)</f>
        <v>0.15984000000000001</v>
      </c>
      <c r="AI19" s="54">
        <f>SUMIFS('Combined P&amp;L'!AM:AM,'Combined P&amp;L'!$C:$C,'Revenue Charts'!$B19)</f>
        <v>0</v>
      </c>
      <c r="AJ19" s="54">
        <f>SUMIFS('Combined P&amp;L'!AN:AN,'Combined P&amp;L'!$C:$C,'Revenue Charts'!$B19)</f>
        <v>7.4999999999999997E-2</v>
      </c>
      <c r="AK19" s="54">
        <f>SUMIFS('Combined P&amp;L'!AO:AO,'Combined P&amp;L'!$C:$C,'Revenue Charts'!$B19)</f>
        <v>0</v>
      </c>
      <c r="AL19" s="54">
        <f>SUMIFS('Combined P&amp;L'!AP:AP,'Combined P&amp;L'!$C:$C,'Revenue Charts'!$B19)</f>
        <v>0</v>
      </c>
      <c r="AM19" s="54">
        <f>SUMIFS('Combined P&amp;L'!AQ:AQ,'Combined P&amp;L'!$C:$C,'Revenue Charts'!$B19)</f>
        <v>2.299E-2</v>
      </c>
      <c r="AN19" s="54">
        <f>SUMIFS('Combined P&amp;L'!AR:AR,'Combined P&amp;L'!$C:$C,'Revenue Charts'!$B19)</f>
        <v>0</v>
      </c>
    </row>
    <row r="20" spans="2:40" x14ac:dyDescent="0.2">
      <c r="B20" s="81" t="s">
        <v>14</v>
      </c>
      <c r="C20" s="24">
        <f t="shared" si="5"/>
        <v>0.2</v>
      </c>
      <c r="D20" s="24">
        <f t="shared" si="5"/>
        <v>0</v>
      </c>
      <c r="E20" s="24"/>
      <c r="F20" s="24">
        <f t="shared" si="6"/>
        <v>16.735000000000003</v>
      </c>
      <c r="G20" s="24">
        <f t="shared" si="6"/>
        <v>0</v>
      </c>
      <c r="H20" s="65">
        <f>+'Revenue Analysis'!E22</f>
        <v>0</v>
      </c>
      <c r="I20" s="53"/>
      <c r="J20" s="54">
        <f>SUMIFS('Combined P&amp;L'!N:N,'Combined P&amp;L'!$C:$C,'Revenue Charts'!$B20)</f>
        <v>0.5</v>
      </c>
      <c r="K20" s="54">
        <f>SUMIFS('Combined P&amp;L'!O:O,'Combined P&amp;L'!$C:$C,'Revenue Charts'!$B20)</f>
        <v>3</v>
      </c>
      <c r="L20" s="54">
        <f>SUMIFS('Combined P&amp;L'!P:P,'Combined P&amp;L'!$C:$C,'Revenue Charts'!$B20)</f>
        <v>0</v>
      </c>
      <c r="M20" s="54">
        <f>SUMIFS('Combined P&amp;L'!Q:Q,'Combined P&amp;L'!$C:$C,'Revenue Charts'!$B20)</f>
        <v>0</v>
      </c>
      <c r="N20" s="54">
        <f>SUMIFS('Combined P&amp;L'!R:R,'Combined P&amp;L'!$C:$C,'Revenue Charts'!$B20)</f>
        <v>3</v>
      </c>
      <c r="O20" s="54">
        <f>SUMIFS('Combined P&amp;L'!S:S,'Combined P&amp;L'!$C:$C,'Revenue Charts'!$B20)</f>
        <v>0.56499999999999995</v>
      </c>
      <c r="P20" s="54">
        <f>SUMIFS('Combined P&amp;L'!T:T,'Combined P&amp;L'!$C:$C,'Revenue Charts'!$B20)</f>
        <v>10.5</v>
      </c>
      <c r="Q20" s="54">
        <f>SUMIFS('Combined P&amp;L'!U:U,'Combined P&amp;L'!$C:$C,'Revenue Charts'!$B20)</f>
        <v>6.5</v>
      </c>
      <c r="R20" s="54">
        <f>SUMIFS('Combined P&amp;L'!V:V,'Combined P&amp;L'!$C:$C,'Revenue Charts'!$B20)</f>
        <v>0.5</v>
      </c>
      <c r="S20" s="54">
        <f>SUMIFS('Combined P&amp;L'!W:W,'Combined P&amp;L'!$C:$C,'Revenue Charts'!$B20)</f>
        <v>-0.96499999999999997</v>
      </c>
      <c r="T20" s="54">
        <f>SUMIFS('Combined P&amp;L'!X:X,'Combined P&amp;L'!$C:$C,'Revenue Charts'!$B20)</f>
        <v>0</v>
      </c>
      <c r="U20" s="54">
        <f>SUMIFS('Combined P&amp;L'!Y:Y,'Combined P&amp;L'!$C:$C,'Revenue Charts'!$B20)</f>
        <v>0</v>
      </c>
      <c r="V20" s="54">
        <f>SUMIFS('Combined P&amp;L'!Z:Z,'Combined P&amp;L'!$C:$C,'Revenue Charts'!$B20)</f>
        <v>0.1</v>
      </c>
      <c r="W20" s="54">
        <f>SUMIFS('Combined P&amp;L'!AA:AA,'Combined P&amp;L'!$C:$C,'Revenue Charts'!$B20)</f>
        <v>0</v>
      </c>
      <c r="X20" s="54">
        <f>SUMIFS('Combined P&amp;L'!AB:AB,'Combined P&amp;L'!$C:$C,'Revenue Charts'!$B20)</f>
        <v>0.1</v>
      </c>
      <c r="Y20" s="54">
        <f>SUMIFS('Combined P&amp;L'!AC:AC,'Combined P&amp;L'!$C:$C,'Revenue Charts'!$B20)</f>
        <v>0</v>
      </c>
      <c r="Z20" s="54">
        <f>SUMIFS('Combined P&amp;L'!AD:AD,'Combined P&amp;L'!$C:$C,'Revenue Charts'!$B20)</f>
        <v>0</v>
      </c>
      <c r="AA20" s="54">
        <f>SUMIFS('Combined P&amp;L'!AE:AE,'Combined P&amp;L'!$C:$C,'Revenue Charts'!$B20)</f>
        <v>0</v>
      </c>
      <c r="AB20" s="54">
        <f>SUMIFS('Combined P&amp;L'!AF:AF,'Combined P&amp;L'!$C:$C,'Revenue Charts'!$B20)</f>
        <v>0</v>
      </c>
      <c r="AC20" s="54">
        <f>SUMIFS('Combined P&amp;L'!AG:AG,'Combined P&amp;L'!$C:$C,'Revenue Charts'!$B20)</f>
        <v>0</v>
      </c>
      <c r="AD20" s="54">
        <f>SUMIFS('Combined P&amp;L'!AH:AH,'Combined P&amp;L'!$C:$C,'Revenue Charts'!$B20)</f>
        <v>0</v>
      </c>
      <c r="AE20" s="54">
        <f>SUMIFS('Combined P&amp;L'!AI:AI,'Combined P&amp;L'!$C:$C,'Revenue Charts'!$B20)</f>
        <v>0</v>
      </c>
      <c r="AF20" s="54">
        <f>SUMIFS('Combined P&amp;L'!AJ:AJ,'Combined P&amp;L'!$C:$C,'Revenue Charts'!$B20)</f>
        <v>0</v>
      </c>
      <c r="AG20" s="54">
        <f>SUMIFS('Combined P&amp;L'!AK:AK,'Combined P&amp;L'!$C:$C,'Revenue Charts'!$B20)</f>
        <v>0</v>
      </c>
      <c r="AH20" s="54">
        <f>SUMIFS('Combined P&amp;L'!AL:AL,'Combined P&amp;L'!$C:$C,'Revenue Charts'!$B20)</f>
        <v>0</v>
      </c>
      <c r="AI20" s="54">
        <f>SUMIFS('Combined P&amp;L'!AM:AM,'Combined P&amp;L'!$C:$C,'Revenue Charts'!$B20)</f>
        <v>0</v>
      </c>
      <c r="AJ20" s="54">
        <f>SUMIFS('Combined P&amp;L'!AN:AN,'Combined P&amp;L'!$C:$C,'Revenue Charts'!$B20)</f>
        <v>0</v>
      </c>
      <c r="AK20" s="54">
        <f>SUMIFS('Combined P&amp;L'!AO:AO,'Combined P&amp;L'!$C:$C,'Revenue Charts'!$B20)</f>
        <v>0</v>
      </c>
      <c r="AL20" s="54">
        <f>SUMIFS('Combined P&amp;L'!AP:AP,'Combined P&amp;L'!$C:$C,'Revenue Charts'!$B20)</f>
        <v>0</v>
      </c>
      <c r="AM20" s="54">
        <f>SUMIFS('Combined P&amp;L'!AQ:AQ,'Combined P&amp;L'!$C:$C,'Revenue Charts'!$B20)</f>
        <v>0</v>
      </c>
      <c r="AN20" s="54">
        <f>SUMIFS('Combined P&amp;L'!AR:AR,'Combined P&amp;L'!$C:$C,'Revenue Charts'!$B20)</f>
        <v>0</v>
      </c>
    </row>
    <row r="21" spans="2:40" x14ac:dyDescent="0.2">
      <c r="B21" s="59" t="s">
        <v>260</v>
      </c>
      <c r="C21" s="60">
        <f t="shared" ref="C21:D21" si="7">SUM(C16:C20)</f>
        <v>38.982199999999999</v>
      </c>
      <c r="D21" s="60">
        <f t="shared" si="7"/>
        <v>70.953709999999987</v>
      </c>
      <c r="F21" s="60">
        <f t="shared" ref="F21:H21" si="8">SUM(F16:F20)</f>
        <v>59.000119999999995</v>
      </c>
      <c r="G21" s="60">
        <f t="shared" si="8"/>
        <v>84.754819999999995</v>
      </c>
      <c r="H21" s="60">
        <f t="shared" si="8"/>
        <v>26.836220000000001</v>
      </c>
      <c r="J21" s="60">
        <f>SUM(J16:J20)</f>
        <v>7.5636000000000001</v>
      </c>
      <c r="K21" s="60">
        <f t="shared" ref="K21:AN21" si="9">SUM(K16:K20)</f>
        <v>6.5111999999999997</v>
      </c>
      <c r="L21" s="60">
        <f t="shared" si="9"/>
        <v>0.1162</v>
      </c>
      <c r="M21" s="60">
        <f t="shared" si="9"/>
        <v>0.1406</v>
      </c>
      <c r="N21" s="60">
        <f t="shared" si="9"/>
        <v>3.5920000000000001</v>
      </c>
      <c r="O21" s="60">
        <f t="shared" si="9"/>
        <v>1.3717999999999999</v>
      </c>
      <c r="P21" s="60">
        <f t="shared" si="9"/>
        <v>11.465299999999999</v>
      </c>
      <c r="Q21" s="60">
        <f t="shared" si="9"/>
        <v>7.3414000000000001</v>
      </c>
      <c r="R21" s="60">
        <f t="shared" si="9"/>
        <v>1.8808</v>
      </c>
      <c r="S21" s="60">
        <f t="shared" si="9"/>
        <v>-0.10460000000000003</v>
      </c>
      <c r="T21" s="60">
        <f t="shared" si="9"/>
        <v>0.52500000000000002</v>
      </c>
      <c r="U21" s="60">
        <f t="shared" si="9"/>
        <v>0.24680000000000002</v>
      </c>
      <c r="V21" s="60">
        <f t="shared" si="9"/>
        <v>20.968399999999999</v>
      </c>
      <c r="W21" s="60">
        <f t="shared" si="9"/>
        <v>11.607949999999999</v>
      </c>
      <c r="X21" s="60">
        <f t="shared" si="9"/>
        <v>1.1283300000000001</v>
      </c>
      <c r="Y21" s="60">
        <f t="shared" si="9"/>
        <v>1.1956</v>
      </c>
      <c r="Z21" s="60">
        <f t="shared" si="9"/>
        <v>1.0338699999999998</v>
      </c>
      <c r="AA21" s="60">
        <f t="shared" si="9"/>
        <v>1.7112700000000001</v>
      </c>
      <c r="AB21" s="60">
        <f t="shared" si="9"/>
        <v>1.3367799999999999</v>
      </c>
      <c r="AC21" s="60">
        <f t="shared" si="9"/>
        <v>2.3805699999999996</v>
      </c>
      <c r="AD21" s="60">
        <f t="shared" si="9"/>
        <v>2.04121</v>
      </c>
      <c r="AE21" s="60">
        <f t="shared" si="9"/>
        <v>3.6642399999999999</v>
      </c>
      <c r="AF21" s="60">
        <f t="shared" si="9"/>
        <v>1.29758</v>
      </c>
      <c r="AG21" s="60">
        <f t="shared" si="9"/>
        <v>3.1679299999999997</v>
      </c>
      <c r="AH21" s="60">
        <f t="shared" si="9"/>
        <v>8.9426800000000011</v>
      </c>
      <c r="AI21" s="60">
        <f t="shared" si="9"/>
        <v>33.510510000000004</v>
      </c>
      <c r="AJ21" s="60">
        <f t="shared" si="9"/>
        <v>15.752599999999999</v>
      </c>
      <c r="AK21" s="60">
        <f t="shared" si="9"/>
        <v>8.2833600000000001</v>
      </c>
      <c r="AL21" s="60">
        <f t="shared" si="9"/>
        <v>0.66824000000000006</v>
      </c>
      <c r="AM21" s="60">
        <f t="shared" si="9"/>
        <v>3.7091200000000004</v>
      </c>
      <c r="AN21" s="60">
        <f t="shared" si="9"/>
        <v>8.72E-2</v>
      </c>
    </row>
    <row r="22" spans="2:40" ht="5.0999999999999996" customHeight="1" x14ac:dyDescent="0.2"/>
    <row r="23" spans="2:40" x14ac:dyDescent="0.2">
      <c r="B23" s="61" t="s">
        <v>262</v>
      </c>
      <c r="C23" s="62">
        <f>+C21+C14</f>
        <v>997.87309999999991</v>
      </c>
      <c r="D23" s="62">
        <f>+D21+D14</f>
        <v>1671.0212000000001</v>
      </c>
      <c r="E23" s="80"/>
      <c r="F23" s="62">
        <f>+F21+F14</f>
        <v>1473.71192</v>
      </c>
      <c r="G23" s="62">
        <f>+G21+G14</f>
        <v>2456.4861599999999</v>
      </c>
      <c r="H23" s="62">
        <f>+H21+H14</f>
        <v>3073.2855200000004</v>
      </c>
      <c r="I23" s="80"/>
      <c r="J23" s="62">
        <f t="shared" ref="J23:AN23" si="10">+J21+J14</f>
        <v>80.9131</v>
      </c>
      <c r="K23" s="62">
        <f t="shared" si="10"/>
        <v>81.255700000000004</v>
      </c>
      <c r="L23" s="62">
        <f t="shared" si="10"/>
        <v>78.112200000000001</v>
      </c>
      <c r="M23" s="62">
        <f t="shared" si="10"/>
        <v>83.35329999999999</v>
      </c>
      <c r="N23" s="62">
        <f t="shared" si="10"/>
        <v>90.196150000000017</v>
      </c>
      <c r="O23" s="62">
        <f t="shared" si="10"/>
        <v>89.915800000000004</v>
      </c>
      <c r="P23" s="62">
        <f t="shared" si="10"/>
        <v>104.68205</v>
      </c>
      <c r="Q23" s="62">
        <f t="shared" si="10"/>
        <v>104.11675</v>
      </c>
      <c r="R23" s="62">
        <f t="shared" si="10"/>
        <v>98.372749999999996</v>
      </c>
      <c r="S23" s="62">
        <f t="shared" si="10"/>
        <v>99.05889999999998</v>
      </c>
      <c r="T23" s="62">
        <f t="shared" si="10"/>
        <v>109.2373</v>
      </c>
      <c r="U23" s="62">
        <f t="shared" si="10"/>
        <v>115.75185000000002</v>
      </c>
      <c r="V23" s="62">
        <f t="shared" si="10"/>
        <v>138.66254999999998</v>
      </c>
      <c r="W23" s="62">
        <f t="shared" si="10"/>
        <v>127.8026</v>
      </c>
      <c r="X23" s="62">
        <f t="shared" si="10"/>
        <v>134.67543000000001</v>
      </c>
      <c r="Y23" s="62">
        <f t="shared" si="10"/>
        <v>135.97560000000001</v>
      </c>
      <c r="Z23" s="62">
        <f t="shared" si="10"/>
        <v>152.05112</v>
      </c>
      <c r="AA23" s="62">
        <f t="shared" si="10"/>
        <v>153.32501999999999</v>
      </c>
      <c r="AB23" s="62">
        <f t="shared" si="10"/>
        <v>155.38077999999999</v>
      </c>
      <c r="AC23" s="62">
        <f t="shared" si="10"/>
        <v>159.87331999999998</v>
      </c>
      <c r="AD23" s="62">
        <f t="shared" si="10"/>
        <v>163.99921000000001</v>
      </c>
      <c r="AE23" s="62">
        <f t="shared" si="10"/>
        <v>179.24424000000002</v>
      </c>
      <c r="AF23" s="62">
        <f t="shared" si="10"/>
        <v>181.69058000000004</v>
      </c>
      <c r="AG23" s="62">
        <f t="shared" si="10"/>
        <v>196.70267999999999</v>
      </c>
      <c r="AH23" s="62">
        <f t="shared" si="10"/>
        <v>212.18599999999998</v>
      </c>
      <c r="AI23" s="62">
        <f t="shared" si="10"/>
        <v>241.89637999999999</v>
      </c>
      <c r="AJ23" s="62">
        <f t="shared" si="10"/>
        <v>231.49535</v>
      </c>
      <c r="AK23" s="62">
        <f t="shared" si="10"/>
        <v>240.31947000000002</v>
      </c>
      <c r="AL23" s="62">
        <f t="shared" si="10"/>
        <v>246.19884999999996</v>
      </c>
      <c r="AM23" s="62">
        <f t="shared" si="10"/>
        <v>247.49930000000001</v>
      </c>
      <c r="AN23" s="63">
        <f t="shared" si="10"/>
        <v>251.42585000000003</v>
      </c>
    </row>
    <row r="25" spans="2:40" x14ac:dyDescent="0.2">
      <c r="C25" s="34">
        <v>45657</v>
      </c>
      <c r="D25" s="34">
        <v>46022</v>
      </c>
      <c r="E25" s="34"/>
      <c r="F25" s="34">
        <v>45473</v>
      </c>
      <c r="G25" s="36">
        <f>F26</f>
        <v>45838</v>
      </c>
    </row>
    <row r="26" spans="2:40" x14ac:dyDescent="0.2">
      <c r="C26" s="35">
        <v>45869</v>
      </c>
      <c r="D26" s="35">
        <f>EOMONTH(D25,12)</f>
        <v>46387</v>
      </c>
      <c r="E26" s="35"/>
      <c r="F26" s="35">
        <f>EOMONTH(F25,12)</f>
        <v>45838</v>
      </c>
      <c r="G26" s="35">
        <f>EOMONTH(G25,12)</f>
        <v>46203</v>
      </c>
    </row>
    <row r="33" spans="3:8" x14ac:dyDescent="0.2">
      <c r="C33" s="36"/>
      <c r="D33" s="36"/>
      <c r="E33" s="36"/>
      <c r="F33" s="34"/>
      <c r="G33" s="36"/>
      <c r="H33" s="36"/>
    </row>
    <row r="34" spans="3:8" x14ac:dyDescent="0.2">
      <c r="C34" s="35"/>
      <c r="D34" s="35"/>
      <c r="E34" s="35"/>
      <c r="F34" s="35"/>
      <c r="G34" s="35"/>
      <c r="H34" s="35"/>
    </row>
    <row r="38" spans="3:8" x14ac:dyDescent="0.2">
      <c r="H38" s="36"/>
    </row>
    <row r="39" spans="3:8" x14ac:dyDescent="0.2">
      <c r="H39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30"/>
  <sheetViews>
    <sheetView showGridLines="0" topLeftCell="I1" zoomScale="130" zoomScaleNormal="130" workbookViewId="0">
      <pane ySplit="5" topLeftCell="A75" activePane="bottomLeft" state="frozen"/>
      <selection pane="bottomLeft" activeCell="AH113" sqref="AH113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6" width="13" style="6" customWidth="1"/>
    <col min="7" max="7" width="0.85546875" style="6" customWidth="1"/>
    <col min="8" max="9" width="13" style="6" customWidth="1"/>
    <col min="10" max="10" width="0.85546875" style="6" customWidth="1"/>
    <col min="11" max="11" width="13.7109375" style="6" customWidth="1"/>
    <col min="12" max="12" width="13" style="6" customWidth="1"/>
    <col min="13" max="13" width="0.85546875" style="6" customWidth="1"/>
    <col min="14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309</v>
      </c>
      <c r="E5" s="10" t="s">
        <v>3</v>
      </c>
      <c r="F5" s="10" t="s">
        <v>4</v>
      </c>
      <c r="G5" s="52"/>
      <c r="H5" s="10" t="s">
        <v>256</v>
      </c>
      <c r="I5" s="10" t="s">
        <v>5</v>
      </c>
      <c r="J5" s="52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6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7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7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100"/>
      <c r="H10" s="18">
        <f t="shared" si="1"/>
        <v>0</v>
      </c>
      <c r="I10" s="18">
        <f t="shared" si="1"/>
        <v>23.914999999999999</v>
      </c>
      <c r="J10" s="100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6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7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7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0.79723999999999995</v>
      </c>
      <c r="L13" s="15">
        <f t="shared" si="6"/>
        <v>0.88222999999999985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7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16.735000000000003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7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17.947879999999998</v>
      </c>
      <c r="L15" s="15">
        <f t="shared" si="6"/>
        <v>17.796090000000003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100"/>
      <c r="H16" s="18">
        <f t="shared" si="5"/>
        <v>38.982199999999992</v>
      </c>
      <c r="I16" s="18">
        <f t="shared" si="5"/>
        <v>47.038710000000009</v>
      </c>
      <c r="J16" s="100"/>
      <c r="K16" s="18">
        <f t="shared" si="6"/>
        <v>59.000119999999995</v>
      </c>
      <c r="L16" s="18">
        <f t="shared" si="6"/>
        <v>57.439820000000005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6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7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14.305250000000001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7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55.660549999999994</v>
      </c>
      <c r="L19" s="15">
        <f t="shared" si="10"/>
        <v>91.655749999999998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100"/>
      <c r="H20" s="18">
        <f t="shared" si="9"/>
        <v>46.692799999999998</v>
      </c>
      <c r="I20" s="18">
        <f t="shared" si="9"/>
        <v>59.055000000000007</v>
      </c>
      <c r="J20" s="100"/>
      <c r="K20" s="18">
        <f t="shared" si="10"/>
        <v>69.965800000000002</v>
      </c>
      <c r="L20" s="18">
        <f t="shared" si="10"/>
        <v>92.250749999999996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7" t="s">
        <v>21</v>
      </c>
      <c r="C21" s="14" t="s">
        <v>274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174.62999999999997</v>
      </c>
      <c r="L21" s="15">
        <f t="shared" si="10"/>
        <v>135.298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5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7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41.25</v>
      </c>
      <c r="L23" s="15">
        <f t="shared" si="14"/>
        <v>39.65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7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18.727000000000004</v>
      </c>
      <c r="L24" s="15">
        <f t="shared" si="14"/>
        <v>112.49548999999999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7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11.631500000000001</v>
      </c>
      <c r="L25" s="15">
        <f t="shared" si="14"/>
        <v>63.209999999999994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7" t="s">
        <v>26</v>
      </c>
      <c r="C26" s="14" t="s">
        <v>275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1098.5075000000002</v>
      </c>
      <c r="L26" s="15">
        <f t="shared" si="14"/>
        <v>1881.6971000000001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7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47.129999999999995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100"/>
      <c r="H28" s="18">
        <f t="shared" si="13"/>
        <v>821.74559999999997</v>
      </c>
      <c r="I28" s="18">
        <f t="shared" si="13"/>
        <v>1467.5939900000001</v>
      </c>
      <c r="J28" s="100"/>
      <c r="K28" s="18">
        <f t="shared" si="14"/>
        <v>1170.116</v>
      </c>
      <c r="L28" s="18">
        <f t="shared" si="14"/>
        <v>2144.1825900000003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100"/>
      <c r="H29" s="18">
        <f t="shared" si="13"/>
        <v>997.87309999999991</v>
      </c>
      <c r="I29" s="18">
        <f t="shared" si="13"/>
        <v>1671.0212000000001</v>
      </c>
      <c r="J29" s="100"/>
      <c r="K29" s="18">
        <f t="shared" si="14"/>
        <v>1473.7119200000002</v>
      </c>
      <c r="L29" s="18">
        <f t="shared" si="14"/>
        <v>2456.4861599999999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7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7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6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7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226.32031000000001</v>
      </c>
      <c r="L34" s="15">
        <f t="shared" si="19"/>
        <v>420.09519999999998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7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351.95998999999995</v>
      </c>
      <c r="L35" s="15">
        <f t="shared" si="19"/>
        <v>350.46762000000001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7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13.21003</v>
      </c>
      <c r="L36" s="15">
        <f t="shared" si="19"/>
        <v>53.876419999999996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7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115.8168</v>
      </c>
      <c r="L37" s="15">
        <f t="shared" si="19"/>
        <v>186.54353999999998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7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5.2382299999999997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100"/>
      <c r="H39" s="18">
        <f t="shared" si="18"/>
        <v>436.77343000000002</v>
      </c>
      <c r="I39" s="18">
        <f t="shared" si="18"/>
        <v>631.17052999999999</v>
      </c>
      <c r="J39" s="100"/>
      <c r="K39" s="18">
        <f t="shared" si="19"/>
        <v>707.30712999999992</v>
      </c>
      <c r="L39" s="18">
        <f t="shared" si="19"/>
        <v>1016.22101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7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0.37924999999999998</v>
      </c>
      <c r="L40" s="15">
        <f t="shared" si="19"/>
        <v>2.2085900000000001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7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9.9746000000000006</v>
      </c>
      <c r="L41" s="15">
        <f t="shared" si="19"/>
        <v>15.652799999999997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7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23.719750000000001</v>
      </c>
      <c r="L42" s="15">
        <f t="shared" si="19"/>
        <v>30.69416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7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7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139.99467999999999</v>
      </c>
      <c r="L44" s="15">
        <f t="shared" si="19"/>
        <v>209.96746000000002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7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7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30.899000000000001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100"/>
      <c r="H47" s="18">
        <f t="shared" si="18"/>
        <v>553.19579999999996</v>
      </c>
      <c r="I47" s="18">
        <f t="shared" si="18"/>
        <v>880.98433</v>
      </c>
      <c r="J47" s="100"/>
      <c r="K47" s="18">
        <f t="shared" si="19"/>
        <v>888.3982299999999</v>
      </c>
      <c r="L47" s="18">
        <f t="shared" si="19"/>
        <v>1345.24938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100"/>
      <c r="H48" s="18">
        <f t="shared" si="18"/>
        <v>444.67729999999995</v>
      </c>
      <c r="I48" s="18">
        <f t="shared" si="18"/>
        <v>790.03686999999991</v>
      </c>
      <c r="J48" s="100"/>
      <c r="K48" s="18">
        <f t="shared" si="19"/>
        <v>585.31369000000007</v>
      </c>
      <c r="L48" s="18">
        <f t="shared" si="19"/>
        <v>1111.23678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2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3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0.91886999999999996</v>
      </c>
      <c r="L51" s="15">
        <f t="shared" si="25"/>
        <v>2.0991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3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3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6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7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7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4.4422600000000001</v>
      </c>
      <c r="L56" s="15">
        <f t="shared" si="28"/>
        <v>6.87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7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1.4386999999999999</v>
      </c>
      <c r="L57" s="15">
        <f t="shared" si="28"/>
        <v>3.3850000000000002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7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6.0979999999999999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7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1.9999999999999998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7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0.37054000000000004</v>
      </c>
      <c r="L60" s="15">
        <f t="shared" si="28"/>
        <v>3.5110400000000004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7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2.8804300000000005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100"/>
      <c r="H62" s="18">
        <f t="shared" si="27"/>
        <v>9.0216600000000007</v>
      </c>
      <c r="I62" s="18">
        <f t="shared" si="27"/>
        <v>17.36251</v>
      </c>
      <c r="J62" s="100"/>
      <c r="K62" s="18">
        <f t="shared" si="28"/>
        <v>11.467930000000001</v>
      </c>
      <c r="L62" s="18">
        <f t="shared" si="28"/>
        <v>26.4526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184.76374000000001</v>
      </c>
      <c r="L63" s="15">
        <f t="shared" si="28"/>
        <v>466.92603999999994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2.28315</v>
      </c>
      <c r="L64" s="15">
        <f t="shared" si="28"/>
        <v>4.897689999999999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6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7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7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22.915250000000004</v>
      </c>
      <c r="L67" s="15">
        <f t="shared" si="32"/>
        <v>53.626950000000001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7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36.582490000000007</v>
      </c>
      <c r="L68" s="15">
        <f t="shared" si="32"/>
        <v>8.8458499999999987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100"/>
      <c r="H69" s="18">
        <f t="shared" si="31"/>
        <v>41.713940000000001</v>
      </c>
      <c r="I69" s="18">
        <f t="shared" si="31"/>
        <v>64.064599999999999</v>
      </c>
      <c r="J69" s="100"/>
      <c r="K69" s="18">
        <f t="shared" si="32"/>
        <v>61.790239999999997</v>
      </c>
      <c r="L69" s="18">
        <f t="shared" si="32"/>
        <v>63.422799999999995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0.98841000000000012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0.40476000000000001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8.3016599999999983</v>
      </c>
      <c r="L74" s="15">
        <f t="shared" si="32"/>
        <v>12.156920000000003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5.2155399999999998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83.043899999999994</v>
      </c>
      <c r="L76" s="15">
        <f t="shared" si="32"/>
        <v>153.2946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0.51800000000000002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2.2833300000000003</v>
      </c>
      <c r="L78" s="15">
        <f t="shared" si="32"/>
        <v>3.1680000000000001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100"/>
      <c r="H79" s="18">
        <f t="shared" si="31"/>
        <v>258.22136</v>
      </c>
      <c r="I79" s="18">
        <f t="shared" si="31"/>
        <v>559.2684099999999</v>
      </c>
      <c r="J79" s="100"/>
      <c r="K79" s="18">
        <f t="shared" si="32"/>
        <v>359.54359000000005</v>
      </c>
      <c r="L79" s="18">
        <f t="shared" si="32"/>
        <v>742.01390000000004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278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35.943250000000006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6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7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7" t="s">
        <v>83</v>
      </c>
      <c r="C83" s="14" t="s">
        <v>310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8.8288000000000011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7" t="s">
        <v>84</v>
      </c>
      <c r="C84" s="14" t="s">
        <v>310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100"/>
      <c r="H85" s="18">
        <f t="shared" si="36"/>
        <v>0</v>
      </c>
      <c r="I85" s="18">
        <f t="shared" si="36"/>
        <v>11.84548</v>
      </c>
      <c r="J85" s="100"/>
      <c r="K85" s="18">
        <f t="shared" si="37"/>
        <v>0</v>
      </c>
      <c r="L85" s="18">
        <f t="shared" si="37"/>
        <v>11.648780000000002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0.1</v>
      </c>
      <c r="L86" s="15">
        <f t="shared" si="37"/>
        <v>0.1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279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1.4667999999999999</v>
      </c>
      <c r="L87" s="15">
        <f t="shared" si="37"/>
        <v>61.428380000000004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2.6644299999999999</v>
      </c>
      <c r="L89" s="15">
        <f t="shared" si="37"/>
        <v>3.3930000000000002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6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7" t="s">
        <v>91</v>
      </c>
      <c r="C91" s="14" t="s">
        <v>90</v>
      </c>
      <c r="D91" s="125" t="s">
        <v>324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7" t="s">
        <v>92</v>
      </c>
      <c r="C92" s="14" t="s">
        <v>90</v>
      </c>
      <c r="D92" s="125" t="s">
        <v>324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7" t="s">
        <v>93</v>
      </c>
      <c r="C93" s="14" t="s">
        <v>90</v>
      </c>
      <c r="D93" s="125" t="s">
        <v>324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7" t="s">
        <v>94</v>
      </c>
      <c r="C94" s="14" t="s">
        <v>90</v>
      </c>
      <c r="D94" s="125" t="s">
        <v>324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3.4250899999999995</v>
      </c>
      <c r="L94" s="15">
        <f t="shared" si="41"/>
        <v>5.45953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7" t="s">
        <v>95</v>
      </c>
      <c r="C95" s="14" t="s">
        <v>90</v>
      </c>
      <c r="D95" s="125" t="s">
        <v>324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7" t="s">
        <v>96</v>
      </c>
      <c r="C96" s="14" t="s">
        <v>90</v>
      </c>
      <c r="D96" s="125" t="s">
        <v>324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7" t="s">
        <v>97</v>
      </c>
      <c r="C97" s="14" t="s">
        <v>90</v>
      </c>
      <c r="D97" s="125" t="s">
        <v>324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1.7061100000000002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100"/>
      <c r="H98" s="18">
        <f t="shared" si="40"/>
        <v>22.295579999999998</v>
      </c>
      <c r="I98" s="18">
        <f t="shared" si="40"/>
        <v>20.685420000000001</v>
      </c>
      <c r="J98" s="100"/>
      <c r="K98" s="18">
        <f t="shared" si="41"/>
        <v>22.197919999999996</v>
      </c>
      <c r="L98" s="18">
        <f t="shared" si="41"/>
        <v>28.23873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5.8363100000000001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100"/>
      <c r="H100" s="18">
        <f t="shared" si="40"/>
        <v>30.300129999999999</v>
      </c>
      <c r="I100" s="18">
        <f t="shared" si="40"/>
        <v>89.654780000000017</v>
      </c>
      <c r="J100" s="100"/>
      <c r="K100" s="18">
        <f t="shared" si="41"/>
        <v>32.409459999999996</v>
      </c>
      <c r="L100" s="18">
        <f t="shared" si="41"/>
        <v>109.85646000000001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100"/>
      <c r="H101" s="18">
        <f t="shared" si="40"/>
        <v>333.98761000000002</v>
      </c>
      <c r="I101" s="18">
        <f t="shared" si="40"/>
        <v>712.06620999999996</v>
      </c>
      <c r="J101" s="100"/>
      <c r="K101" s="18">
        <f t="shared" si="41"/>
        <v>427.8963</v>
      </c>
      <c r="L101" s="18">
        <f t="shared" si="41"/>
        <v>960.21430000000009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100"/>
      <c r="H102" s="18">
        <f t="shared" si="40"/>
        <v>110.68968999999996</v>
      </c>
      <c r="I102" s="18">
        <f t="shared" si="40"/>
        <v>77.970660000000009</v>
      </c>
      <c r="J102" s="100"/>
      <c r="K102" s="18">
        <f t="shared" si="41"/>
        <v>157.41738999999998</v>
      </c>
      <c r="L102" s="18">
        <f t="shared" si="41"/>
        <v>151.02248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8.5259999999999989E-2</v>
      </c>
      <c r="L105" s="15">
        <f t="shared" si="48"/>
        <v>0.27642000000000005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100"/>
      <c r="H106" s="18">
        <f t="shared" si="47"/>
        <v>0.11732999999999999</v>
      </c>
      <c r="I106" s="18">
        <f t="shared" si="47"/>
        <v>0.15586999999999998</v>
      </c>
      <c r="J106" s="100"/>
      <c r="K106" s="18">
        <f t="shared" si="48"/>
        <v>0.11261999999999998</v>
      </c>
      <c r="L106" s="18">
        <f t="shared" si="48"/>
        <v>0.27642000000000005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296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5" t="s">
        <v>325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297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0.81467999999999996</v>
      </c>
      <c r="L110" s="15">
        <f t="shared" si="52"/>
        <v>1.49847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100"/>
      <c r="H112" s="18">
        <f t="shared" si="51"/>
        <v>6.9710399999999995</v>
      </c>
      <c r="I112" s="18">
        <f t="shared" si="51"/>
        <v>1.9830299999999998</v>
      </c>
      <c r="J112" s="100"/>
      <c r="K112" s="18">
        <f t="shared" si="52"/>
        <v>12.160680000000001</v>
      </c>
      <c r="L112" s="18">
        <f t="shared" si="52"/>
        <v>16.13747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100"/>
      <c r="H113" s="18">
        <f t="shared" si="51"/>
        <v>-6.8537099999999995</v>
      </c>
      <c r="I113" s="18">
        <f t="shared" si="51"/>
        <v>-1.8271600000000001</v>
      </c>
      <c r="J113" s="100"/>
      <c r="K113" s="18">
        <f t="shared" si="52"/>
        <v>-12.048060000000001</v>
      </c>
      <c r="L113" s="18">
        <f t="shared" si="52"/>
        <v>-15.861050000000001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100"/>
      <c r="H114" s="21">
        <f t="shared" si="51"/>
        <v>103.83597999999995</v>
      </c>
      <c r="I114" s="21">
        <f t="shared" si="51"/>
        <v>76.143500000000003</v>
      </c>
      <c r="J114" s="100"/>
      <c r="K114" s="21">
        <f t="shared" si="52"/>
        <v>145.36932999999999</v>
      </c>
      <c r="L114" s="21">
        <f t="shared" si="52"/>
        <v>135.16143000000002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4">
        <v>45291</v>
      </c>
      <c r="F116" s="36">
        <f>E117</f>
        <v>45657</v>
      </c>
      <c r="G116" s="36"/>
      <c r="H116" s="34">
        <v>45657</v>
      </c>
      <c r="I116" s="34">
        <v>46022</v>
      </c>
      <c r="J116" s="36"/>
      <c r="K116" s="34">
        <v>45473</v>
      </c>
      <c r="L116" s="36">
        <f>K117</f>
        <v>45838</v>
      </c>
    </row>
    <row r="117" spans="2:44" x14ac:dyDescent="0.2">
      <c r="E117" s="35">
        <f>EOMONTH(E116,12)</f>
        <v>45657</v>
      </c>
      <c r="F117" s="35">
        <f>EOMONTH(F116,12)</f>
        <v>46022</v>
      </c>
      <c r="G117" s="35"/>
      <c r="H117" s="35">
        <v>45869</v>
      </c>
      <c r="I117" s="35">
        <f>EOMONTH(I116,12)</f>
        <v>46387</v>
      </c>
      <c r="J117" s="35"/>
      <c r="K117" s="35">
        <f>EOMONTH(K116,12)</f>
        <v>45838</v>
      </c>
      <c r="L117" s="35">
        <f>EOMONTH(L116,12)</f>
        <v>46203</v>
      </c>
    </row>
    <row r="120" spans="2:44" x14ac:dyDescent="0.2">
      <c r="B120" s="22" t="s">
        <v>2</v>
      </c>
      <c r="C120" s="22"/>
      <c r="D120" s="22"/>
      <c r="E120" s="22" t="s">
        <v>3</v>
      </c>
      <c r="F120" s="22"/>
      <c r="G120" s="101"/>
      <c r="H120" s="22"/>
      <c r="I120" s="22"/>
      <c r="J120" s="101"/>
      <c r="K120" s="22"/>
      <c r="L120" s="22" t="s">
        <v>4</v>
      </c>
      <c r="N120" s="22" t="s">
        <v>115</v>
      </c>
      <c r="O120" s="22"/>
      <c r="P120" s="22"/>
      <c r="Q120" s="131" t="s">
        <v>116</v>
      </c>
    </row>
    <row r="121" spans="2:44" x14ac:dyDescent="0.2">
      <c r="B121" s="22"/>
      <c r="C121" s="22"/>
      <c r="D121" s="22"/>
      <c r="E121" s="23" t="s">
        <v>117</v>
      </c>
      <c r="F121" s="23" t="s">
        <v>118</v>
      </c>
      <c r="G121" s="102"/>
      <c r="H121" s="23" t="s">
        <v>118</v>
      </c>
      <c r="I121" s="23" t="s">
        <v>119</v>
      </c>
      <c r="J121" s="102"/>
      <c r="K121" s="23" t="s">
        <v>119</v>
      </c>
      <c r="L121" s="23" t="s">
        <v>117</v>
      </c>
      <c r="N121" s="23" t="s">
        <v>117</v>
      </c>
      <c r="O121" s="23" t="s">
        <v>118</v>
      </c>
      <c r="P121" s="23" t="s">
        <v>119</v>
      </c>
      <c r="Q121" s="131"/>
    </row>
    <row r="122" spans="2:44" x14ac:dyDescent="0.2">
      <c r="B122" s="14" t="s">
        <v>29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24"/>
      <c r="H122" s="24">
        <f>'Raw - 2025 PL'!N29</f>
        <v>1879383.13</v>
      </c>
      <c r="I122" s="24">
        <f t="shared" ref="I122:I130" si="56">L122-H122</f>
        <v>0</v>
      </c>
      <c r="J122" s="24"/>
      <c r="K122" s="24">
        <f t="shared" ref="K122:K130" si="57">E122-F122</f>
        <v>0</v>
      </c>
      <c r="L122" s="24">
        <f>F29*1000</f>
        <v>1879383.13</v>
      </c>
      <c r="N122" s="24">
        <f>I29*1000</f>
        <v>1671021.2000000002</v>
      </c>
      <c r="O122" s="24">
        <f>'Raw - 2026 PL'!I27</f>
        <v>1671021.2</v>
      </c>
      <c r="P122" s="24">
        <f t="shared" ref="P122:P130" si="58">N122-O122</f>
        <v>0</v>
      </c>
      <c r="Q122" s="17" t="str">
        <f t="shared" ref="Q122:Q130" si="59">IF(AND(ABS(K122)&lt;0.05,ABS(I122)&lt;0.05,ABS(P122)&lt;0.05),"TIES OUT","CHECK")</f>
        <v>TIES OUT</v>
      </c>
    </row>
    <row r="123" spans="2:44" x14ac:dyDescent="0.2">
      <c r="B123" s="14" t="s">
        <v>47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24"/>
      <c r="H123" s="24">
        <f>'Raw - 2025 PL'!N46</f>
        <v>1066892.8500000001</v>
      </c>
      <c r="I123" s="24">
        <f t="shared" si="56"/>
        <v>0</v>
      </c>
      <c r="J123" s="24"/>
      <c r="K123" s="24">
        <f t="shared" si="57"/>
        <v>0</v>
      </c>
      <c r="L123" s="24">
        <f>F47*1000</f>
        <v>1066892.8499999999</v>
      </c>
      <c r="N123" s="24">
        <f>I47*1000</f>
        <v>880984.33</v>
      </c>
      <c r="O123" s="24">
        <f>'Raw - 2026 PL'!I44</f>
        <v>880984.33</v>
      </c>
      <c r="P123" s="24">
        <f t="shared" si="58"/>
        <v>0</v>
      </c>
      <c r="Q123" s="17" t="str">
        <f t="shared" si="59"/>
        <v>TIES OUT</v>
      </c>
    </row>
    <row r="124" spans="2:44" x14ac:dyDescent="0.2">
      <c r="B124" s="14" t="s">
        <v>48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24"/>
      <c r="H124" s="24">
        <f>'Raw - 2025 PL'!N47</f>
        <v>812490.28</v>
      </c>
      <c r="I124" s="24">
        <f t="shared" si="56"/>
        <v>0</v>
      </c>
      <c r="J124" s="24"/>
      <c r="K124" s="24">
        <f t="shared" si="57"/>
        <v>0</v>
      </c>
      <c r="L124" s="24">
        <f>F48*1000</f>
        <v>812490.28</v>
      </c>
      <c r="N124" s="24">
        <f>I48*1000</f>
        <v>790036.86999999988</v>
      </c>
      <c r="O124" s="24">
        <f>'Raw - 2026 PL'!I45</f>
        <v>790036.87</v>
      </c>
      <c r="P124" s="24">
        <f t="shared" si="58"/>
        <v>0</v>
      </c>
      <c r="Q124" s="17" t="str">
        <f t="shared" si="59"/>
        <v>TIES OUT</v>
      </c>
    </row>
    <row r="125" spans="2:44" x14ac:dyDescent="0.2">
      <c r="B125" s="14" t="s">
        <v>101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24"/>
      <c r="H125" s="24">
        <f>'Raw - 2025 PL'!N95</f>
        <v>660943.72</v>
      </c>
      <c r="I125" s="24">
        <f t="shared" si="56"/>
        <v>0</v>
      </c>
      <c r="J125" s="24"/>
      <c r="K125" s="24">
        <f t="shared" si="57"/>
        <v>0</v>
      </c>
      <c r="L125" s="24">
        <f>F101*1000</f>
        <v>660943.72</v>
      </c>
      <c r="N125" s="24">
        <f>I101*1000</f>
        <v>712066.21</v>
      </c>
      <c r="O125" s="24">
        <f>'Raw - 2026 PL'!I93</f>
        <v>712066.21</v>
      </c>
      <c r="P125" s="24">
        <f t="shared" si="58"/>
        <v>0</v>
      </c>
      <c r="Q125" s="17" t="str">
        <f t="shared" si="59"/>
        <v>TIES OUT</v>
      </c>
    </row>
    <row r="126" spans="2:44" x14ac:dyDescent="0.2">
      <c r="B126" s="14" t="s">
        <v>102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24"/>
      <c r="H126" s="24">
        <f>'Raw - 2025 PL'!N96</f>
        <v>151546.56</v>
      </c>
      <c r="I126" s="24">
        <f t="shared" si="56"/>
        <v>0</v>
      </c>
      <c r="J126" s="24"/>
      <c r="K126" s="24">
        <f t="shared" si="57"/>
        <v>0</v>
      </c>
      <c r="L126" s="24">
        <f>F102*1000</f>
        <v>151546.56</v>
      </c>
      <c r="N126" s="24">
        <f>I102*1000</f>
        <v>77970.66</v>
      </c>
      <c r="O126" s="24">
        <f>'Raw - 2026 PL'!I94</f>
        <v>77970.66</v>
      </c>
      <c r="P126" s="24">
        <f t="shared" si="58"/>
        <v>0</v>
      </c>
      <c r="Q126" s="17" t="str">
        <f t="shared" si="59"/>
        <v>TIES OUT</v>
      </c>
    </row>
    <row r="127" spans="2:44" x14ac:dyDescent="0.2">
      <c r="B127" s="14" t="s">
        <v>106</v>
      </c>
      <c r="C127" s="14"/>
      <c r="D127" s="14"/>
      <c r="E127" s="24">
        <f>E106*1000</f>
        <v>27.36</v>
      </c>
      <c r="F127" s="24">
        <f>'Raw - 2024 PL'!N75</f>
        <v>27.36</v>
      </c>
      <c r="G127" s="24"/>
      <c r="H127" s="24">
        <f>'Raw - 2025 PL'!N99</f>
        <v>217.22</v>
      </c>
      <c r="I127" s="24">
        <f t="shared" si="56"/>
        <v>0</v>
      </c>
      <c r="J127" s="24"/>
      <c r="K127" s="24">
        <f t="shared" si="57"/>
        <v>0</v>
      </c>
      <c r="L127" s="24">
        <f>F106*1000</f>
        <v>217.22</v>
      </c>
      <c r="N127" s="24">
        <f>I106*1000</f>
        <v>155.86999999999998</v>
      </c>
      <c r="O127" s="24">
        <f>'Raw - 2026 PL'!I97</f>
        <v>155.87</v>
      </c>
      <c r="P127" s="24">
        <f t="shared" si="58"/>
        <v>0</v>
      </c>
      <c r="Q127" s="17" t="str">
        <f t="shared" si="59"/>
        <v>TIES OUT</v>
      </c>
    </row>
    <row r="128" spans="2:44" x14ac:dyDescent="0.2">
      <c r="B128" s="14" t="s">
        <v>112</v>
      </c>
      <c r="C128" s="14"/>
      <c r="D128" s="14"/>
      <c r="E128" s="24">
        <f>E112*1000</f>
        <v>14249.64</v>
      </c>
      <c r="F128" s="24">
        <f>'Raw - 2024 PL'!N80</f>
        <v>14249.64</v>
      </c>
      <c r="G128" s="24"/>
      <c r="H128" s="24">
        <f>'Raw - 2025 PL'!N105</f>
        <v>20783.48</v>
      </c>
      <c r="I128" s="24">
        <f t="shared" si="56"/>
        <v>0</v>
      </c>
      <c r="J128" s="24"/>
      <c r="K128" s="24">
        <f t="shared" si="57"/>
        <v>0</v>
      </c>
      <c r="L128" s="24">
        <f>F112*1000</f>
        <v>20783.479999999996</v>
      </c>
      <c r="N128" s="24">
        <f>I112*1000</f>
        <v>1983.0299999999997</v>
      </c>
      <c r="O128" s="24">
        <f>'Raw - 2026 PL'!I101</f>
        <v>1983.03</v>
      </c>
      <c r="P128" s="24">
        <f t="shared" si="58"/>
        <v>0</v>
      </c>
      <c r="Q128" s="17" t="str">
        <f t="shared" si="59"/>
        <v>TIES OUT</v>
      </c>
    </row>
    <row r="129" spans="2:17" x14ac:dyDescent="0.2">
      <c r="B129" s="14" t="s">
        <v>113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24"/>
      <c r="H129" s="24">
        <f>'Raw - 2025 PL'!N106</f>
        <v>-20566.259999999998</v>
      </c>
      <c r="I129" s="24">
        <f t="shared" si="56"/>
        <v>0</v>
      </c>
      <c r="J129" s="24"/>
      <c r="K129" s="24">
        <f t="shared" si="57"/>
        <v>0</v>
      </c>
      <c r="L129" s="24">
        <f>F113*1000</f>
        <v>-20566.259999999998</v>
      </c>
      <c r="N129" s="24">
        <f>I113*1000</f>
        <v>-1827.16</v>
      </c>
      <c r="O129" s="24">
        <f>'Raw - 2026 PL'!I102</f>
        <v>-1827.16</v>
      </c>
      <c r="P129" s="24">
        <f t="shared" si="58"/>
        <v>0</v>
      </c>
      <c r="Q129" s="17" t="str">
        <f t="shared" si="59"/>
        <v>TIES OUT</v>
      </c>
    </row>
    <row r="130" spans="2:17" x14ac:dyDescent="0.2">
      <c r="B130" s="14" t="s">
        <v>114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24"/>
      <c r="H130" s="24">
        <f>'Raw - 2025 PL'!N107</f>
        <v>130980.3</v>
      </c>
      <c r="I130" s="24">
        <f t="shared" si="56"/>
        <v>0</v>
      </c>
      <c r="J130" s="24"/>
      <c r="K130" s="24">
        <f t="shared" si="57"/>
        <v>0</v>
      </c>
      <c r="L130" s="24">
        <f>F114*1000</f>
        <v>130980.29999999997</v>
      </c>
      <c r="N130" s="24">
        <f>I114*1000</f>
        <v>76143.5</v>
      </c>
      <c r="O130" s="24">
        <f>'Raw - 2026 PL'!I103</f>
        <v>76143.5</v>
      </c>
      <c r="P130" s="24">
        <f t="shared" si="58"/>
        <v>0</v>
      </c>
      <c r="Q130" s="17" t="str">
        <f t="shared" si="59"/>
        <v>TIES OUT</v>
      </c>
    </row>
  </sheetData>
  <mergeCells count="1">
    <mergeCell ref="Q120:Q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135</v>
      </c>
      <c r="N7" s="27">
        <v>0</v>
      </c>
    </row>
    <row r="8" spans="1:14" x14ac:dyDescent="0.25">
      <c r="A8" s="28" t="s">
        <v>136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137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138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139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140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141</v>
      </c>
      <c r="N13" s="27">
        <v>0</v>
      </c>
    </row>
    <row r="14" spans="1:14" x14ac:dyDescent="0.25">
      <c r="A14" s="28" t="s">
        <v>142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143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144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145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146</v>
      </c>
      <c r="N18" s="27">
        <v>0</v>
      </c>
    </row>
    <row r="19" spans="1:14" x14ac:dyDescent="0.25">
      <c r="A19" s="28" t="s">
        <v>147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148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149</v>
      </c>
      <c r="M21" s="27">
        <v>60</v>
      </c>
      <c r="N21" s="27">
        <v>60</v>
      </c>
    </row>
    <row r="22" spans="1:14" x14ac:dyDescent="0.25">
      <c r="A22" s="28" t="s">
        <v>150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151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29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30</v>
      </c>
    </row>
    <row r="26" spans="1:14" x14ac:dyDescent="0.25">
      <c r="A26" s="26" t="s">
        <v>152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153</v>
      </c>
      <c r="N27" s="27">
        <v>0</v>
      </c>
    </row>
    <row r="28" spans="1:14" x14ac:dyDescent="0.25">
      <c r="A28" s="28" t="s">
        <v>154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155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156</v>
      </c>
      <c r="M30" s="27">
        <v>1113.3499999999999</v>
      </c>
      <c r="N30" s="27">
        <v>1113.3499999999999</v>
      </c>
    </row>
    <row r="31" spans="1:14" x14ac:dyDescent="0.25">
      <c r="A31" s="28" t="s">
        <v>157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158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159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160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161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47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48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49</v>
      </c>
    </row>
    <row r="39" spans="1:14" x14ac:dyDescent="0.25">
      <c r="A39" s="26" t="s">
        <v>162</v>
      </c>
      <c r="N39" s="27">
        <v>0</v>
      </c>
    </row>
    <row r="40" spans="1:14" x14ac:dyDescent="0.25">
      <c r="A40" s="28" t="s">
        <v>163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164</v>
      </c>
      <c r="N41" s="27">
        <v>0</v>
      </c>
    </row>
    <row r="42" spans="1:14" x14ac:dyDescent="0.25">
      <c r="A42" s="31" t="s">
        <v>165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166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167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168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169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170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171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172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173</v>
      </c>
      <c r="N50" s="27">
        <v>0</v>
      </c>
    </row>
    <row r="51" spans="1:14" x14ac:dyDescent="0.25">
      <c r="A51" s="31" t="s">
        <v>174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175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176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177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178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179</v>
      </c>
      <c r="F56" s="27">
        <v>64.989999999999995</v>
      </c>
      <c r="N56" s="27">
        <v>64.989999999999995</v>
      </c>
    </row>
    <row r="57" spans="1:14" x14ac:dyDescent="0.25">
      <c r="A57" s="28" t="s">
        <v>180</v>
      </c>
      <c r="E57" s="27">
        <v>1750</v>
      </c>
      <c r="N57" s="27">
        <v>1750</v>
      </c>
    </row>
    <row r="58" spans="1:14" x14ac:dyDescent="0.25">
      <c r="A58" s="28" t="s">
        <v>181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182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183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184</v>
      </c>
      <c r="D61" s="27">
        <v>102</v>
      </c>
      <c r="N61" s="27">
        <v>102</v>
      </c>
    </row>
    <row r="62" spans="1:14" x14ac:dyDescent="0.25">
      <c r="A62" s="28" t="s">
        <v>185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186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187</v>
      </c>
      <c r="N64" s="27">
        <v>0</v>
      </c>
    </row>
    <row r="65" spans="1:14" x14ac:dyDescent="0.25">
      <c r="A65" s="28" t="s">
        <v>188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189</v>
      </c>
      <c r="J66" s="27">
        <v>100</v>
      </c>
      <c r="N66" s="27">
        <v>100</v>
      </c>
    </row>
    <row r="67" spans="1:14" x14ac:dyDescent="0.25">
      <c r="A67" s="28" t="s">
        <v>190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191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192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193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101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102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103</v>
      </c>
    </row>
    <row r="74" spans="1:14" x14ac:dyDescent="0.25">
      <c r="A74" s="26" t="s">
        <v>194</v>
      </c>
      <c r="M74" s="27">
        <v>27.36</v>
      </c>
      <c r="N74" s="27">
        <v>27.36</v>
      </c>
    </row>
    <row r="75" spans="1:14" x14ac:dyDescent="0.25">
      <c r="A75" s="17" t="s">
        <v>106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107</v>
      </c>
    </row>
    <row r="77" spans="1:14" x14ac:dyDescent="0.25">
      <c r="A77" s="26" t="s">
        <v>195</v>
      </c>
      <c r="M77" s="27">
        <v>6673</v>
      </c>
      <c r="N77" s="27">
        <v>6673</v>
      </c>
    </row>
    <row r="78" spans="1:14" x14ac:dyDescent="0.25">
      <c r="A78" s="26" t="s">
        <v>196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197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112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113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114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212</v>
      </c>
      <c r="N7" s="27">
        <v>0</v>
      </c>
    </row>
    <row r="8" spans="1:14" x14ac:dyDescent="0.25">
      <c r="A8" s="28" t="s">
        <v>213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214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135</v>
      </c>
      <c r="N11" s="27">
        <v>0</v>
      </c>
    </row>
    <row r="12" spans="1:14" x14ac:dyDescent="0.25">
      <c r="A12" s="28" t="s">
        <v>136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137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138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139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140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141</v>
      </c>
      <c r="N17" s="27">
        <v>0</v>
      </c>
    </row>
    <row r="18" spans="1:14" x14ac:dyDescent="0.25">
      <c r="A18" s="28" t="s">
        <v>142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143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144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145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146</v>
      </c>
      <c r="N22" s="27">
        <v>0</v>
      </c>
    </row>
    <row r="23" spans="1:14" x14ac:dyDescent="0.25">
      <c r="A23" s="28" t="s">
        <v>147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148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149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150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216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151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29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30</v>
      </c>
    </row>
    <row r="31" spans="1:14" x14ac:dyDescent="0.25">
      <c r="A31" s="26" t="s">
        <v>152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217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153</v>
      </c>
      <c r="N33" s="27">
        <v>0</v>
      </c>
    </row>
    <row r="34" spans="1:14" x14ac:dyDescent="0.25">
      <c r="A34" s="28" t="s">
        <v>154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155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156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157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158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218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159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160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219</v>
      </c>
      <c r="D42" s="27">
        <v>4640</v>
      </c>
      <c r="N42" s="27">
        <v>4640</v>
      </c>
    </row>
    <row r="43" spans="1:14" x14ac:dyDescent="0.25">
      <c r="A43" s="26" t="s">
        <v>161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220</v>
      </c>
      <c r="J44" s="27">
        <v>396.95</v>
      </c>
      <c r="N44" s="27">
        <v>396.95</v>
      </c>
    </row>
    <row r="45" spans="1:14" x14ac:dyDescent="0.25">
      <c r="A45" s="26" t="s">
        <v>221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47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48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49</v>
      </c>
    </row>
    <row r="49" spans="1:14" x14ac:dyDescent="0.25">
      <c r="A49" s="26" t="s">
        <v>162</v>
      </c>
      <c r="N49" s="27">
        <v>0</v>
      </c>
    </row>
    <row r="50" spans="1:14" x14ac:dyDescent="0.25">
      <c r="A50" s="28" t="s">
        <v>163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222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164</v>
      </c>
      <c r="N52" s="27">
        <v>0</v>
      </c>
    </row>
    <row r="53" spans="1:14" x14ac:dyDescent="0.25">
      <c r="A53" s="31" t="s">
        <v>223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165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166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224</v>
      </c>
      <c r="M56" s="27">
        <v>2519</v>
      </c>
      <c r="N56" s="27">
        <v>2519</v>
      </c>
    </row>
    <row r="57" spans="1:14" x14ac:dyDescent="0.25">
      <c r="A57" s="31" t="s">
        <v>167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168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169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170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171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172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173</v>
      </c>
      <c r="N63" s="27">
        <v>0</v>
      </c>
    </row>
    <row r="64" spans="1:14" x14ac:dyDescent="0.25">
      <c r="A64" s="31" t="s">
        <v>174</v>
      </c>
      <c r="E64" s="27">
        <v>1400</v>
      </c>
      <c r="N64" s="27">
        <v>1400</v>
      </c>
    </row>
    <row r="65" spans="1:14" x14ac:dyDescent="0.25">
      <c r="A65" s="31" t="s">
        <v>175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176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177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178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181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182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183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184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185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186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225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187</v>
      </c>
      <c r="N76" s="27">
        <v>0</v>
      </c>
    </row>
    <row r="77" spans="1:14" x14ac:dyDescent="0.25">
      <c r="A77" s="28" t="s">
        <v>188</v>
      </c>
      <c r="N77" s="27">
        <v>0</v>
      </c>
    </row>
    <row r="78" spans="1:14" x14ac:dyDescent="0.25">
      <c r="A78" s="31" t="s">
        <v>226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227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228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189</v>
      </c>
      <c r="H81" s="27">
        <v>100</v>
      </c>
      <c r="N81" s="27">
        <v>100</v>
      </c>
    </row>
    <row r="82" spans="1:14" x14ac:dyDescent="0.25">
      <c r="A82" s="28" t="s">
        <v>229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190</v>
      </c>
      <c r="B83" s="27">
        <v>144</v>
      </c>
      <c r="N83" s="27">
        <v>144</v>
      </c>
    </row>
    <row r="84" spans="1:14" x14ac:dyDescent="0.25">
      <c r="A84" s="28" t="s">
        <v>191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230</v>
      </c>
      <c r="N85" s="27">
        <v>0</v>
      </c>
    </row>
    <row r="86" spans="1:14" x14ac:dyDescent="0.25">
      <c r="A86" s="31" t="s">
        <v>231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232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233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234</v>
      </c>
      <c r="F89" s="27">
        <v>715.49</v>
      </c>
      <c r="N89" s="27">
        <v>715.49</v>
      </c>
    </row>
    <row r="90" spans="1:14" x14ac:dyDescent="0.25">
      <c r="A90" s="31" t="s">
        <v>235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236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237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192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193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101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102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103</v>
      </c>
    </row>
    <row r="98" spans="1:14" x14ac:dyDescent="0.25">
      <c r="A98" s="26" t="s">
        <v>238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106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107</v>
      </c>
    </row>
    <row r="101" spans="1:14" x14ac:dyDescent="0.25">
      <c r="A101" s="26" t="s">
        <v>195</v>
      </c>
      <c r="M101" s="27">
        <v>6673</v>
      </c>
      <c r="N101" s="27">
        <v>6673</v>
      </c>
    </row>
    <row r="102" spans="1:14" x14ac:dyDescent="0.25">
      <c r="A102" s="26" t="s">
        <v>239</v>
      </c>
      <c r="M102" s="27">
        <v>2704</v>
      </c>
      <c r="N102" s="27">
        <v>2704</v>
      </c>
    </row>
    <row r="103" spans="1:14" x14ac:dyDescent="0.25">
      <c r="A103" s="26" t="s">
        <v>196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197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112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113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114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6" t="s">
        <v>212</v>
      </c>
      <c r="I7" s="27">
        <v>0</v>
      </c>
    </row>
    <row r="8" spans="1:9" x14ac:dyDescent="0.25">
      <c r="A8" s="28" t="s">
        <v>213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214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215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135</v>
      </c>
      <c r="I11" s="27">
        <v>0</v>
      </c>
    </row>
    <row r="12" spans="1:9" x14ac:dyDescent="0.25">
      <c r="A12" s="28" t="s">
        <v>136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137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139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140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141</v>
      </c>
      <c r="I16" s="27">
        <v>0</v>
      </c>
    </row>
    <row r="17" spans="1:9" x14ac:dyDescent="0.25">
      <c r="A17" s="28" t="s">
        <v>143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144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145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146</v>
      </c>
      <c r="I20" s="27">
        <v>0</v>
      </c>
    </row>
    <row r="21" spans="1:9" x14ac:dyDescent="0.25">
      <c r="A21" s="28" t="s">
        <v>147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148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149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150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216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151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29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30</v>
      </c>
    </row>
    <row r="29" spans="1:9" x14ac:dyDescent="0.25">
      <c r="A29" s="26" t="s">
        <v>152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217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153</v>
      </c>
      <c r="I31" s="27">
        <v>0</v>
      </c>
    </row>
    <row r="32" spans="1:9" x14ac:dyDescent="0.25">
      <c r="A32" s="28" t="s">
        <v>154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155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156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157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249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158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218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159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160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161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220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221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47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48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49</v>
      </c>
    </row>
    <row r="47" spans="1:9" x14ac:dyDescent="0.25">
      <c r="A47" s="26" t="s">
        <v>162</v>
      </c>
      <c r="I47" s="27">
        <v>0</v>
      </c>
    </row>
    <row r="48" spans="1:9" x14ac:dyDescent="0.25">
      <c r="A48" s="28" t="s">
        <v>163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250</v>
      </c>
      <c r="E49" s="27">
        <v>19.84</v>
      </c>
      <c r="I49" s="27">
        <v>19.84</v>
      </c>
    </row>
    <row r="50" spans="1:9" x14ac:dyDescent="0.25">
      <c r="A50" s="28" t="s">
        <v>222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164</v>
      </c>
      <c r="I51" s="27">
        <v>0</v>
      </c>
    </row>
    <row r="52" spans="1:9" x14ac:dyDescent="0.25">
      <c r="A52" s="31" t="s">
        <v>223</v>
      </c>
      <c r="B52" s="27">
        <v>16.2</v>
      </c>
      <c r="I52" s="27">
        <v>16.2</v>
      </c>
    </row>
    <row r="53" spans="1:9" x14ac:dyDescent="0.25">
      <c r="A53" s="31" t="s">
        <v>165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166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224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167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168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169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170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171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172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173</v>
      </c>
      <c r="I62" s="27">
        <v>0</v>
      </c>
    </row>
    <row r="63" spans="1:9" x14ac:dyDescent="0.25">
      <c r="A63" s="31" t="s">
        <v>174</v>
      </c>
      <c r="D63" s="27">
        <v>950</v>
      </c>
      <c r="I63" s="27">
        <v>950</v>
      </c>
    </row>
    <row r="64" spans="1:9" x14ac:dyDescent="0.25">
      <c r="A64" s="31" t="s">
        <v>175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176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177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178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181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182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251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183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184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185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186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225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187</v>
      </c>
      <c r="I76" s="27">
        <v>0</v>
      </c>
    </row>
    <row r="77" spans="1:9" x14ac:dyDescent="0.25">
      <c r="A77" s="28" t="s">
        <v>188</v>
      </c>
      <c r="I77" s="27">
        <v>0</v>
      </c>
    </row>
    <row r="78" spans="1:9" x14ac:dyDescent="0.25">
      <c r="A78" s="31" t="s">
        <v>226</v>
      </c>
      <c r="H78" s="27">
        <v>11695</v>
      </c>
      <c r="I78" s="27">
        <v>11695</v>
      </c>
    </row>
    <row r="79" spans="1:9" x14ac:dyDescent="0.25">
      <c r="A79" s="31" t="s">
        <v>227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228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229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190</v>
      </c>
      <c r="B82" s="27">
        <v>144</v>
      </c>
      <c r="I82" s="27">
        <v>144</v>
      </c>
    </row>
    <row r="83" spans="1:9" x14ac:dyDescent="0.25">
      <c r="A83" s="28" t="s">
        <v>191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230</v>
      </c>
      <c r="I84" s="27">
        <v>0</v>
      </c>
    </row>
    <row r="85" spans="1:9" x14ac:dyDescent="0.25">
      <c r="A85" s="31" t="s">
        <v>231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232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252</v>
      </c>
      <c r="F87" s="27">
        <v>1597.03</v>
      </c>
      <c r="I87" s="27">
        <v>1597.03</v>
      </c>
    </row>
    <row r="88" spans="1:9" x14ac:dyDescent="0.25">
      <c r="A88" s="31" t="s">
        <v>233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236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237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192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193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101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102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103</v>
      </c>
    </row>
    <row r="96" spans="1:9" x14ac:dyDescent="0.25">
      <c r="A96" s="26" t="s">
        <v>238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106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107</v>
      </c>
    </row>
    <row r="99" spans="1:9" x14ac:dyDescent="0.25">
      <c r="A99" s="26" t="s">
        <v>196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197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112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113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114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</vt:lpstr>
      <vt:lpstr>P&amp;L Overview</vt:lpstr>
      <vt:lpstr>P&amp;L Forecast</vt:lpstr>
      <vt:lpstr>Revenue Analysis</vt:lpstr>
      <vt:lpstr>Revenue Charts</vt:lpstr>
      <vt:lpstr>Raw Data --&gt;</vt:lpstr>
      <vt:lpstr>Combined P&amp;L</vt:lpstr>
      <vt:lpstr>Raw - 2024 PL</vt:lpstr>
      <vt:lpstr>Raw - 2025 PL</vt:lpstr>
      <vt:lpstr>Raw - 2026 PL</vt:lpstr>
      <vt:lpstr>Cover!Print_Area</vt:lpstr>
      <vt:lpstr>'Revenue Analysis'!Print_Area</vt:lpstr>
      <vt:lpstr>'Combined 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2026-09-03T16:15:28Z</cp:lastPrinted>
  <dcterms:created xsi:type="dcterms:W3CDTF">2015-06-05T18:17:20Z</dcterms:created>
  <dcterms:modified xsi:type="dcterms:W3CDTF">2026-09-03T16:54:01Z</dcterms:modified>
</cp:coreProperties>
</file>