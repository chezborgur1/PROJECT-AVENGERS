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213C58FC-38A7-49E2-9067-2F4FCB649F7E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Cover" sheetId="1" r:id="rId1"/>
    <sheet name="P&amp;L Overview" sheetId="8" r:id="rId2"/>
    <sheet name="P&amp;L Forecast" sheetId="11" r:id="rId3"/>
    <sheet name="Combined P&amp;L" sheetId="2" r:id="rId4"/>
    <sheet name="Revenue Analysis" sheetId="9" r:id="rId5"/>
    <sheet name="Revenue Charts" sheetId="10" r:id="rId6"/>
    <sheet name="Raw Data --&gt;" sheetId="6" r:id="rId7"/>
    <sheet name="Raw - 2024 PL" sheetId="3" r:id="rId8"/>
    <sheet name="Raw - 2025 PL" sheetId="4" r:id="rId9"/>
    <sheet name="Raw - 2026 PL" sheetId="5" r:id="rId10"/>
  </sheets>
  <definedNames>
    <definedName name="_xlnm.Print_Area" localSheetId="0">Cover!$B$2:$Q$39</definedName>
    <definedName name="_xlnm.Print_Area" localSheetId="4">'Revenue Analysis'!$B$2:$R$46</definedName>
    <definedName name="_xlnm.Print_Titles" localSheetId="3">'Combined P&amp;L'!$5:$5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" i="11" l="1"/>
  <c r="K148" i="11"/>
  <c r="J148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J142" i="11"/>
  <c r="AK142" i="11"/>
  <c r="AL142" i="11"/>
  <c r="AM142" i="11"/>
  <c r="AN142" i="11"/>
  <c r="AO142" i="11"/>
  <c r="AP142" i="11"/>
  <c r="AQ142" i="11"/>
  <c r="AR142" i="11"/>
  <c r="AS142" i="11"/>
  <c r="AT142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J141" i="11"/>
  <c r="AK141" i="11"/>
  <c r="AL141" i="11"/>
  <c r="AM141" i="11"/>
  <c r="AN141" i="11"/>
  <c r="AO141" i="11"/>
  <c r="AP141" i="11"/>
  <c r="AQ141" i="11"/>
  <c r="AR141" i="11"/>
  <c r="AS141" i="11"/>
  <c r="AT141" i="11"/>
  <c r="P141" i="11"/>
  <c r="B49" i="11"/>
  <c r="P113" i="11"/>
  <c r="P162" i="11" s="1"/>
  <c r="Q113" i="11"/>
  <c r="Q162" i="11" s="1"/>
  <c r="R113" i="11"/>
  <c r="R162" i="11" s="1"/>
  <c r="S113" i="11"/>
  <c r="S162" i="11" s="1"/>
  <c r="T113" i="11"/>
  <c r="T162" i="11" s="1"/>
  <c r="U113" i="11"/>
  <c r="U162" i="11" s="1"/>
  <c r="V113" i="11"/>
  <c r="V162" i="11" s="1"/>
  <c r="W113" i="11"/>
  <c r="W162" i="11" s="1"/>
  <c r="X113" i="11"/>
  <c r="X162" i="11" s="1"/>
  <c r="Y113" i="11"/>
  <c r="Y162" i="11" s="1"/>
  <c r="Z113" i="11"/>
  <c r="Z162" i="11" s="1"/>
  <c r="AA113" i="11"/>
  <c r="AA162" i="11" s="1"/>
  <c r="AB113" i="11"/>
  <c r="AB162" i="11" s="1"/>
  <c r="AC113" i="11"/>
  <c r="AC162" i="11" s="1"/>
  <c r="AD113" i="11"/>
  <c r="AD162" i="11" s="1"/>
  <c r="AE113" i="11"/>
  <c r="AE162" i="11" s="1"/>
  <c r="AF113" i="11"/>
  <c r="AF162" i="11" s="1"/>
  <c r="AG113" i="11"/>
  <c r="AG162" i="11" s="1"/>
  <c r="AH113" i="11"/>
  <c r="AH162" i="11" s="1"/>
  <c r="AI113" i="11"/>
  <c r="AI162" i="11" s="1"/>
  <c r="AJ113" i="11"/>
  <c r="AJ162" i="11" s="1"/>
  <c r="AK113" i="11"/>
  <c r="AK162" i="11" s="1"/>
  <c r="AL113" i="11"/>
  <c r="AL162" i="11" s="1"/>
  <c r="AM113" i="11"/>
  <c r="AM162" i="11" s="1"/>
  <c r="AN113" i="11"/>
  <c r="AN162" i="11" s="1"/>
  <c r="AO113" i="11"/>
  <c r="AO162" i="11" s="1"/>
  <c r="AP113" i="11"/>
  <c r="AP162" i="11" s="1"/>
  <c r="AQ113" i="11"/>
  <c r="AQ162" i="11" s="1"/>
  <c r="AR113" i="11"/>
  <c r="AR162" i="11" s="1"/>
  <c r="AS113" i="11"/>
  <c r="AS162" i="11" s="1"/>
  <c r="AT113" i="11"/>
  <c r="AT162" i="11" s="1"/>
  <c r="B61" i="11"/>
  <c r="B60" i="11"/>
  <c r="M5" i="8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L11" i="8"/>
  <c r="L15" i="8" s="1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L17" i="8"/>
  <c r="M17" i="8"/>
  <c r="N17" i="8"/>
  <c r="O17" i="8"/>
  <c r="O22" i="8" s="1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E22" i="8" s="1"/>
  <c r="AF17" i="8"/>
  <c r="AG17" i="8"/>
  <c r="AH17" i="8"/>
  <c r="AI17" i="8"/>
  <c r="AJ17" i="8"/>
  <c r="AK17" i="8"/>
  <c r="AL17" i="8"/>
  <c r="AM17" i="8"/>
  <c r="AN17" i="8"/>
  <c r="AO17" i="8"/>
  <c r="AP17" i="8"/>
  <c r="L18" i="8"/>
  <c r="M18" i="8"/>
  <c r="N18" i="8"/>
  <c r="O18" i="8"/>
  <c r="P18" i="8"/>
  <c r="P22" i="8" s="1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L19" i="8"/>
  <c r="M19" i="8"/>
  <c r="N19" i="8"/>
  <c r="N22" i="8" s="1"/>
  <c r="O19" i="8"/>
  <c r="P19" i="8"/>
  <c r="Q19" i="8"/>
  <c r="Q22" i="8" s="1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G22" i="8" s="1"/>
  <c r="AH19" i="8"/>
  <c r="AI19" i="8"/>
  <c r="AJ19" i="8"/>
  <c r="AK19" i="8"/>
  <c r="AL19" i="8"/>
  <c r="AM19" i="8"/>
  <c r="AN19" i="8"/>
  <c r="AO19" i="8"/>
  <c r="AP19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D22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J124" i="11"/>
  <c r="AK124" i="11"/>
  <c r="AL124" i="11"/>
  <c r="AM124" i="11"/>
  <c r="AN124" i="11"/>
  <c r="AO124" i="11"/>
  <c r="AP124" i="11"/>
  <c r="AQ124" i="11"/>
  <c r="AR124" i="11"/>
  <c r="AS124" i="11"/>
  <c r="AT124" i="11"/>
  <c r="P124" i="11"/>
  <c r="K122" i="11"/>
  <c r="B55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J122" i="11"/>
  <c r="AK122" i="11"/>
  <c r="AL122" i="11"/>
  <c r="AM122" i="11"/>
  <c r="AN122" i="11"/>
  <c r="AO122" i="11"/>
  <c r="AP122" i="11"/>
  <c r="AQ122" i="11"/>
  <c r="AR122" i="11"/>
  <c r="AS122" i="11"/>
  <c r="AT122" i="11"/>
  <c r="K123" i="11"/>
  <c r="B44" i="11"/>
  <c r="B4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J123" i="11"/>
  <c r="AK123" i="11"/>
  <c r="AL123" i="11"/>
  <c r="AM123" i="11"/>
  <c r="AN123" i="11"/>
  <c r="AO123" i="11"/>
  <c r="AP123" i="11"/>
  <c r="AQ123" i="11"/>
  <c r="AR123" i="11"/>
  <c r="AS123" i="11"/>
  <c r="AT123" i="11"/>
  <c r="B50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J114" i="11"/>
  <c r="AK114" i="11"/>
  <c r="AL114" i="11"/>
  <c r="AM114" i="11"/>
  <c r="AN114" i="11"/>
  <c r="AO114" i="11"/>
  <c r="AP114" i="11"/>
  <c r="AQ114" i="11"/>
  <c r="AR114" i="11"/>
  <c r="AS114" i="11"/>
  <c r="AT114" i="11"/>
  <c r="B59" i="11"/>
  <c r="B39" i="11"/>
  <c r="B40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J105" i="11"/>
  <c r="AK105" i="11"/>
  <c r="AL105" i="11"/>
  <c r="AM105" i="11"/>
  <c r="B134" i="11"/>
  <c r="B58" i="11"/>
  <c r="B56" i="11"/>
  <c r="AN115" i="11"/>
  <c r="AN135" i="11" s="1"/>
  <c r="AO115" i="11"/>
  <c r="AO135" i="11" s="1"/>
  <c r="AP115" i="11"/>
  <c r="AP135" i="11" s="1"/>
  <c r="AQ115" i="11"/>
  <c r="AQ135" i="11" s="1"/>
  <c r="AR115" i="11"/>
  <c r="AR135" i="11" s="1"/>
  <c r="AS115" i="11"/>
  <c r="AS135" i="11" s="1"/>
  <c r="AT115" i="11"/>
  <c r="AT135" i="11" s="1"/>
  <c r="B52" i="11"/>
  <c r="B57" i="11"/>
  <c r="B51" i="11"/>
  <c r="B53" i="11"/>
  <c r="B54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B48" i="11"/>
  <c r="B47" i="11"/>
  <c r="B38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B46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B32" i="11"/>
  <c r="B37" i="11"/>
  <c r="B36" i="11"/>
  <c r="K83" i="11"/>
  <c r="K84" i="11"/>
  <c r="K85" i="11"/>
  <c r="K82" i="11"/>
  <c r="B21" i="11"/>
  <c r="B17" i="11"/>
  <c r="B18" i="11"/>
  <c r="B19" i="11"/>
  <c r="B20" i="11"/>
  <c r="B16" i="11"/>
  <c r="B33" i="11"/>
  <c r="B13" i="11"/>
  <c r="B14" i="11"/>
  <c r="B7" i="11"/>
  <c r="B8" i="11"/>
  <c r="B9" i="11"/>
  <c r="B10" i="11"/>
  <c r="B11" i="11"/>
  <c r="B12" i="11"/>
  <c r="B6" i="11"/>
  <c r="I170" i="11"/>
  <c r="J169" i="11" s="1"/>
  <c r="J170" i="11" s="1"/>
  <c r="G170" i="11"/>
  <c r="C170" i="11"/>
  <c r="D169" i="11" s="1"/>
  <c r="D170" i="11" s="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AA96" i="11"/>
  <c r="AA160" i="11" s="1"/>
  <c r="Z96" i="11"/>
  <c r="Z160" i="11" s="1"/>
  <c r="Y96" i="11"/>
  <c r="Y160" i="11" s="1"/>
  <c r="X96" i="11"/>
  <c r="X160" i="11" s="1"/>
  <c r="W96" i="11"/>
  <c r="W160" i="11" s="1"/>
  <c r="V96" i="11"/>
  <c r="V160" i="11" s="1"/>
  <c r="U96" i="11"/>
  <c r="U160" i="11" s="1"/>
  <c r="T96" i="11"/>
  <c r="T160" i="11" s="1"/>
  <c r="S96" i="11"/>
  <c r="S160" i="11" s="1"/>
  <c r="R96" i="11"/>
  <c r="R160" i="11" s="1"/>
  <c r="Q96" i="11"/>
  <c r="Q160" i="11" s="1"/>
  <c r="P96" i="11"/>
  <c r="P160" i="11" s="1"/>
  <c r="AA94" i="11"/>
  <c r="Z94" i="11"/>
  <c r="Y94" i="11"/>
  <c r="X94" i="11"/>
  <c r="W94" i="11"/>
  <c r="V94" i="11"/>
  <c r="U94" i="11"/>
  <c r="T94" i="11"/>
  <c r="S94" i="11"/>
  <c r="R94" i="11"/>
  <c r="Q94" i="11"/>
  <c r="P94" i="11"/>
  <c r="AT85" i="11"/>
  <c r="AS85" i="11"/>
  <c r="AR85" i="11"/>
  <c r="AQ85" i="11"/>
  <c r="AP85" i="11"/>
  <c r="AO85" i="11"/>
  <c r="AN85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AT78" i="11"/>
  <c r="C13" i="11" s="1"/>
  <c r="K78" i="11" s="1"/>
  <c r="AS78" i="11"/>
  <c r="AR78" i="11"/>
  <c r="AQ78" i="11"/>
  <c r="AP78" i="11"/>
  <c r="AO78" i="11"/>
  <c r="AN78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Q69" i="11"/>
  <c r="B2" i="11"/>
  <c r="H20" i="10"/>
  <c r="H19" i="10"/>
  <c r="H17" i="10"/>
  <c r="H16" i="10"/>
  <c r="H9" i="10"/>
  <c r="F26" i="10"/>
  <c r="G25" i="10" s="1"/>
  <c r="G26" i="10" s="1"/>
  <c r="D26" i="10"/>
  <c r="AN20" i="10"/>
  <c r="AM20" i="10"/>
  <c r="AL20" i="10"/>
  <c r="AK20" i="10"/>
  <c r="AJ20" i="10"/>
  <c r="AI20" i="10"/>
  <c r="AH20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AN13" i="10"/>
  <c r="AM13" i="10"/>
  <c r="AL13" i="10"/>
  <c r="AK13" i="10"/>
  <c r="AJ13" i="10"/>
  <c r="AI13" i="10"/>
  <c r="AH13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K5" i="10"/>
  <c r="L5" i="10" s="1"/>
  <c r="B2" i="10"/>
  <c r="B22" i="9"/>
  <c r="P22" i="9" s="1"/>
  <c r="B21" i="9"/>
  <c r="B20" i="9"/>
  <c r="B19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L15" i="9" s="1"/>
  <c r="B8" i="9"/>
  <c r="C46" i="9"/>
  <c r="C53" i="9"/>
  <c r="D52" i="9" s="1"/>
  <c r="B2" i="9"/>
  <c r="G43" i="8"/>
  <c r="I43" i="8"/>
  <c r="J42" i="8" s="1"/>
  <c r="J43" i="8" s="1"/>
  <c r="C43" i="8"/>
  <c r="D42" i="8" s="1"/>
  <c r="D43" i="8" s="1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O130" i="2"/>
  <c r="H130" i="2"/>
  <c r="F130" i="2"/>
  <c r="O129" i="2"/>
  <c r="H129" i="2"/>
  <c r="F129" i="2"/>
  <c r="O128" i="2"/>
  <c r="H128" i="2"/>
  <c r="F128" i="2"/>
  <c r="O127" i="2"/>
  <c r="H127" i="2"/>
  <c r="F127" i="2"/>
  <c r="O126" i="2"/>
  <c r="H126" i="2"/>
  <c r="F126" i="2"/>
  <c r="O125" i="2"/>
  <c r="H125" i="2"/>
  <c r="F125" i="2"/>
  <c r="O124" i="2"/>
  <c r="H124" i="2"/>
  <c r="F124" i="2"/>
  <c r="O123" i="2"/>
  <c r="H123" i="2"/>
  <c r="F123" i="2"/>
  <c r="O122" i="2"/>
  <c r="H122" i="2"/>
  <c r="F122" i="2"/>
  <c r="AR111" i="2"/>
  <c r="AT117" i="11" s="1"/>
  <c r="AT136" i="11" s="1"/>
  <c r="AQ111" i="2"/>
  <c r="AS117" i="11" s="1"/>
  <c r="AS136" i="11" s="1"/>
  <c r="AP111" i="2"/>
  <c r="AR117" i="11" s="1"/>
  <c r="AR136" i="11" s="1"/>
  <c r="AO111" i="2"/>
  <c r="AQ117" i="11" s="1"/>
  <c r="AQ136" i="11" s="1"/>
  <c r="AN111" i="2"/>
  <c r="AP117" i="11" s="1"/>
  <c r="AP136" i="11" s="1"/>
  <c r="AM111" i="2"/>
  <c r="AO117" i="11" s="1"/>
  <c r="AO136" i="11" s="1"/>
  <c r="AL111" i="2"/>
  <c r="AN117" i="11" s="1"/>
  <c r="AN136" i="11" s="1"/>
  <c r="AK111" i="2"/>
  <c r="AM117" i="11" s="1"/>
  <c r="AM136" i="11" s="1"/>
  <c r="AJ111" i="2"/>
  <c r="AL117" i="11" s="1"/>
  <c r="AL136" i="11" s="1"/>
  <c r="AI111" i="2"/>
  <c r="AK117" i="11" s="1"/>
  <c r="AK136" i="11" s="1"/>
  <c r="AH111" i="2"/>
  <c r="AJ117" i="11" s="1"/>
  <c r="AJ136" i="11" s="1"/>
  <c r="AG111" i="2"/>
  <c r="AI117" i="11" s="1"/>
  <c r="AI136" i="11" s="1"/>
  <c r="AF111" i="2"/>
  <c r="AH117" i="11" s="1"/>
  <c r="AH136" i="11" s="1"/>
  <c r="AE111" i="2"/>
  <c r="AG117" i="11" s="1"/>
  <c r="AG136" i="11" s="1"/>
  <c r="AD111" i="2"/>
  <c r="AF117" i="11" s="1"/>
  <c r="AF136" i="11" s="1"/>
  <c r="AC111" i="2"/>
  <c r="AE117" i="11" s="1"/>
  <c r="AE136" i="11" s="1"/>
  <c r="AB111" i="2"/>
  <c r="AD117" i="11" s="1"/>
  <c r="AD136" i="11" s="1"/>
  <c r="AA111" i="2"/>
  <c r="AC117" i="11" s="1"/>
  <c r="AC136" i="11" s="1"/>
  <c r="Z111" i="2"/>
  <c r="AB117" i="11" s="1"/>
  <c r="AB136" i="11" s="1"/>
  <c r="Y111" i="2"/>
  <c r="AA117" i="11" s="1"/>
  <c r="AA136" i="11" s="1"/>
  <c r="X111" i="2"/>
  <c r="Z117" i="11" s="1"/>
  <c r="Z136" i="11" s="1"/>
  <c r="W111" i="2"/>
  <c r="Y117" i="11" s="1"/>
  <c r="Y136" i="11" s="1"/>
  <c r="V111" i="2"/>
  <c r="X117" i="11" s="1"/>
  <c r="X136" i="11" s="1"/>
  <c r="U111" i="2"/>
  <c r="W117" i="11" s="1"/>
  <c r="W136" i="11" s="1"/>
  <c r="T111" i="2"/>
  <c r="V117" i="11" s="1"/>
  <c r="V136" i="11" s="1"/>
  <c r="S111" i="2"/>
  <c r="U117" i="11" s="1"/>
  <c r="U136" i="11" s="1"/>
  <c r="R111" i="2"/>
  <c r="T117" i="11" s="1"/>
  <c r="T136" i="11" s="1"/>
  <c r="Q111" i="2"/>
  <c r="S117" i="11" s="1"/>
  <c r="S136" i="11" s="1"/>
  <c r="P111" i="2"/>
  <c r="R117" i="11" s="1"/>
  <c r="R136" i="11" s="1"/>
  <c r="O111" i="2"/>
  <c r="Q117" i="11" s="1"/>
  <c r="Q136" i="11" s="1"/>
  <c r="N111" i="2"/>
  <c r="P117" i="11" s="1"/>
  <c r="P136" i="11" s="1"/>
  <c r="AR110" i="2"/>
  <c r="AT121" i="11" s="1"/>
  <c r="AT137" i="11" s="1"/>
  <c r="AQ110" i="2"/>
  <c r="AS121" i="11" s="1"/>
  <c r="AS137" i="11" s="1"/>
  <c r="AP110" i="2"/>
  <c r="AR121" i="11" s="1"/>
  <c r="AR137" i="11" s="1"/>
  <c r="AO110" i="2"/>
  <c r="AQ121" i="11" s="1"/>
  <c r="AQ137" i="11" s="1"/>
  <c r="AN110" i="2"/>
  <c r="AP121" i="11" s="1"/>
  <c r="AP137" i="11" s="1"/>
  <c r="AM110" i="2"/>
  <c r="AO121" i="11" s="1"/>
  <c r="AO137" i="11" s="1"/>
  <c r="AL110" i="2"/>
  <c r="AN121" i="11" s="1"/>
  <c r="AK110" i="2"/>
  <c r="AM121" i="11" s="1"/>
  <c r="AM137" i="11" s="1"/>
  <c r="AJ110" i="2"/>
  <c r="AL121" i="11" s="1"/>
  <c r="AL137" i="11" s="1"/>
  <c r="AI110" i="2"/>
  <c r="AK121" i="11" s="1"/>
  <c r="AK137" i="11" s="1"/>
  <c r="AH110" i="2"/>
  <c r="AJ121" i="11" s="1"/>
  <c r="AJ137" i="11" s="1"/>
  <c r="AG110" i="2"/>
  <c r="AI121" i="11" s="1"/>
  <c r="AI137" i="11" s="1"/>
  <c r="AF110" i="2"/>
  <c r="AH121" i="11" s="1"/>
  <c r="AE110" i="2"/>
  <c r="AG121" i="11" s="1"/>
  <c r="AG137" i="11" s="1"/>
  <c r="AD110" i="2"/>
  <c r="AF121" i="11" s="1"/>
  <c r="AF137" i="11" s="1"/>
  <c r="AC110" i="2"/>
  <c r="AE121" i="11" s="1"/>
  <c r="AE137" i="11" s="1"/>
  <c r="AB110" i="2"/>
  <c r="AD121" i="11" s="1"/>
  <c r="AD137" i="11" s="1"/>
  <c r="AA110" i="2"/>
  <c r="AC121" i="11" s="1"/>
  <c r="AC137" i="11" s="1"/>
  <c r="Z110" i="2"/>
  <c r="AB121" i="11" s="1"/>
  <c r="AB137" i="11" s="1"/>
  <c r="Y110" i="2"/>
  <c r="AA121" i="11" s="1"/>
  <c r="AA137" i="11" s="1"/>
  <c r="X110" i="2"/>
  <c r="Z121" i="11" s="1"/>
  <c r="Z137" i="11" s="1"/>
  <c r="W110" i="2"/>
  <c r="Y121" i="11" s="1"/>
  <c r="Y137" i="11" s="1"/>
  <c r="V110" i="2"/>
  <c r="X121" i="11" s="1"/>
  <c r="X137" i="11" s="1"/>
  <c r="U110" i="2"/>
  <c r="W121" i="11" s="1"/>
  <c r="W137" i="11" s="1"/>
  <c r="T110" i="2"/>
  <c r="V121" i="11" s="1"/>
  <c r="V137" i="11" s="1"/>
  <c r="S110" i="2"/>
  <c r="U121" i="11" s="1"/>
  <c r="U137" i="11" s="1"/>
  <c r="R110" i="2"/>
  <c r="T121" i="11" s="1"/>
  <c r="T137" i="11" s="1"/>
  <c r="Q110" i="2"/>
  <c r="S121" i="11" s="1"/>
  <c r="S137" i="11" s="1"/>
  <c r="P110" i="2"/>
  <c r="R121" i="11" s="1"/>
  <c r="R137" i="11" s="1"/>
  <c r="O110" i="2"/>
  <c r="Q121" i="11" s="1"/>
  <c r="Q137" i="11" s="1"/>
  <c r="N110" i="2"/>
  <c r="P121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115" i="11" s="1"/>
  <c r="AM135" i="11" s="1"/>
  <c r="AJ108" i="2"/>
  <c r="AL115" i="11" s="1"/>
  <c r="AL135" i="11" s="1"/>
  <c r="AI108" i="2"/>
  <c r="AK115" i="11" s="1"/>
  <c r="AK135" i="11" s="1"/>
  <c r="AH108" i="2"/>
  <c r="AJ115" i="11" s="1"/>
  <c r="AJ135" i="11" s="1"/>
  <c r="AG108" i="2"/>
  <c r="AI115" i="11" s="1"/>
  <c r="AI135" i="11" s="1"/>
  <c r="AF108" i="2"/>
  <c r="AH115" i="11" s="1"/>
  <c r="AH135" i="11" s="1"/>
  <c r="AE108" i="2"/>
  <c r="AG115" i="11" s="1"/>
  <c r="AG135" i="11" s="1"/>
  <c r="AD108" i="2"/>
  <c r="AF115" i="11" s="1"/>
  <c r="AF135" i="11" s="1"/>
  <c r="AC108" i="2"/>
  <c r="AE115" i="11" s="1"/>
  <c r="AE135" i="11" s="1"/>
  <c r="AB108" i="2"/>
  <c r="AD115" i="11" s="1"/>
  <c r="AD135" i="11" s="1"/>
  <c r="AA108" i="2"/>
  <c r="AC115" i="11" s="1"/>
  <c r="AC135" i="11" s="1"/>
  <c r="Z108" i="2"/>
  <c r="Y108" i="2"/>
  <c r="AA115" i="11" s="1"/>
  <c r="AA135" i="11" s="1"/>
  <c r="X108" i="2"/>
  <c r="Z115" i="11" s="1"/>
  <c r="Z135" i="11" s="1"/>
  <c r="W108" i="2"/>
  <c r="Y115" i="11" s="1"/>
  <c r="Y135" i="11" s="1"/>
  <c r="V108" i="2"/>
  <c r="X115" i="11" s="1"/>
  <c r="X135" i="11" s="1"/>
  <c r="U108" i="2"/>
  <c r="W115" i="11" s="1"/>
  <c r="W135" i="11" s="1"/>
  <c r="T108" i="2"/>
  <c r="V115" i="11" s="1"/>
  <c r="V135" i="11" s="1"/>
  <c r="S108" i="2"/>
  <c r="U115" i="11" s="1"/>
  <c r="U135" i="11" s="1"/>
  <c r="R108" i="2"/>
  <c r="T115" i="11" s="1"/>
  <c r="T135" i="11" s="1"/>
  <c r="Q108" i="2"/>
  <c r="S115" i="11" s="1"/>
  <c r="S135" i="11" s="1"/>
  <c r="P108" i="2"/>
  <c r="R115" i="11" s="1"/>
  <c r="R135" i="11" s="1"/>
  <c r="O108" i="2"/>
  <c r="Q115" i="11" s="1"/>
  <c r="Q135" i="11" s="1"/>
  <c r="N108" i="2"/>
  <c r="P115" i="11" s="1"/>
  <c r="P135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116" i="11" s="1"/>
  <c r="AQ99" i="2"/>
  <c r="AS116" i="11" s="1"/>
  <c r="AP99" i="2"/>
  <c r="AR116" i="11" s="1"/>
  <c r="AO99" i="2"/>
  <c r="AQ116" i="11" s="1"/>
  <c r="AN99" i="2"/>
  <c r="AP116" i="11" s="1"/>
  <c r="AM99" i="2"/>
  <c r="AO116" i="11" s="1"/>
  <c r="AL99" i="2"/>
  <c r="AN116" i="11" s="1"/>
  <c r="AK99" i="2"/>
  <c r="AM116" i="11" s="1"/>
  <c r="AJ99" i="2"/>
  <c r="AL116" i="11" s="1"/>
  <c r="AI99" i="2"/>
  <c r="AK116" i="11" s="1"/>
  <c r="AH99" i="2"/>
  <c r="AJ116" i="11" s="1"/>
  <c r="AG99" i="2"/>
  <c r="AI116" i="11" s="1"/>
  <c r="AF99" i="2"/>
  <c r="AH116" i="11" s="1"/>
  <c r="AE99" i="2"/>
  <c r="AG116" i="11" s="1"/>
  <c r="AD99" i="2"/>
  <c r="AF116" i="11" s="1"/>
  <c r="AC99" i="2"/>
  <c r="AE116" i="11" s="1"/>
  <c r="AB99" i="2"/>
  <c r="AD116" i="11" s="1"/>
  <c r="AA99" i="2"/>
  <c r="AC116" i="11" s="1"/>
  <c r="Z99" i="2"/>
  <c r="AB116" i="11" s="1"/>
  <c r="Y99" i="2"/>
  <c r="AA116" i="11" s="1"/>
  <c r="X99" i="2"/>
  <c r="Z116" i="11" s="1"/>
  <c r="W99" i="2"/>
  <c r="Y116" i="11" s="1"/>
  <c r="V99" i="2"/>
  <c r="X116" i="11" s="1"/>
  <c r="U99" i="2"/>
  <c r="W116" i="11" s="1"/>
  <c r="T99" i="2"/>
  <c r="V116" i="11" s="1"/>
  <c r="S99" i="2"/>
  <c r="U116" i="11" s="1"/>
  <c r="R99" i="2"/>
  <c r="T116" i="11" s="1"/>
  <c r="Q99" i="2"/>
  <c r="S116" i="11" s="1"/>
  <c r="P99" i="2"/>
  <c r="R116" i="11" s="1"/>
  <c r="O99" i="2"/>
  <c r="Q116" i="11" s="1"/>
  <c r="N99" i="2"/>
  <c r="P116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96" i="11" s="1"/>
  <c r="AE160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120" i="11" s="1"/>
  <c r="C57" i="11" s="1"/>
  <c r="AQ78" i="2"/>
  <c r="AS120" i="11" s="1"/>
  <c r="AP78" i="2"/>
  <c r="AR120" i="11" s="1"/>
  <c r="AO78" i="2"/>
  <c r="AQ120" i="11" s="1"/>
  <c r="AN78" i="2"/>
  <c r="AP120" i="11" s="1"/>
  <c r="AM78" i="2"/>
  <c r="AO120" i="11" s="1"/>
  <c r="AL78" i="2"/>
  <c r="AN120" i="11" s="1"/>
  <c r="AK78" i="2"/>
  <c r="AM120" i="11" s="1"/>
  <c r="AJ78" i="2"/>
  <c r="AL120" i="11" s="1"/>
  <c r="AI78" i="2"/>
  <c r="AK120" i="11" s="1"/>
  <c r="AH78" i="2"/>
  <c r="AJ120" i="11" s="1"/>
  <c r="AG78" i="2"/>
  <c r="AI120" i="11" s="1"/>
  <c r="AF78" i="2"/>
  <c r="AH120" i="11" s="1"/>
  <c r="AE78" i="2"/>
  <c r="AG120" i="11" s="1"/>
  <c r="AD78" i="2"/>
  <c r="AF120" i="11" s="1"/>
  <c r="AC78" i="2"/>
  <c r="AE120" i="11" s="1"/>
  <c r="AB78" i="2"/>
  <c r="AD120" i="11" s="1"/>
  <c r="AA78" i="2"/>
  <c r="AC120" i="11" s="1"/>
  <c r="Z78" i="2"/>
  <c r="AB120" i="11" s="1"/>
  <c r="Y78" i="2"/>
  <c r="AA120" i="11" s="1"/>
  <c r="X78" i="2"/>
  <c r="Z120" i="11" s="1"/>
  <c r="W78" i="2"/>
  <c r="Y120" i="11" s="1"/>
  <c r="V78" i="2"/>
  <c r="X120" i="11" s="1"/>
  <c r="U78" i="2"/>
  <c r="W120" i="11" s="1"/>
  <c r="T78" i="2"/>
  <c r="V120" i="11" s="1"/>
  <c r="S78" i="2"/>
  <c r="U120" i="11" s="1"/>
  <c r="R78" i="2"/>
  <c r="T120" i="11" s="1"/>
  <c r="Q78" i="2"/>
  <c r="S120" i="11" s="1"/>
  <c r="P78" i="2"/>
  <c r="R120" i="11" s="1"/>
  <c r="O78" i="2"/>
  <c r="Q120" i="11" s="1"/>
  <c r="N78" i="2"/>
  <c r="P120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103" i="11" s="1"/>
  <c r="C37" i="11" s="1"/>
  <c r="K103" i="11" s="1"/>
  <c r="AQ76" i="2"/>
  <c r="AS103" i="11" s="1"/>
  <c r="AP76" i="2"/>
  <c r="AR103" i="11" s="1"/>
  <c r="AO76" i="2"/>
  <c r="AQ103" i="11" s="1"/>
  <c r="AN76" i="2"/>
  <c r="AP103" i="11" s="1"/>
  <c r="AM76" i="2"/>
  <c r="AO103" i="11" s="1"/>
  <c r="AL76" i="2"/>
  <c r="AN103" i="11" s="1"/>
  <c r="AK76" i="2"/>
  <c r="AM103" i="11" s="1"/>
  <c r="AJ76" i="2"/>
  <c r="AL103" i="11" s="1"/>
  <c r="AI76" i="2"/>
  <c r="AK103" i="11" s="1"/>
  <c r="AH76" i="2"/>
  <c r="AJ103" i="11" s="1"/>
  <c r="AG76" i="2"/>
  <c r="AI103" i="11" s="1"/>
  <c r="AF76" i="2"/>
  <c r="AH103" i="11" s="1"/>
  <c r="AE76" i="2"/>
  <c r="AG103" i="11" s="1"/>
  <c r="AD76" i="2"/>
  <c r="AF103" i="11" s="1"/>
  <c r="AC76" i="2"/>
  <c r="AE103" i="11" s="1"/>
  <c r="AB76" i="2"/>
  <c r="AD103" i="11" s="1"/>
  <c r="AA76" i="2"/>
  <c r="AC103" i="11" s="1"/>
  <c r="Z76" i="2"/>
  <c r="Y76" i="2"/>
  <c r="AA103" i="11" s="1"/>
  <c r="X76" i="2"/>
  <c r="Z103" i="11" s="1"/>
  <c r="W76" i="2"/>
  <c r="Y103" i="11" s="1"/>
  <c r="V76" i="2"/>
  <c r="X103" i="11" s="1"/>
  <c r="U76" i="2"/>
  <c r="W103" i="11" s="1"/>
  <c r="T76" i="2"/>
  <c r="V103" i="11" s="1"/>
  <c r="S76" i="2"/>
  <c r="U103" i="11" s="1"/>
  <c r="R76" i="2"/>
  <c r="T103" i="11" s="1"/>
  <c r="Q76" i="2"/>
  <c r="S103" i="11" s="1"/>
  <c r="P76" i="2"/>
  <c r="R103" i="11" s="1"/>
  <c r="O76" i="2"/>
  <c r="Q103" i="11" s="1"/>
  <c r="N76" i="2"/>
  <c r="P103" i="11" s="1"/>
  <c r="AR75" i="2"/>
  <c r="AT105" i="11" s="1"/>
  <c r="C39" i="11" s="1"/>
  <c r="K105" i="11" s="1"/>
  <c r="AQ75" i="2"/>
  <c r="AS105" i="11" s="1"/>
  <c r="AP75" i="2"/>
  <c r="AR105" i="11" s="1"/>
  <c r="AO75" i="2"/>
  <c r="AQ105" i="11" s="1"/>
  <c r="AN75" i="2"/>
  <c r="AP105" i="11" s="1"/>
  <c r="AM75" i="2"/>
  <c r="AO105" i="11" s="1"/>
  <c r="AL75" i="2"/>
  <c r="AN105" i="11" s="1"/>
  <c r="AR74" i="2"/>
  <c r="AT112" i="11" s="1"/>
  <c r="AQ74" i="2"/>
  <c r="AS112" i="11" s="1"/>
  <c r="AP74" i="2"/>
  <c r="AR112" i="11" s="1"/>
  <c r="AO74" i="2"/>
  <c r="AQ112" i="11" s="1"/>
  <c r="AN74" i="2"/>
  <c r="AP112" i="11" s="1"/>
  <c r="AM74" i="2"/>
  <c r="AO112" i="11" s="1"/>
  <c r="AL74" i="2"/>
  <c r="AN112" i="11" s="1"/>
  <c r="AK74" i="2"/>
  <c r="AM112" i="11" s="1"/>
  <c r="AJ74" i="2"/>
  <c r="AL112" i="11" s="1"/>
  <c r="AI74" i="2"/>
  <c r="AK112" i="11" s="1"/>
  <c r="AH74" i="2"/>
  <c r="AJ112" i="11" s="1"/>
  <c r="AG74" i="2"/>
  <c r="AI112" i="11" s="1"/>
  <c r="AF74" i="2"/>
  <c r="AH112" i="11" s="1"/>
  <c r="AE74" i="2"/>
  <c r="AG112" i="11" s="1"/>
  <c r="AD74" i="2"/>
  <c r="AF112" i="11" s="1"/>
  <c r="AC74" i="2"/>
  <c r="AE112" i="11" s="1"/>
  <c r="AB74" i="2"/>
  <c r="AD112" i="11" s="1"/>
  <c r="AA74" i="2"/>
  <c r="AC112" i="11" s="1"/>
  <c r="Z74" i="2"/>
  <c r="AB112" i="11" s="1"/>
  <c r="Y74" i="2"/>
  <c r="AA112" i="11" s="1"/>
  <c r="X74" i="2"/>
  <c r="Z112" i="11" s="1"/>
  <c r="W74" i="2"/>
  <c r="Y112" i="11" s="1"/>
  <c r="V74" i="2"/>
  <c r="X112" i="11" s="1"/>
  <c r="U74" i="2"/>
  <c r="W112" i="11" s="1"/>
  <c r="T74" i="2"/>
  <c r="V112" i="11" s="1"/>
  <c r="S74" i="2"/>
  <c r="U112" i="11" s="1"/>
  <c r="R74" i="2"/>
  <c r="T112" i="11" s="1"/>
  <c r="Q74" i="2"/>
  <c r="S112" i="11" s="1"/>
  <c r="P74" i="2"/>
  <c r="R112" i="11" s="1"/>
  <c r="O74" i="2"/>
  <c r="Q112" i="11" s="1"/>
  <c r="N74" i="2"/>
  <c r="P112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AR67" i="2"/>
  <c r="AT108" i="11" s="1"/>
  <c r="AQ67" i="2"/>
  <c r="AS108" i="11" s="1"/>
  <c r="AP67" i="2"/>
  <c r="AR108" i="11" s="1"/>
  <c r="AO67" i="2"/>
  <c r="AQ108" i="11" s="1"/>
  <c r="AN67" i="2"/>
  <c r="AP108" i="11" s="1"/>
  <c r="AM67" i="2"/>
  <c r="AO108" i="11" s="1"/>
  <c r="AL67" i="2"/>
  <c r="AN108" i="11" s="1"/>
  <c r="AK67" i="2"/>
  <c r="AM108" i="11" s="1"/>
  <c r="AJ67" i="2"/>
  <c r="AL108" i="11" s="1"/>
  <c r="AI67" i="2"/>
  <c r="AK108" i="11" s="1"/>
  <c r="AH67" i="2"/>
  <c r="AJ108" i="11" s="1"/>
  <c r="AG67" i="2"/>
  <c r="AI108" i="11" s="1"/>
  <c r="AF67" i="2"/>
  <c r="AH108" i="11" s="1"/>
  <c r="AE67" i="2"/>
  <c r="AG108" i="11" s="1"/>
  <c r="AD67" i="2"/>
  <c r="AF108" i="11" s="1"/>
  <c r="AC67" i="2"/>
  <c r="AE108" i="11" s="1"/>
  <c r="AB67" i="2"/>
  <c r="AD108" i="11" s="1"/>
  <c r="AA67" i="2"/>
  <c r="AC108" i="11" s="1"/>
  <c r="Z67" i="2"/>
  <c r="Y67" i="2"/>
  <c r="AA108" i="11" s="1"/>
  <c r="X67" i="2"/>
  <c r="Z108" i="11" s="1"/>
  <c r="W67" i="2"/>
  <c r="Y108" i="11" s="1"/>
  <c r="V67" i="2"/>
  <c r="X108" i="11" s="1"/>
  <c r="U67" i="2"/>
  <c r="W108" i="11" s="1"/>
  <c r="T67" i="2"/>
  <c r="V108" i="11" s="1"/>
  <c r="S67" i="2"/>
  <c r="U108" i="11" s="1"/>
  <c r="R67" i="2"/>
  <c r="T108" i="11" s="1"/>
  <c r="Q67" i="2"/>
  <c r="S108" i="11" s="1"/>
  <c r="P67" i="2"/>
  <c r="R108" i="11" s="1"/>
  <c r="O67" i="2"/>
  <c r="Q108" i="11" s="1"/>
  <c r="N67" i="2"/>
  <c r="P108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118" i="11" s="1"/>
  <c r="AQ64" i="2"/>
  <c r="AS118" i="11" s="1"/>
  <c r="AP64" i="2"/>
  <c r="AR118" i="11" s="1"/>
  <c r="AO64" i="2"/>
  <c r="AQ118" i="11" s="1"/>
  <c r="AN64" i="2"/>
  <c r="AP118" i="11" s="1"/>
  <c r="AM64" i="2"/>
  <c r="AO118" i="11" s="1"/>
  <c r="AL64" i="2"/>
  <c r="AN118" i="11" s="1"/>
  <c r="AK64" i="2"/>
  <c r="AM118" i="11" s="1"/>
  <c r="AJ64" i="2"/>
  <c r="AL118" i="11" s="1"/>
  <c r="AI64" i="2"/>
  <c r="AK118" i="11" s="1"/>
  <c r="AH64" i="2"/>
  <c r="AJ118" i="11" s="1"/>
  <c r="AG64" i="2"/>
  <c r="AI118" i="11" s="1"/>
  <c r="AF64" i="2"/>
  <c r="AH118" i="11" s="1"/>
  <c r="AE64" i="2"/>
  <c r="AG118" i="11" s="1"/>
  <c r="AD64" i="2"/>
  <c r="AF118" i="11" s="1"/>
  <c r="AC64" i="2"/>
  <c r="AE118" i="11" s="1"/>
  <c r="AB64" i="2"/>
  <c r="AD118" i="11" s="1"/>
  <c r="AA64" i="2"/>
  <c r="AC118" i="11" s="1"/>
  <c r="Z64" i="2"/>
  <c r="AB118" i="11" s="1"/>
  <c r="Y64" i="2"/>
  <c r="AA118" i="11" s="1"/>
  <c r="X64" i="2"/>
  <c r="Z118" i="11" s="1"/>
  <c r="W64" i="2"/>
  <c r="Y118" i="11" s="1"/>
  <c r="V64" i="2"/>
  <c r="X118" i="11" s="1"/>
  <c r="U64" i="2"/>
  <c r="W118" i="11" s="1"/>
  <c r="T64" i="2"/>
  <c r="V118" i="11" s="1"/>
  <c r="S64" i="2"/>
  <c r="U118" i="11" s="1"/>
  <c r="R64" i="2"/>
  <c r="T118" i="11" s="1"/>
  <c r="Q64" i="2"/>
  <c r="S118" i="11" s="1"/>
  <c r="P64" i="2"/>
  <c r="R118" i="11" s="1"/>
  <c r="O64" i="2"/>
  <c r="Q118" i="11" s="1"/>
  <c r="N64" i="2"/>
  <c r="P118" i="11" s="1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F91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91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104" i="11" s="1"/>
  <c r="C38" i="11" s="1"/>
  <c r="K104" i="11" s="1"/>
  <c r="AQ46" i="2"/>
  <c r="AS104" i="11" s="1"/>
  <c r="AP46" i="2"/>
  <c r="AR104" i="11" s="1"/>
  <c r="AO46" i="2"/>
  <c r="AQ104" i="11" s="1"/>
  <c r="AN46" i="2"/>
  <c r="AP104" i="11" s="1"/>
  <c r="AM46" i="2"/>
  <c r="AO104" i="11" s="1"/>
  <c r="AL46" i="2"/>
  <c r="AN104" i="11" s="1"/>
  <c r="AK46" i="2"/>
  <c r="AM104" i="11" s="1"/>
  <c r="AJ46" i="2"/>
  <c r="AL104" i="11" s="1"/>
  <c r="AI46" i="2"/>
  <c r="AK104" i="11" s="1"/>
  <c r="AH46" i="2"/>
  <c r="AJ104" i="11" s="1"/>
  <c r="AG46" i="2"/>
  <c r="AI104" i="11" s="1"/>
  <c r="AF46" i="2"/>
  <c r="AH104" i="11" s="1"/>
  <c r="AE46" i="2"/>
  <c r="AG104" i="11" s="1"/>
  <c r="AD46" i="2"/>
  <c r="AF104" i="11" s="1"/>
  <c r="AC46" i="2"/>
  <c r="AE104" i="11" s="1"/>
  <c r="AB46" i="2"/>
  <c r="AD104" i="11" s="1"/>
  <c r="AA46" i="2"/>
  <c r="AC104" i="11" s="1"/>
  <c r="Z46" i="2"/>
  <c r="AB104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102" i="11" s="1"/>
  <c r="C36" i="11" s="1"/>
  <c r="K102" i="11" s="1"/>
  <c r="AQ44" i="2"/>
  <c r="AS102" i="11" s="1"/>
  <c r="AP44" i="2"/>
  <c r="AR102" i="11" s="1"/>
  <c r="AO44" i="2"/>
  <c r="AQ102" i="11" s="1"/>
  <c r="AN44" i="2"/>
  <c r="AP102" i="11" s="1"/>
  <c r="AM44" i="2"/>
  <c r="AO102" i="11" s="1"/>
  <c r="AL44" i="2"/>
  <c r="AN102" i="11" s="1"/>
  <c r="AK44" i="2"/>
  <c r="AM102" i="11" s="1"/>
  <c r="AJ44" i="2"/>
  <c r="AL102" i="11" s="1"/>
  <c r="AI44" i="2"/>
  <c r="AK102" i="11" s="1"/>
  <c r="AH44" i="2"/>
  <c r="AJ102" i="11" s="1"/>
  <c r="AG44" i="2"/>
  <c r="AI102" i="11" s="1"/>
  <c r="AF44" i="2"/>
  <c r="AH102" i="11" s="1"/>
  <c r="AE44" i="2"/>
  <c r="AG102" i="11" s="1"/>
  <c r="AD44" i="2"/>
  <c r="AF102" i="11" s="1"/>
  <c r="AC44" i="2"/>
  <c r="AE102" i="11" s="1"/>
  <c r="AB44" i="2"/>
  <c r="AD102" i="11" s="1"/>
  <c r="AA44" i="2"/>
  <c r="AC102" i="11" s="1"/>
  <c r="Z44" i="2"/>
  <c r="Y44" i="2"/>
  <c r="AA102" i="11" s="1"/>
  <c r="X44" i="2"/>
  <c r="Z102" i="11" s="1"/>
  <c r="W44" i="2"/>
  <c r="Y102" i="11" s="1"/>
  <c r="V44" i="2"/>
  <c r="X102" i="11" s="1"/>
  <c r="U44" i="2"/>
  <c r="W102" i="11" s="1"/>
  <c r="T44" i="2"/>
  <c r="V102" i="11" s="1"/>
  <c r="S44" i="2"/>
  <c r="U102" i="11" s="1"/>
  <c r="R44" i="2"/>
  <c r="T102" i="11" s="1"/>
  <c r="Q44" i="2"/>
  <c r="S102" i="11" s="1"/>
  <c r="P44" i="2"/>
  <c r="R102" i="11" s="1"/>
  <c r="O44" i="2"/>
  <c r="Q102" i="11" s="1"/>
  <c r="N44" i="2"/>
  <c r="P102" i="11" s="1"/>
  <c r="AK43" i="2"/>
  <c r="AJ43" i="2"/>
  <c r="AI43" i="2"/>
  <c r="AH43" i="2"/>
  <c r="AG43" i="2"/>
  <c r="AF43" i="2"/>
  <c r="AE43" i="2"/>
  <c r="AD43" i="2"/>
  <c r="AC43" i="2"/>
  <c r="AB43" i="2"/>
  <c r="AD125" i="11" s="1"/>
  <c r="AA43" i="2"/>
  <c r="Z43" i="2"/>
  <c r="AR42" i="2"/>
  <c r="AT109" i="11" s="1"/>
  <c r="AT161" i="11" s="1"/>
  <c r="AQ42" i="2"/>
  <c r="AS109" i="11" s="1"/>
  <c r="AS161" i="11" s="1"/>
  <c r="AP42" i="2"/>
  <c r="AR109" i="11" s="1"/>
  <c r="AR161" i="11" s="1"/>
  <c r="AO42" i="2"/>
  <c r="AQ109" i="11" s="1"/>
  <c r="AQ161" i="11" s="1"/>
  <c r="AN42" i="2"/>
  <c r="AP109" i="11" s="1"/>
  <c r="AP161" i="11" s="1"/>
  <c r="AM42" i="2"/>
  <c r="AO109" i="11" s="1"/>
  <c r="AO161" i="11" s="1"/>
  <c r="AL42" i="2"/>
  <c r="AN109" i="11" s="1"/>
  <c r="AN161" i="11" s="1"/>
  <c r="AK42" i="2"/>
  <c r="AM109" i="11" s="1"/>
  <c r="AM161" i="11" s="1"/>
  <c r="AJ42" i="2"/>
  <c r="AL109" i="11" s="1"/>
  <c r="AL161" i="11" s="1"/>
  <c r="AI42" i="2"/>
  <c r="AK109" i="11" s="1"/>
  <c r="AK161" i="11" s="1"/>
  <c r="AH42" i="2"/>
  <c r="AJ109" i="11" s="1"/>
  <c r="AJ161" i="11" s="1"/>
  <c r="AG42" i="2"/>
  <c r="AI109" i="11" s="1"/>
  <c r="AI161" i="11" s="1"/>
  <c r="AF42" i="2"/>
  <c r="AH109" i="11" s="1"/>
  <c r="AH161" i="11" s="1"/>
  <c r="AE42" i="2"/>
  <c r="AG109" i="11" s="1"/>
  <c r="AG161" i="11" s="1"/>
  <c r="AD42" i="2"/>
  <c r="AF109" i="11" s="1"/>
  <c r="AF161" i="11" s="1"/>
  <c r="AC42" i="2"/>
  <c r="AE109" i="11" s="1"/>
  <c r="AE161" i="11" s="1"/>
  <c r="AB42" i="2"/>
  <c r="AD109" i="11" s="1"/>
  <c r="AD161" i="11" s="1"/>
  <c r="AA42" i="2"/>
  <c r="AC109" i="11" s="1"/>
  <c r="AC161" i="11" s="1"/>
  <c r="Z42" i="2"/>
  <c r="AB109" i="11" s="1"/>
  <c r="AB161" i="11" s="1"/>
  <c r="Y42" i="2"/>
  <c r="AA109" i="11" s="1"/>
  <c r="AA161" i="11" s="1"/>
  <c r="X42" i="2"/>
  <c r="Z109" i="11" s="1"/>
  <c r="Z161" i="11" s="1"/>
  <c r="W42" i="2"/>
  <c r="Y109" i="11" s="1"/>
  <c r="Y161" i="11" s="1"/>
  <c r="V42" i="2"/>
  <c r="X109" i="11" s="1"/>
  <c r="X161" i="11" s="1"/>
  <c r="U42" i="2"/>
  <c r="W109" i="11" s="1"/>
  <c r="W161" i="11" s="1"/>
  <c r="T42" i="2"/>
  <c r="V109" i="11" s="1"/>
  <c r="V161" i="11" s="1"/>
  <c r="S42" i="2"/>
  <c r="U109" i="11" s="1"/>
  <c r="U161" i="11" s="1"/>
  <c r="R42" i="2"/>
  <c r="T109" i="11" s="1"/>
  <c r="T161" i="11" s="1"/>
  <c r="Q42" i="2"/>
  <c r="S109" i="11" s="1"/>
  <c r="S161" i="11" s="1"/>
  <c r="P42" i="2"/>
  <c r="R109" i="11" s="1"/>
  <c r="R161" i="11" s="1"/>
  <c r="O42" i="2"/>
  <c r="Q109" i="11" s="1"/>
  <c r="Q161" i="11" s="1"/>
  <c r="N42" i="2"/>
  <c r="P109" i="11" s="1"/>
  <c r="P161" i="11" s="1"/>
  <c r="AR41" i="2"/>
  <c r="AT111" i="11" s="1"/>
  <c r="AQ41" i="2"/>
  <c r="AS111" i="11" s="1"/>
  <c r="AP41" i="2"/>
  <c r="AR111" i="11" s="1"/>
  <c r="AO41" i="2"/>
  <c r="AQ111" i="11" s="1"/>
  <c r="AN41" i="2"/>
  <c r="AP111" i="11" s="1"/>
  <c r="AM41" i="2"/>
  <c r="AO111" i="11" s="1"/>
  <c r="AL41" i="2"/>
  <c r="AN111" i="11" s="1"/>
  <c r="AK41" i="2"/>
  <c r="AM111" i="11" s="1"/>
  <c r="AJ41" i="2"/>
  <c r="AL111" i="11" s="1"/>
  <c r="AI41" i="2"/>
  <c r="AK111" i="11" s="1"/>
  <c r="AH41" i="2"/>
  <c r="AJ111" i="11" s="1"/>
  <c r="AG41" i="2"/>
  <c r="AI111" i="11" s="1"/>
  <c r="AF41" i="2"/>
  <c r="AH111" i="11" s="1"/>
  <c r="AE41" i="2"/>
  <c r="AG111" i="11" s="1"/>
  <c r="AD41" i="2"/>
  <c r="AF111" i="11" s="1"/>
  <c r="AC41" i="2"/>
  <c r="AE111" i="11" s="1"/>
  <c r="AB41" i="2"/>
  <c r="AD111" i="11" s="1"/>
  <c r="AA41" i="2"/>
  <c r="AC111" i="11" s="1"/>
  <c r="Z41" i="2"/>
  <c r="AB111" i="11" s="1"/>
  <c r="Y41" i="2"/>
  <c r="AA111" i="11" s="1"/>
  <c r="X41" i="2"/>
  <c r="Z111" i="11" s="1"/>
  <c r="W41" i="2"/>
  <c r="Y111" i="11" s="1"/>
  <c r="V41" i="2"/>
  <c r="X111" i="11" s="1"/>
  <c r="U41" i="2"/>
  <c r="W111" i="11" s="1"/>
  <c r="T41" i="2"/>
  <c r="V111" i="11" s="1"/>
  <c r="S41" i="2"/>
  <c r="U111" i="11" s="1"/>
  <c r="R41" i="2"/>
  <c r="T111" i="11" s="1"/>
  <c r="Q41" i="2"/>
  <c r="S111" i="11" s="1"/>
  <c r="P41" i="2"/>
  <c r="R111" i="11" s="1"/>
  <c r="O41" i="2"/>
  <c r="Q111" i="11" s="1"/>
  <c r="N41" i="2"/>
  <c r="P111" i="11" s="1"/>
  <c r="AR40" i="2"/>
  <c r="AT119" i="11" s="1"/>
  <c r="AQ40" i="2"/>
  <c r="AS119" i="11" s="1"/>
  <c r="AP40" i="2"/>
  <c r="AR119" i="11" s="1"/>
  <c r="AO40" i="2"/>
  <c r="AQ119" i="11" s="1"/>
  <c r="AN40" i="2"/>
  <c r="AP119" i="11" s="1"/>
  <c r="AM40" i="2"/>
  <c r="AO119" i="11" s="1"/>
  <c r="AL40" i="2"/>
  <c r="AN119" i="11" s="1"/>
  <c r="AK40" i="2"/>
  <c r="AM119" i="11" s="1"/>
  <c r="AJ40" i="2"/>
  <c r="AL119" i="11" s="1"/>
  <c r="AI40" i="2"/>
  <c r="AK119" i="11" s="1"/>
  <c r="AH40" i="2"/>
  <c r="AJ119" i="11" s="1"/>
  <c r="AG40" i="2"/>
  <c r="AI119" i="11" s="1"/>
  <c r="AF40" i="2"/>
  <c r="AH119" i="11" s="1"/>
  <c r="AE40" i="2"/>
  <c r="AG119" i="11" s="1"/>
  <c r="AD40" i="2"/>
  <c r="AF119" i="11" s="1"/>
  <c r="AC40" i="2"/>
  <c r="AE119" i="11" s="1"/>
  <c r="AB40" i="2"/>
  <c r="AD119" i="11" s="1"/>
  <c r="AA40" i="2"/>
  <c r="AC119" i="11" s="1"/>
  <c r="Z40" i="2"/>
  <c r="AB119" i="11" s="1"/>
  <c r="AR38" i="2"/>
  <c r="AQ38" i="2"/>
  <c r="AS98" i="11" s="1"/>
  <c r="AP38" i="2"/>
  <c r="AO38" i="2"/>
  <c r="AN38" i="2"/>
  <c r="AM38" i="2"/>
  <c r="AL38" i="2"/>
  <c r="AR37" i="2"/>
  <c r="AQ37" i="2"/>
  <c r="AP37" i="2"/>
  <c r="AO37" i="2"/>
  <c r="AQ95" i="11" s="1"/>
  <c r="AQ158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AA95" i="11" s="1"/>
  <c r="AA158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97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93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93" i="11" s="1"/>
  <c r="W35" i="2"/>
  <c r="V35" i="2"/>
  <c r="U35" i="2"/>
  <c r="T35" i="2"/>
  <c r="S35" i="2"/>
  <c r="R35" i="2"/>
  <c r="Q35" i="2"/>
  <c r="P35" i="2"/>
  <c r="O35" i="2"/>
  <c r="N35" i="2"/>
  <c r="AR34" i="2"/>
  <c r="AQ34" i="2"/>
  <c r="AP34" i="2"/>
  <c r="AO34" i="2"/>
  <c r="AN34" i="2"/>
  <c r="AM34" i="2"/>
  <c r="AO92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92" i="11" s="1"/>
  <c r="V34" i="2"/>
  <c r="U34" i="2"/>
  <c r="T34" i="2"/>
  <c r="S34" i="2"/>
  <c r="R34" i="2"/>
  <c r="Q34" i="2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AR27" i="2"/>
  <c r="AT75" i="11" s="1"/>
  <c r="C11" i="11" s="1"/>
  <c r="K75" i="11" s="1"/>
  <c r="AQ27" i="2"/>
  <c r="AP27" i="2"/>
  <c r="AO27" i="2"/>
  <c r="AN27" i="2"/>
  <c r="AM27" i="2"/>
  <c r="AL27" i="2"/>
  <c r="AK27" i="2"/>
  <c r="AJ27" i="2"/>
  <c r="AL75" i="11" s="1"/>
  <c r="AI27" i="2"/>
  <c r="AK75" i="11" s="1"/>
  <c r="AH27" i="2"/>
  <c r="AD11" i="10" s="1"/>
  <c r="AG27" i="2"/>
  <c r="AI75" i="11" s="1"/>
  <c r="AF27" i="2"/>
  <c r="AE27" i="2"/>
  <c r="AD27" i="2"/>
  <c r="AC27" i="2"/>
  <c r="AB27" i="2"/>
  <c r="AD75" i="11" s="1"/>
  <c r="AA27" i="2"/>
  <c r="Z27" i="2"/>
  <c r="AR26" i="2"/>
  <c r="AT71" i="11" s="1"/>
  <c r="C6" i="11" s="1"/>
  <c r="K71" i="11" s="1"/>
  <c r="AQ26" i="2"/>
  <c r="AS71" i="11" s="1"/>
  <c r="AP26" i="2"/>
  <c r="AO26" i="2"/>
  <c r="AQ71" i="11" s="1"/>
  <c r="AN26" i="2"/>
  <c r="AP71" i="11" s="1"/>
  <c r="AM26" i="2"/>
  <c r="AO71" i="11" s="1"/>
  <c r="AL26" i="2"/>
  <c r="AH6" i="10" s="1"/>
  <c r="AK26" i="2"/>
  <c r="AJ26" i="2"/>
  <c r="AL71" i="11" s="1"/>
  <c r="AI26" i="2"/>
  <c r="AK71" i="11" s="1"/>
  <c r="AH26" i="2"/>
  <c r="AG26" i="2"/>
  <c r="AI71" i="11" s="1"/>
  <c r="AF26" i="2"/>
  <c r="AH71" i="11" s="1"/>
  <c r="AE26" i="2"/>
  <c r="AG71" i="11" s="1"/>
  <c r="AD26" i="2"/>
  <c r="AF71" i="11" s="1"/>
  <c r="AC26" i="2"/>
  <c r="AE71" i="11" s="1"/>
  <c r="AB26" i="2"/>
  <c r="AD71" i="11" s="1"/>
  <c r="AA26" i="2"/>
  <c r="AC71" i="11" s="1"/>
  <c r="Z26" i="2"/>
  <c r="Y26" i="2"/>
  <c r="AA71" i="11" s="1"/>
  <c r="X26" i="2"/>
  <c r="Z71" i="11" s="1"/>
  <c r="W26" i="2"/>
  <c r="Y71" i="11" s="1"/>
  <c r="V26" i="2"/>
  <c r="X71" i="11" s="1"/>
  <c r="U26" i="2"/>
  <c r="T26" i="2"/>
  <c r="V71" i="11" s="1"/>
  <c r="S26" i="2"/>
  <c r="U71" i="11" s="1"/>
  <c r="R26" i="2"/>
  <c r="Q26" i="2"/>
  <c r="S71" i="11" s="1"/>
  <c r="P26" i="2"/>
  <c r="R71" i="11" s="1"/>
  <c r="O26" i="2"/>
  <c r="Q71" i="11" s="1"/>
  <c r="N26" i="2"/>
  <c r="P71" i="11" s="1"/>
  <c r="AR25" i="2"/>
  <c r="AQ25" i="2"/>
  <c r="AS76" i="11" s="1"/>
  <c r="AP25" i="2"/>
  <c r="AO25" i="2"/>
  <c r="AN25" i="2"/>
  <c r="AM25" i="2"/>
  <c r="AL25" i="2"/>
  <c r="L12" i="9" s="1"/>
  <c r="AK25" i="2"/>
  <c r="AJ25" i="2"/>
  <c r="AL76" i="11" s="1"/>
  <c r="AI25" i="2"/>
  <c r="AK76" i="11" s="1"/>
  <c r="AH25" i="2"/>
  <c r="AJ76" i="11" s="1"/>
  <c r="AG25" i="2"/>
  <c r="AC10" i="10" s="1"/>
  <c r="AF25" i="2"/>
  <c r="AH76" i="11" s="1"/>
  <c r="AE25" i="2"/>
  <c r="AD25" i="2"/>
  <c r="AC25" i="2"/>
  <c r="AB25" i="2"/>
  <c r="AA25" i="2"/>
  <c r="AC76" i="11" s="1"/>
  <c r="Z25" i="2"/>
  <c r="V10" i="10" s="1"/>
  <c r="Y25" i="2"/>
  <c r="X25" i="2"/>
  <c r="W25" i="2"/>
  <c r="V25" i="2"/>
  <c r="U25" i="2"/>
  <c r="T25" i="2"/>
  <c r="V76" i="11" s="1"/>
  <c r="S25" i="2"/>
  <c r="U76" i="11" s="1"/>
  <c r="R25" i="2"/>
  <c r="T76" i="11" s="1"/>
  <c r="Q25" i="2"/>
  <c r="M10" i="10" s="1"/>
  <c r="P25" i="2"/>
  <c r="R76" i="11" s="1"/>
  <c r="O25" i="2"/>
  <c r="N25" i="2"/>
  <c r="AR24" i="2"/>
  <c r="AQ24" i="2"/>
  <c r="AS72" i="11" s="1"/>
  <c r="AP24" i="2"/>
  <c r="AO24" i="2"/>
  <c r="AQ72" i="11" s="1"/>
  <c r="AN24" i="2"/>
  <c r="AP72" i="11" s="1"/>
  <c r="AM24" i="2"/>
  <c r="AL24" i="2"/>
  <c r="AN72" i="11" s="1"/>
  <c r="AK24" i="2"/>
  <c r="AM72" i="11" s="1"/>
  <c r="AJ24" i="2"/>
  <c r="AI24" i="2"/>
  <c r="AK72" i="11" s="1"/>
  <c r="AH24" i="2"/>
  <c r="AJ72" i="11" s="1"/>
  <c r="AG24" i="2"/>
  <c r="AI72" i="11" s="1"/>
  <c r="AF24" i="2"/>
  <c r="AH72" i="11" s="1"/>
  <c r="AE24" i="2"/>
  <c r="AA8" i="10" s="1"/>
  <c r="AD24" i="2"/>
  <c r="AF72" i="11" s="1"/>
  <c r="AC24" i="2"/>
  <c r="AE72" i="11" s="1"/>
  <c r="AB24" i="2"/>
  <c r="AA24" i="2"/>
  <c r="AC72" i="11" s="1"/>
  <c r="Z24" i="2"/>
  <c r="Y24" i="2"/>
  <c r="AA72" i="11" s="1"/>
  <c r="X24" i="2"/>
  <c r="Z72" i="11" s="1"/>
  <c r="W24" i="2"/>
  <c r="V24" i="2"/>
  <c r="X72" i="11" s="1"/>
  <c r="U24" i="2"/>
  <c r="W72" i="11" s="1"/>
  <c r="T24" i="2"/>
  <c r="S24" i="2"/>
  <c r="U72" i="11" s="1"/>
  <c r="R24" i="2"/>
  <c r="T72" i="11" s="1"/>
  <c r="Q24" i="2"/>
  <c r="S72" i="11" s="1"/>
  <c r="P24" i="2"/>
  <c r="R72" i="11" s="1"/>
  <c r="O24" i="2"/>
  <c r="K8" i="10" s="1"/>
  <c r="N24" i="2"/>
  <c r="P72" i="11" s="1"/>
  <c r="AR23" i="2"/>
  <c r="AQ23" i="2"/>
  <c r="AP23" i="2"/>
  <c r="AO23" i="2"/>
  <c r="AN23" i="2"/>
  <c r="AM23" i="2"/>
  <c r="AL23" i="2"/>
  <c r="AK23" i="2"/>
  <c r="AM77" i="11" s="1"/>
  <c r="AJ23" i="2"/>
  <c r="AI23" i="2"/>
  <c r="AE12" i="10" s="1"/>
  <c r="AH23" i="2"/>
  <c r="AJ77" i="11" s="1"/>
  <c r="AG23" i="2"/>
  <c r="AF23" i="2"/>
  <c r="AE23" i="2"/>
  <c r="AD23" i="2"/>
  <c r="AC23" i="2"/>
  <c r="AE77" i="11" s="1"/>
  <c r="AB23" i="2"/>
  <c r="AA23" i="2"/>
  <c r="Z23" i="2"/>
  <c r="Y23" i="2"/>
  <c r="X23" i="2"/>
  <c r="W23" i="2"/>
  <c r="V23" i="2"/>
  <c r="U23" i="2"/>
  <c r="W77" i="11" s="1"/>
  <c r="T23" i="2"/>
  <c r="V77" i="11" s="1"/>
  <c r="S23" i="2"/>
  <c r="O12" i="10" s="1"/>
  <c r="R23" i="2"/>
  <c r="T77" i="11" s="1"/>
  <c r="Q23" i="2"/>
  <c r="P23" i="2"/>
  <c r="O23" i="2"/>
  <c r="N23" i="2"/>
  <c r="AR21" i="2"/>
  <c r="AT73" i="11" s="1"/>
  <c r="C7" i="11" s="1"/>
  <c r="K73" i="11" s="1"/>
  <c r="AQ21" i="2"/>
  <c r="AP21" i="2"/>
  <c r="AR73" i="11" s="1"/>
  <c r="AO21" i="2"/>
  <c r="AQ73" i="11" s="1"/>
  <c r="AN21" i="2"/>
  <c r="AP73" i="11" s="1"/>
  <c r="AM21" i="2"/>
  <c r="AO73" i="11" s="1"/>
  <c r="AL21" i="2"/>
  <c r="AK21" i="2"/>
  <c r="AM73" i="11" s="1"/>
  <c r="AJ21" i="2"/>
  <c r="AL73" i="11" s="1"/>
  <c r="AI21" i="2"/>
  <c r="AH21" i="2"/>
  <c r="AJ73" i="11" s="1"/>
  <c r="AG21" i="2"/>
  <c r="AI73" i="11" s="1"/>
  <c r="AF21" i="2"/>
  <c r="AH73" i="11" s="1"/>
  <c r="AE21" i="2"/>
  <c r="AG73" i="11" s="1"/>
  <c r="AD21" i="2"/>
  <c r="Z7" i="10" s="1"/>
  <c r="AC21" i="2"/>
  <c r="AE73" i="11" s="1"/>
  <c r="AB21" i="2"/>
  <c r="AD73" i="11" s="1"/>
  <c r="AA21" i="2"/>
  <c r="Z21" i="2"/>
  <c r="Y21" i="2"/>
  <c r="AA73" i="11" s="1"/>
  <c r="X21" i="2"/>
  <c r="Z73" i="11" s="1"/>
  <c r="W21" i="2"/>
  <c r="Y73" i="11" s="1"/>
  <c r="V21" i="2"/>
  <c r="U21" i="2"/>
  <c r="W73" i="11" s="1"/>
  <c r="T21" i="2"/>
  <c r="V73" i="11" s="1"/>
  <c r="S21" i="2"/>
  <c r="R21" i="2"/>
  <c r="T73" i="11" s="1"/>
  <c r="Q21" i="2"/>
  <c r="S73" i="11" s="1"/>
  <c r="P21" i="2"/>
  <c r="R73" i="11" s="1"/>
  <c r="O21" i="2"/>
  <c r="Q73" i="11" s="1"/>
  <c r="N21" i="2"/>
  <c r="J7" i="10" s="1"/>
  <c r="AR19" i="2"/>
  <c r="AT74" i="11" s="1"/>
  <c r="AT157" i="11" s="1"/>
  <c r="AQ19" i="2"/>
  <c r="AP19" i="2"/>
  <c r="AR74" i="11" s="1"/>
  <c r="AR157" i="11" s="1"/>
  <c r="AO19" i="2"/>
  <c r="AQ74" i="11" s="1"/>
  <c r="AQ157" i="11" s="1"/>
  <c r="AN19" i="2"/>
  <c r="N11" i="9" s="1"/>
  <c r="AM19" i="2"/>
  <c r="M11" i="9" s="1"/>
  <c r="AL19" i="2"/>
  <c r="L11" i="9" s="1"/>
  <c r="AK19" i="2"/>
  <c r="K11" i="9" s="1"/>
  <c r="AJ19" i="2"/>
  <c r="AL74" i="11" s="1"/>
  <c r="AL157" i="11" s="1"/>
  <c r="AI19" i="2"/>
  <c r="AH19" i="2"/>
  <c r="AJ74" i="11" s="1"/>
  <c r="AJ157" i="11" s="1"/>
  <c r="AG19" i="2"/>
  <c r="AI74" i="11" s="1"/>
  <c r="AI157" i="11" s="1"/>
  <c r="AF19" i="2"/>
  <c r="AB9" i="10" s="1"/>
  <c r="AE19" i="2"/>
  <c r="AG74" i="11" s="1"/>
  <c r="AG157" i="11" s="1"/>
  <c r="AD19" i="2"/>
  <c r="AF74" i="11" s="1"/>
  <c r="AF157" i="11" s="1"/>
  <c r="AC19" i="2"/>
  <c r="AB19" i="2"/>
  <c r="AD74" i="11" s="1"/>
  <c r="AD157" i="11" s="1"/>
  <c r="AA19" i="2"/>
  <c r="Z19" i="2"/>
  <c r="V9" i="10" s="1"/>
  <c r="Y19" i="2"/>
  <c r="AA74" i="11" s="1"/>
  <c r="AA157" i="11" s="1"/>
  <c r="AA163" i="11" s="1"/>
  <c r="X19" i="2"/>
  <c r="W19" i="2"/>
  <c r="Y74" i="11" s="1"/>
  <c r="Y157" i="11" s="1"/>
  <c r="V19" i="2"/>
  <c r="U19" i="2"/>
  <c r="T19" i="2"/>
  <c r="V74" i="11" s="1"/>
  <c r="V157" i="11" s="1"/>
  <c r="S19" i="2"/>
  <c r="U74" i="11" s="1"/>
  <c r="U157" i="11" s="1"/>
  <c r="R19" i="2"/>
  <c r="T74" i="11" s="1"/>
  <c r="T157" i="11" s="1"/>
  <c r="Q19" i="2"/>
  <c r="S74" i="11" s="1"/>
  <c r="S157" i="11" s="1"/>
  <c r="P19" i="2"/>
  <c r="L9" i="10" s="1"/>
  <c r="O19" i="2"/>
  <c r="Q74" i="11" s="1"/>
  <c r="Q157" i="11" s="1"/>
  <c r="N19" i="2"/>
  <c r="P74" i="11" s="1"/>
  <c r="P157" i="11" s="1"/>
  <c r="AK18" i="2"/>
  <c r="AJ18" i="2"/>
  <c r="AF13" i="10" s="1"/>
  <c r="AI18" i="2"/>
  <c r="AK78" i="11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78" i="11" s="1"/>
  <c r="U18" i="2"/>
  <c r="T18" i="2"/>
  <c r="P13" i="10" s="1"/>
  <c r="S18" i="2"/>
  <c r="U78" i="11" s="1"/>
  <c r="R18" i="2"/>
  <c r="Q18" i="2"/>
  <c r="P18" i="2"/>
  <c r="O18" i="2"/>
  <c r="N18" i="2"/>
  <c r="AR15" i="2"/>
  <c r="AQ15" i="2"/>
  <c r="AP15" i="2"/>
  <c r="AO15" i="2"/>
  <c r="AN15" i="2"/>
  <c r="AM15" i="2"/>
  <c r="AI18" i="10" s="1"/>
  <c r="AL15" i="2"/>
  <c r="AN81" i="11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S18" i="10" s="1"/>
  <c r="V15" i="2"/>
  <c r="X81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U20" i="10" s="1"/>
  <c r="X14" i="2"/>
  <c r="Z85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J19" i="10" s="1"/>
  <c r="AM13" i="2"/>
  <c r="AO84" i="11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T19" i="10" s="1"/>
  <c r="W13" i="2"/>
  <c r="Y84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G16" i="10" s="1"/>
  <c r="AJ12" i="2"/>
  <c r="AL82" i="11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Q16" i="10" s="1"/>
  <c r="T12" i="2"/>
  <c r="V82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N148" i="11" l="1"/>
  <c r="M148" i="11"/>
  <c r="AF22" i="8"/>
  <c r="AB15" i="8"/>
  <c r="AA15" i="8"/>
  <c r="AP15" i="8"/>
  <c r="Z15" i="8"/>
  <c r="Y15" i="8"/>
  <c r="AN15" i="8"/>
  <c r="X15" i="8"/>
  <c r="AK15" i="8"/>
  <c r="U15" i="8"/>
  <c r="AA22" i="8"/>
  <c r="AK22" i="8"/>
  <c r="AK24" i="8" s="1"/>
  <c r="U22" i="8"/>
  <c r="U24" i="8" s="1"/>
  <c r="AJ22" i="8"/>
  <c r="AA24" i="8"/>
  <c r="T22" i="8"/>
  <c r="AI22" i="8"/>
  <c r="S22" i="8"/>
  <c r="AH22" i="8"/>
  <c r="R22" i="8"/>
  <c r="R24" i="8" s="1"/>
  <c r="AO15" i="8"/>
  <c r="AM15" i="8"/>
  <c r="W15" i="8"/>
  <c r="AL15" i="8"/>
  <c r="V15" i="8"/>
  <c r="AD24" i="8"/>
  <c r="AJ15" i="8"/>
  <c r="T15" i="8"/>
  <c r="AI15" i="8"/>
  <c r="S15" i="8"/>
  <c r="AH15" i="8"/>
  <c r="R15" i="8"/>
  <c r="AG15" i="8"/>
  <c r="AG24" i="8" s="1"/>
  <c r="Q15" i="8"/>
  <c r="Q24" i="8" s="1"/>
  <c r="AF15" i="8"/>
  <c r="AF24" i="8" s="1"/>
  <c r="P15" i="8"/>
  <c r="P24" i="8" s="1"/>
  <c r="AE15" i="8"/>
  <c r="AE24" i="8" s="1"/>
  <c r="O15" i="8"/>
  <c r="O24" i="8" s="1"/>
  <c r="AD15" i="8"/>
  <c r="N15" i="8"/>
  <c r="N24" i="8" s="1"/>
  <c r="AC15" i="8"/>
  <c r="M15" i="8"/>
  <c r="AC22" i="8"/>
  <c r="AC24" i="8" s="1"/>
  <c r="M22" i="8"/>
  <c r="M24" i="8" s="1"/>
  <c r="AB22" i="8"/>
  <c r="AB24" i="8" s="1"/>
  <c r="L22" i="8"/>
  <c r="L24" i="8" s="1"/>
  <c r="AP22" i="8"/>
  <c r="AP24" i="8" s="1"/>
  <c r="Z22" i="8"/>
  <c r="AO22" i="8"/>
  <c r="Y22" i="8"/>
  <c r="AN22" i="8"/>
  <c r="X22" i="8"/>
  <c r="AM22" i="8"/>
  <c r="AM24" i="8" s="1"/>
  <c r="W22" i="8"/>
  <c r="W24" i="8" s="1"/>
  <c r="AL22" i="8"/>
  <c r="V22" i="8"/>
  <c r="Q22" i="9"/>
  <c r="AM99" i="11"/>
  <c r="X99" i="11"/>
  <c r="AH125" i="11"/>
  <c r="AQ99" i="11"/>
  <c r="AI99" i="11"/>
  <c r="T99" i="11"/>
  <c r="R125" i="11"/>
  <c r="R126" i="11" s="1"/>
  <c r="AQ110" i="11"/>
  <c r="AC125" i="11"/>
  <c r="X125" i="11"/>
  <c r="AN125" i="11"/>
  <c r="AC110" i="11"/>
  <c r="AS110" i="11"/>
  <c r="V99" i="11"/>
  <c r="AP125" i="11"/>
  <c r="AG125" i="11"/>
  <c r="AS125" i="11"/>
  <c r="AA99" i="11"/>
  <c r="AM125" i="11"/>
  <c r="AC99" i="11"/>
  <c r="AM110" i="11"/>
  <c r="AD99" i="11"/>
  <c r="AT99" i="11"/>
  <c r="C32" i="11" s="1"/>
  <c r="S125" i="11"/>
  <c r="S126" i="11" s="1"/>
  <c r="AE99" i="11"/>
  <c r="AJ99" i="11"/>
  <c r="U99" i="11"/>
  <c r="Y125" i="11"/>
  <c r="Y126" i="11" s="1"/>
  <c r="AO125" i="11"/>
  <c r="AD110" i="11"/>
  <c r="AD126" i="11" s="1"/>
  <c r="AT110" i="11"/>
  <c r="AE125" i="11"/>
  <c r="AK99" i="11"/>
  <c r="Z125" i="11"/>
  <c r="Z126" i="11" s="1"/>
  <c r="AE110" i="11"/>
  <c r="AF125" i="11"/>
  <c r="AL99" i="11"/>
  <c r="W99" i="11"/>
  <c r="AA125" i="11"/>
  <c r="AA126" i="11" s="1"/>
  <c r="AQ125" i="11"/>
  <c r="AQ126" i="11" s="1"/>
  <c r="AF110" i="11"/>
  <c r="AR125" i="11"/>
  <c r="AG110" i="11"/>
  <c r="AN99" i="11"/>
  <c r="Y99" i="11"/>
  <c r="AH110" i="11"/>
  <c r="AI125" i="11"/>
  <c r="AO99" i="11"/>
  <c r="Z99" i="11"/>
  <c r="AT125" i="11"/>
  <c r="AI110" i="11"/>
  <c r="AJ125" i="11"/>
  <c r="AP99" i="11"/>
  <c r="AJ110" i="11"/>
  <c r="J11" i="9"/>
  <c r="P125" i="11"/>
  <c r="P126" i="11" s="1"/>
  <c r="AK110" i="11"/>
  <c r="AL125" i="11"/>
  <c r="AB99" i="11"/>
  <c r="AR99" i="11"/>
  <c r="Q125" i="11"/>
  <c r="Q126" i="11" s="1"/>
  <c r="AL110" i="11"/>
  <c r="AS99" i="11"/>
  <c r="U125" i="11"/>
  <c r="U126" i="11" s="1"/>
  <c r="AK125" i="11"/>
  <c r="AN110" i="11"/>
  <c r="P99" i="11"/>
  <c r="T125" i="11"/>
  <c r="T126" i="11" s="1"/>
  <c r="AO110" i="11"/>
  <c r="AF99" i="11"/>
  <c r="Q99" i="11"/>
  <c r="AP110" i="11"/>
  <c r="AG99" i="11"/>
  <c r="R99" i="11"/>
  <c r="V125" i="11"/>
  <c r="V126" i="11" s="1"/>
  <c r="AB125" i="11"/>
  <c r="T106" i="11"/>
  <c r="AH99" i="11"/>
  <c r="S99" i="11"/>
  <c r="W125" i="11"/>
  <c r="W126" i="11" s="1"/>
  <c r="AB110" i="11"/>
  <c r="AR110" i="11"/>
  <c r="H18" i="9"/>
  <c r="AJ106" i="11"/>
  <c r="H83" i="2"/>
  <c r="H108" i="2"/>
  <c r="U6" i="10"/>
  <c r="K7" i="10"/>
  <c r="AF7" i="10"/>
  <c r="AG12" i="10"/>
  <c r="AL78" i="11"/>
  <c r="AN20" i="2"/>
  <c r="H84" i="2"/>
  <c r="W8" i="10"/>
  <c r="H66" i="2"/>
  <c r="E97" i="2"/>
  <c r="O9" i="10"/>
  <c r="N10" i="10"/>
  <c r="H34" i="2"/>
  <c r="H32" i="2"/>
  <c r="AC106" i="11"/>
  <c r="AS106" i="11"/>
  <c r="H56" i="2"/>
  <c r="H60" i="2"/>
  <c r="H73" i="2"/>
  <c r="AB115" i="11"/>
  <c r="AB135" i="11" s="1"/>
  <c r="K18" i="9"/>
  <c r="AH17" i="10"/>
  <c r="AE106" i="11"/>
  <c r="R106" i="11"/>
  <c r="AH106" i="11"/>
  <c r="S106" i="11"/>
  <c r="AI106" i="11"/>
  <c r="AR106" i="11"/>
  <c r="Z106" i="11"/>
  <c r="C40" i="11"/>
  <c r="P106" i="11"/>
  <c r="AF106" i="11"/>
  <c r="Q106" i="11"/>
  <c r="AG106" i="11"/>
  <c r="U106" i="11"/>
  <c r="AK106" i="11"/>
  <c r="X106" i="11"/>
  <c r="AN106" i="11"/>
  <c r="Y106" i="11"/>
  <c r="AO106" i="11"/>
  <c r="AD106" i="11"/>
  <c r="V106" i="11"/>
  <c r="AL106" i="11"/>
  <c r="W106" i="11"/>
  <c r="AM106" i="11"/>
  <c r="AP106" i="11"/>
  <c r="AA106" i="11"/>
  <c r="AQ106" i="11"/>
  <c r="K106" i="11"/>
  <c r="AT106" i="11"/>
  <c r="AN137" i="11"/>
  <c r="X126" i="11"/>
  <c r="P137" i="11"/>
  <c r="AH137" i="11"/>
  <c r="K119" i="11"/>
  <c r="V93" i="11"/>
  <c r="X95" i="11"/>
  <c r="X158" i="11" s="1"/>
  <c r="V91" i="11"/>
  <c r="AA17" i="10"/>
  <c r="AG83" i="11"/>
  <c r="M16" i="10"/>
  <c r="S82" i="11"/>
  <c r="N19" i="10"/>
  <c r="T84" i="11"/>
  <c r="AD19" i="10"/>
  <c r="AJ84" i="11"/>
  <c r="O20" i="10"/>
  <c r="U85" i="11"/>
  <c r="S10" i="10"/>
  <c r="Y76" i="11"/>
  <c r="AI10" i="10"/>
  <c r="AO76" i="11"/>
  <c r="AG11" i="10"/>
  <c r="AM75" i="11"/>
  <c r="V92" i="11"/>
  <c r="AL92" i="11"/>
  <c r="W93" i="11"/>
  <c r="AM93" i="11"/>
  <c r="X97" i="11"/>
  <c r="AN97" i="11"/>
  <c r="Y95" i="11"/>
  <c r="Y158" i="11" s="1"/>
  <c r="Y163" i="11" s="1"/>
  <c r="AO95" i="11"/>
  <c r="AO158" i="11" s="1"/>
  <c r="W91" i="11"/>
  <c r="AM91" i="11"/>
  <c r="H70" i="2"/>
  <c r="AE94" i="11"/>
  <c r="H106" i="2"/>
  <c r="L18" i="9"/>
  <c r="J19" i="9"/>
  <c r="W6" i="10"/>
  <c r="L7" i="10"/>
  <c r="AG7" i="10"/>
  <c r="Y8" i="10"/>
  <c r="P9" i="10"/>
  <c r="O10" i="10"/>
  <c r="O13" i="10"/>
  <c r="AC16" i="10"/>
  <c r="AI82" i="11"/>
  <c r="G18" i="9"/>
  <c r="AE19" i="10"/>
  <c r="AK84" i="11"/>
  <c r="R12" i="10"/>
  <c r="X77" i="11"/>
  <c r="AH12" i="10"/>
  <c r="AN77" i="11"/>
  <c r="S8" i="10"/>
  <c r="Y72" i="11"/>
  <c r="M10" i="9"/>
  <c r="AI8" i="10"/>
  <c r="AO72" i="11"/>
  <c r="T10" i="10"/>
  <c r="Z76" i="11"/>
  <c r="AJ10" i="10"/>
  <c r="AP76" i="11"/>
  <c r="AH11" i="10"/>
  <c r="AN75" i="11"/>
  <c r="W92" i="11"/>
  <c r="AM92" i="11"/>
  <c r="X93" i="11"/>
  <c r="AN93" i="11"/>
  <c r="Y97" i="11"/>
  <c r="AO97" i="11"/>
  <c r="Z95" i="11"/>
  <c r="Z158" i="11" s="1"/>
  <c r="AP95" i="11"/>
  <c r="AP158" i="11" s="1"/>
  <c r="I53" i="2"/>
  <c r="X91" i="11"/>
  <c r="AN91" i="11"/>
  <c r="H68" i="2"/>
  <c r="H86" i="2"/>
  <c r="AF96" i="11"/>
  <c r="AF160" i="11" s="1"/>
  <c r="H92" i="2"/>
  <c r="H99" i="2"/>
  <c r="O8" i="9"/>
  <c r="O18" i="9"/>
  <c r="N20" i="9"/>
  <c r="X6" i="10"/>
  <c r="M7" i="10"/>
  <c r="AI7" i="10"/>
  <c r="Z8" i="10"/>
  <c r="S9" i="10"/>
  <c r="P10" i="10"/>
  <c r="R13" i="10"/>
  <c r="AB16" i="10"/>
  <c r="AH82" i="11"/>
  <c r="M19" i="10"/>
  <c r="S84" i="11"/>
  <c r="AC19" i="10"/>
  <c r="AI84" i="11"/>
  <c r="AD20" i="10"/>
  <c r="AJ85" i="11"/>
  <c r="AL18" i="10"/>
  <c r="AR81" i="11"/>
  <c r="H18" i="2"/>
  <c r="V13" i="10"/>
  <c r="AB78" i="11"/>
  <c r="O7" i="10"/>
  <c r="U73" i="11"/>
  <c r="R10" i="10"/>
  <c r="X76" i="11"/>
  <c r="AL93" i="11"/>
  <c r="AD96" i="11"/>
  <c r="AD160" i="11" s="1"/>
  <c r="AE20" i="10"/>
  <c r="AK85" i="11"/>
  <c r="W18" i="10"/>
  <c r="AC81" i="11"/>
  <c r="AM18" i="10"/>
  <c r="AS81" i="11"/>
  <c r="W13" i="10"/>
  <c r="AC78" i="11"/>
  <c r="I11" i="9"/>
  <c r="AK74" i="11"/>
  <c r="AK157" i="11" s="1"/>
  <c r="AB17" i="10"/>
  <c r="AH83" i="11"/>
  <c r="N16" i="10"/>
  <c r="T82" i="11"/>
  <c r="AD16" i="10"/>
  <c r="AJ82" i="11"/>
  <c r="O19" i="10"/>
  <c r="U84" i="11"/>
  <c r="P20" i="10"/>
  <c r="V85" i="11"/>
  <c r="AF20" i="10"/>
  <c r="AL85" i="11"/>
  <c r="X18" i="10"/>
  <c r="AD81" i="11"/>
  <c r="AN18" i="10"/>
  <c r="AT81" i="11"/>
  <c r="X13" i="10"/>
  <c r="AD78" i="11"/>
  <c r="AC17" i="10"/>
  <c r="AI83" i="11"/>
  <c r="O16" i="10"/>
  <c r="U82" i="11"/>
  <c r="AE16" i="10"/>
  <c r="AK82" i="11"/>
  <c r="P19" i="10"/>
  <c r="V84" i="11"/>
  <c r="AF19" i="10"/>
  <c r="AL84" i="11"/>
  <c r="Q20" i="10"/>
  <c r="W85" i="11"/>
  <c r="AG20" i="10"/>
  <c r="AM85" i="11"/>
  <c r="Y18" i="10"/>
  <c r="AE81" i="11"/>
  <c r="Y13" i="10"/>
  <c r="AE78" i="11"/>
  <c r="Q9" i="10"/>
  <c r="W74" i="11"/>
  <c r="W157" i="11" s="1"/>
  <c r="AG9" i="10"/>
  <c r="AM74" i="11"/>
  <c r="AM157" i="11" s="1"/>
  <c r="R7" i="10"/>
  <c r="X73" i="11"/>
  <c r="AH7" i="10"/>
  <c r="AN73" i="11"/>
  <c r="S12" i="10"/>
  <c r="Y77" i="11"/>
  <c r="AI12" i="10"/>
  <c r="AO77" i="11"/>
  <c r="U10" i="10"/>
  <c r="AA76" i="11"/>
  <c r="AK10" i="10"/>
  <c r="AQ76" i="11"/>
  <c r="H26" i="2"/>
  <c r="V6" i="10"/>
  <c r="AB71" i="11"/>
  <c r="AL6" i="10"/>
  <c r="AR71" i="11"/>
  <c r="AI11" i="10"/>
  <c r="AO75" i="11"/>
  <c r="X92" i="11"/>
  <c r="AN92" i="11"/>
  <c r="Y93" i="11"/>
  <c r="AO93" i="11"/>
  <c r="Z97" i="11"/>
  <c r="AP97" i="11"/>
  <c r="Y91" i="11"/>
  <c r="AO91" i="11"/>
  <c r="H67" i="2"/>
  <c r="AB108" i="11"/>
  <c r="AG94" i="11"/>
  <c r="I36" i="2"/>
  <c r="G10" i="9"/>
  <c r="P18" i="9"/>
  <c r="Y6" i="10"/>
  <c r="N7" i="10"/>
  <c r="AJ7" i="10"/>
  <c r="AB8" i="10"/>
  <c r="U9" i="10"/>
  <c r="AE13" i="10"/>
  <c r="AB91" i="11"/>
  <c r="AG96" i="11"/>
  <c r="AG160" i="11" s="1"/>
  <c r="AD17" i="10"/>
  <c r="AJ83" i="11"/>
  <c r="H25" i="2"/>
  <c r="AB76" i="11"/>
  <c r="AJ11" i="10"/>
  <c r="AP75" i="11"/>
  <c r="AA97" i="11"/>
  <c r="AQ97" i="11"/>
  <c r="H37" i="2"/>
  <c r="AB95" i="11"/>
  <c r="AB158" i="11" s="1"/>
  <c r="AR95" i="11"/>
  <c r="AR158" i="11" s="1"/>
  <c r="Z91" i="11"/>
  <c r="AP91" i="11"/>
  <c r="AH94" i="11"/>
  <c r="AH96" i="11"/>
  <c r="AH160" i="11" s="1"/>
  <c r="H10" i="9"/>
  <c r="O19" i="9"/>
  <c r="Z6" i="10"/>
  <c r="P7" i="10"/>
  <c r="AK7" i="10"/>
  <c r="AC8" i="10"/>
  <c r="W10" i="10"/>
  <c r="AR91" i="11"/>
  <c r="R97" i="11"/>
  <c r="AL10" i="10"/>
  <c r="AR76" i="11"/>
  <c r="K18" i="10"/>
  <c r="Q81" i="11"/>
  <c r="AL8" i="10"/>
  <c r="AR72" i="11"/>
  <c r="AK11" i="10"/>
  <c r="AQ75" i="11"/>
  <c r="Z92" i="11"/>
  <c r="AP92" i="11"/>
  <c r="AA93" i="11"/>
  <c r="AQ93" i="11"/>
  <c r="H36" i="2"/>
  <c r="AB97" i="11"/>
  <c r="AC95" i="11"/>
  <c r="AC158" i="11" s="1"/>
  <c r="AS95" i="11"/>
  <c r="AS158" i="11" s="1"/>
  <c r="AA91" i="11"/>
  <c r="AQ91" i="11"/>
  <c r="AI94" i="11"/>
  <c r="AI96" i="11"/>
  <c r="AI160" i="11" s="1"/>
  <c r="I15" i="2"/>
  <c r="I10" i="9"/>
  <c r="O11" i="9"/>
  <c r="AA6" i="10"/>
  <c r="Q7" i="10"/>
  <c r="AL7" i="10"/>
  <c r="AD8" i="10"/>
  <c r="X9" i="10"/>
  <c r="AB10" i="10"/>
  <c r="AC92" i="11"/>
  <c r="AH97" i="11"/>
  <c r="AM97" i="11"/>
  <c r="AG19" i="10"/>
  <c r="AM84" i="11"/>
  <c r="J18" i="10"/>
  <c r="P81" i="11"/>
  <c r="J13" i="10"/>
  <c r="P78" i="11"/>
  <c r="T12" i="10"/>
  <c r="Z77" i="11"/>
  <c r="AJ12" i="10"/>
  <c r="AP77" i="11"/>
  <c r="AE17" i="10"/>
  <c r="AK83" i="11"/>
  <c r="R19" i="10"/>
  <c r="X84" i="11"/>
  <c r="AH19" i="10"/>
  <c r="AN84" i="11"/>
  <c r="S20" i="10"/>
  <c r="Y85" i="11"/>
  <c r="AA18" i="10"/>
  <c r="AG81" i="11"/>
  <c r="K13" i="10"/>
  <c r="Q78" i="11"/>
  <c r="AA13" i="10"/>
  <c r="AG78" i="11"/>
  <c r="AI9" i="10"/>
  <c r="AO74" i="11"/>
  <c r="AO157" i="11" s="1"/>
  <c r="U12" i="10"/>
  <c r="AA77" i="11"/>
  <c r="AK12" i="10"/>
  <c r="AQ77" i="11"/>
  <c r="H24" i="2"/>
  <c r="V8" i="10"/>
  <c r="AB72" i="11"/>
  <c r="AF17" i="10"/>
  <c r="AL83" i="11"/>
  <c r="R16" i="10"/>
  <c r="X82" i="11"/>
  <c r="AH16" i="10"/>
  <c r="AN82" i="11"/>
  <c r="L18" i="10"/>
  <c r="R81" i="11"/>
  <c r="AB18" i="10"/>
  <c r="AH81" i="11"/>
  <c r="L13" i="10"/>
  <c r="R78" i="11"/>
  <c r="AB13" i="10"/>
  <c r="AH78" i="11"/>
  <c r="T9" i="10"/>
  <c r="Z74" i="11"/>
  <c r="Z157" i="11" s="1"/>
  <c r="Z163" i="11" s="1"/>
  <c r="AJ9" i="10"/>
  <c r="AP74" i="11"/>
  <c r="AP157" i="11" s="1"/>
  <c r="H23" i="2"/>
  <c r="V12" i="10"/>
  <c r="AB77" i="11"/>
  <c r="AL12" i="10"/>
  <c r="AR77" i="11"/>
  <c r="X10" i="10"/>
  <c r="AD76" i="11"/>
  <c r="AN10" i="10"/>
  <c r="AT76" i="11"/>
  <c r="C10" i="11" s="1"/>
  <c r="K76" i="11" s="1"/>
  <c r="H27" i="2"/>
  <c r="V11" i="10"/>
  <c r="AB75" i="11"/>
  <c r="AL11" i="10"/>
  <c r="AR75" i="11"/>
  <c r="AA92" i="11"/>
  <c r="AQ92" i="11"/>
  <c r="H35" i="2"/>
  <c r="AB93" i="11"/>
  <c r="AR93" i="11"/>
  <c r="AC97" i="11"/>
  <c r="AS97" i="11"/>
  <c r="AD95" i="11"/>
  <c r="AD158" i="11" s="1"/>
  <c r="AD163" i="11" s="1"/>
  <c r="AT95" i="11"/>
  <c r="H53" i="2"/>
  <c r="AJ94" i="11"/>
  <c r="AJ96" i="11"/>
  <c r="AJ160" i="11" s="1"/>
  <c r="J10" i="9"/>
  <c r="P11" i="9"/>
  <c r="AB6" i="10"/>
  <c r="S7" i="10"/>
  <c r="AN7" i="10"/>
  <c r="AE8" i="10"/>
  <c r="Z9" i="10"/>
  <c r="AD10" i="10"/>
  <c r="X11" i="10"/>
  <c r="AN83" i="11"/>
  <c r="AS92" i="11"/>
  <c r="AF94" i="11"/>
  <c r="AN95" i="11"/>
  <c r="AN158" i="11" s="1"/>
  <c r="AL91" i="11"/>
  <c r="Q19" i="10"/>
  <c r="W84" i="11"/>
  <c r="R20" i="10"/>
  <c r="X85" i="11"/>
  <c r="Z18" i="10"/>
  <c r="AF81" i="11"/>
  <c r="Z13" i="10"/>
  <c r="AF78" i="11"/>
  <c r="R9" i="10"/>
  <c r="X74" i="11"/>
  <c r="X157" i="11" s="1"/>
  <c r="X163" i="11" s="1"/>
  <c r="AH9" i="10"/>
  <c r="AN74" i="11"/>
  <c r="AN157" i="11" s="1"/>
  <c r="AM83" i="11"/>
  <c r="S16" i="10"/>
  <c r="Y82" i="11"/>
  <c r="AI16" i="10"/>
  <c r="AO82" i="11"/>
  <c r="M18" i="10"/>
  <c r="S81" i="11"/>
  <c r="AC18" i="10"/>
  <c r="AI81" i="11"/>
  <c r="M13" i="10"/>
  <c r="S78" i="11"/>
  <c r="AC13" i="10"/>
  <c r="AI78" i="11"/>
  <c r="H21" i="2"/>
  <c r="AB73" i="11"/>
  <c r="W12" i="10"/>
  <c r="AC77" i="11"/>
  <c r="AM12" i="10"/>
  <c r="AS77" i="11"/>
  <c r="X8" i="10"/>
  <c r="AD72" i="11"/>
  <c r="AN8" i="10"/>
  <c r="AT72" i="11"/>
  <c r="C8" i="11" s="1"/>
  <c r="K72" i="11" s="1"/>
  <c r="Y10" i="10"/>
  <c r="AE76" i="11"/>
  <c r="W11" i="10"/>
  <c r="AC75" i="11"/>
  <c r="AM11" i="10"/>
  <c r="AS75" i="11"/>
  <c r="AB92" i="11"/>
  <c r="AR92" i="11"/>
  <c r="AC93" i="11"/>
  <c r="AS93" i="11"/>
  <c r="AD97" i="11"/>
  <c r="AT97" i="11"/>
  <c r="C29" i="11" s="1"/>
  <c r="AN98" i="11"/>
  <c r="H44" i="2"/>
  <c r="AB102" i="11"/>
  <c r="H57" i="2"/>
  <c r="H61" i="2"/>
  <c r="AC91" i="11"/>
  <c r="AS91" i="11"/>
  <c r="H74" i="2"/>
  <c r="AK94" i="11"/>
  <c r="AK96" i="11"/>
  <c r="AK160" i="11" s="1"/>
  <c r="H97" i="2"/>
  <c r="K10" i="9"/>
  <c r="R11" i="9"/>
  <c r="J6" i="10"/>
  <c r="AC6" i="10"/>
  <c r="T7" i="10"/>
  <c r="J8" i="10"/>
  <c r="AG8" i="10"/>
  <c r="AA9" i="10"/>
  <c r="AE10" i="10"/>
  <c r="AC11" i="10"/>
  <c r="Y81" i="11"/>
  <c r="AD93" i="11"/>
  <c r="AE7" i="10"/>
  <c r="AK73" i="11"/>
  <c r="AT94" i="11"/>
  <c r="AT96" i="11"/>
  <c r="J10" i="10"/>
  <c r="P76" i="11"/>
  <c r="AE97" i="11"/>
  <c r="P95" i="11"/>
  <c r="P158" i="11" s="1"/>
  <c r="P163" i="11" s="1"/>
  <c r="AF95" i="11"/>
  <c r="AF158" i="11" s="1"/>
  <c r="AF163" i="11" s="1"/>
  <c r="AO98" i="11"/>
  <c r="AD91" i="11"/>
  <c r="AT91" i="11"/>
  <c r="AL94" i="11"/>
  <c r="AL96" i="11"/>
  <c r="AL160" i="11" s="1"/>
  <c r="L10" i="9"/>
  <c r="I12" i="9"/>
  <c r="K8" i="9"/>
  <c r="K6" i="10"/>
  <c r="AE6" i="10"/>
  <c r="U7" i="10"/>
  <c r="L8" i="10"/>
  <c r="AH8" i="10"/>
  <c r="AC9" i="10"/>
  <c r="AF10" i="10"/>
  <c r="AE11" i="10"/>
  <c r="P73" i="11"/>
  <c r="W82" i="11"/>
  <c r="AO81" i="11"/>
  <c r="AT93" i="11"/>
  <c r="C27" i="11" s="1"/>
  <c r="K93" i="11" s="1"/>
  <c r="Z17" i="10"/>
  <c r="AF83" i="11"/>
  <c r="L16" i="10"/>
  <c r="R82" i="11"/>
  <c r="N20" i="10"/>
  <c r="T85" i="11"/>
  <c r="V19" i="10"/>
  <c r="AB84" i="11"/>
  <c r="W9" i="10"/>
  <c r="AC74" i="11"/>
  <c r="AC157" i="11" s="1"/>
  <c r="Q11" i="9"/>
  <c r="AM9" i="10"/>
  <c r="AS74" i="11"/>
  <c r="AS157" i="11" s="1"/>
  <c r="K10" i="10"/>
  <c r="Q76" i="11"/>
  <c r="AA10" i="10"/>
  <c r="AG76" i="11"/>
  <c r="Y11" i="10"/>
  <c r="AE75" i="11"/>
  <c r="AD92" i="11"/>
  <c r="AT92" i="11"/>
  <c r="C25" i="11" s="1"/>
  <c r="K92" i="11" s="1"/>
  <c r="AE93" i="11"/>
  <c r="P97" i="11"/>
  <c r="AF97" i="11"/>
  <c r="Q95" i="11"/>
  <c r="Q158" i="11" s="1"/>
  <c r="Q163" i="11" s="1"/>
  <c r="AG95" i="11"/>
  <c r="AG158" i="11" s="1"/>
  <c r="AG163" i="11" s="1"/>
  <c r="AP98" i="11"/>
  <c r="H55" i="2"/>
  <c r="H59" i="2"/>
  <c r="AE91" i="11"/>
  <c r="AM94" i="11"/>
  <c r="AM96" i="11"/>
  <c r="AM160" i="11" s="1"/>
  <c r="N10" i="9"/>
  <c r="J15" i="9"/>
  <c r="L6" i="10"/>
  <c r="AF6" i="10"/>
  <c r="V7" i="10"/>
  <c r="M8" i="10"/>
  <c r="AJ8" i="10"/>
  <c r="AD9" i="10"/>
  <c r="AM10" i="10"/>
  <c r="AF11" i="10"/>
  <c r="AG17" i="10"/>
  <c r="AF73" i="11"/>
  <c r="AM82" i="11"/>
  <c r="Z84" i="11"/>
  <c r="AE95" i="11"/>
  <c r="AE158" i="11" s="1"/>
  <c r="H15" i="2"/>
  <c r="V18" i="10"/>
  <c r="AB81" i="11"/>
  <c r="E25" i="2"/>
  <c r="U19" i="10"/>
  <c r="AA84" i="11"/>
  <c r="AD18" i="10"/>
  <c r="AJ81" i="11"/>
  <c r="W7" i="10"/>
  <c r="AC73" i="11"/>
  <c r="W20" i="10"/>
  <c r="AC85" i="11"/>
  <c r="AL16" i="10"/>
  <c r="AR82" i="11"/>
  <c r="AM19" i="10"/>
  <c r="AS84" i="11"/>
  <c r="P18" i="10"/>
  <c r="V81" i="11"/>
  <c r="AF18" i="10"/>
  <c r="AL81" i="11"/>
  <c r="J12" i="10"/>
  <c r="P77" i="11"/>
  <c r="Z12" i="10"/>
  <c r="AF77" i="11"/>
  <c r="Z11" i="10"/>
  <c r="AF75" i="11"/>
  <c r="AE92" i="11"/>
  <c r="P93" i="11"/>
  <c r="AF93" i="11"/>
  <c r="Q97" i="11"/>
  <c r="AG97" i="11"/>
  <c r="R95" i="11"/>
  <c r="R158" i="11" s="1"/>
  <c r="AH95" i="11"/>
  <c r="AH158" i="11" s="1"/>
  <c r="AQ98" i="11"/>
  <c r="H58" i="2"/>
  <c r="AN94" i="11"/>
  <c r="AN96" i="11"/>
  <c r="AN160" i="11" s="1"/>
  <c r="H110" i="2"/>
  <c r="O10" i="9"/>
  <c r="O12" i="9"/>
  <c r="K14" i="9"/>
  <c r="M6" i="10"/>
  <c r="X7" i="10"/>
  <c r="N8" i="10"/>
  <c r="AK8" i="10"/>
  <c r="AE9" i="10"/>
  <c r="AN11" i="10"/>
  <c r="R18" i="10"/>
  <c r="Q72" i="11"/>
  <c r="AP84" i="11"/>
  <c r="V20" i="10"/>
  <c r="AB85" i="11"/>
  <c r="AK17" i="10"/>
  <c r="AQ83" i="11"/>
  <c r="W16" i="10"/>
  <c r="AC82" i="11"/>
  <c r="AM16" i="10"/>
  <c r="AS82" i="11"/>
  <c r="X19" i="10"/>
  <c r="AD84" i="11"/>
  <c r="AN19" i="10"/>
  <c r="AT84" i="11"/>
  <c r="Y20" i="10"/>
  <c r="AE85" i="11"/>
  <c r="Q18" i="10"/>
  <c r="W81" i="11"/>
  <c r="AG18" i="10"/>
  <c r="AM81" i="11"/>
  <c r="Q13" i="10"/>
  <c r="W78" i="11"/>
  <c r="AG13" i="10"/>
  <c r="AM78" i="11"/>
  <c r="Y9" i="10"/>
  <c r="AE74" i="11"/>
  <c r="AE157" i="11" s="1"/>
  <c r="AE163" i="11" s="1"/>
  <c r="K12" i="10"/>
  <c r="Q77" i="11"/>
  <c r="AA12" i="10"/>
  <c r="AG77" i="11"/>
  <c r="N6" i="10"/>
  <c r="T71" i="11"/>
  <c r="AD6" i="10"/>
  <c r="AJ71" i="11"/>
  <c r="AA11" i="10"/>
  <c r="AG75" i="11"/>
  <c r="P92" i="11"/>
  <c r="AF92" i="11"/>
  <c r="Q93" i="11"/>
  <c r="AG93" i="11"/>
  <c r="S95" i="11"/>
  <c r="S158" i="11" s="1"/>
  <c r="S163" i="11" s="1"/>
  <c r="AI95" i="11"/>
  <c r="AI158" i="11" s="1"/>
  <c r="AI163" i="11" s="1"/>
  <c r="AR98" i="11"/>
  <c r="Q91" i="11"/>
  <c r="AG91" i="11"/>
  <c r="AO94" i="11"/>
  <c r="AO96" i="11"/>
  <c r="AO160" i="11" s="1"/>
  <c r="P10" i="9"/>
  <c r="H13" i="9"/>
  <c r="O6" i="10"/>
  <c r="AI6" i="10"/>
  <c r="Y7" i="10"/>
  <c r="O8" i="10"/>
  <c r="AM8" i="10"/>
  <c r="AF9" i="10"/>
  <c r="N12" i="10"/>
  <c r="P16" i="10"/>
  <c r="AH18" i="10"/>
  <c r="AG72" i="11"/>
  <c r="AA85" i="11"/>
  <c r="T16" i="10"/>
  <c r="Z82" i="11"/>
  <c r="N18" i="10"/>
  <c r="T81" i="11"/>
  <c r="AM7" i="10"/>
  <c r="AS73" i="11"/>
  <c r="AL19" i="10"/>
  <c r="AR84" i="11"/>
  <c r="H8" i="2"/>
  <c r="V17" i="10"/>
  <c r="AB83" i="11"/>
  <c r="L12" i="10"/>
  <c r="R77" i="11"/>
  <c r="AB12" i="10"/>
  <c r="AH77" i="11"/>
  <c r="AB11" i="10"/>
  <c r="AH75" i="11"/>
  <c r="Q92" i="11"/>
  <c r="AG92" i="11"/>
  <c r="R93" i="11"/>
  <c r="AH93" i="11"/>
  <c r="S97" i="11"/>
  <c r="AI97" i="11"/>
  <c r="T95" i="11"/>
  <c r="T158" i="11" s="1"/>
  <c r="T163" i="11" s="1"/>
  <c r="AJ95" i="11"/>
  <c r="AJ158" i="11" s="1"/>
  <c r="AJ163" i="11" s="1"/>
  <c r="H42" i="2"/>
  <c r="H51" i="2"/>
  <c r="R91" i="11"/>
  <c r="AH91" i="11"/>
  <c r="H77" i="2"/>
  <c r="AP94" i="11"/>
  <c r="AP96" i="11"/>
  <c r="AP160" i="11" s="1"/>
  <c r="H89" i="2"/>
  <c r="H109" i="2"/>
  <c r="Q10" i="9"/>
  <c r="M13" i="9"/>
  <c r="P6" i="10"/>
  <c r="AJ6" i="10"/>
  <c r="AA7" i="10"/>
  <c r="Q8" i="10"/>
  <c r="J9" i="10"/>
  <c r="AK9" i="10"/>
  <c r="P12" i="10"/>
  <c r="AF16" i="10"/>
  <c r="S19" i="10"/>
  <c r="R74" i="11"/>
  <c r="R157" i="11" s="1"/>
  <c r="R163" i="11" s="1"/>
  <c r="AJ75" i="11"/>
  <c r="AF12" i="10"/>
  <c r="AL77" i="11"/>
  <c r="AK92" i="11"/>
  <c r="AJ16" i="10"/>
  <c r="AP82" i="11"/>
  <c r="N13" i="10"/>
  <c r="T78" i="11"/>
  <c r="AN12" i="10"/>
  <c r="AT77" i="11"/>
  <c r="C12" i="11" s="1"/>
  <c r="K77" i="11" s="1"/>
  <c r="U16" i="10"/>
  <c r="AA82" i="11"/>
  <c r="AE18" i="10"/>
  <c r="AK81" i="11"/>
  <c r="N19" i="9"/>
  <c r="AJ17" i="10"/>
  <c r="AP83" i="11"/>
  <c r="V16" i="10"/>
  <c r="AB82" i="11"/>
  <c r="W19" i="10"/>
  <c r="AC84" i="11"/>
  <c r="X20" i="10"/>
  <c r="AD85" i="11"/>
  <c r="AL17" i="10"/>
  <c r="AR83" i="11"/>
  <c r="X16" i="10"/>
  <c r="AD82" i="11"/>
  <c r="AN16" i="10"/>
  <c r="AT82" i="11"/>
  <c r="Y19" i="10"/>
  <c r="AE84" i="11"/>
  <c r="Z20" i="10"/>
  <c r="AF85" i="11"/>
  <c r="AM17" i="10"/>
  <c r="AS83" i="11"/>
  <c r="S13" i="10"/>
  <c r="Y78" i="11"/>
  <c r="M12" i="10"/>
  <c r="S77" i="11"/>
  <c r="AC12" i="10"/>
  <c r="AI77" i="11"/>
  <c r="G14" i="9"/>
  <c r="R92" i="11"/>
  <c r="AH92" i="11"/>
  <c r="S93" i="11"/>
  <c r="AI93" i="11"/>
  <c r="T97" i="11"/>
  <c r="AJ97" i="11"/>
  <c r="U95" i="11"/>
  <c r="U158" i="11" s="1"/>
  <c r="U163" i="11" s="1"/>
  <c r="AK95" i="11"/>
  <c r="AK158" i="11" s="1"/>
  <c r="AT98" i="11"/>
  <c r="C30" i="11" s="1"/>
  <c r="K98" i="11" s="1"/>
  <c r="H41" i="2"/>
  <c r="S91" i="11"/>
  <c r="AI91" i="11"/>
  <c r="H76" i="2"/>
  <c r="AB103" i="11"/>
  <c r="AQ94" i="11"/>
  <c r="H82" i="2"/>
  <c r="AQ96" i="11"/>
  <c r="AQ160" i="11" s="1"/>
  <c r="AQ163" i="11" s="1"/>
  <c r="H88" i="2"/>
  <c r="R10" i="9"/>
  <c r="E10" i="9" s="1"/>
  <c r="H8" i="10" s="1"/>
  <c r="P13" i="9"/>
  <c r="R6" i="10"/>
  <c r="AK6" i="10"/>
  <c r="AB7" i="10"/>
  <c r="R8" i="10"/>
  <c r="K9" i="10"/>
  <c r="AL9" i="10"/>
  <c r="Q12" i="10"/>
  <c r="AI19" i="10"/>
  <c r="AH74" i="11"/>
  <c r="AH157" i="11" s="1"/>
  <c r="AH163" i="11" s="1"/>
  <c r="U77" i="11"/>
  <c r="AH10" i="10"/>
  <c r="AN76" i="11"/>
  <c r="W97" i="11"/>
  <c r="H19" i="2"/>
  <c r="AB74" i="11"/>
  <c r="AB157" i="11" s="1"/>
  <c r="Z10" i="10"/>
  <c r="AF76" i="11"/>
  <c r="AI17" i="10"/>
  <c r="AO83" i="11"/>
  <c r="AK16" i="10"/>
  <c r="AQ82" i="11"/>
  <c r="O18" i="10"/>
  <c r="U81" i="11"/>
  <c r="W17" i="10"/>
  <c r="AC83" i="11"/>
  <c r="Y16" i="10"/>
  <c r="AE82" i="11"/>
  <c r="J19" i="10"/>
  <c r="P84" i="11"/>
  <c r="Z19" i="10"/>
  <c r="AF84" i="11"/>
  <c r="K20" i="10"/>
  <c r="Q85" i="11"/>
  <c r="AA20" i="10"/>
  <c r="AG85" i="11"/>
  <c r="X17" i="10"/>
  <c r="AD83" i="11"/>
  <c r="AN17" i="10"/>
  <c r="AT83" i="11"/>
  <c r="J16" i="10"/>
  <c r="P82" i="11"/>
  <c r="Z16" i="10"/>
  <c r="AF82" i="11"/>
  <c r="K19" i="10"/>
  <c r="Q84" i="11"/>
  <c r="AA19" i="10"/>
  <c r="AG84" i="11"/>
  <c r="L20" i="10"/>
  <c r="R85" i="11"/>
  <c r="AB20" i="10"/>
  <c r="AH85" i="11"/>
  <c r="T18" i="10"/>
  <c r="Z81" i="11"/>
  <c r="AJ18" i="10"/>
  <c r="AP81" i="11"/>
  <c r="T13" i="10"/>
  <c r="Z78" i="11"/>
  <c r="Q6" i="10"/>
  <c r="W71" i="11"/>
  <c r="AG6" i="10"/>
  <c r="AM71" i="11"/>
  <c r="S92" i="11"/>
  <c r="AI92" i="11"/>
  <c r="T93" i="11"/>
  <c r="AJ93" i="11"/>
  <c r="U97" i="11"/>
  <c r="AK97" i="11"/>
  <c r="V95" i="11"/>
  <c r="V158" i="11" s="1"/>
  <c r="V163" i="11" s="1"/>
  <c r="AL95" i="11"/>
  <c r="AL158" i="11" s="1"/>
  <c r="AL163" i="11" s="1"/>
  <c r="K40" i="2"/>
  <c r="T91" i="11"/>
  <c r="AJ91" i="11"/>
  <c r="AB94" i="11"/>
  <c r="AR94" i="11"/>
  <c r="H87" i="2"/>
  <c r="AB96" i="11"/>
  <c r="AB160" i="11" s="1"/>
  <c r="AR96" i="11"/>
  <c r="AR160" i="11" s="1"/>
  <c r="G11" i="9"/>
  <c r="K15" i="9"/>
  <c r="L45" i="9" s="1"/>
  <c r="S6" i="10"/>
  <c r="AM6" i="10"/>
  <c r="AC7" i="10"/>
  <c r="T8" i="10"/>
  <c r="M9" i="10"/>
  <c r="AN9" i="10"/>
  <c r="Y12" i="10"/>
  <c r="T20" i="10"/>
  <c r="S76" i="11"/>
  <c r="AK77" i="11"/>
  <c r="U92" i="11"/>
  <c r="AD94" i="11"/>
  <c r="AK19" i="10"/>
  <c r="AQ84" i="11"/>
  <c r="AD13" i="10"/>
  <c r="AJ78" i="11"/>
  <c r="X12" i="10"/>
  <c r="AD77" i="11"/>
  <c r="J20" i="10"/>
  <c r="P85" i="11"/>
  <c r="Y17" i="10"/>
  <c r="AE83" i="11"/>
  <c r="H9" i="2"/>
  <c r="K16" i="10"/>
  <c r="Q82" i="11"/>
  <c r="AA16" i="10"/>
  <c r="AG82" i="11"/>
  <c r="L19" i="10"/>
  <c r="R84" i="11"/>
  <c r="AB19" i="10"/>
  <c r="AH84" i="11"/>
  <c r="M20" i="10"/>
  <c r="S85" i="11"/>
  <c r="AC20" i="10"/>
  <c r="AI85" i="11"/>
  <c r="U18" i="10"/>
  <c r="AA81" i="11"/>
  <c r="AK18" i="10"/>
  <c r="AQ81" i="11"/>
  <c r="U13" i="10"/>
  <c r="AA78" i="11"/>
  <c r="P8" i="10"/>
  <c r="V72" i="11"/>
  <c r="AF8" i="10"/>
  <c r="AL72" i="11"/>
  <c r="Q10" i="10"/>
  <c r="W76" i="11"/>
  <c r="AG10" i="10"/>
  <c r="AM76" i="11"/>
  <c r="AN71" i="11"/>
  <c r="L8" i="9"/>
  <c r="T92" i="11"/>
  <c r="AJ92" i="11"/>
  <c r="U93" i="11"/>
  <c r="AK93" i="11"/>
  <c r="V97" i="11"/>
  <c r="AL97" i="11"/>
  <c r="W95" i="11"/>
  <c r="W158" i="11" s="1"/>
  <c r="AM95" i="11"/>
  <c r="AM158" i="11" s="1"/>
  <c r="H43" i="2"/>
  <c r="U91" i="11"/>
  <c r="AK91" i="11"/>
  <c r="AC94" i="11"/>
  <c r="AS94" i="11"/>
  <c r="AC96" i="11"/>
  <c r="AC160" i="11" s="1"/>
  <c r="AS96" i="11"/>
  <c r="AS160" i="11" s="1"/>
  <c r="H91" i="2"/>
  <c r="H11" i="9"/>
  <c r="T6" i="10"/>
  <c r="AN6" i="10"/>
  <c r="AD7" i="10"/>
  <c r="U8" i="10"/>
  <c r="N9" i="10"/>
  <c r="L10" i="10"/>
  <c r="AD12" i="10"/>
  <c r="AI76" i="11"/>
  <c r="V78" i="11"/>
  <c r="L21" i="9"/>
  <c r="R69" i="11"/>
  <c r="P8" i="9"/>
  <c r="Q14" i="9"/>
  <c r="M18" i="9"/>
  <c r="G15" i="9"/>
  <c r="N18" i="9"/>
  <c r="M15" i="9"/>
  <c r="M45" i="9" s="1"/>
  <c r="Q18" i="9"/>
  <c r="N15" i="9"/>
  <c r="R18" i="9"/>
  <c r="O15" i="9"/>
  <c r="G19" i="9"/>
  <c r="P15" i="9"/>
  <c r="H19" i="9"/>
  <c r="Q15" i="9"/>
  <c r="K19" i="9"/>
  <c r="R15" i="9"/>
  <c r="E15" i="9" s="1"/>
  <c r="H13" i="10" s="1"/>
  <c r="M19" i="9"/>
  <c r="I18" i="9"/>
  <c r="P19" i="9"/>
  <c r="M8" i="9"/>
  <c r="J18" i="9"/>
  <c r="O20" i="9"/>
  <c r="N8" i="9"/>
  <c r="R20" i="9"/>
  <c r="K13" i="9"/>
  <c r="L13" i="9"/>
  <c r="H14" i="9"/>
  <c r="I14" i="9"/>
  <c r="L14" i="9"/>
  <c r="J20" i="9"/>
  <c r="G12" i="9"/>
  <c r="O14" i="9"/>
  <c r="K20" i="9"/>
  <c r="H12" i="9"/>
  <c r="P14" i="9"/>
  <c r="L20" i="9"/>
  <c r="P12" i="9"/>
  <c r="R22" i="9"/>
  <c r="B44" i="9"/>
  <c r="Q12" i="9"/>
  <c r="I13" i="9"/>
  <c r="I43" i="9" s="1"/>
  <c r="M14" i="9"/>
  <c r="L19" i="9"/>
  <c r="P20" i="9"/>
  <c r="G9" i="9"/>
  <c r="J13" i="9"/>
  <c r="N14" i="9"/>
  <c r="Q20" i="9"/>
  <c r="H9" i="9"/>
  <c r="I9" i="9"/>
  <c r="J9" i="9"/>
  <c r="K9" i="9"/>
  <c r="J12" i="9"/>
  <c r="N13" i="9"/>
  <c r="N43" i="9" s="1"/>
  <c r="R14" i="9"/>
  <c r="E14" i="9" s="1"/>
  <c r="H12" i="10" s="1"/>
  <c r="Q19" i="9"/>
  <c r="B28" i="9"/>
  <c r="L9" i="9"/>
  <c r="K12" i="9"/>
  <c r="L42" i="9" s="1"/>
  <c r="O13" i="9"/>
  <c r="R19" i="9"/>
  <c r="B35" i="9"/>
  <c r="M9" i="9"/>
  <c r="G20" i="9"/>
  <c r="B34" i="9"/>
  <c r="N9" i="9"/>
  <c r="M12" i="9"/>
  <c r="Q13" i="9"/>
  <c r="H20" i="9"/>
  <c r="B33" i="9"/>
  <c r="O9" i="9"/>
  <c r="N12" i="9"/>
  <c r="R13" i="9"/>
  <c r="E13" i="9" s="1"/>
  <c r="H11" i="10" s="1"/>
  <c r="I20" i="9"/>
  <c r="B31" i="9"/>
  <c r="B29" i="9"/>
  <c r="R12" i="9"/>
  <c r="E12" i="9" s="1"/>
  <c r="H10" i="10" s="1"/>
  <c r="J14" i="9"/>
  <c r="I19" i="9"/>
  <c r="M20" i="9"/>
  <c r="G13" i="9"/>
  <c r="G44" i="9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N21" i="9"/>
  <c r="O21" i="9"/>
  <c r="P21" i="9"/>
  <c r="Q21" i="9"/>
  <c r="R21" i="9"/>
  <c r="G22" i="9"/>
  <c r="B32" i="9"/>
  <c r="H22" i="9"/>
  <c r="I22" i="9"/>
  <c r="B30" i="9"/>
  <c r="J22" i="9"/>
  <c r="G21" i="9"/>
  <c r="K22" i="9"/>
  <c r="B45" i="9"/>
  <c r="H21" i="9"/>
  <c r="L22" i="9"/>
  <c r="I21" i="9"/>
  <c r="M22" i="9"/>
  <c r="J21" i="9"/>
  <c r="N22" i="9"/>
  <c r="K21" i="9"/>
  <c r="O22" i="9"/>
  <c r="M21" i="9"/>
  <c r="Q8" i="9"/>
  <c r="R8" i="9"/>
  <c r="E8" i="9" s="1"/>
  <c r="B38" i="9"/>
  <c r="G8" i="9"/>
  <c r="H8" i="9"/>
  <c r="I8" i="9"/>
  <c r="J8" i="9"/>
  <c r="M41" i="9"/>
  <c r="N41" i="9"/>
  <c r="P9" i="9"/>
  <c r="Q9" i="9"/>
  <c r="R9" i="9"/>
  <c r="E9" i="9" s="1"/>
  <c r="H7" i="10" s="1"/>
  <c r="G39" i="9"/>
  <c r="K41" i="9"/>
  <c r="L41" i="9"/>
  <c r="O41" i="9"/>
  <c r="H15" i="9"/>
  <c r="I15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L127" i="2" s="1"/>
  <c r="I127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N127" i="2" s="1"/>
  <c r="P127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E127" i="2" s="1"/>
  <c r="K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AN163" i="11" l="1"/>
  <c r="AR163" i="11"/>
  <c r="AS163" i="11"/>
  <c r="AO163" i="11"/>
  <c r="AC163" i="11"/>
  <c r="AK163" i="11"/>
  <c r="AB163" i="11"/>
  <c r="AP163" i="11"/>
  <c r="AM163" i="11"/>
  <c r="W163" i="11"/>
  <c r="C28" i="11"/>
  <c r="K96" i="11" s="1"/>
  <c r="K160" i="11" s="1"/>
  <c r="AT160" i="11"/>
  <c r="C31" i="11"/>
  <c r="K95" i="11" s="1"/>
  <c r="K158" i="11" s="1"/>
  <c r="AT158" i="11"/>
  <c r="AT163" i="11" s="1"/>
  <c r="AJ24" i="8"/>
  <c r="V24" i="8"/>
  <c r="AL24" i="8"/>
  <c r="X24" i="8"/>
  <c r="AN24" i="8"/>
  <c r="Y24" i="8"/>
  <c r="AH24" i="8"/>
  <c r="AO24" i="8"/>
  <c r="Z24" i="8"/>
  <c r="AL86" i="11"/>
  <c r="T86" i="11"/>
  <c r="AA86" i="11"/>
  <c r="S24" i="8"/>
  <c r="AI24" i="8"/>
  <c r="T24" i="8"/>
  <c r="Z86" i="11"/>
  <c r="V86" i="11"/>
  <c r="AP86" i="11"/>
  <c r="AK86" i="11"/>
  <c r="AB86" i="11"/>
  <c r="Y86" i="11"/>
  <c r="AI86" i="11"/>
  <c r="W86" i="11"/>
  <c r="AQ86" i="11"/>
  <c r="AN86" i="11"/>
  <c r="AJ86" i="11"/>
  <c r="X86" i="11"/>
  <c r="S86" i="11"/>
  <c r="AO86" i="11"/>
  <c r="U86" i="11"/>
  <c r="AH86" i="11"/>
  <c r="R86" i="11"/>
  <c r="AE86" i="11"/>
  <c r="AT86" i="11"/>
  <c r="AD86" i="11"/>
  <c r="AG86" i="11"/>
  <c r="P86" i="11"/>
  <c r="Q86" i="11"/>
  <c r="AR86" i="11"/>
  <c r="AS86" i="11"/>
  <c r="AM86" i="11"/>
  <c r="AF86" i="11"/>
  <c r="AC86" i="11"/>
  <c r="AJ126" i="11"/>
  <c r="J41" i="9"/>
  <c r="AH126" i="11"/>
  <c r="AS126" i="11"/>
  <c r="AR126" i="11"/>
  <c r="AC126" i="11"/>
  <c r="I41" i="9"/>
  <c r="AN126" i="11"/>
  <c r="AG126" i="11"/>
  <c r="AK126" i="11"/>
  <c r="AO126" i="11"/>
  <c r="AM126" i="11"/>
  <c r="AT126" i="11"/>
  <c r="AP126" i="11"/>
  <c r="AL126" i="11"/>
  <c r="AI126" i="11"/>
  <c r="AE126" i="11"/>
  <c r="G42" i="9"/>
  <c r="AF126" i="11"/>
  <c r="AB126" i="11"/>
  <c r="U79" i="2"/>
  <c r="AK79" i="2"/>
  <c r="AA100" i="2"/>
  <c r="AB106" i="11"/>
  <c r="Q40" i="9"/>
  <c r="AD21" i="10"/>
  <c r="H43" i="9"/>
  <c r="P38" i="9"/>
  <c r="I40" i="9"/>
  <c r="AE79" i="11"/>
  <c r="J40" i="9"/>
  <c r="F27" i="8"/>
  <c r="R21" i="10"/>
  <c r="H40" i="9"/>
  <c r="N21" i="10"/>
  <c r="S14" i="10"/>
  <c r="K40" i="9"/>
  <c r="Z21" i="10"/>
  <c r="P40" i="9"/>
  <c r="K14" i="10"/>
  <c r="O40" i="9"/>
  <c r="P21" i="10"/>
  <c r="Y100" i="11"/>
  <c r="AL79" i="11"/>
  <c r="U100" i="11"/>
  <c r="P100" i="11"/>
  <c r="K45" i="9"/>
  <c r="AL14" i="10"/>
  <c r="AJ21" i="10"/>
  <c r="AN21" i="10"/>
  <c r="G43" i="9"/>
  <c r="R40" i="9"/>
  <c r="O21" i="10"/>
  <c r="AI14" i="10"/>
  <c r="O42" i="9"/>
  <c r="Z100" i="11"/>
  <c r="P42" i="9"/>
  <c r="AG100" i="11"/>
  <c r="AF100" i="11"/>
  <c r="Q100" i="11"/>
  <c r="AD100" i="11"/>
  <c r="U79" i="11"/>
  <c r="AO100" i="11"/>
  <c r="AR100" i="11"/>
  <c r="AM100" i="11"/>
  <c r="AE100" i="11"/>
  <c r="AS100" i="11"/>
  <c r="AL100" i="11"/>
  <c r="AP100" i="11"/>
  <c r="W100" i="11"/>
  <c r="AH100" i="11"/>
  <c r="AC100" i="11"/>
  <c r="AN100" i="11"/>
  <c r="V100" i="11"/>
  <c r="C24" i="11"/>
  <c r="AT100" i="11"/>
  <c r="AJ100" i="11"/>
  <c r="R100" i="11"/>
  <c r="AB100" i="11"/>
  <c r="T100" i="11"/>
  <c r="AQ100" i="11"/>
  <c r="X100" i="11"/>
  <c r="AI100" i="11"/>
  <c r="AA100" i="11"/>
  <c r="AK79" i="11"/>
  <c r="AK100" i="11"/>
  <c r="S100" i="11"/>
  <c r="AE21" i="10"/>
  <c r="AJ14" i="10"/>
  <c r="M14" i="10"/>
  <c r="Q14" i="10"/>
  <c r="Q79" i="11"/>
  <c r="W14" i="10"/>
  <c r="Q41" i="9"/>
  <c r="AG79" i="11"/>
  <c r="AP79" i="11"/>
  <c r="AM21" i="10"/>
  <c r="N40" i="9"/>
  <c r="AI21" i="10"/>
  <c r="O14" i="10"/>
  <c r="O23" i="10" s="1"/>
  <c r="W21" i="10"/>
  <c r="Q21" i="10"/>
  <c r="AI79" i="11"/>
  <c r="AL21" i="10"/>
  <c r="AK21" i="10"/>
  <c r="T79" i="11"/>
  <c r="AN14" i="10"/>
  <c r="P14" i="10"/>
  <c r="AA21" i="10"/>
  <c r="K21" i="10"/>
  <c r="L40" i="9"/>
  <c r="AD79" i="11"/>
  <c r="G45" i="9"/>
  <c r="L21" i="10"/>
  <c r="S21" i="10"/>
  <c r="I27" i="8"/>
  <c r="AE14" i="10"/>
  <c r="G38" i="9"/>
  <c r="AC21" i="10"/>
  <c r="M21" i="10"/>
  <c r="Y79" i="11"/>
  <c r="P41" i="9"/>
  <c r="R79" i="11"/>
  <c r="T21" i="10"/>
  <c r="C9" i="11"/>
  <c r="AF14" i="10"/>
  <c r="AA79" i="11"/>
  <c r="D27" i="8"/>
  <c r="AG14" i="10"/>
  <c r="C27" i="8"/>
  <c r="AF21" i="10"/>
  <c r="AA14" i="10"/>
  <c r="J14" i="10"/>
  <c r="AR79" i="11"/>
  <c r="AO79" i="11"/>
  <c r="X79" i="11"/>
  <c r="AQ79" i="11"/>
  <c r="Z79" i="11"/>
  <c r="G27" i="8"/>
  <c r="U21" i="10"/>
  <c r="Y14" i="10"/>
  <c r="X21" i="10"/>
  <c r="AK14" i="10"/>
  <c r="Y21" i="10"/>
  <c r="AM14" i="10"/>
  <c r="AC14" i="10"/>
  <c r="AF79" i="11"/>
  <c r="AB79" i="11"/>
  <c r="AH79" i="11"/>
  <c r="AG21" i="10"/>
  <c r="AB21" i="10"/>
  <c r="AH14" i="10"/>
  <c r="AN79" i="11"/>
  <c r="P79" i="11"/>
  <c r="T14" i="10"/>
  <c r="AM79" i="11"/>
  <c r="U14" i="10"/>
  <c r="R14" i="10"/>
  <c r="Q44" i="9"/>
  <c r="W79" i="11"/>
  <c r="G41" i="9"/>
  <c r="R41" i="9"/>
  <c r="J21" i="10"/>
  <c r="V79" i="11"/>
  <c r="G40" i="9"/>
  <c r="X14" i="10"/>
  <c r="AC79" i="11"/>
  <c r="S79" i="11"/>
  <c r="Z14" i="10"/>
  <c r="AD14" i="10"/>
  <c r="V14" i="10"/>
  <c r="AH21" i="10"/>
  <c r="Q43" i="9"/>
  <c r="AB14" i="10"/>
  <c r="J27" i="8"/>
  <c r="M38" i="9"/>
  <c r="C18" i="11"/>
  <c r="C21" i="11" s="1"/>
  <c r="N14" i="10"/>
  <c r="AJ79" i="11"/>
  <c r="V21" i="10"/>
  <c r="K97" i="11"/>
  <c r="M40" i="9"/>
  <c r="K44" i="9"/>
  <c r="L44" i="9"/>
  <c r="P43" i="9"/>
  <c r="L14" i="10"/>
  <c r="H41" i="9"/>
  <c r="N38" i="9"/>
  <c r="L38" i="9"/>
  <c r="AT79" i="11"/>
  <c r="L28" i="2"/>
  <c r="AS79" i="11"/>
  <c r="H44" i="9"/>
  <c r="H45" i="9"/>
  <c r="N45" i="9"/>
  <c r="O38" i="9"/>
  <c r="H39" i="9"/>
  <c r="L39" i="9"/>
  <c r="M44" i="9"/>
  <c r="O45" i="9"/>
  <c r="S69" i="11"/>
  <c r="AE100" i="2"/>
  <c r="N39" i="9"/>
  <c r="L43" i="9"/>
  <c r="K39" i="9"/>
  <c r="H42" i="9"/>
  <c r="E69" i="2"/>
  <c r="H69" i="2"/>
  <c r="AM79" i="2"/>
  <c r="K16" i="9"/>
  <c r="K34" i="9" s="1"/>
  <c r="J39" i="9"/>
  <c r="I44" i="9"/>
  <c r="P45" i="9"/>
  <c r="H62" i="2"/>
  <c r="Q45" i="9"/>
  <c r="O44" i="9"/>
  <c r="J44" i="9"/>
  <c r="Q42" i="9"/>
  <c r="M43" i="9"/>
  <c r="L16" i="9"/>
  <c r="L29" i="9" s="1"/>
  <c r="R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16" i="9"/>
  <c r="N32" i="9" s="1"/>
  <c r="N42" i="9"/>
  <c r="J16" i="9"/>
  <c r="J28" i="9" s="1"/>
  <c r="J42" i="9"/>
  <c r="O39" i="9"/>
  <c r="P39" i="9"/>
  <c r="R44" i="9"/>
  <c r="O23" i="9"/>
  <c r="R23" i="9"/>
  <c r="M16" i="9"/>
  <c r="M34" i="9" s="1"/>
  <c r="M42" i="9"/>
  <c r="H23" i="9"/>
  <c r="N23" i="9"/>
  <c r="G23" i="9"/>
  <c r="Q16" i="9"/>
  <c r="Q34" i="9" s="1"/>
  <c r="J23" i="9"/>
  <c r="M23" i="9"/>
  <c r="K23" i="9"/>
  <c r="H38" i="9"/>
  <c r="H16" i="9"/>
  <c r="H30" i="9" s="1"/>
  <c r="E16" i="9"/>
  <c r="E35" i="9" s="1"/>
  <c r="H6" i="10"/>
  <c r="H14" i="10" s="1"/>
  <c r="G16" i="9"/>
  <c r="G35" i="9" s="1"/>
  <c r="I45" i="9"/>
  <c r="I38" i="9"/>
  <c r="D18" i="10"/>
  <c r="G12" i="10"/>
  <c r="D17" i="10"/>
  <c r="D16" i="10"/>
  <c r="G17" i="10"/>
  <c r="F20" i="10"/>
  <c r="D19" i="10"/>
  <c r="D20" i="10"/>
  <c r="C16" i="10"/>
  <c r="F7" i="10"/>
  <c r="G7" i="10"/>
  <c r="C12" i="10"/>
  <c r="C17" i="10"/>
  <c r="F10" i="10"/>
  <c r="G18" i="10"/>
  <c r="C13" i="10"/>
  <c r="F6" i="10"/>
  <c r="C19" i="10"/>
  <c r="D7" i="10"/>
  <c r="G11" i="10"/>
  <c r="C20" i="10"/>
  <c r="G8" i="10"/>
  <c r="F8" i="10"/>
  <c r="G19" i="10"/>
  <c r="F19" i="10"/>
  <c r="G13" i="10"/>
  <c r="D9" i="10"/>
  <c r="F18" i="10"/>
  <c r="F13" i="10"/>
  <c r="G16" i="10"/>
  <c r="F12" i="10"/>
  <c r="C6" i="10"/>
  <c r="F11" i="10"/>
  <c r="D10" i="10"/>
  <c r="G9" i="10"/>
  <c r="C11" i="10"/>
  <c r="D8" i="10"/>
  <c r="C7" i="10"/>
  <c r="G6" i="10"/>
  <c r="C18" i="10"/>
  <c r="G20" i="10"/>
  <c r="D6" i="10"/>
  <c r="F16" i="10"/>
  <c r="F9" i="10"/>
  <c r="D13" i="10"/>
  <c r="D12" i="10"/>
  <c r="D11" i="10"/>
  <c r="F17" i="10"/>
  <c r="G10" i="10"/>
  <c r="C10" i="10"/>
  <c r="C9" i="10"/>
  <c r="C8" i="10"/>
  <c r="R38" i="9"/>
  <c r="R16" i="9"/>
  <c r="R29" i="9" s="1"/>
  <c r="Q38" i="9"/>
  <c r="R39" i="9"/>
  <c r="K38" i="9"/>
  <c r="J38" i="9"/>
  <c r="I16" i="9"/>
  <c r="I35" i="9" s="1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K47" i="2" s="1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N128" i="2" s="1"/>
  <c r="P128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L128" i="2" s="1"/>
  <c r="I128" i="2" s="1"/>
  <c r="K10" i="2"/>
  <c r="E112" i="2"/>
  <c r="E128" i="2" s="1"/>
  <c r="K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Q127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K74" i="11" l="1"/>
  <c r="K157" i="11" s="1"/>
  <c r="AD23" i="10"/>
  <c r="AM101" i="2"/>
  <c r="P48" i="2"/>
  <c r="AE88" i="11"/>
  <c r="AE128" i="11" s="1"/>
  <c r="K23" i="10"/>
  <c r="R23" i="10"/>
  <c r="N23" i="10"/>
  <c r="Z23" i="10"/>
  <c r="S23" i="10"/>
  <c r="K28" i="9"/>
  <c r="P23" i="10"/>
  <c r="AJ23" i="10"/>
  <c r="AM23" i="10"/>
  <c r="AN23" i="10"/>
  <c r="Y88" i="11"/>
  <c r="Y128" i="11" s="1"/>
  <c r="P88" i="11"/>
  <c r="P128" i="11" s="1"/>
  <c r="Q23" i="10"/>
  <c r="W23" i="10"/>
  <c r="AH88" i="11"/>
  <c r="AH128" i="11" s="1"/>
  <c r="M23" i="10"/>
  <c r="AG23" i="10"/>
  <c r="AL88" i="11"/>
  <c r="AL128" i="11" s="1"/>
  <c r="U23" i="10"/>
  <c r="AL23" i="10"/>
  <c r="AC23" i="10"/>
  <c r="G46" i="9"/>
  <c r="U88" i="11"/>
  <c r="U128" i="11" s="1"/>
  <c r="K91" i="11"/>
  <c r="AB23" i="10"/>
  <c r="AI88" i="11"/>
  <c r="AI128" i="11" s="1"/>
  <c r="AG88" i="11"/>
  <c r="AG128" i="11" s="1"/>
  <c r="AJ88" i="11"/>
  <c r="AJ128" i="11" s="1"/>
  <c r="AE23" i="10"/>
  <c r="T23" i="10"/>
  <c r="AI23" i="10"/>
  <c r="AK88" i="11"/>
  <c r="AK128" i="11" s="1"/>
  <c r="Q88" i="11"/>
  <c r="Q128" i="11" s="1"/>
  <c r="AB88" i="11"/>
  <c r="AB128" i="11" s="1"/>
  <c r="AD88" i="11"/>
  <c r="AD128" i="11" s="1"/>
  <c r="AT88" i="11"/>
  <c r="AT128" i="11" s="1"/>
  <c r="C14" i="11"/>
  <c r="AO88" i="11"/>
  <c r="AO128" i="11" s="1"/>
  <c r="AP88" i="11"/>
  <c r="AP128" i="11" s="1"/>
  <c r="R88" i="11"/>
  <c r="R128" i="11" s="1"/>
  <c r="S88" i="11"/>
  <c r="S128" i="11" s="1"/>
  <c r="Z88" i="11"/>
  <c r="Z128" i="11" s="1"/>
  <c r="T88" i="11"/>
  <c r="T128" i="11" s="1"/>
  <c r="V88" i="11"/>
  <c r="V128" i="11" s="1"/>
  <c r="AQ88" i="11"/>
  <c r="AQ128" i="11" s="1"/>
  <c r="X88" i="11"/>
  <c r="X128" i="11" s="1"/>
  <c r="L23" i="10"/>
  <c r="AA88" i="11"/>
  <c r="AA128" i="11" s="1"/>
  <c r="Y23" i="10"/>
  <c r="AK23" i="10"/>
  <c r="AA23" i="10"/>
  <c r="W88" i="11"/>
  <c r="W128" i="11" s="1"/>
  <c r="X23" i="10"/>
  <c r="AF88" i="11"/>
  <c r="AF128" i="11" s="1"/>
  <c r="O34" i="9"/>
  <c r="L32" i="9"/>
  <c r="AS88" i="11"/>
  <c r="AS128" i="11" s="1"/>
  <c r="AF23" i="10"/>
  <c r="AN88" i="11"/>
  <c r="AN128" i="11" s="1"/>
  <c r="AR88" i="11"/>
  <c r="AR128" i="11" s="1"/>
  <c r="J23" i="10"/>
  <c r="AC88" i="11"/>
  <c r="AC128" i="11" s="1"/>
  <c r="V23" i="10"/>
  <c r="AH23" i="10"/>
  <c r="AM88" i="11"/>
  <c r="AM128" i="11" s="1"/>
  <c r="K32" i="9"/>
  <c r="K30" i="9"/>
  <c r="K33" i="9"/>
  <c r="K35" i="9"/>
  <c r="K29" i="9"/>
  <c r="K31" i="9"/>
  <c r="K25" i="9"/>
  <c r="K81" i="11"/>
  <c r="K46" i="9"/>
  <c r="J32" i="9"/>
  <c r="J29" i="9"/>
  <c r="J31" i="9"/>
  <c r="J34" i="9"/>
  <c r="J35" i="9"/>
  <c r="J33" i="9"/>
  <c r="L35" i="9"/>
  <c r="L30" i="9"/>
  <c r="O30" i="9"/>
  <c r="O35" i="9"/>
  <c r="O32" i="9"/>
  <c r="O29" i="9"/>
  <c r="T69" i="11"/>
  <c r="L25" i="9"/>
  <c r="AH101" i="2"/>
  <c r="AH102" i="2" s="1"/>
  <c r="AH114" i="2" s="1"/>
  <c r="J25" i="9"/>
  <c r="O25" i="9"/>
  <c r="J30" i="9"/>
  <c r="L31" i="9"/>
  <c r="L33" i="9"/>
  <c r="L46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Q31" i="9"/>
  <c r="E28" i="9"/>
  <c r="E30" i="9"/>
  <c r="Q25" i="9"/>
  <c r="E33" i="9"/>
  <c r="Q35" i="9"/>
  <c r="E29" i="9"/>
  <c r="Q30" i="9"/>
  <c r="E34" i="9"/>
  <c r="E31" i="9"/>
  <c r="Q33" i="9"/>
  <c r="Q28" i="9"/>
  <c r="E32" i="9"/>
  <c r="Q32" i="9"/>
  <c r="Q29" i="9"/>
  <c r="I32" i="9"/>
  <c r="R34" i="9"/>
  <c r="H25" i="9"/>
  <c r="R3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I31" i="9"/>
  <c r="J46" i="9"/>
  <c r="P46" i="9"/>
  <c r="I29" i="9"/>
  <c r="I33" i="9"/>
  <c r="I30" i="9"/>
  <c r="P32" i="9"/>
  <c r="R46" i="9"/>
  <c r="R31" i="9"/>
  <c r="R28" i="9"/>
  <c r="R25" i="9"/>
  <c r="R33" i="9"/>
  <c r="R30" i="9"/>
  <c r="P33" i="9"/>
  <c r="R32" i="9"/>
  <c r="F21" i="10"/>
  <c r="D14" i="10"/>
  <c r="C14" i="10"/>
  <c r="C21" i="10"/>
  <c r="G21" i="10"/>
  <c r="F14" i="10"/>
  <c r="G14" i="10"/>
  <c r="D21" i="10"/>
  <c r="P31" i="9"/>
  <c r="I34" i="9"/>
  <c r="I28" i="9"/>
  <c r="P28" i="9"/>
  <c r="I25" i="9"/>
  <c r="P34" i="9"/>
  <c r="P25" i="9"/>
  <c r="I46" i="9"/>
  <c r="P35" i="9"/>
  <c r="Q46" i="9"/>
  <c r="P30" i="9"/>
  <c r="I29" i="2"/>
  <c r="N122" i="2" s="1"/>
  <c r="P122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L129" i="2" s="1"/>
  <c r="I129" i="2" s="1"/>
  <c r="I100" i="2"/>
  <c r="F79" i="2"/>
  <c r="F100" i="2"/>
  <c r="T101" i="2"/>
  <c r="K79" i="2"/>
  <c r="U102" i="2"/>
  <c r="U114" i="2" s="1"/>
  <c r="I113" i="2"/>
  <c r="N129" i="2" s="1"/>
  <c r="P129" i="2" s="1"/>
  <c r="K100" i="2"/>
  <c r="E113" i="2"/>
  <c r="E129" i="2" s="1"/>
  <c r="K129" i="2" s="1"/>
  <c r="L100" i="2"/>
  <c r="AG101" i="2"/>
  <c r="AG102" i="2" s="1"/>
  <c r="AG114" i="2" s="1"/>
  <c r="L113" i="2"/>
  <c r="I47" i="2"/>
  <c r="N123" i="2" s="1"/>
  <c r="P123" i="2" s="1"/>
  <c r="Z48" i="2"/>
  <c r="F29" i="2"/>
  <c r="L122" i="2" s="1"/>
  <c r="I122" i="2" s="1"/>
  <c r="K113" i="2"/>
  <c r="L47" i="2"/>
  <c r="F47" i="2"/>
  <c r="L123" i="2" s="1"/>
  <c r="I123" i="2" s="1"/>
  <c r="T48" i="2"/>
  <c r="E48" i="2" s="1"/>
  <c r="E124" i="2" s="1"/>
  <c r="K124" i="2" s="1"/>
  <c r="K29" i="2"/>
  <c r="E29" i="2"/>
  <c r="E122" i="2" s="1"/>
  <c r="K122" i="2" s="1"/>
  <c r="E47" i="2"/>
  <c r="E123" i="2" s="1"/>
  <c r="K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Q128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K79" i="11" l="1"/>
  <c r="K86" i="11"/>
  <c r="Y131" i="11"/>
  <c r="Y129" i="11"/>
  <c r="Z131" i="11"/>
  <c r="Z129" i="11"/>
  <c r="V131" i="11"/>
  <c r="V129" i="11"/>
  <c r="S131" i="11"/>
  <c r="S129" i="11"/>
  <c r="P131" i="11"/>
  <c r="P129" i="11"/>
  <c r="AP131" i="11"/>
  <c r="AP129" i="11"/>
  <c r="AD131" i="11"/>
  <c r="AD129" i="11"/>
  <c r="T131" i="11"/>
  <c r="T129" i="11"/>
  <c r="U131" i="11"/>
  <c r="U129" i="11"/>
  <c r="AL131" i="11"/>
  <c r="AL129" i="11"/>
  <c r="AG131" i="11"/>
  <c r="AG129" i="11"/>
  <c r="AS131" i="11"/>
  <c r="AS129" i="11"/>
  <c r="AO131" i="11"/>
  <c r="AO129" i="11"/>
  <c r="AM131" i="11"/>
  <c r="AM129" i="11"/>
  <c r="Q131" i="11"/>
  <c r="Q129" i="11"/>
  <c r="AJ131" i="11"/>
  <c r="AJ129" i="11"/>
  <c r="R131" i="11"/>
  <c r="R129" i="11"/>
  <c r="AT131" i="11"/>
  <c r="AT129" i="11"/>
  <c r="AB131" i="11"/>
  <c r="AB129" i="11"/>
  <c r="AA131" i="11"/>
  <c r="AA129" i="11"/>
  <c r="AK131" i="11"/>
  <c r="AK129" i="11"/>
  <c r="AE131" i="11"/>
  <c r="AE129" i="11"/>
  <c r="AR131" i="11"/>
  <c r="AR129" i="11"/>
  <c r="AI131" i="11"/>
  <c r="AI129" i="11"/>
  <c r="W131" i="11"/>
  <c r="W129" i="11"/>
  <c r="AH131" i="11"/>
  <c r="AH129" i="11"/>
  <c r="AN131" i="11"/>
  <c r="AN129" i="11"/>
  <c r="AF131" i="11"/>
  <c r="AF129" i="11"/>
  <c r="X131" i="11"/>
  <c r="X129" i="11"/>
  <c r="AC131" i="11"/>
  <c r="AC129" i="11"/>
  <c r="AQ131" i="11"/>
  <c r="AQ129" i="11"/>
  <c r="AF134" i="11"/>
  <c r="AF138" i="11" s="1"/>
  <c r="AF143" i="11" s="1"/>
  <c r="AF165" i="11" s="1"/>
  <c r="AF166" i="11" s="1"/>
  <c r="AH134" i="11"/>
  <c r="AH138" i="11" s="1"/>
  <c r="AH143" i="11" s="1"/>
  <c r="AH165" i="11" s="1"/>
  <c r="AH166" i="11" s="1"/>
  <c r="AA134" i="11"/>
  <c r="AA138" i="11" s="1"/>
  <c r="AA143" i="11" s="1"/>
  <c r="AA165" i="11" s="1"/>
  <c r="AA166" i="11" s="1"/>
  <c r="S134" i="11"/>
  <c r="S138" i="11" s="1"/>
  <c r="S143" i="11" s="1"/>
  <c r="S165" i="11" s="1"/>
  <c r="S166" i="11" s="1"/>
  <c r="U134" i="11"/>
  <c r="U138" i="11" s="1"/>
  <c r="U143" i="11" s="1"/>
  <c r="U165" i="11" s="1"/>
  <c r="U166" i="11" s="1"/>
  <c r="AL134" i="11"/>
  <c r="AL138" i="11" s="1"/>
  <c r="AL143" i="11" s="1"/>
  <c r="AL165" i="11" s="1"/>
  <c r="AL166" i="11" s="1"/>
  <c r="AO134" i="11"/>
  <c r="AO138" i="11" s="1"/>
  <c r="AO143" i="11" s="1"/>
  <c r="AO165" i="11" s="1"/>
  <c r="AO166" i="11" s="1"/>
  <c r="AE134" i="11"/>
  <c r="AE138" i="11" s="1"/>
  <c r="AE143" i="11" s="1"/>
  <c r="AE165" i="11" s="1"/>
  <c r="AE166" i="11" s="1"/>
  <c r="AI134" i="11"/>
  <c r="AI138" i="11" s="1"/>
  <c r="AI143" i="11" s="1"/>
  <c r="AI165" i="11" s="1"/>
  <c r="AI166" i="11" s="1"/>
  <c r="AD134" i="11"/>
  <c r="AD138" i="11" s="1"/>
  <c r="AD143" i="11" s="1"/>
  <c r="AD165" i="11" s="1"/>
  <c r="AD166" i="11" s="1"/>
  <c r="X134" i="11"/>
  <c r="X138" i="11" s="1"/>
  <c r="X143" i="11" s="1"/>
  <c r="X165" i="11" s="1"/>
  <c r="X166" i="11" s="1"/>
  <c r="Y134" i="11"/>
  <c r="Y138" i="11" s="1"/>
  <c r="Y143" i="11" s="1"/>
  <c r="Y165" i="11" s="1"/>
  <c r="Y166" i="11" s="1"/>
  <c r="W134" i="11"/>
  <c r="W138" i="11" s="1"/>
  <c r="W143" i="11" s="1"/>
  <c r="W165" i="11" s="1"/>
  <c r="W166" i="11" s="1"/>
  <c r="P134" i="11"/>
  <c r="P138" i="11" s="1"/>
  <c r="P143" i="11" s="1"/>
  <c r="P165" i="11" s="1"/>
  <c r="P166" i="11" s="1"/>
  <c r="AR134" i="11"/>
  <c r="AR138" i="11" s="1"/>
  <c r="AR143" i="11" s="1"/>
  <c r="AR165" i="11" s="1"/>
  <c r="AR166" i="11" s="1"/>
  <c r="AC134" i="11"/>
  <c r="AC138" i="11" s="1"/>
  <c r="AC143" i="11" s="1"/>
  <c r="AC165" i="11" s="1"/>
  <c r="AC166" i="11" s="1"/>
  <c r="AN134" i="11"/>
  <c r="AN138" i="11" s="1"/>
  <c r="AN143" i="11" s="1"/>
  <c r="AN165" i="11" s="1"/>
  <c r="AN166" i="11" s="1"/>
  <c r="AQ134" i="11"/>
  <c r="AQ138" i="11" s="1"/>
  <c r="AQ143" i="11" s="1"/>
  <c r="AQ165" i="11" s="1"/>
  <c r="AQ166" i="11" s="1"/>
  <c r="AP134" i="11"/>
  <c r="AP138" i="11" s="1"/>
  <c r="AP143" i="11" s="1"/>
  <c r="AP165" i="11" s="1"/>
  <c r="AP166" i="11" s="1"/>
  <c r="AT134" i="11"/>
  <c r="AT138" i="11" s="1"/>
  <c r="AT143" i="11" s="1"/>
  <c r="AT165" i="11" s="1"/>
  <c r="AT166" i="11" s="1"/>
  <c r="AB134" i="11"/>
  <c r="AB138" i="11" s="1"/>
  <c r="AB143" i="11" s="1"/>
  <c r="AB165" i="11" s="1"/>
  <c r="AB166" i="11" s="1"/>
  <c r="V134" i="11"/>
  <c r="V138" i="11" s="1"/>
  <c r="V143" i="11" s="1"/>
  <c r="V165" i="11" s="1"/>
  <c r="V166" i="11" s="1"/>
  <c r="AG134" i="11"/>
  <c r="AG138" i="11" s="1"/>
  <c r="AG143" i="11" s="1"/>
  <c r="AG165" i="11" s="1"/>
  <c r="AG166" i="11" s="1"/>
  <c r="Q134" i="11"/>
  <c r="Q138" i="11" s="1"/>
  <c r="Q143" i="11" s="1"/>
  <c r="Q165" i="11" s="1"/>
  <c r="Q166" i="11" s="1"/>
  <c r="AS134" i="11"/>
  <c r="AS138" i="11" s="1"/>
  <c r="AS143" i="11" s="1"/>
  <c r="AS165" i="11" s="1"/>
  <c r="AS166" i="11" s="1"/>
  <c r="T134" i="11"/>
  <c r="T138" i="11" s="1"/>
  <c r="T143" i="11" s="1"/>
  <c r="T165" i="11" s="1"/>
  <c r="T166" i="11" s="1"/>
  <c r="R134" i="11"/>
  <c r="R138" i="11" s="1"/>
  <c r="R143" i="11" s="1"/>
  <c r="R165" i="11" s="1"/>
  <c r="R166" i="11" s="1"/>
  <c r="AM134" i="11"/>
  <c r="AM138" i="11" s="1"/>
  <c r="AM143" i="11" s="1"/>
  <c r="AM165" i="11" s="1"/>
  <c r="AM166" i="11" s="1"/>
  <c r="AK134" i="11"/>
  <c r="AK138" i="11" s="1"/>
  <c r="AK143" i="11" s="1"/>
  <c r="AK165" i="11" s="1"/>
  <c r="AK166" i="11" s="1"/>
  <c r="Z134" i="11"/>
  <c r="Z138" i="11" s="1"/>
  <c r="Z143" i="11" s="1"/>
  <c r="Z165" i="11" s="1"/>
  <c r="Z166" i="11" s="1"/>
  <c r="AJ134" i="11"/>
  <c r="AJ138" i="11" s="1"/>
  <c r="AJ143" i="11" s="1"/>
  <c r="AJ165" i="11" s="1"/>
  <c r="AJ166" i="11" s="1"/>
  <c r="U69" i="11"/>
  <c r="D23" i="10"/>
  <c r="F23" i="10"/>
  <c r="C23" i="10"/>
  <c r="G23" i="10"/>
  <c r="Q129" i="2"/>
  <c r="H101" i="2"/>
  <c r="F48" i="2"/>
  <c r="L124" i="2" s="1"/>
  <c r="I124" i="2" s="1"/>
  <c r="H48" i="2"/>
  <c r="K48" i="2"/>
  <c r="Q123" i="2"/>
  <c r="K101" i="2"/>
  <c r="T102" i="2"/>
  <c r="I101" i="2"/>
  <c r="N125" i="2" s="1"/>
  <c r="P125" i="2" s="1"/>
  <c r="L101" i="2"/>
  <c r="F101" i="2"/>
  <c r="L125" i="2" s="1"/>
  <c r="I125" i="2" s="1"/>
  <c r="E101" i="2"/>
  <c r="E125" i="2" s="1"/>
  <c r="K125" i="2" s="1"/>
  <c r="L48" i="2"/>
  <c r="AF102" i="2"/>
  <c r="N102" i="2"/>
  <c r="Q122" i="2"/>
  <c r="N124" i="2"/>
  <c r="P124" i="2" s="1"/>
  <c r="AL102" i="2"/>
  <c r="I102" i="2" s="1"/>
  <c r="Z102" i="2"/>
  <c r="K88" i="11" l="1"/>
  <c r="AR144" i="11"/>
  <c r="AM144" i="11"/>
  <c r="AS144" i="11"/>
  <c r="AC144" i="11"/>
  <c r="AJ144" i="11"/>
  <c r="P144" i="11"/>
  <c r="V144" i="11"/>
  <c r="AK144" i="11"/>
  <c r="U144" i="11"/>
  <c r="Z144" i="11"/>
  <c r="S144" i="11"/>
  <c r="X144" i="11"/>
  <c r="AD144" i="11"/>
  <c r="Q144" i="11"/>
  <c r="AL144" i="11"/>
  <c r="W144" i="11"/>
  <c r="Y144" i="11"/>
  <c r="R144" i="11"/>
  <c r="T144" i="11"/>
  <c r="AI144" i="11"/>
  <c r="AE144" i="11"/>
  <c r="AG144" i="11"/>
  <c r="AT144" i="11"/>
  <c r="AH144" i="11"/>
  <c r="AO144" i="11"/>
  <c r="AB144" i="11"/>
  <c r="AP144" i="11"/>
  <c r="AA144" i="11"/>
  <c r="AQ144" i="11"/>
  <c r="AN144" i="11"/>
  <c r="AF144" i="11"/>
  <c r="V69" i="11"/>
  <c r="H102" i="2"/>
  <c r="E102" i="2"/>
  <c r="E126" i="2" s="1"/>
  <c r="K126" i="2" s="1"/>
  <c r="Q125" i="2"/>
  <c r="AF114" i="2"/>
  <c r="L102" i="2"/>
  <c r="T114" i="2"/>
  <c r="K102" i="2"/>
  <c r="F102" i="2"/>
  <c r="L126" i="2" s="1"/>
  <c r="I126" i="2" s="1"/>
  <c r="Q124" i="2"/>
  <c r="N114" i="2"/>
  <c r="Z114" i="2"/>
  <c r="H114" i="2" s="1"/>
  <c r="AL114" i="2"/>
  <c r="N126" i="2"/>
  <c r="P126" i="2" s="1"/>
  <c r="W69" i="11" l="1"/>
  <c r="Q126" i="2"/>
  <c r="I114" i="2"/>
  <c r="N130" i="2" s="1"/>
  <c r="P130" i="2" s="1"/>
  <c r="F114" i="2"/>
  <c r="L130" i="2" s="1"/>
  <c r="I130" i="2" s="1"/>
  <c r="E114" i="2"/>
  <c r="E130" i="2" s="1"/>
  <c r="K130" i="2" s="1"/>
  <c r="K114" i="2"/>
  <c r="L114" i="2"/>
  <c r="X69" i="11" l="1"/>
  <c r="Q130" i="2"/>
  <c r="Y69" i="11" l="1"/>
  <c r="Z69" i="11" l="1"/>
  <c r="AA69" i="11" s="1"/>
  <c r="AB69" i="11" s="1"/>
  <c r="AC69" i="11" s="1"/>
  <c r="AD69" i="11" s="1"/>
  <c r="AE69" i="11" s="1"/>
  <c r="AF69" i="11" s="1"/>
  <c r="AG69" i="11" s="1"/>
  <c r="AH69" i="11" s="1"/>
  <c r="AI69" i="11" s="1"/>
  <c r="AJ69" i="11" s="1"/>
  <c r="AK69" i="11" s="1"/>
  <c r="AL69" i="11" s="1"/>
  <c r="AM69" i="11" s="1"/>
  <c r="AN69" i="11" s="1"/>
  <c r="AO69" i="11" s="1"/>
  <c r="AP69" i="11" s="1"/>
  <c r="AQ69" i="11" s="1"/>
  <c r="AR69" i="11" s="1"/>
  <c r="AS69" i="11" s="1"/>
  <c r="AT69" i="11" s="1"/>
  <c r="I142" i="11" l="1"/>
  <c r="G141" i="11"/>
  <c r="J141" i="11"/>
  <c r="C142" i="11"/>
  <c r="I141" i="11"/>
  <c r="J142" i="11"/>
  <c r="G142" i="11"/>
  <c r="D142" i="11"/>
  <c r="C141" i="11"/>
  <c r="F142" i="11"/>
  <c r="F141" i="11"/>
  <c r="D141" i="11"/>
  <c r="D113" i="11"/>
  <c r="D162" i="11" s="1"/>
  <c r="G113" i="11"/>
  <c r="G162" i="11" s="1"/>
  <c r="F113" i="11"/>
  <c r="F162" i="11" s="1"/>
  <c r="J113" i="11"/>
  <c r="I113" i="11"/>
  <c r="I162" i="11" s="1"/>
  <c r="C113" i="11"/>
  <c r="C162" i="11" s="1"/>
  <c r="G124" i="11"/>
  <c r="J124" i="11"/>
  <c r="C60" i="11" s="1"/>
  <c r="K124" i="11" s="1"/>
  <c r="F124" i="11"/>
  <c r="D124" i="11"/>
  <c r="I124" i="11"/>
  <c r="C124" i="11"/>
  <c r="D122" i="11"/>
  <c r="G122" i="11"/>
  <c r="F122" i="11"/>
  <c r="I122" i="11"/>
  <c r="J122" i="11"/>
  <c r="C122" i="11"/>
  <c r="D123" i="11"/>
  <c r="G123" i="11"/>
  <c r="F123" i="11"/>
  <c r="I123" i="11"/>
  <c r="J123" i="11"/>
  <c r="C123" i="11"/>
  <c r="D114" i="11"/>
  <c r="G114" i="11"/>
  <c r="F114" i="11"/>
  <c r="J114" i="11"/>
  <c r="C50" i="11" s="1"/>
  <c r="K114" i="11" s="1"/>
  <c r="C114" i="11"/>
  <c r="I114" i="11"/>
  <c r="I105" i="11"/>
  <c r="J105" i="11"/>
  <c r="G105" i="11"/>
  <c r="D105" i="11"/>
  <c r="C105" i="11"/>
  <c r="F105" i="11"/>
  <c r="D121" i="11"/>
  <c r="D137" i="11" s="1"/>
  <c r="G121" i="11"/>
  <c r="G137" i="11" s="1"/>
  <c r="C121" i="11"/>
  <c r="C137" i="11" s="1"/>
  <c r="I121" i="11"/>
  <c r="I137" i="11" s="1"/>
  <c r="J121" i="11"/>
  <c r="J137" i="11" s="1"/>
  <c r="F121" i="11"/>
  <c r="F137" i="11" s="1"/>
  <c r="D115" i="11"/>
  <c r="D135" i="11" s="1"/>
  <c r="I115" i="11"/>
  <c r="I135" i="11" s="1"/>
  <c r="C115" i="11"/>
  <c r="C135" i="11" s="1"/>
  <c r="G115" i="11"/>
  <c r="G135" i="11" s="1"/>
  <c r="J115" i="11"/>
  <c r="F115" i="11"/>
  <c r="F135" i="11" s="1"/>
  <c r="C117" i="11"/>
  <c r="C136" i="11" s="1"/>
  <c r="C120" i="11"/>
  <c r="I119" i="11"/>
  <c r="D120" i="11"/>
  <c r="G117" i="11"/>
  <c r="G136" i="11" s="1"/>
  <c r="F117" i="11"/>
  <c r="F136" i="11" s="1"/>
  <c r="I120" i="11"/>
  <c r="I117" i="11"/>
  <c r="I136" i="11" s="1"/>
  <c r="J120" i="11"/>
  <c r="C54" i="11" s="1"/>
  <c r="K120" i="11" s="1"/>
  <c r="J117" i="11"/>
  <c r="J136" i="11" s="1"/>
  <c r="C119" i="11"/>
  <c r="G119" i="11"/>
  <c r="D117" i="11"/>
  <c r="D136" i="11" s="1"/>
  <c r="D119" i="11"/>
  <c r="F119" i="11"/>
  <c r="J119" i="11"/>
  <c r="G120" i="11"/>
  <c r="F120" i="11"/>
  <c r="F125" i="11"/>
  <c r="D125" i="11"/>
  <c r="D118" i="11"/>
  <c r="J118" i="11"/>
  <c r="C53" i="11" s="1"/>
  <c r="K118" i="11" s="1"/>
  <c r="I118" i="11"/>
  <c r="C118" i="11"/>
  <c r="G118" i="11"/>
  <c r="G125" i="11"/>
  <c r="J125" i="11"/>
  <c r="C61" i="11" s="1"/>
  <c r="K125" i="11" s="1"/>
  <c r="C125" i="11"/>
  <c r="F118" i="11"/>
  <c r="I125" i="11"/>
  <c r="D116" i="11"/>
  <c r="G116" i="11"/>
  <c r="F116" i="11"/>
  <c r="I116" i="11"/>
  <c r="J116" i="11"/>
  <c r="C51" i="11" s="1"/>
  <c r="K116" i="11" s="1"/>
  <c r="C116" i="11"/>
  <c r="D112" i="11"/>
  <c r="I112" i="11"/>
  <c r="G112" i="11"/>
  <c r="J112" i="11"/>
  <c r="C112" i="11"/>
  <c r="F112" i="11"/>
  <c r="C109" i="11"/>
  <c r="C161" i="11" s="1"/>
  <c r="D109" i="11"/>
  <c r="D161" i="11" s="1"/>
  <c r="J109" i="11"/>
  <c r="J161" i="11" s="1"/>
  <c r="G109" i="11"/>
  <c r="G161" i="11" s="1"/>
  <c r="D111" i="11"/>
  <c r="I111" i="11"/>
  <c r="J111" i="11"/>
  <c r="C47" i="11" s="1"/>
  <c r="K111" i="11" s="1"/>
  <c r="F109" i="11"/>
  <c r="F161" i="11" s="1"/>
  <c r="I109" i="11"/>
  <c r="I161" i="11" s="1"/>
  <c r="G111" i="11"/>
  <c r="C111" i="11"/>
  <c r="F111" i="11"/>
  <c r="D104" i="11"/>
  <c r="G104" i="11"/>
  <c r="F104" i="11"/>
  <c r="I104" i="11"/>
  <c r="J104" i="11"/>
  <c r="C104" i="11"/>
  <c r="D110" i="11"/>
  <c r="C99" i="11"/>
  <c r="I110" i="11"/>
  <c r="C110" i="11"/>
  <c r="J99" i="11"/>
  <c r="G110" i="11"/>
  <c r="G99" i="11"/>
  <c r="D99" i="11"/>
  <c r="F99" i="11"/>
  <c r="J110" i="11"/>
  <c r="I99" i="11"/>
  <c r="F110" i="11"/>
  <c r="D103" i="11"/>
  <c r="C103" i="11"/>
  <c r="I103" i="11"/>
  <c r="J103" i="11"/>
  <c r="G103" i="11"/>
  <c r="F103" i="11"/>
  <c r="D96" i="11"/>
  <c r="D160" i="11" s="1"/>
  <c r="J108" i="11"/>
  <c r="I102" i="11"/>
  <c r="D108" i="11"/>
  <c r="G102" i="11"/>
  <c r="F102" i="11"/>
  <c r="J102" i="11"/>
  <c r="C108" i="11"/>
  <c r="G108" i="11"/>
  <c r="C102" i="11"/>
  <c r="D102" i="11"/>
  <c r="I108" i="11"/>
  <c r="F108" i="11"/>
  <c r="G94" i="11"/>
  <c r="J98" i="11"/>
  <c r="G83" i="11"/>
  <c r="D93" i="11"/>
  <c r="C71" i="11"/>
  <c r="I85" i="11"/>
  <c r="C91" i="11"/>
  <c r="C81" i="11"/>
  <c r="F78" i="11"/>
  <c r="D95" i="11"/>
  <c r="D158" i="11" s="1"/>
  <c r="G76" i="11"/>
  <c r="F75" i="11"/>
  <c r="D97" i="11"/>
  <c r="D72" i="11"/>
  <c r="J76" i="11"/>
  <c r="D76" i="11"/>
  <c r="G93" i="11"/>
  <c r="G84" i="11"/>
  <c r="I72" i="11"/>
  <c r="I74" i="11"/>
  <c r="I157" i="11" s="1"/>
  <c r="I81" i="11"/>
  <c r="F82" i="11"/>
  <c r="I96" i="11"/>
  <c r="I160" i="11" s="1"/>
  <c r="D77" i="11"/>
  <c r="C78" i="11"/>
  <c r="I78" i="11"/>
  <c r="G77" i="11"/>
  <c r="F84" i="11"/>
  <c r="C74" i="11"/>
  <c r="C157" i="11" s="1"/>
  <c r="D82" i="11"/>
  <c r="D74" i="11"/>
  <c r="D157" i="11" s="1"/>
  <c r="G81" i="11"/>
  <c r="F92" i="11"/>
  <c r="F74" i="11"/>
  <c r="F157" i="11" s="1"/>
  <c r="F83" i="11"/>
  <c r="C82" i="11"/>
  <c r="C73" i="11"/>
  <c r="C72" i="11"/>
  <c r="C95" i="11"/>
  <c r="C158" i="11" s="1"/>
  <c r="I93" i="11"/>
  <c r="J91" i="11"/>
  <c r="C84" i="11"/>
  <c r="G98" i="11"/>
  <c r="C77" i="11"/>
  <c r="C93" i="11"/>
  <c r="C96" i="11"/>
  <c r="C160" i="11" s="1"/>
  <c r="I91" i="11"/>
  <c r="J77" i="11"/>
  <c r="C94" i="11"/>
  <c r="C76" i="11"/>
  <c r="J94" i="11"/>
  <c r="C75" i="11"/>
  <c r="F71" i="11"/>
  <c r="F95" i="11"/>
  <c r="F158" i="11" s="1"/>
  <c r="F85" i="11"/>
  <c r="G82" i="11"/>
  <c r="G72" i="11"/>
  <c r="D85" i="11"/>
  <c r="J71" i="11"/>
  <c r="I98" i="11"/>
  <c r="F91" i="11"/>
  <c r="J83" i="11"/>
  <c r="J78" i="11"/>
  <c r="J85" i="11"/>
  <c r="J92" i="11"/>
  <c r="I94" i="11"/>
  <c r="J96" i="11"/>
  <c r="J160" i="11" s="1"/>
  <c r="M160" i="11" s="1"/>
  <c r="J75" i="11"/>
  <c r="C98" i="11"/>
  <c r="D98" i="11"/>
  <c r="C92" i="11"/>
  <c r="G95" i="11"/>
  <c r="G158" i="11" s="1"/>
  <c r="J74" i="11"/>
  <c r="J157" i="11" s="1"/>
  <c r="I83" i="11"/>
  <c r="F94" i="11"/>
  <c r="I82" i="11"/>
  <c r="D92" i="11"/>
  <c r="I77" i="11"/>
  <c r="G92" i="11"/>
  <c r="F98" i="11"/>
  <c r="G78" i="11"/>
  <c r="D94" i="11"/>
  <c r="F93" i="11"/>
  <c r="J95" i="11"/>
  <c r="J158" i="11" s="1"/>
  <c r="M158" i="11" s="1"/>
  <c r="I76" i="11"/>
  <c r="I73" i="11"/>
  <c r="I71" i="11"/>
  <c r="J93" i="11"/>
  <c r="J72" i="11"/>
  <c r="I97" i="11"/>
  <c r="I75" i="11"/>
  <c r="I95" i="11"/>
  <c r="I158" i="11" s="1"/>
  <c r="G97" i="11"/>
  <c r="G96" i="11"/>
  <c r="G160" i="11" s="1"/>
  <c r="D78" i="11"/>
  <c r="J97" i="11"/>
  <c r="F76" i="11"/>
  <c r="C85" i="11"/>
  <c r="D91" i="11"/>
  <c r="G73" i="11"/>
  <c r="J81" i="11"/>
  <c r="D81" i="11"/>
  <c r="I84" i="11"/>
  <c r="D84" i="11"/>
  <c r="G91" i="11"/>
  <c r="G71" i="11"/>
  <c r="J82" i="11"/>
  <c r="D73" i="11"/>
  <c r="I92" i="11"/>
  <c r="D83" i="11"/>
  <c r="F97" i="11"/>
  <c r="J73" i="11"/>
  <c r="C97" i="11"/>
  <c r="G85" i="11"/>
  <c r="F81" i="11"/>
  <c r="F73" i="11"/>
  <c r="G74" i="11"/>
  <c r="G157" i="11" s="1"/>
  <c r="D75" i="11"/>
  <c r="F96" i="11"/>
  <c r="F160" i="11" s="1"/>
  <c r="C83" i="11"/>
  <c r="D71" i="11"/>
  <c r="J84" i="11"/>
  <c r="F77" i="11"/>
  <c r="F72" i="11"/>
  <c r="G75" i="11"/>
  <c r="D163" i="11" l="1"/>
  <c r="G163" i="11"/>
  <c r="I163" i="11"/>
  <c r="F163" i="11"/>
  <c r="M157" i="11"/>
  <c r="C163" i="11"/>
  <c r="N160" i="11"/>
  <c r="C49" i="11"/>
  <c r="K113" i="11" s="1"/>
  <c r="K162" i="11" s="1"/>
  <c r="J162" i="11"/>
  <c r="J163" i="11" s="1"/>
  <c r="N158" i="11"/>
  <c r="N157" i="11"/>
  <c r="K142" i="11"/>
  <c r="N142" i="11" s="1"/>
  <c r="M142" i="11"/>
  <c r="C86" i="11"/>
  <c r="I86" i="11"/>
  <c r="D86" i="11"/>
  <c r="F86" i="11"/>
  <c r="G86" i="11"/>
  <c r="J86" i="11"/>
  <c r="N86" i="11" s="1"/>
  <c r="M124" i="11"/>
  <c r="N124" i="11"/>
  <c r="M122" i="11"/>
  <c r="N122" i="11"/>
  <c r="M114" i="11"/>
  <c r="N114" i="11"/>
  <c r="D106" i="11"/>
  <c r="C106" i="11"/>
  <c r="J106" i="11"/>
  <c r="N106" i="11" s="1"/>
  <c r="F106" i="11"/>
  <c r="G106" i="11"/>
  <c r="I106" i="11"/>
  <c r="M105" i="11"/>
  <c r="N105" i="11"/>
  <c r="C56" i="11"/>
  <c r="K115" i="11" s="1"/>
  <c r="K135" i="11" s="1"/>
  <c r="J135" i="11"/>
  <c r="D126" i="11"/>
  <c r="I126" i="11"/>
  <c r="C52" i="11"/>
  <c r="K117" i="11" s="1"/>
  <c r="K136" i="11" s="1"/>
  <c r="N136" i="11" s="1"/>
  <c r="C58" i="11"/>
  <c r="K121" i="11" s="1"/>
  <c r="K137" i="11" s="1"/>
  <c r="N137" i="11" s="1"/>
  <c r="G126" i="11"/>
  <c r="C126" i="11"/>
  <c r="J126" i="11"/>
  <c r="F126" i="11"/>
  <c r="M120" i="11"/>
  <c r="N120" i="11"/>
  <c r="M119" i="11"/>
  <c r="N119" i="11"/>
  <c r="M125" i="11"/>
  <c r="N125" i="11"/>
  <c r="M118" i="11"/>
  <c r="N118" i="11"/>
  <c r="M116" i="11"/>
  <c r="N116" i="11"/>
  <c r="C48" i="11"/>
  <c r="K112" i="11" s="1"/>
  <c r="N112" i="11" s="1"/>
  <c r="M111" i="11"/>
  <c r="N111" i="11"/>
  <c r="C45" i="11"/>
  <c r="M104" i="11"/>
  <c r="N104" i="11"/>
  <c r="I100" i="11"/>
  <c r="F100" i="11"/>
  <c r="G100" i="11"/>
  <c r="N91" i="11"/>
  <c r="J100" i="11"/>
  <c r="C100" i="11"/>
  <c r="D100" i="11"/>
  <c r="C46" i="11"/>
  <c r="M71" i="11"/>
  <c r="N71" i="11"/>
  <c r="M84" i="11"/>
  <c r="N84" i="11"/>
  <c r="M102" i="11"/>
  <c r="N102" i="11"/>
  <c r="M72" i="11"/>
  <c r="N72" i="11"/>
  <c r="M75" i="11"/>
  <c r="N75" i="11"/>
  <c r="M96" i="11"/>
  <c r="N96" i="11"/>
  <c r="M94" i="11"/>
  <c r="N94" i="11"/>
  <c r="M98" i="11"/>
  <c r="N98" i="11"/>
  <c r="M92" i="11"/>
  <c r="N92" i="11"/>
  <c r="M103" i="11"/>
  <c r="N103" i="11"/>
  <c r="M81" i="11"/>
  <c r="N81" i="11"/>
  <c r="M73" i="11"/>
  <c r="N73" i="11"/>
  <c r="M97" i="11"/>
  <c r="N97" i="11"/>
  <c r="M85" i="11"/>
  <c r="N85" i="11"/>
  <c r="M77" i="11"/>
  <c r="N77" i="11"/>
  <c r="M74" i="11"/>
  <c r="N74" i="11"/>
  <c r="M95" i="11"/>
  <c r="N95" i="11"/>
  <c r="M78" i="11"/>
  <c r="N78" i="11"/>
  <c r="M76" i="11"/>
  <c r="N76" i="11"/>
  <c r="M82" i="11"/>
  <c r="N82" i="11"/>
  <c r="M93" i="11"/>
  <c r="N93" i="11"/>
  <c r="M83" i="11"/>
  <c r="N83" i="11"/>
  <c r="C43" i="11"/>
  <c r="K108" i="11" s="1"/>
  <c r="M91" i="11"/>
  <c r="J79" i="11"/>
  <c r="N79" i="11" s="1"/>
  <c r="D79" i="11"/>
  <c r="I79" i="11"/>
  <c r="F79" i="11"/>
  <c r="C79" i="11"/>
  <c r="G79" i="11"/>
  <c r="N113" i="11" l="1"/>
  <c r="M162" i="11"/>
  <c r="N162" i="11"/>
  <c r="K110" i="11"/>
  <c r="N110" i="11" s="1"/>
  <c r="K141" i="11"/>
  <c r="M113" i="11"/>
  <c r="M86" i="11"/>
  <c r="K109" i="11"/>
  <c r="M106" i="11"/>
  <c r="N115" i="11"/>
  <c r="N117" i="11"/>
  <c r="M117" i="11"/>
  <c r="M136" i="11" s="1"/>
  <c r="N135" i="11"/>
  <c r="M121" i="11"/>
  <c r="M137" i="11" s="1"/>
  <c r="M115" i="11"/>
  <c r="M135" i="11" s="1"/>
  <c r="N121" i="11"/>
  <c r="M112" i="11"/>
  <c r="K99" i="11"/>
  <c r="N99" i="11" s="1"/>
  <c r="C33" i="11"/>
  <c r="M79" i="11"/>
  <c r="M108" i="11"/>
  <c r="N108" i="11"/>
  <c r="C88" i="11"/>
  <c r="C128" i="11" s="1"/>
  <c r="I88" i="11"/>
  <c r="I128" i="11" s="1"/>
  <c r="J88" i="11"/>
  <c r="J128" i="11" s="1"/>
  <c r="D88" i="11"/>
  <c r="D128" i="11" s="1"/>
  <c r="F88" i="11"/>
  <c r="F128" i="11" s="1"/>
  <c r="G88" i="11"/>
  <c r="G128" i="11" s="1"/>
  <c r="N109" i="11" l="1"/>
  <c r="K161" i="11"/>
  <c r="M110" i="11"/>
  <c r="N141" i="11"/>
  <c r="M141" i="11"/>
  <c r="M109" i="11"/>
  <c r="K126" i="11"/>
  <c r="F131" i="11"/>
  <c r="F129" i="11"/>
  <c r="G131" i="11"/>
  <c r="G129" i="11"/>
  <c r="J131" i="11"/>
  <c r="J129" i="11"/>
  <c r="D131" i="11"/>
  <c r="D129" i="11"/>
  <c r="I131" i="11"/>
  <c r="I129" i="11"/>
  <c r="C131" i="11"/>
  <c r="C129" i="11"/>
  <c r="N123" i="11"/>
  <c r="M123" i="11"/>
  <c r="J134" i="11"/>
  <c r="J138" i="11" s="1"/>
  <c r="J143" i="11" s="1"/>
  <c r="J165" i="11" s="1"/>
  <c r="J166" i="11" s="1"/>
  <c r="G134" i="11"/>
  <c r="G138" i="11" s="1"/>
  <c r="G143" i="11" s="1"/>
  <c r="G165" i="11" s="1"/>
  <c r="G166" i="11" s="1"/>
  <c r="I134" i="11"/>
  <c r="I138" i="11" s="1"/>
  <c r="I143" i="11" s="1"/>
  <c r="I165" i="11" s="1"/>
  <c r="I166" i="11" s="1"/>
  <c r="F134" i="11"/>
  <c r="F138" i="11" s="1"/>
  <c r="F143" i="11" s="1"/>
  <c r="F165" i="11" s="1"/>
  <c r="F166" i="11" s="1"/>
  <c r="D134" i="11"/>
  <c r="D138" i="11" s="1"/>
  <c r="D143" i="11" s="1"/>
  <c r="D165" i="11" s="1"/>
  <c r="D166" i="11" s="1"/>
  <c r="C134" i="11"/>
  <c r="C138" i="11" s="1"/>
  <c r="C143" i="11" s="1"/>
  <c r="C165" i="11" s="1"/>
  <c r="C166" i="11" s="1"/>
  <c r="N88" i="11"/>
  <c r="M88" i="11"/>
  <c r="M99" i="11"/>
  <c r="M100" i="11" s="1"/>
  <c r="K100" i="11"/>
  <c r="K128" i="11" s="1"/>
  <c r="J10" i="8"/>
  <c r="D11" i="9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G9" i="8"/>
  <c r="C8" i="8"/>
  <c r="G7" i="8"/>
  <c r="I9" i="8"/>
  <c r="C10" i="9" s="1"/>
  <c r="C10" i="8"/>
  <c r="I11" i="8"/>
  <c r="C12" i="9" s="1"/>
  <c r="J7" i="8"/>
  <c r="D8" i="9" s="1"/>
  <c r="I7" i="8"/>
  <c r="C8" i="9" s="1"/>
  <c r="C19" i="8"/>
  <c r="F19" i="8"/>
  <c r="G20" i="8"/>
  <c r="I14" i="8"/>
  <c r="C15" i="9" s="1"/>
  <c r="I19" i="8"/>
  <c r="C20" i="9" s="1"/>
  <c r="G19" i="8"/>
  <c r="I20" i="8"/>
  <c r="C21" i="9" s="1"/>
  <c r="J18" i="8"/>
  <c r="D19" i="9" s="1"/>
  <c r="G17" i="8"/>
  <c r="D19" i="8"/>
  <c r="G18" i="8"/>
  <c r="D21" i="8"/>
  <c r="C12" i="8"/>
  <c r="C20" i="8"/>
  <c r="I21" i="8"/>
  <c r="C22" i="9" s="1"/>
  <c r="G13" i="8"/>
  <c r="J21" i="8"/>
  <c r="D22" i="9" s="1"/>
  <c r="C17" i="8"/>
  <c r="F21" i="8"/>
  <c r="F20" i="8"/>
  <c r="D18" i="8"/>
  <c r="F18" i="8"/>
  <c r="I17" i="8"/>
  <c r="C18" i="9" s="1"/>
  <c r="C21" i="8"/>
  <c r="J17" i="8"/>
  <c r="D18" i="9" s="1"/>
  <c r="G21" i="8"/>
  <c r="J14" i="8"/>
  <c r="D15" i="9" s="1"/>
  <c r="I18" i="8"/>
  <c r="C19" i="9" s="1"/>
  <c r="D14" i="8"/>
  <c r="F14" i="8"/>
  <c r="D13" i="8"/>
  <c r="F13" i="8"/>
  <c r="C13" i="8"/>
  <c r="C14" i="8"/>
  <c r="D17" i="8"/>
  <c r="I13" i="8"/>
  <c r="C14" i="9" s="1"/>
  <c r="J12" i="8"/>
  <c r="D13" i="9" s="1"/>
  <c r="I12" i="8"/>
  <c r="C13" i="9" s="1"/>
  <c r="J13" i="8"/>
  <c r="D14" i="9" s="1"/>
  <c r="G14" i="8"/>
  <c r="F12" i="8"/>
  <c r="D12" i="8"/>
  <c r="J20" i="8"/>
  <c r="D21" i="9" s="1"/>
  <c r="G12" i="8"/>
  <c r="D10" i="8"/>
  <c r="G11" i="8"/>
  <c r="D20" i="8"/>
  <c r="F8" i="8"/>
  <c r="J8" i="8"/>
  <c r="D9" i="9" s="1"/>
  <c r="F7" i="8"/>
  <c r="M161" i="11" l="1"/>
  <c r="M163" i="11" s="1"/>
  <c r="K163" i="11"/>
  <c r="N163" i="11" s="1"/>
  <c r="N161" i="11"/>
  <c r="C144" i="11"/>
  <c r="D144" i="11"/>
  <c r="F144" i="11"/>
  <c r="I144" i="11"/>
  <c r="G144" i="11"/>
  <c r="J144" i="11"/>
  <c r="M126" i="11"/>
  <c r="M128" i="11" s="1"/>
  <c r="M134" i="11" s="1"/>
  <c r="M138" i="11" s="1"/>
  <c r="M143" i="11" s="1"/>
  <c r="M165" i="11" s="1"/>
  <c r="K134" i="11"/>
  <c r="K138" i="11" s="1"/>
  <c r="K129" i="11"/>
  <c r="N100" i="11"/>
  <c r="D8" i="8"/>
  <c r="D7" i="8"/>
  <c r="J19" i="8"/>
  <c r="D20" i="9" s="1"/>
  <c r="E20" i="9" s="1"/>
  <c r="H18" i="10" s="1"/>
  <c r="H21" i="10" s="1"/>
  <c r="H23" i="10" s="1"/>
  <c r="D32" i="8"/>
  <c r="J32" i="8"/>
  <c r="I32" i="8"/>
  <c r="G32" i="8"/>
  <c r="C32" i="8"/>
  <c r="F32" i="8"/>
  <c r="D9" i="8"/>
  <c r="F17" i="8"/>
  <c r="F22" i="8" s="1"/>
  <c r="C7" i="8"/>
  <c r="C18" i="8"/>
  <c r="C22" i="8" s="1"/>
  <c r="J11" i="8"/>
  <c r="D12" i="9" s="1"/>
  <c r="D42" i="9" s="1"/>
  <c r="F10" i="8"/>
  <c r="G8" i="8"/>
  <c r="J9" i="8"/>
  <c r="D10" i="9" s="1"/>
  <c r="D40" i="9" s="1"/>
  <c r="I10" i="8"/>
  <c r="C11" i="9" s="1"/>
  <c r="D41" i="9" s="1"/>
  <c r="F9" i="8"/>
  <c r="I8" i="8"/>
  <c r="C9" i="9" s="1"/>
  <c r="D39" i="9" s="1"/>
  <c r="D31" i="8"/>
  <c r="G31" i="8"/>
  <c r="F31" i="8"/>
  <c r="J31" i="8"/>
  <c r="I31" i="8"/>
  <c r="C31" i="8"/>
  <c r="G10" i="8"/>
  <c r="F11" i="8"/>
  <c r="D11" i="8"/>
  <c r="C11" i="8"/>
  <c r="C9" i="8"/>
  <c r="D28" i="8"/>
  <c r="G30" i="8"/>
  <c r="J33" i="8"/>
  <c r="F33" i="8"/>
  <c r="C34" i="8"/>
  <c r="J30" i="8"/>
  <c r="G34" i="8"/>
  <c r="G29" i="8"/>
  <c r="D29" i="8"/>
  <c r="I28" i="8"/>
  <c r="G28" i="8"/>
  <c r="C33" i="8"/>
  <c r="C28" i="8"/>
  <c r="J34" i="8"/>
  <c r="I34" i="8"/>
  <c r="I33" i="8"/>
  <c r="F30" i="8"/>
  <c r="F29" i="8"/>
  <c r="F34" i="8"/>
  <c r="D34" i="8"/>
  <c r="D30" i="8"/>
  <c r="C29" i="8"/>
  <c r="F28" i="8"/>
  <c r="J29" i="8"/>
  <c r="J28" i="8"/>
  <c r="I30" i="8"/>
  <c r="I29" i="8"/>
  <c r="C30" i="8"/>
  <c r="D33" i="8"/>
  <c r="G33" i="8"/>
  <c r="E41" i="9"/>
  <c r="D43" i="9"/>
  <c r="E43" i="9"/>
  <c r="D45" i="9"/>
  <c r="E45" i="9"/>
  <c r="E39" i="9"/>
  <c r="D38" i="9"/>
  <c r="E38" i="9"/>
  <c r="D44" i="9"/>
  <c r="E44" i="9"/>
  <c r="C23" i="9"/>
  <c r="D22" i="8"/>
  <c r="J22" i="8"/>
  <c r="G22" i="8"/>
  <c r="I22" i="8"/>
  <c r="N138" i="11" l="1"/>
  <c r="K143" i="11"/>
  <c r="K165" i="11" s="1"/>
  <c r="N134" i="11"/>
  <c r="D23" i="9"/>
  <c r="E23" i="9"/>
  <c r="E25" i="9" s="1"/>
  <c r="N128" i="11"/>
  <c r="N126" i="11"/>
  <c r="G15" i="8"/>
  <c r="G24" i="8" s="1"/>
  <c r="C15" i="8"/>
  <c r="C24" i="8" s="1"/>
  <c r="D15" i="8"/>
  <c r="D24" i="8" s="1"/>
  <c r="F15" i="8"/>
  <c r="F24" i="8" s="1"/>
  <c r="J15" i="8"/>
  <c r="J24" i="8" s="1"/>
  <c r="E42" i="9"/>
  <c r="D16" i="9"/>
  <c r="D31" i="9" s="1"/>
  <c r="I15" i="8"/>
  <c r="I24" i="8" s="1"/>
  <c r="E40" i="9"/>
  <c r="C16" i="9"/>
  <c r="C31" i="9" s="1"/>
  <c r="K166" i="11" l="1"/>
  <c r="N165" i="11"/>
  <c r="N143" i="11"/>
  <c r="K144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74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<sst xmlns="http://schemas.openxmlformats.org/spreadsheetml/2006/main" count="774" uniqueCount="330">
  <si>
    <t>Diligence Workbook</t>
  </si>
  <si>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</si>
  <si>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</si>
  <si>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</si>
  <si>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</si>
  <si>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</si>
  <si>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</si>
  <si>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</si>
  <si>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</si>
  <si>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</si>
  <si>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</si>
  <si>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</si>
  <si>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</si>
  <si>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</si>
  <si>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</si>
  <si>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</si>
  <si>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</si>
  <si>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</si>
  <si>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</si>
  <si>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</si>
  <si>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</si>
  <si>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</si>
  <si>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</si>
  <si>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</si>
  <si>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</si>
  <si>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</si>
  <si>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</si>
  <si>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</si>
  <si>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</si>
  <si>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</si>
  <si>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</si>
  <si>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</si>
  <si>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</si>
  <si>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</si>
  <si>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</si>
  <si>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</si>
  <si>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</si>
  <si>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</si>
  <si>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</si>
  <si>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</si>
  <si>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</si>
  <si>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</si>
  <si>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</si>
  <si>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</si>
  <si>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</si>
  <si>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</si>
  <si>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</si>
  <si>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</si>
  <si>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</si>
  <si>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</si>
  <si>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</si>
  <si>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</si>
  <si>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</si>
  <si>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</si>
  <si>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</si>
  <si>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</si>
  <si>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</si>
  <si>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</si>
  <si>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</si>
  <si>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</si>
  <si>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</si>
  <si>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</si>
  <si>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</si>
  <si>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</si>
  <si>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</si>
  <si>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</si>
  <si>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</si>
  <si>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</si>
  <si>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</si>
  <si>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</si>
  <si>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</si>
  <si>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</si>
  <si>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</si>
  <si>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</si>
  <si>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</si>
  <si>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</si>
  <si>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</si>
  <si>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</si>
  <si>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</si>
  <si>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</si>
  <si>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</si>
  <si>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</si>
  <si>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</si>
  <si>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</si>
  <si>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</si>
  <si>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</si>
  <si>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</si>
  <si>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</si>
  <si>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</si>
  <si>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</si>
  <si>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</si>
  <si>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</si>
  <si>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</si>
  <si>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</si>
  <si>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</si>
  <si>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</si>
  <si>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</si>
  <si>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</si>
  <si>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</si>
  <si>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</si>
  <si>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</si>
  <si>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</si>
  <si>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</si>
  <si>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</si>
  <si>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</si>
  <si>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</si>
  <si>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</si>
  <si>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</si>
  <si>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</si>
  <si>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</si>
  <si>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</si>
  <si>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</si>
  <si>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</si>
  <si>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</si>
  <si>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</si>
  <si>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</si>
  <si>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</si>
  <si>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</si>
  <si>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</si>
  <si>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</si>
  <si>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</si>
  <si>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</si>
  <si>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</si>
  <si>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</si>
  <si>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</si>
  <si>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</si>
  <si>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</si>
  <si>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</si>
  <si>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</si>
  <si>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</si>
  <si>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</si>
  <si>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</si>
  <si>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</si>
  <si>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</si>
  <si>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</si>
  <si>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</si>
  <si>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</si>
  <si>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</si>
  <si>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</si>
  <si>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</si>
  <si>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</si>
  <si>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</si>
  <si>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</si>
  <si>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</si>
  <si>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</si>
  <si>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</si>
  <si>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</si>
  <si>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</si>
  <si>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</si>
  <si>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</si>
  <si>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</si>
  <si>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</si>
  <si>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</si>
  <si>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</si>
  <si>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</si>
  <si>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</si>
  <si>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</si>
  <si>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</si>
  <si>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</si>
  <si>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</si>
  <si>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</si>
  <si>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</si>
  <si>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</si>
  <si>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</si>
  <si>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</si>
  <si>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</si>
  <si>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</si>
  <si>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</si>
  <si>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</si>
  <si>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</si>
  <si>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</si>
  <si>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</si>
  <si>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</si>
  <si>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</si>
  <si>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</si>
  <si>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</si>
  <si>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</si>
  <si>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</si>
  <si>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</si>
  <si>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</si>
  <si>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</si>
  <si>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</si>
  <si>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</si>
  <si>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</si>
  <si>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</si>
  <si>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</si>
  <si>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</si>
  <si>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</si>
  <si>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</si>
  <si>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</si>
  <si>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</si>
  <si>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</si>
  <si>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</si>
  <si>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</si>
  <si>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</si>
  <si>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</si>
  <si>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</si>
  <si>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</si>
  <si>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</si>
  <si>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</si>
  <si>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</si>
  <si>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</si>
  <si>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</si>
  <si>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</si>
  <si>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</si>
  <si>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</si>
  <si>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</si>
  <si>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</si>
  <si>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</si>
  <si>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</si>
  <si>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</si>
  <si>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</si>
  <si>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</si>
  <si>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</si>
  <si>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</si>
  <si>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</si>
  <si>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</si>
  <si>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</si>
  <si>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</si>
  <si>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</si>
  <si>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</si>
  <si>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</si>
  <si>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</si>
  <si>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</si>
  <si>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</si>
  <si>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</si>
  <si>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</si>
  <si>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</si>
  <si>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</si>
  <si>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</si>
  <si>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</si>
  <si>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</si>
  <si>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</si>
  <si>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</si>
  <si>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</si>
  <si>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</si>
  <si>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</si>
  <si>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</si>
  <si>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</si>
  <si>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</si>
  <si>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</si>
  <si>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</si>
  <si>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</si>
  <si>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</si>
  <si>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</si>
  <si>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</si>
  <si>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</si>
  <si>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</si>
  <si>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</si>
  <si>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</si>
  <si>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</si>
  <si>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</si>
  <si>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</si>
  <si>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</si>
  <si>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</si>
  <si>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</si>
  <si>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</si>
  <si>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</si>
  <si>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</si>
  <si>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</si>
  <si>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</si>
  <si>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</si>
  <si>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</si>
  <si>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</si>
  <si>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July'26 PF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</si>
  <si>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</si>
  <si>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</si>
  <si>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</si>
  <si>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</si>
  <si>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</si>
  <si>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</si>
  <si>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</si>
  <si>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</si>
  <si>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</si>
  <si>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</si>
  <si>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</si>
  <si>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</si>
  <si>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</si>
  <si>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</si>
  <si>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</si>
  <si>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</si>
  <si>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</si>
  <si>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</si>
  <si>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</si>
  <si>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</si>
  <si>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</si>
  <si>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</si>
  <si>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</si>
  <si>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</si>
  <si>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</si>
  <si>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</si>
  <si>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</si>
  <si>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</si>
  <si>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</si>
  <si>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</si>
  <si>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Go-forward seller compensation (salary + benefits + bonus)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</si>
  <si>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</si>
  <si>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</si>
  <si>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</si>
  <si>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</si>
  <si>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</si>
  <si>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</si>
  <si>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</si>
  <si>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EBITDA</t>
  </si>
  <si>
    <t>(+) Amortization</t>
  </si>
  <si>
    <t>(+) Interest</t>
  </si>
  <si>
    <t>(+) Taxes</t>
  </si>
  <si>
    <t>Software Assumptions</t>
  </si>
  <si>
    <t>Tie Out</t>
  </si>
  <si>
    <t>Removing associated expenses for nonrecurring items</t>
  </si>
  <si>
    <t>% Margin</t>
  </si>
  <si>
    <t>Personal Expenses</t>
  </si>
  <si>
    <t>Personal?</t>
  </si>
  <si>
    <t>S&amp;M Events</t>
  </si>
  <si>
    <t>Steady-State Adjustments</t>
  </si>
  <si>
    <t>Travel, Meals &amp; Entertainment - TBD</t>
  </si>
  <si>
    <t>Adj. EBITDA</t>
  </si>
  <si>
    <t>*Re-sort</t>
  </si>
  <si>
    <t>(-) Onboarding Revenue</t>
  </si>
  <si>
    <t>(+) Onboarding Team Wages</t>
  </si>
  <si>
    <t>(+) S&amp;M Wages</t>
  </si>
  <si>
    <t>(+) S&amp;M Events</t>
  </si>
  <si>
    <t>(+) Software Engineer</t>
  </si>
  <si>
    <t>Steady-State Assumptions</t>
  </si>
  <si>
    <t>Software Engineer</t>
  </si>
  <si>
    <t>$100K addback as stated by seller</t>
  </si>
  <si>
    <t>(+) Referral Fees</t>
  </si>
  <si>
    <t>Total Steady-State Adj.</t>
  </si>
  <si>
    <t>Steady-State EBITDA</t>
  </si>
  <si>
    <t>Year-One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</si>
</sst>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78" formatCode="#,##0.0%;\(#,##0.0%\);&quot;–&quot;;@"/>
  </numFmts>
  <fonts count="3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FFE1E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9" fontId="14" fillId="0" borderId="0" applyFont="0" applyFill="0" applyBorder="0" applyAlignment="0" applyProtection="0"/>
  </cellStyleXfs>
  <cellXfs count="141">
    <xf numFmtId="0" fontId="0" fillId="0" borderId="0" xfId="0"/>
    <xf numFmtId="0" fontId="4" fillId="2" borderId="0" xfId="0" applyFont="1" applyFill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9" fillId="0" borderId="0" xfId="1" applyFont="1"/>
    <xf numFmtId="0" fontId="3" fillId="0" borderId="0" xfId="1" applyFont="1"/>
    <xf numFmtId="0" fontId="10" fillId="0" borderId="3" xfId="1" applyFont="1" applyBorder="1"/>
    <xf numFmtId="0" fontId="3" fillId="0" borderId="3" xfId="1" applyFont="1" applyBorder="1"/>
    <xf numFmtId="0" fontId="11" fillId="3" borderId="0" xfId="1" applyFont="1" applyFill="1" applyAlignment="1">
      <alignment horizontal="left" vertical="center"/>
    </xf>
    <xf numFmtId="0" fontId="11" fillId="3" borderId="0" xfId="1" applyFont="1" applyFill="1" applyAlignment="1">
      <alignment horizontal="center" vertical="center"/>
    </xf>
    <xf numFmtId="17" fontId="11" fillId="3" borderId="0" xfId="1" applyNumberFormat="1" applyFont="1" applyFill="1" applyAlignment="1">
      <alignment horizontal="center" vertical="center"/>
    </xf>
    <xf numFmtId="0" fontId="12" fillId="4" borderId="0" xfId="1" applyFont="1" applyFill="1"/>
    <xf numFmtId="0" fontId="3" fillId="4" borderId="0" xfId="1" applyFont="1" applyFill="1"/>
    <xf numFmtId="0" fontId="13" fillId="0" borderId="0" xfId="1" applyFont="1"/>
    <xf numFmtId="164" fontId="13" fillId="0" borderId="0" xfId="1" applyNumberFormat="1" applyFont="1"/>
    <xf numFmtId="164" fontId="3" fillId="0" borderId="0" xfId="1" applyNumberFormat="1" applyFont="1"/>
    <xf numFmtId="0" fontId="12" fillId="0" borderId="0" xfId="1" applyFont="1"/>
    <xf numFmtId="164" fontId="12" fillId="0" borderId="2" xfId="1" applyNumberFormat="1" applyFont="1" applyBorder="1"/>
    <xf numFmtId="0" fontId="13" fillId="0" borderId="0" xfId="1" applyFont="1" applyAlignment="1">
      <alignment horizontal="left"/>
    </xf>
    <xf numFmtId="164" fontId="3" fillId="4" borderId="0" xfId="1" applyNumberFormat="1" applyFont="1" applyFill="1"/>
    <xf numFmtId="164" fontId="12" fillId="0" borderId="4" xfId="1" applyNumberFormat="1" applyFont="1" applyBorder="1"/>
    <xf numFmtId="0" fontId="11" fillId="3" borderId="0" xfId="1" applyFont="1" applyFill="1"/>
    <xf numFmtId="0" fontId="12" fillId="4" borderId="0" xfId="1" applyFont="1" applyFill="1" applyAlignment="1">
      <alignment horizontal="center"/>
    </xf>
    <xf numFmtId="165" fontId="13" fillId="0" borderId="0" xfId="1" applyNumberFormat="1" applyFont="1"/>
    <xf numFmtId="0" fontId="8" fillId="0" borderId="0" xfId="1"/>
    <xf numFmtId="0" fontId="13" fillId="0" borderId="0" xfId="1" applyFont="1" applyAlignment="1">
      <alignment indent="1"/>
    </xf>
    <xf numFmtId="166" fontId="13" fillId="0" borderId="0" xfId="1" applyNumberFormat="1" applyFont="1"/>
    <xf numFmtId="0" fontId="13" fillId="0" borderId="0" xfId="1" applyFont="1" applyAlignment="1">
      <alignment indent="2"/>
    </xf>
    <xf numFmtId="0" fontId="12" fillId="0" borderId="0" xfId="1" applyFont="1" applyAlignment="1">
      <alignment indent="1"/>
    </xf>
    <xf numFmtId="166" fontId="12" fillId="0" borderId="0" xfId="1" applyNumberFormat="1" applyFont="1"/>
    <xf numFmtId="0" fontId="13" fillId="0" borderId="0" xfId="1" applyFont="1" applyAlignment="1">
      <alignment indent="3"/>
    </xf>
    <xf numFmtId="0" fontId="12" fillId="0" borderId="0" xfId="1" applyFont="1" applyAlignment="1">
      <alignment indent="2"/>
    </xf>
    <xf numFmtId="0" fontId="0" fillId="5" borderId="0" xfId="0" applyFill="1"/>
    <xf numFmtId="14" fontId="19" fillId="0" borderId="0" xfId="1" applyNumberFormat="1" applyFont="1"/>
    <xf numFmtId="14" fontId="13" fillId="0" borderId="0" xfId="1" applyNumberFormat="1" applyFont="1"/>
    <xf numFmtId="14" fontId="21" fillId="0" borderId="0" xfId="1" applyNumberFormat="1" applyFont="1"/>
    <xf numFmtId="0" fontId="2" fillId="0" borderId="0" xfId="0" applyFont="1"/>
    <xf numFmtId="0" fontId="22" fillId="0" borderId="0" xfId="0" applyFont="1"/>
    <xf numFmtId="0" fontId="23" fillId="0" borderId="3" xfId="0" applyFont="1" applyBorder="1"/>
    <xf numFmtId="0" fontId="2" fillId="0" borderId="3" xfId="0" applyFont="1" applyBorder="1"/>
    <xf numFmtId="0" fontId="11" fillId="6" borderId="0" xfId="1" applyFont="1" applyFill="1" applyAlignment="1">
      <alignment horizontal="left" vertical="center"/>
    </xf>
    <xf numFmtId="0" fontId="11" fillId="6" borderId="0" xfId="1" applyFont="1" applyFill="1" applyAlignment="1">
      <alignment horizontal="center" vertical="center"/>
    </xf>
    <xf numFmtId="0" fontId="12" fillId="7" borderId="0" xfId="1" applyFont="1" applyFill="1"/>
    <xf numFmtId="0" fontId="3" fillId="7" borderId="0" xfId="1" applyFont="1" applyFill="1"/>
    <xf numFmtId="17" fontId="11" fillId="6" borderId="0" xfId="1" applyNumberFormat="1" applyFont="1" applyFill="1" applyAlignment="1">
      <alignment horizontal="center" vertical="center"/>
    </xf>
    <xf numFmtId="167" fontId="2" fillId="0" borderId="0" xfId="0" applyNumberFormat="1" applyFont="1"/>
    <xf numFmtId="167" fontId="19" fillId="0" borderId="0" xfId="0" applyNumberFormat="1" applyFont="1"/>
    <xf numFmtId="167" fontId="20" fillId="0" borderId="0" xfId="0" applyNumberFormat="1" applyFont="1"/>
    <xf numFmtId="167" fontId="13" fillId="0" borderId="0" xfId="1" applyNumberFormat="1" applyFont="1"/>
    <xf numFmtId="167" fontId="20" fillId="0" borderId="0" xfId="1" applyNumberFormat="1" applyFont="1"/>
    <xf numFmtId="167" fontId="21" fillId="0" borderId="0" xfId="1" applyNumberFormat="1" applyFont="1"/>
    <xf numFmtId="0" fontId="11" fillId="0" borderId="0" xfId="1" applyFont="1" applyAlignment="1">
      <alignment horizontal="center" vertical="center"/>
    </xf>
    <xf numFmtId="165" fontId="2" fillId="0" borderId="0" xfId="0" applyNumberFormat="1" applyFont="1"/>
    <xf numFmtId="165" fontId="20" fillId="0" borderId="0" xfId="0" applyNumberFormat="1" applyFont="1"/>
    <xf numFmtId="0" fontId="24" fillId="0" borderId="0" xfId="1" applyFont="1" applyAlignment="1">
      <alignment horizontal="left"/>
    </xf>
    <xf numFmtId="0" fontId="24" fillId="0" borderId="0" xfId="1" applyFont="1"/>
    <xf numFmtId="0" fontId="13" fillId="0" borderId="0" xfId="1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17" fillId="0" borderId="2" xfId="0" applyFont="1" applyBorder="1"/>
    <xf numFmtId="167" fontId="17" fillId="0" borderId="2" xfId="0" applyNumberFormat="1" applyFont="1" applyBorder="1"/>
    <xf numFmtId="0" fontId="17" fillId="8" borderId="6" xfId="0" applyFont="1" applyFill="1" applyBorder="1"/>
    <xf numFmtId="167" fontId="17" fillId="8" borderId="7" xfId="0" applyNumberFormat="1" applyFont="1" applyFill="1" applyBorder="1"/>
    <xf numFmtId="167" fontId="17" fillId="8" borderId="8" xfId="0" applyNumberFormat="1" applyFont="1" applyFill="1" applyBorder="1"/>
    <xf numFmtId="167" fontId="17" fillId="8" borderId="6" xfId="0" applyNumberFormat="1" applyFont="1" applyFill="1" applyBorder="1"/>
    <xf numFmtId="165" fontId="20" fillId="0" borderId="0" xfId="1" applyNumberFormat="1" applyFont="1"/>
    <xf numFmtId="165" fontId="21" fillId="0" borderId="0" xfId="1" applyNumberFormat="1" applyFont="1"/>
    <xf numFmtId="168" fontId="13" fillId="0" borderId="0" xfId="1" applyNumberFormat="1" applyFont="1"/>
    <xf numFmtId="168" fontId="17" fillId="8" borderId="7" xfId="0" applyNumberFormat="1" applyFont="1" applyFill="1" applyBorder="1"/>
    <xf numFmtId="168" fontId="17" fillId="8" borderId="8" xfId="0" applyNumberFormat="1" applyFont="1" applyFill="1" applyBorder="1"/>
    <xf numFmtId="168" fontId="17" fillId="8" borderId="6" xfId="0" applyNumberFormat="1" applyFont="1" applyFill="1" applyBorder="1"/>
    <xf numFmtId="165" fontId="19" fillId="0" borderId="0" xfId="1" applyNumberFormat="1" applyFont="1"/>
    <xf numFmtId="167" fontId="17" fillId="0" borderId="0" xfId="0" applyNumberFormat="1" applyFont="1"/>
    <xf numFmtId="168" fontId="17" fillId="0" borderId="0" xfId="0" applyNumberFormat="1" applyFont="1"/>
    <xf numFmtId="0" fontId="2" fillId="9" borderId="0" xfId="0" applyFont="1" applyFill="1"/>
    <xf numFmtId="0" fontId="15" fillId="9" borderId="0" xfId="0" applyFont="1" applyFill="1" applyAlignment="1">
      <alignment horizontal="centerContinuous"/>
    </xf>
    <xf numFmtId="0" fontId="18" fillId="9" borderId="0" xfId="0" applyFont="1" applyFill="1" applyAlignment="1">
      <alignment horizontal="centerContinuous"/>
    </xf>
    <xf numFmtId="0" fontId="15" fillId="9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165" fontId="19" fillId="0" borderId="5" xfId="0" applyNumberFormat="1" applyFont="1" applyBorder="1" applyAlignment="1">
      <alignment horizontal="center"/>
    </xf>
    <xf numFmtId="0" fontId="2" fillId="8" borderId="7" xfId="0" applyFont="1" applyFill="1" applyBorder="1"/>
    <xf numFmtId="0" fontId="2" fillId="0" borderId="0" xfId="0" applyFont="1" applyAlignment="1">
      <alignment horizontal="left"/>
    </xf>
    <xf numFmtId="0" fontId="24" fillId="0" borderId="0" xfId="1" applyFont="1" applyAlignment="1">
      <alignment horizontal="left" indent="1"/>
    </xf>
    <xf numFmtId="0" fontId="13" fillId="0" borderId="0" xfId="1" applyFont="1" applyAlignment="1">
      <alignment horizontal="left" indent="2"/>
    </xf>
    <xf numFmtId="165" fontId="19" fillId="0" borderId="0" xfId="0" applyNumberFormat="1" applyFont="1"/>
    <xf numFmtId="165" fontId="21" fillId="0" borderId="0" xfId="0" applyNumberFormat="1" applyFont="1"/>
    <xf numFmtId="167" fontId="16" fillId="0" borderId="0" xfId="1" applyNumberFormat="1" applyFont="1"/>
    <xf numFmtId="165" fontId="16" fillId="0" borderId="0" xfId="1" applyNumberFormat="1" applyFont="1"/>
    <xf numFmtId="167" fontId="25" fillId="8" borderId="8" xfId="0" applyNumberFormat="1" applyFont="1" applyFill="1" applyBorder="1"/>
    <xf numFmtId="0" fontId="16" fillId="0" borderId="0" xfId="0" applyFont="1"/>
    <xf numFmtId="167" fontId="25" fillId="0" borderId="2" xfId="0" applyNumberFormat="1" applyFont="1" applyBorder="1"/>
    <xf numFmtId="167" fontId="21" fillId="0" borderId="0" xfId="0" applyNumberFormat="1" applyFont="1"/>
    <xf numFmtId="168" fontId="12" fillId="8" borderId="8" xfId="1" applyNumberFormat="1" applyFont="1" applyFill="1" applyBorder="1"/>
    <xf numFmtId="168" fontId="28" fillId="0" borderId="0" xfId="1" applyNumberFormat="1" applyFont="1"/>
    <xf numFmtId="168" fontId="29" fillId="0" borderId="9" xfId="2" applyNumberFormat="1" applyFont="1" applyFill="1" applyBorder="1" applyAlignment="1"/>
    <xf numFmtId="168" fontId="12" fillId="0" borderId="2" xfId="2" applyNumberFormat="1" applyFont="1" applyBorder="1"/>
    <xf numFmtId="168" fontId="2" fillId="0" borderId="0" xfId="0" applyNumberFormat="1" applyFont="1"/>
    <xf numFmtId="0" fontId="12" fillId="0" borderId="2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3" borderId="0" xfId="1" applyFont="1" applyFill="1"/>
    <xf numFmtId="0" fontId="1" fillId="0" borderId="0" xfId="0" applyFont="1" applyAlignment="1">
      <alignment horizontal="left" indent="1"/>
    </xf>
    <xf numFmtId="165" fontId="16" fillId="0" borderId="5" xfId="1" applyNumberFormat="1" applyFont="1" applyBorder="1"/>
    <xf numFmtId="0" fontId="17" fillId="7" borderId="0" xfId="1" applyFont="1" applyFill="1" applyAlignment="1">
      <alignment horizontal="centerContinuous"/>
    </xf>
    <xf numFmtId="0" fontId="3" fillId="10" borderId="0" xfId="1" applyFont="1" applyFill="1" applyAlignment="1">
      <alignment horizontal="centerContinuous"/>
    </xf>
    <xf numFmtId="167" fontId="10" fillId="0" borderId="0" xfId="0" applyNumberFormat="1" applyFont="1" applyAlignment="1">
      <alignment horizontal="left" indent="1"/>
    </xf>
    <xf numFmtId="0" fontId="3" fillId="0" borderId="0" xfId="1" applyFont="1" applyFill="1"/>
    <xf numFmtId="0" fontId="2" fillId="0" borderId="0" xfId="0" applyFont="1" applyFill="1"/>
    <xf numFmtId="0" fontId="1" fillId="0" borderId="0" xfId="0" applyFont="1"/>
    <xf numFmtId="0" fontId="13" fillId="0" borderId="0" xfId="1" applyFont="1" applyFill="1"/>
    <xf numFmtId="0" fontId="23" fillId="0" borderId="0" xfId="0" applyFont="1"/>
    <xf numFmtId="0" fontId="3" fillId="0" borderId="0" xfId="1" applyFont="1" applyFill="1" applyBorder="1"/>
    <xf numFmtId="0" fontId="11" fillId="0" borderId="0" xfId="1" applyFont="1" applyFill="1" applyBorder="1" applyAlignment="1">
      <alignment horizontal="center" vertical="center"/>
    </xf>
    <xf numFmtId="164" fontId="13" fillId="0" borderId="0" xfId="1" applyNumberFormat="1" applyFont="1" applyFill="1" applyBorder="1"/>
    <xf numFmtId="164" fontId="12" fillId="0" borderId="0" xfId="1" applyNumberFormat="1" applyFont="1" applyFill="1" applyBorder="1"/>
    <xf numFmtId="164" fontId="3" fillId="0" borderId="0" xfId="1" applyNumberFormat="1" applyFont="1" applyFill="1" applyBorder="1"/>
    <xf numFmtId="14" fontId="21" fillId="0" borderId="0" xfId="1" applyNumberFormat="1" applyFont="1" applyFill="1" applyBorder="1"/>
    <xf numFmtId="14" fontId="13" fillId="0" borderId="0" xfId="1" applyNumberFormat="1" applyFont="1" applyFill="1" applyBorder="1"/>
    <xf numFmtId="0" fontId="11" fillId="0" borderId="0" xfId="1" applyFont="1" applyFill="1" applyBorder="1"/>
    <xf numFmtId="0" fontId="12" fillId="0" borderId="0" xfId="1" applyFont="1" applyFill="1" applyBorder="1" applyAlignment="1">
      <alignment horizontal="center"/>
    </xf>
    <xf numFmtId="165" fontId="13" fillId="0" borderId="0" xfId="1" applyNumberFormat="1" applyFont="1" applyFill="1" applyBorder="1"/>
    <xf numFmtId="167" fontId="30" fillId="0" borderId="0" xfId="0" applyNumberFormat="1" applyFont="1" applyFill="1" applyBorder="1" applyAlignment="1"/>
    <xf numFmtId="167" fontId="31" fillId="0" borderId="0" xfId="0" applyNumberFormat="1" applyFont="1" applyFill="1" applyBorder="1" applyAlignment="1"/>
    <xf numFmtId="0" fontId="2" fillId="0" borderId="0" xfId="0" applyFont="1" applyBorder="1"/>
    <xf numFmtId="167" fontId="17" fillId="0" borderId="0" xfId="0" applyNumberFormat="1" applyFont="1" applyBorder="1"/>
    <xf numFmtId="167" fontId="32" fillId="0" borderId="0" xfId="0" applyNumberFormat="1" applyFont="1"/>
    <xf numFmtId="0" fontId="17" fillId="8" borderId="10" xfId="0" applyFont="1" applyFill="1" applyBorder="1"/>
    <xf numFmtId="167" fontId="17" fillId="8" borderId="2" xfId="0" applyNumberFormat="1" applyFont="1" applyFill="1" applyBorder="1"/>
    <xf numFmtId="167" fontId="17" fillId="8" borderId="11" xfId="0" applyNumberFormat="1" applyFont="1" applyFill="1" applyBorder="1"/>
    <xf numFmtId="0" fontId="32" fillId="8" borderId="12" xfId="0" applyFont="1" applyFill="1" applyBorder="1"/>
    <xf numFmtId="178" fontId="32" fillId="8" borderId="3" xfId="0" applyNumberFormat="1" applyFont="1" applyFill="1" applyBorder="1"/>
    <xf numFmtId="178" fontId="32" fillId="8" borderId="13" xfId="0" applyNumberFormat="1" applyFont="1" applyFill="1" applyBorder="1"/>
    <xf numFmtId="167" fontId="17" fillId="8" borderId="10" xfId="0" applyNumberFormat="1" applyFont="1" applyFill="1" applyBorder="1"/>
    <xf numFmtId="178" fontId="32" fillId="8" borderId="12" xfId="0" applyNumberFormat="1" applyFont="1" applyFill="1" applyBorder="1"/>
    <xf numFmtId="168" fontId="12" fillId="8" borderId="11" xfId="1" applyNumberFormat="1" applyFont="1" applyFill="1" applyBorder="1"/>
    <xf numFmtId="168" fontId="33" fillId="8" borderId="13" xfId="1" applyNumberFormat="1" applyFont="1" applyFill="1" applyBorder="1"/>
    <xf numFmtId="165" fontId="34" fillId="0" borderId="0" xfId="0" applyNumberFormat="1" applyFont="1"/>
    <xf numFmtId="0" fontId="34" fillId="0" borderId="0" xfId="0" applyFont="1" applyAlignment="1">
      <alignment horizontal="left" indent="1"/>
    </xf>
    <xf numFmtId="165" fontId="16" fillId="0" borderId="0" xfId="0" applyNumberFormat="1" applyFont="1" applyFill="1" applyBorder="1" applyAlignment="1"/>
  </cellXfs>
  <cellStyles count="3">
    <cellStyle name="Normal" xfId="0" builtinId="0"/>
    <cellStyle name="Normal 2" xfId="1" xr:uid="{65E2E494-2EC7-4CE2-95B2-560A12CA6477}"/>
    <cellStyle name="Percent" xfId="2" builtinId="5"/>
  </cellStyles>
  <dxfs count="1">
    <dxf>
      <font>
        <color auto="1"/>
      </font>
    </dxf>
  </dxfs>
  <tableStyles count="0" defaultTableStyle="TableStyleMedium2" defaultPivotStyle="PivotStyleLight16"/>
  <colors>
    <mruColors>
      <color rgb="FFFFE1E1"/>
      <color rgb="FFFFFFCC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12</xdr:col>
      <xdr:colOff>611399</xdr:colOff>
      <xdr:row>21</xdr:row>
      <xdr:rowOff>82061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7309" y="2015637"/>
          <a:ext cx="5476926" cy="1847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98" t="s">
        <v>1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</row>
    <row r="25" spans="2:17" ht="25.5" x14ac:dyDescent="0.25">
      <c r="B25" s="100" t="s">
        <v>0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</row>
    <row r="26" spans="2:17" ht="23.25" x14ac:dyDescent="0.35">
      <c r="B26" s="101" t="str">
        <f ca="1">"As of "&amp;TEXT(TODAY(),"mm/dd/yy")</f>
        <v>As of 09/02/26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dimension ref="B2:AP43"/>
  <sheetViews>
    <sheetView showGridLines="0" zoomScale="130" zoomScaleNormal="13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4" width="9.5703125" style="37" customWidth="1"/>
    <col min="5" max="5" width="0.85546875" style="37" customWidth="1"/>
    <col min="6" max="7" width="11" style="37" customWidth="1"/>
    <col min="8" max="8" width="0.85546875" style="37" customWidth="1"/>
    <col min="9" max="10" width="11" style="37" customWidth="1"/>
    <col min="11" max="11" width="0.85546875" style="37" customWidth="1"/>
    <col min="12" max="16384" width="9.140625" style="37"/>
  </cols>
  <sheetData>
    <row r="2" spans="2:42" ht="16.5" x14ac:dyDescent="0.25">
      <c r="B2" s="38" t="str">
        <f>+Cover!B24</f>
        <v>Keystone Bookkeepers</v>
      </c>
    </row>
    <row r="3" spans="2:42" x14ac:dyDescent="0.2">
      <c r="B3" s="39" t="s">
        <v>258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</row>
    <row r="5" spans="2:42" x14ac:dyDescent="0.2">
      <c r="B5" s="41" t="s">
        <v>265</v>
      </c>
      <c r="C5" s="42" t="s">
        <v>4</v>
      </c>
      <c r="D5" s="42" t="s">
        <v>5</v>
      </c>
      <c r="E5" s="52"/>
      <c r="F5" s="42" t="s">
        <v>257</v>
      </c>
      <c r="G5" s="42" t="s">
        <v>6</v>
      </c>
      <c r="H5" s="52"/>
      <c r="I5" s="42" t="s">
        <v>255</v>
      </c>
      <c r="J5" s="42" t="s">
        <v>256</v>
      </c>
      <c r="L5" s="45">
        <v>45292</v>
      </c>
      <c r="M5" s="45">
        <f>EOMONTH(L5,0)+1</f>
        <v>45323</v>
      </c>
      <c r="N5" s="45">
        <f t="shared" ref="N5:AP5" si="0">EOMONTH(M5,0)+1</f>
        <v>45352</v>
      </c>
      <c r="O5" s="45">
        <f t="shared" si="0"/>
        <v>45383</v>
      </c>
      <c r="P5" s="45">
        <f t="shared" si="0"/>
        <v>45413</v>
      </c>
      <c r="Q5" s="45">
        <f t="shared" si="0"/>
        <v>45444</v>
      </c>
      <c r="R5" s="45">
        <f t="shared" si="0"/>
        <v>45474</v>
      </c>
      <c r="S5" s="45">
        <f t="shared" si="0"/>
        <v>45505</v>
      </c>
      <c r="T5" s="45">
        <f t="shared" si="0"/>
        <v>45536</v>
      </c>
      <c r="U5" s="45">
        <f t="shared" si="0"/>
        <v>45566</v>
      </c>
      <c r="V5" s="45">
        <f t="shared" si="0"/>
        <v>45597</v>
      </c>
      <c r="W5" s="45">
        <f t="shared" si="0"/>
        <v>45627</v>
      </c>
      <c r="X5" s="45">
        <f t="shared" si="0"/>
        <v>45658</v>
      </c>
      <c r="Y5" s="45">
        <f t="shared" si="0"/>
        <v>45689</v>
      </c>
      <c r="Z5" s="45">
        <f t="shared" si="0"/>
        <v>45717</v>
      </c>
      <c r="AA5" s="45">
        <f t="shared" si="0"/>
        <v>45748</v>
      </c>
      <c r="AB5" s="45">
        <f t="shared" si="0"/>
        <v>45778</v>
      </c>
      <c r="AC5" s="45">
        <f t="shared" si="0"/>
        <v>45809</v>
      </c>
      <c r="AD5" s="45">
        <f t="shared" si="0"/>
        <v>45839</v>
      </c>
      <c r="AE5" s="45">
        <f t="shared" si="0"/>
        <v>45870</v>
      </c>
      <c r="AF5" s="45">
        <f t="shared" si="0"/>
        <v>45901</v>
      </c>
      <c r="AG5" s="45">
        <f t="shared" si="0"/>
        <v>45931</v>
      </c>
      <c r="AH5" s="45">
        <f t="shared" si="0"/>
        <v>45962</v>
      </c>
      <c r="AI5" s="45">
        <f t="shared" si="0"/>
        <v>45992</v>
      </c>
      <c r="AJ5" s="45">
        <f t="shared" si="0"/>
        <v>46023</v>
      </c>
      <c r="AK5" s="45">
        <f t="shared" si="0"/>
        <v>46054</v>
      </c>
      <c r="AL5" s="45">
        <f t="shared" si="0"/>
        <v>46082</v>
      </c>
      <c r="AM5" s="45">
        <f t="shared" si="0"/>
        <v>46113</v>
      </c>
      <c r="AN5" s="45">
        <f t="shared" si="0"/>
        <v>46143</v>
      </c>
      <c r="AO5" s="45">
        <f t="shared" si="0"/>
        <v>46174</v>
      </c>
      <c r="AP5" s="45">
        <f t="shared" si="0"/>
        <v>46204</v>
      </c>
    </row>
    <row r="6" spans="2:42" x14ac:dyDescent="0.2">
      <c r="B6" s="43" t="s">
        <v>259</v>
      </c>
      <c r="C6" s="44"/>
      <c r="D6" s="44"/>
      <c r="E6" s="6"/>
      <c r="F6" s="44"/>
      <c r="G6" s="44"/>
      <c r="H6" s="6"/>
      <c r="I6" s="44"/>
      <c r="J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</row>
    <row r="7" spans="2:42" x14ac:dyDescent="0.2">
      <c r="B7" s="57" t="s">
        <v>276</v>
      </c>
      <c r="C7" s="49">
        <f>SUMIFS($L7:$AP7,$L$5:$AP$5,"&gt;"&amp;C$42,$L$5:$AP$5,"&lt;"&amp;C$43)</f>
        <v>793.47225000000003</v>
      </c>
      <c r="D7" s="49">
        <f>SUMIFS($L7:$AP7,$L$5:$AP$5,"&gt;"&amp;D$42,$L$5:$AP$5,"&lt;"&amp;D$43)</f>
        <v>1450.4923499999998</v>
      </c>
      <c r="E7" s="49"/>
      <c r="F7" s="49">
        <f>SUMIFS($L7:$AP7,$L$5:$AP$5,"&gt;"&amp;F$42,$L$5:$AP$5,"&lt;"&amp;F$43)</f>
        <v>751.52859999999987</v>
      </c>
      <c r="G7" s="49">
        <f>SUMIFS($L7:$AP7,$L$5:$AP$5,"&gt;"&amp;G$42,$L$5:$AP$5,"&lt;"&amp;G$43)</f>
        <v>1261.47685</v>
      </c>
      <c r="H7" s="49"/>
      <c r="I7" s="49">
        <f>SUMIFS($L7:$AP7,$L$5:$AP$5,"&gt;"&amp;I$42,$L$5:$AP$5,"&lt;"&amp;I$43)</f>
        <v>1098.5075000000002</v>
      </c>
      <c r="J7" s="49">
        <f>SUMIFS($L7:$AP7,$L$5:$AP$5,"&gt;"&amp;J$42,$L$5:$AP$5,"&lt;"&amp;J$43)</f>
        <v>1881.6971000000001</v>
      </c>
      <c r="L7" s="48">
        <f>SUMIFS('Combined P&amp;L'!N:N,'Combined P&amp;L'!$C:$C,'P&amp;L Overview'!$B7)</f>
        <v>44.683500000000002</v>
      </c>
      <c r="M7" s="48">
        <f>SUMIFS('Combined P&amp;L'!O:O,'Combined P&amp;L'!$C:$C,'P&amp;L Overview'!$B7)</f>
        <v>47.045999999999999</v>
      </c>
      <c r="N7" s="48">
        <f>SUMIFS('Combined P&amp;L'!P:P,'Combined P&amp;L'!$C:$C,'P&amp;L Overview'!$B7)</f>
        <v>52.47</v>
      </c>
      <c r="O7" s="48">
        <f>SUMIFS('Combined P&amp;L'!Q:Q,'Combined P&amp;L'!$C:$C,'P&amp;L Overview'!$B7)</f>
        <v>57.169699999999999</v>
      </c>
      <c r="P7" s="48">
        <f>SUMIFS('Combined P&amp;L'!R:R,'Combined P&amp;L'!$C:$C,'P&amp;L Overview'!$B7)</f>
        <v>57.514150000000001</v>
      </c>
      <c r="Q7" s="48">
        <f>SUMIFS('Combined P&amp;L'!S:S,'Combined P&amp;L'!$C:$C,'P&amp;L Overview'!$B7)</f>
        <v>65.516000000000005</v>
      </c>
      <c r="R7" s="48">
        <f>SUMIFS('Combined P&amp;L'!T:T,'Combined P&amp;L'!$C:$C,'P&amp;L Overview'!$B7)</f>
        <v>68.28125</v>
      </c>
      <c r="S7" s="48">
        <f>SUMIFS('Combined P&amp;L'!U:U,'Combined P&amp;L'!$C:$C,'P&amp;L Overview'!$B7)</f>
        <v>73.251350000000002</v>
      </c>
      <c r="T7" s="48">
        <f>SUMIFS('Combined P&amp;L'!V:V,'Combined P&amp;L'!$C:$C,'P&amp;L Overview'!$B7)</f>
        <v>75.551699999999997</v>
      </c>
      <c r="U7" s="48">
        <f>SUMIFS('Combined P&amp;L'!W:W,'Combined P&amp;L'!$C:$C,'P&amp;L Overview'!$B7)</f>
        <v>79.113249999999994</v>
      </c>
      <c r="V7" s="48">
        <f>SUMIFS('Combined P&amp;L'!X:X,'Combined P&amp;L'!$C:$C,'P&amp;L Overview'!$B7)</f>
        <v>83.290800000000004</v>
      </c>
      <c r="W7" s="48">
        <f>SUMIFS('Combined P&amp;L'!Y:Y,'Combined P&amp;L'!$C:$C,'P&amp;L Overview'!$B7)</f>
        <v>89.584550000000007</v>
      </c>
      <c r="X7" s="48">
        <f>SUMIFS('Combined P&amp;L'!Z:Z,'Combined P&amp;L'!$C:$C,'P&amp;L Overview'!$B7)</f>
        <v>92.418899999999994</v>
      </c>
      <c r="Y7" s="48">
        <f>SUMIFS('Combined P&amp;L'!AA:AA,'Combined P&amp;L'!$C:$C,'P&amp;L Overview'!$B7)</f>
        <v>94.00215</v>
      </c>
      <c r="Z7" s="48">
        <f>SUMIFS('Combined P&amp;L'!AB:AB,'Combined P&amp;L'!$C:$C,'P&amp;L Overview'!$B7)</f>
        <v>101.50605</v>
      </c>
      <c r="AA7" s="48">
        <f>SUMIFS('Combined P&amp;L'!AC:AC,'Combined P&amp;L'!$C:$C,'P&amp;L Overview'!$B7)</f>
        <v>106.1375</v>
      </c>
      <c r="AB7" s="48">
        <f>SUMIFS('Combined P&amp;L'!AD:AD,'Combined P&amp;L'!$C:$C,'P&amp;L Overview'!$B7)</f>
        <v>115.93875</v>
      </c>
      <c r="AC7" s="48">
        <f>SUMIFS('Combined P&amp;L'!AE:AE,'Combined P&amp;L'!$C:$C,'P&amp;L Overview'!$B7)</f>
        <v>119.43125000000001</v>
      </c>
      <c r="AD7" s="48">
        <f>SUMIFS('Combined P&amp;L'!AF:AF,'Combined P&amp;L'!$C:$C,'P&amp;L Overview'!$B7)</f>
        <v>122.09399999999999</v>
      </c>
      <c r="AE7" s="48">
        <f>SUMIFS('Combined P&amp;L'!AG:AG,'Combined P&amp;L'!$C:$C,'P&amp;L Overview'!$B7)</f>
        <v>130.08525</v>
      </c>
      <c r="AF7" s="48">
        <f>SUMIFS('Combined P&amp;L'!AH:AH,'Combined P&amp;L'!$C:$C,'P&amp;L Overview'!$B7)</f>
        <v>133.59049999999999</v>
      </c>
      <c r="AG7" s="48">
        <f>SUMIFS('Combined P&amp;L'!AI:AI,'Combined P&amp;L'!$C:$C,'P&amp;L Overview'!$B7)</f>
        <v>139.60900000000001</v>
      </c>
      <c r="AH7" s="48">
        <f>SUMIFS('Combined P&amp;L'!AJ:AJ,'Combined P&amp;L'!$C:$C,'P&amp;L Overview'!$B7)</f>
        <v>145.28075000000001</v>
      </c>
      <c r="AI7" s="48">
        <f>SUMIFS('Combined P&amp;L'!AK:AK,'Combined P&amp;L'!$C:$C,'P&amp;L Overview'!$B7)</f>
        <v>150.39824999999999</v>
      </c>
      <c r="AJ7" s="48">
        <f>SUMIFS('Combined P&amp;L'!AL:AL,'Combined P&amp;L'!$C:$C,'P&amp;L Overview'!$B7)</f>
        <v>156.53879999999998</v>
      </c>
      <c r="AK7" s="48">
        <f>SUMIFS('Combined P&amp;L'!AM:AM,'Combined P&amp;L'!$C:$C,'P&amp;L Overview'!$B7)</f>
        <v>164.9034</v>
      </c>
      <c r="AL7" s="48">
        <f>SUMIFS('Combined P&amp;L'!AN:AN,'Combined P&amp;L'!$C:$C,'P&amp;L Overview'!$B7)</f>
        <v>170.34424999999999</v>
      </c>
      <c r="AM7" s="48">
        <f>SUMIFS('Combined P&amp;L'!AO:AO,'Combined P&amp;L'!$C:$C,'P&amp;L Overview'!$B7)</f>
        <v>183.66200000000001</v>
      </c>
      <c r="AN7" s="48">
        <f>SUMIFS('Combined P&amp;L'!AP:AP,'Combined P&amp;L'!$C:$C,'P&amp;L Overview'!$B7)</f>
        <v>190.78440000000001</v>
      </c>
      <c r="AO7" s="48">
        <f>SUMIFS('Combined P&amp;L'!AQ:AQ,'Combined P&amp;L'!$C:$C,'P&amp;L Overview'!$B7)</f>
        <v>194.40649999999999</v>
      </c>
      <c r="AP7" s="48">
        <f>SUMIFS('Combined P&amp;L'!AR:AR,'Combined P&amp;L'!$C:$C,'P&amp;L Overview'!$B7)</f>
        <v>200.83750000000001</v>
      </c>
    </row>
    <row r="8" spans="2:42" x14ac:dyDescent="0.2">
      <c r="B8" s="57" t="s">
        <v>275</v>
      </c>
      <c r="C8" s="24">
        <f>SUMIFS($L8:$AP8,$L$5:$AP$5,"&gt;"&amp;C$42,$L$5:$AP$5,"&lt;"&amp;C$43)</f>
        <v>224.79100000000003</v>
      </c>
      <c r="D8" s="24">
        <f>SUMIFS($L8:$AP8,$L$5:$AP$5,"&gt;"&amp;D$42,$L$5:$AP$5,"&lt;"&amp;D$43)</f>
        <v>149.76999999999998</v>
      </c>
      <c r="E8" s="24"/>
      <c r="F8" s="24">
        <f>SUMIFS($L8:$AP8,$L$5:$AP$5,"&gt;"&amp;F$42,$L$5:$AP$5,"&lt;"&amp;F$43)</f>
        <v>90.452500000000001</v>
      </c>
      <c r="G8" s="24">
        <f>SUMIFS($L8:$AP8,$L$5:$AP$5,"&gt;"&amp;G$42,$L$5:$AP$5,"&lt;"&amp;G$43)</f>
        <v>73.418499999999995</v>
      </c>
      <c r="H8" s="24"/>
      <c r="I8" s="24">
        <f>SUMIFS($L8:$AP8,$L$5:$AP$5,"&gt;"&amp;I$42,$L$5:$AP$5,"&lt;"&amp;I$43)</f>
        <v>174.62999999999997</v>
      </c>
      <c r="J8" s="24">
        <f>SUMIFS($L8:$AP8,$L$5:$AP$5,"&gt;"&amp;J$42,$L$5:$AP$5,"&lt;"&amp;J$43)</f>
        <v>135.298</v>
      </c>
      <c r="K8" s="53"/>
      <c r="L8" s="54">
        <f>SUMIFS('Combined P&amp;L'!N:N,'Combined P&amp;L'!$C:$C,'P&amp;L Overview'!$B8)</f>
        <v>22.001000000000001</v>
      </c>
      <c r="M8" s="54">
        <f>SUMIFS('Combined P&amp;L'!O:O,'Combined P&amp;L'!$C:$C,'P&amp;L Overview'!$B8)</f>
        <v>22.036000000000001</v>
      </c>
      <c r="N8" s="54">
        <f>SUMIFS('Combined P&amp;L'!P:P,'Combined P&amp;L'!$C:$C,'P&amp;L Overview'!$B8)</f>
        <v>22.111000000000001</v>
      </c>
      <c r="O8" s="54">
        <f>SUMIFS('Combined P&amp;L'!Q:Q,'Combined P&amp;L'!$C:$C,'P&amp;L Overview'!$B8)</f>
        <v>22.146000000000001</v>
      </c>
      <c r="P8" s="54">
        <f>SUMIFS('Combined P&amp;L'!R:R,'Combined P&amp;L'!$C:$C,'P&amp;L Overview'!$B8)</f>
        <v>21.966000000000001</v>
      </c>
      <c r="Q8" s="54">
        <f>SUMIFS('Combined P&amp;L'!S:S,'Combined P&amp;L'!$C:$C,'P&amp;L Overview'!$B8)</f>
        <v>17.815999999999999</v>
      </c>
      <c r="R8" s="54">
        <f>SUMIFS('Combined P&amp;L'!T:T,'Combined P&amp;L'!$C:$C,'P&amp;L Overview'!$B8)</f>
        <v>17.620999999999999</v>
      </c>
      <c r="S8" s="54">
        <f>SUMIFS('Combined P&amp;L'!U:U,'Combined P&amp;L'!$C:$C,'P&amp;L Overview'!$B8)</f>
        <v>17.536000000000001</v>
      </c>
      <c r="T8" s="54">
        <f>SUMIFS('Combined P&amp;L'!V:V,'Combined P&amp;L'!$C:$C,'P&amp;L Overview'!$B8)</f>
        <v>16.425999999999998</v>
      </c>
      <c r="U8" s="54">
        <f>SUMIFS('Combined P&amp;L'!W:W,'Combined P&amp;L'!$C:$C,'P&amp;L Overview'!$B8)</f>
        <v>15.381</v>
      </c>
      <c r="V8" s="54">
        <f>SUMIFS('Combined P&amp;L'!X:X,'Combined P&amp;L'!$C:$C,'P&amp;L Overview'!$B8)</f>
        <v>14.6755</v>
      </c>
      <c r="W8" s="54">
        <f>SUMIFS('Combined P&amp;L'!Y:Y,'Combined P&amp;L'!$C:$C,'P&amp;L Overview'!$B8)</f>
        <v>15.0755</v>
      </c>
      <c r="X8" s="54">
        <f>SUMIFS('Combined P&amp;L'!Z:Z,'Combined P&amp;L'!$C:$C,'P&amp;L Overview'!$B8)</f>
        <v>14.5625</v>
      </c>
      <c r="Y8" s="54">
        <f>SUMIFS('Combined P&amp;L'!AA:AA,'Combined P&amp;L'!$C:$C,'P&amp;L Overview'!$B8)</f>
        <v>12.8025</v>
      </c>
      <c r="Z8" s="54">
        <f>SUMIFS('Combined P&amp;L'!AB:AB,'Combined P&amp;L'!$C:$C,'P&amp;L Overview'!$B8)</f>
        <v>12.4025</v>
      </c>
      <c r="AA8" s="54">
        <f>SUMIFS('Combined P&amp;L'!AC:AC,'Combined P&amp;L'!$C:$C,'P&amp;L Overview'!$B8)</f>
        <v>12.602499999999999</v>
      </c>
      <c r="AB8" s="54">
        <f>SUMIFS('Combined P&amp;L'!AD:AD,'Combined P&amp;L'!$C:$C,'P&amp;L Overview'!$B8)</f>
        <v>12.7525</v>
      </c>
      <c r="AC8" s="54">
        <f>SUMIFS('Combined P&amp;L'!AE:AE,'Combined P&amp;L'!$C:$C,'P&amp;L Overview'!$B8)</f>
        <v>12.7925</v>
      </c>
      <c r="AD8" s="54">
        <f>SUMIFS('Combined P&amp;L'!AF:AF,'Combined P&amp;L'!$C:$C,'P&amp;L Overview'!$B8)</f>
        <v>12.5375</v>
      </c>
      <c r="AE8" s="54">
        <f>SUMIFS('Combined P&amp;L'!AG:AG,'Combined P&amp;L'!$C:$C,'P&amp;L Overview'!$B8)</f>
        <v>11.8575</v>
      </c>
      <c r="AF8" s="54">
        <f>SUMIFS('Combined P&amp;L'!AH:AH,'Combined P&amp;L'!$C:$C,'P&amp;L Overview'!$B8)</f>
        <v>12.3025</v>
      </c>
      <c r="AG8" s="54">
        <f>SUMIFS('Combined P&amp;L'!AI:AI,'Combined P&amp;L'!$C:$C,'P&amp;L Overview'!$B8)</f>
        <v>11.692500000000001</v>
      </c>
      <c r="AH8" s="54">
        <f>SUMIFS('Combined P&amp;L'!AJ:AJ,'Combined P&amp;L'!$C:$C,'P&amp;L Overview'!$B8)</f>
        <v>11.717499999999999</v>
      </c>
      <c r="AI8" s="54">
        <f>SUMIFS('Combined P&amp;L'!AK:AK,'Combined P&amp;L'!$C:$C,'P&amp;L Overview'!$B8)</f>
        <v>11.7475</v>
      </c>
      <c r="AJ8" s="54">
        <f>SUMIFS('Combined P&amp;L'!AL:AL,'Combined P&amp;L'!$C:$C,'P&amp;L Overview'!$B8)</f>
        <v>11.2805</v>
      </c>
      <c r="AK8" s="54">
        <f>SUMIFS('Combined P&amp;L'!AM:AM,'Combined P&amp;L'!$C:$C,'P&amp;L Overview'!$B8)</f>
        <v>10.9305</v>
      </c>
      <c r="AL8" s="54">
        <f>SUMIFS('Combined P&amp;L'!AN:AN,'Combined P&amp;L'!$C:$C,'P&amp;L Overview'!$B8)</f>
        <v>10.625500000000001</v>
      </c>
      <c r="AM8" s="54">
        <f>SUMIFS('Combined P&amp;L'!AO:AO,'Combined P&amp;L'!$C:$C,'P&amp;L Overview'!$B8)</f>
        <v>10.3155</v>
      </c>
      <c r="AN8" s="54">
        <f>SUMIFS('Combined P&amp;L'!AP:AP,'Combined P&amp;L'!$C:$C,'P&amp;L Overview'!$B8)</f>
        <v>10.3155</v>
      </c>
      <c r="AO8" s="54">
        <f>SUMIFS('Combined P&amp;L'!AQ:AQ,'Combined P&amp;L'!$C:$C,'P&amp;L Overview'!$B8)</f>
        <v>9.9755000000000003</v>
      </c>
      <c r="AP8" s="54">
        <f>SUMIFS('Combined P&amp;L'!AR:AR,'Combined P&amp;L'!$C:$C,'P&amp;L Overview'!$B8)</f>
        <v>9.9755000000000003</v>
      </c>
    </row>
    <row r="9" spans="2:42" x14ac:dyDescent="0.2">
      <c r="B9" s="58" t="s">
        <v>25</v>
      </c>
      <c r="C9" s="24">
        <f>SUMIFS($L9:$AP9,$L$5:$AP$5,"&gt;"&amp;C$42,$L$5:$AP$5,"&lt;"&amp;C$43)</f>
        <v>0.55999999999999994</v>
      </c>
      <c r="D9" s="24">
        <f>SUMIFS($L9:$AP9,$L$5:$AP$5,"&gt;"&amp;D$42,$L$5:$AP$5,"&lt;"&amp;D$43)</f>
        <v>55.080500000000008</v>
      </c>
      <c r="E9" s="24"/>
      <c r="F9" s="24">
        <f>SUMIFS($L9:$AP9,$L$5:$AP$5,"&gt;"&amp;F$42,$L$5:$AP$5,"&lt;"&amp;F$43)</f>
        <v>23.225500000000004</v>
      </c>
      <c r="G9" s="24">
        <f>SUMIFS($L9:$AP9,$L$5:$AP$5,"&gt;"&amp;G$42,$L$5:$AP$5,"&lt;"&amp;G$43)</f>
        <v>91.651139999999998</v>
      </c>
      <c r="H9" s="24"/>
      <c r="I9" s="24">
        <f>SUMIFS($L9:$AP9,$L$5:$AP$5,"&gt;"&amp;I$42,$L$5:$AP$5,"&lt;"&amp;I$43)</f>
        <v>18.727000000000004</v>
      </c>
      <c r="J9" s="24">
        <f>SUMIFS($L9:$AP9,$L$5:$AP$5,"&gt;"&amp;J$42,$L$5:$AP$5,"&lt;"&amp;J$43)</f>
        <v>112.49548999999999</v>
      </c>
      <c r="K9" s="53"/>
      <c r="L9" s="54">
        <f>SUMIFS('Combined P&amp;L'!N:N,'Combined P&amp;L'!$C:$C,'P&amp;L Overview'!$B9)</f>
        <v>0</v>
      </c>
      <c r="M9" s="54">
        <f>SUMIFS('Combined P&amp;L'!O:O,'Combined P&amp;L'!$C:$C,'P&amp;L Overview'!$B9)</f>
        <v>0</v>
      </c>
      <c r="N9" s="54">
        <f>SUMIFS('Combined P&amp;L'!P:P,'Combined P&amp;L'!$C:$C,'P&amp;L Overview'!$B9)</f>
        <v>0</v>
      </c>
      <c r="O9" s="54">
        <f>SUMIFS('Combined P&amp;L'!Q:Q,'Combined P&amp;L'!$C:$C,'P&amp;L Overview'!$B9)</f>
        <v>0</v>
      </c>
      <c r="P9" s="54">
        <f>SUMIFS('Combined P&amp;L'!R:R,'Combined P&amp;L'!$C:$C,'P&amp;L Overview'!$B9)</f>
        <v>0</v>
      </c>
      <c r="Q9" s="54">
        <f>SUMIFS('Combined P&amp;L'!S:S,'Combined P&amp;L'!$C:$C,'P&amp;L Overview'!$B9)</f>
        <v>0</v>
      </c>
      <c r="R9" s="54">
        <f>SUMIFS('Combined P&amp;L'!T:T,'Combined P&amp;L'!$C:$C,'P&amp;L Overview'!$B9)</f>
        <v>0</v>
      </c>
      <c r="S9" s="54">
        <f>SUMIFS('Combined P&amp;L'!U:U,'Combined P&amp;L'!$C:$C,'P&amp;L Overview'!$B9)</f>
        <v>0</v>
      </c>
      <c r="T9" s="54">
        <f>SUMIFS('Combined P&amp;L'!V:V,'Combined P&amp;L'!$C:$C,'P&amp;L Overview'!$B9)</f>
        <v>0</v>
      </c>
      <c r="U9" s="54">
        <f>SUMIFS('Combined P&amp;L'!W:W,'Combined P&amp;L'!$C:$C,'P&amp;L Overview'!$B9)</f>
        <v>0</v>
      </c>
      <c r="V9" s="54">
        <f>SUMIFS('Combined P&amp;L'!X:X,'Combined P&amp;L'!$C:$C,'P&amp;L Overview'!$B9)</f>
        <v>0.08</v>
      </c>
      <c r="W9" s="54">
        <f>SUMIFS('Combined P&amp;L'!Y:Y,'Combined P&amp;L'!$C:$C,'P&amp;L Overview'!$B9)</f>
        <v>0.48</v>
      </c>
      <c r="X9" s="54">
        <f>SUMIFS('Combined P&amp;L'!Z:Z,'Combined P&amp;L'!$C:$C,'P&amp;L Overview'!$B9)</f>
        <v>1.1299999999999999</v>
      </c>
      <c r="Y9" s="54">
        <f>SUMIFS('Combined P&amp;L'!AA:AA,'Combined P&amp;L'!$C:$C,'P&amp;L Overview'!$B9)</f>
        <v>2.14</v>
      </c>
      <c r="Z9" s="54">
        <f>SUMIFS('Combined P&amp;L'!AB:AB,'Combined P&amp;L'!$C:$C,'P&amp;L Overview'!$B9)</f>
        <v>2.66</v>
      </c>
      <c r="AA9" s="54">
        <f>SUMIFS('Combined P&amp;L'!AC:AC,'Combined P&amp;L'!$C:$C,'P&amp;L Overview'!$B9)</f>
        <v>3.65</v>
      </c>
      <c r="AB9" s="54">
        <f>SUMIFS('Combined P&amp;L'!AD:AD,'Combined P&amp;L'!$C:$C,'P&amp;L Overview'!$B9)</f>
        <v>3.6230000000000002</v>
      </c>
      <c r="AC9" s="54">
        <f>SUMIFS('Combined P&amp;L'!AE:AE,'Combined P&amp;L'!$C:$C,'P&amp;L Overview'!$B9)</f>
        <v>4.9640000000000004</v>
      </c>
      <c r="AD9" s="54">
        <f>SUMIFS('Combined P&amp;L'!AF:AF,'Combined P&amp;L'!$C:$C,'P&amp;L Overview'!$B9)</f>
        <v>5.0585000000000004</v>
      </c>
      <c r="AE9" s="54">
        <f>SUMIFS('Combined P&amp;L'!AG:AG,'Combined P&amp;L'!$C:$C,'P&amp;L Overview'!$B9)</f>
        <v>4.7300000000000004</v>
      </c>
      <c r="AF9" s="54">
        <f>SUMIFS('Combined P&amp;L'!AH:AH,'Combined P&amp;L'!$C:$C,'P&amp;L Overview'!$B9)</f>
        <v>4.82</v>
      </c>
      <c r="AG9" s="54">
        <f>SUMIFS('Combined P&amp;L'!AI:AI,'Combined P&amp;L'!$C:$C,'P&amp;L Overview'!$B9)</f>
        <v>5.37</v>
      </c>
      <c r="AH9" s="54">
        <f>SUMIFS('Combined P&amp;L'!AJ:AJ,'Combined P&amp;L'!$C:$C,'P&amp;L Overview'!$B9)</f>
        <v>8.0500000000000007</v>
      </c>
      <c r="AI9" s="54">
        <f>SUMIFS('Combined P&amp;L'!AK:AK,'Combined P&amp;L'!$C:$C,'P&amp;L Overview'!$B9)</f>
        <v>8.8849999999999998</v>
      </c>
      <c r="AJ9" s="54">
        <f>SUMIFS('Combined P&amp;L'!AL:AL,'Combined P&amp;L'!$C:$C,'P&amp;L Overview'!$B9)</f>
        <v>10.909520000000001</v>
      </c>
      <c r="AK9" s="54">
        <f>SUMIFS('Combined P&amp;L'!AM:AM,'Combined P&amp;L'!$C:$C,'P&amp;L Overview'!$B9)</f>
        <v>10.33497</v>
      </c>
      <c r="AL9" s="54">
        <f>SUMIFS('Combined P&amp;L'!AN:AN,'Combined P&amp;L'!$C:$C,'P&amp;L Overview'!$B9)</f>
        <v>11.175000000000001</v>
      </c>
      <c r="AM9" s="54">
        <f>SUMIFS('Combined P&amp;L'!AO:AO,'Combined P&amp;L'!$C:$C,'P&amp;L Overview'!$B9)</f>
        <v>11.953110000000001</v>
      </c>
      <c r="AN9" s="54">
        <f>SUMIFS('Combined P&amp;L'!AP:AP,'Combined P&amp;L'!$C:$C,'P&amp;L Overview'!$B9)</f>
        <v>15.040709999999999</v>
      </c>
      <c r="AO9" s="54">
        <f>SUMIFS('Combined P&amp;L'!AQ:AQ,'Combined P&amp;L'!$C:$C,'P&amp;L Overview'!$B9)</f>
        <v>16.168680000000002</v>
      </c>
      <c r="AP9" s="54">
        <f>SUMIFS('Combined P&amp;L'!AR:AR,'Combined P&amp;L'!$C:$C,'P&amp;L Overview'!$B9)</f>
        <v>16.06915</v>
      </c>
    </row>
    <row r="10" spans="2:42" x14ac:dyDescent="0.2">
      <c r="B10" s="58" t="s">
        <v>20</v>
      </c>
      <c r="C10" s="24">
        <f>SUMIFS($L10:$AP10,$L$5:$AP$5,"&gt;"&amp;C$42,$L$5:$AP$5,"&lt;"&amp;C$43)</f>
        <v>44.058500000000002</v>
      </c>
      <c r="D10" s="24">
        <f>SUMIFS($L10:$AP10,$L$5:$AP$5,"&gt;"&amp;D$42,$L$5:$AP$5,"&lt;"&amp;D$43)</f>
        <v>74.519299999999987</v>
      </c>
      <c r="E10" s="24"/>
      <c r="F10" s="24">
        <f>SUMIFS($L10:$AP10,$L$5:$AP$5,"&gt;"&amp;F$42,$L$5:$AP$5,"&lt;"&amp;F$43)</f>
        <v>42.254049999999999</v>
      </c>
      <c r="G10" s="24">
        <f>SUMIFS($L10:$AP10,$L$5:$AP$5,"&gt;"&amp;G$42,$L$5:$AP$5,"&lt;"&amp;G$43)</f>
        <v>59.055000000000007</v>
      </c>
      <c r="H10" s="24"/>
      <c r="I10" s="24">
        <f>SUMIFS($L10:$AP10,$L$5:$AP$5,"&gt;"&amp;I$42,$L$5:$AP$5,"&lt;"&amp;I$43)</f>
        <v>55.660549999999994</v>
      </c>
      <c r="J10" s="24">
        <f>SUMIFS($L10:$AP10,$L$5:$AP$5,"&gt;"&amp;J$42,$L$5:$AP$5,"&lt;"&amp;J$43)</f>
        <v>91.655749999999998</v>
      </c>
      <c r="K10" s="53"/>
      <c r="L10" s="54">
        <f>SUMIFS('Combined P&amp;L'!N:N,'Combined P&amp;L'!$C:$C,'P&amp;L Overview'!$B10)</f>
        <v>5.4649999999999999</v>
      </c>
      <c r="M10" s="54">
        <f>SUMIFS('Combined P&amp;L'!O:O,'Combined P&amp;L'!$C:$C,'P&amp;L Overview'!$B10)</f>
        <v>3.9</v>
      </c>
      <c r="N10" s="54">
        <f>SUMIFS('Combined P&amp;L'!P:P,'Combined P&amp;L'!$C:$C,'P&amp;L Overview'!$B10)</f>
        <v>2.7549999999999999</v>
      </c>
      <c r="O10" s="54">
        <f>SUMIFS('Combined P&amp;L'!Q:Q,'Combined P&amp;L'!$C:$C,'P&amp;L Overview'!$B10)</f>
        <v>3.5019999999999998</v>
      </c>
      <c r="P10" s="54">
        <f>SUMIFS('Combined P&amp;L'!R:R,'Combined P&amp;L'!$C:$C,'P&amp;L Overview'!$B10)</f>
        <v>4.6589999999999998</v>
      </c>
      <c r="Q10" s="54">
        <f>SUMIFS('Combined P&amp;L'!S:S,'Combined P&amp;L'!$C:$C,'P&amp;L Overview'!$B10)</f>
        <v>3.9369999999999998</v>
      </c>
      <c r="R10" s="54">
        <f>SUMIFS('Combined P&amp;L'!T:T,'Combined P&amp;L'!$C:$C,'P&amp;L Overview'!$B10)</f>
        <v>4.6020000000000003</v>
      </c>
      <c r="S10" s="54">
        <f>SUMIFS('Combined P&amp;L'!U:U,'Combined P&amp;L'!$C:$C,'P&amp;L Overview'!$B10)</f>
        <v>4.7380000000000004</v>
      </c>
      <c r="T10" s="54">
        <f>SUMIFS('Combined P&amp;L'!V:V,'Combined P&amp;L'!$C:$C,'P&amp;L Overview'!$B10)</f>
        <v>2.1190000000000002</v>
      </c>
      <c r="U10" s="54">
        <f>SUMIFS('Combined P&amp;L'!W:W,'Combined P&amp;L'!$C:$C,'P&amp;L Overview'!$B10)</f>
        <v>2.0640000000000001</v>
      </c>
      <c r="V10" s="54">
        <f>SUMIFS('Combined P&amp;L'!X:X,'Combined P&amp;L'!$C:$C,'P&amp;L Overview'!$B10)</f>
        <v>3.0125000000000002</v>
      </c>
      <c r="W10" s="54">
        <f>SUMIFS('Combined P&amp;L'!Y:Y,'Combined P&amp;L'!$C:$C,'P&amp;L Overview'!$B10)</f>
        <v>3.3050000000000002</v>
      </c>
      <c r="X10" s="54">
        <f>SUMIFS('Combined P&amp;L'!Z:Z,'Combined P&amp;L'!$C:$C,'P&amp;L Overview'!$B10)</f>
        <v>3.0790000000000002</v>
      </c>
      <c r="Y10" s="54">
        <f>SUMIFS('Combined P&amp;L'!AA:AA,'Combined P&amp;L'!$C:$C,'P&amp;L Overview'!$B10)</f>
        <v>0.7</v>
      </c>
      <c r="Z10" s="54">
        <f>SUMIFS('Combined P&amp;L'!AB:AB,'Combined P&amp;L'!$C:$C,'P&amp;L Overview'!$B10)</f>
        <v>10.438549999999999</v>
      </c>
      <c r="AA10" s="54">
        <f>SUMIFS('Combined P&amp;L'!AC:AC,'Combined P&amp;L'!$C:$C,'P&amp;L Overview'!$B10)</f>
        <v>4.3</v>
      </c>
      <c r="AB10" s="54">
        <f>SUMIFS('Combined P&amp;L'!AD:AD,'Combined P&amp;L'!$C:$C,'P&amp;L Overview'!$B10)</f>
        <v>11.14</v>
      </c>
      <c r="AC10" s="54">
        <f>SUMIFS('Combined P&amp;L'!AE:AE,'Combined P&amp;L'!$C:$C,'P&amp;L Overview'!$B10)</f>
        <v>6.1624999999999996</v>
      </c>
      <c r="AD10" s="54">
        <f>SUMIFS('Combined P&amp;L'!AF:AF,'Combined P&amp;L'!$C:$C,'P&amp;L Overview'!$B10)</f>
        <v>6.4340000000000002</v>
      </c>
      <c r="AE10" s="54">
        <f>SUMIFS('Combined P&amp;L'!AG:AG,'Combined P&amp;L'!$C:$C,'P&amp;L Overview'!$B10)</f>
        <v>3.9649999999999999</v>
      </c>
      <c r="AF10" s="54">
        <f>SUMIFS('Combined P&amp;L'!AH:AH,'Combined P&amp;L'!$C:$C,'P&amp;L Overview'!$B10)</f>
        <v>3.92</v>
      </c>
      <c r="AG10" s="54">
        <f>SUMIFS('Combined P&amp;L'!AI:AI,'Combined P&amp;L'!$C:$C,'P&amp;L Overview'!$B10)</f>
        <v>9.1364999999999998</v>
      </c>
      <c r="AH10" s="54">
        <f>SUMIFS('Combined P&amp;L'!AJ:AJ,'Combined P&amp;L'!$C:$C,'P&amp;L Overview'!$B10)</f>
        <v>5.2537500000000001</v>
      </c>
      <c r="AI10" s="54">
        <f>SUMIFS('Combined P&amp;L'!AK:AK,'Combined P&amp;L'!$C:$C,'P&amp;L Overview'!$B10)</f>
        <v>9.99</v>
      </c>
      <c r="AJ10" s="54">
        <f>SUMIFS('Combined P&amp;L'!AL:AL,'Combined P&amp;L'!$C:$C,'P&amp;L Overview'!$B10)</f>
        <v>10.2105</v>
      </c>
      <c r="AK10" s="54">
        <f>SUMIFS('Combined P&amp;L'!AM:AM,'Combined P&amp;L'!$C:$C,'P&amp;L Overview'!$B10)</f>
        <v>6.6749999999999998</v>
      </c>
      <c r="AL10" s="54">
        <f>SUMIFS('Combined P&amp;L'!AN:AN,'Combined P&amp;L'!$C:$C,'P&amp;L Overview'!$B10)</f>
        <v>9.0990000000000002</v>
      </c>
      <c r="AM10" s="54">
        <f>SUMIFS('Combined P&amp;L'!AO:AO,'Combined P&amp;L'!$C:$C,'P&amp;L Overview'!$B10)</f>
        <v>8.9544999999999995</v>
      </c>
      <c r="AN10" s="54">
        <f>SUMIFS('Combined P&amp;L'!AP:AP,'Combined P&amp;L'!$C:$C,'P&amp;L Overview'!$B10)</f>
        <v>12.606</v>
      </c>
      <c r="AO10" s="54">
        <f>SUMIFS('Combined P&amp;L'!AQ:AQ,'Combined P&amp;L'!$C:$C,'P&amp;L Overview'!$B10)</f>
        <v>5.4115000000000002</v>
      </c>
      <c r="AP10" s="54">
        <f>SUMIFS('Combined P&amp;L'!AR:AR,'Combined P&amp;L'!$C:$C,'P&amp;L Overview'!$B10)</f>
        <v>6.0984999999999996</v>
      </c>
    </row>
    <row r="11" spans="2:42" x14ac:dyDescent="0.2">
      <c r="B11" s="57" t="s">
        <v>26</v>
      </c>
      <c r="C11" s="24">
        <f>SUMIFS($L11:$AP11,$L$5:$AP$5,"&gt;"&amp;C$42,$L$5:$AP$5,"&lt;"&amp;C$43)</f>
        <v>0.06</v>
      </c>
      <c r="D11" s="24">
        <f>SUMIFS($L11:$AP11,$L$5:$AP$5,"&gt;"&amp;D$42,$L$5:$AP$5,"&lt;"&amp;D$43)</f>
        <v>36.606499999999997</v>
      </c>
      <c r="E11" s="24"/>
      <c r="F11" s="24">
        <f>SUMIFS($L11:$AP11,$L$5:$AP$5,"&gt;"&amp;F$42,$L$5:$AP$5,"&lt;"&amp;F$43)</f>
        <v>15.4915</v>
      </c>
      <c r="G11" s="24">
        <f>SUMIFS($L11:$AP11,$L$5:$AP$5,"&gt;"&amp;G$42,$L$5:$AP$5,"&lt;"&amp;G$43)</f>
        <v>45.129999999999995</v>
      </c>
      <c r="H11" s="24"/>
      <c r="I11" s="24">
        <f>SUMIFS($L11:$AP11,$L$5:$AP$5,"&gt;"&amp;I$42,$L$5:$AP$5,"&lt;"&amp;I$43)</f>
        <v>11.631500000000001</v>
      </c>
      <c r="J11" s="24">
        <f>SUMIFS($L11:$AP11,$L$5:$AP$5,"&gt;"&amp;J$42,$L$5:$AP$5,"&lt;"&amp;J$43)</f>
        <v>63.209999999999994</v>
      </c>
      <c r="K11" s="53"/>
      <c r="L11" s="54">
        <f>SUMIFS('Combined P&amp;L'!N:N,'Combined P&amp;L'!$C:$C,'P&amp;L Overview'!$B11)</f>
        <v>0</v>
      </c>
      <c r="M11" s="54">
        <f>SUMIFS('Combined P&amp;L'!O:O,'Combined P&amp;L'!$C:$C,'P&amp;L Overview'!$B11)</f>
        <v>0</v>
      </c>
      <c r="N11" s="54">
        <f>SUMIFS('Combined P&amp;L'!P:P,'Combined P&amp;L'!$C:$C,'P&amp;L Overview'!$B11)</f>
        <v>0</v>
      </c>
      <c r="O11" s="54">
        <f>SUMIFS('Combined P&amp;L'!Q:Q,'Combined P&amp;L'!$C:$C,'P&amp;L Overview'!$B11)</f>
        <v>0</v>
      </c>
      <c r="P11" s="54">
        <f>SUMIFS('Combined P&amp;L'!R:R,'Combined P&amp;L'!$C:$C,'P&amp;L Overview'!$B11)</f>
        <v>0</v>
      </c>
      <c r="Q11" s="54">
        <f>SUMIFS('Combined P&amp;L'!S:S,'Combined P&amp;L'!$C:$C,'P&amp;L Overview'!$B11)</f>
        <v>0</v>
      </c>
      <c r="R11" s="54">
        <f>SUMIFS('Combined P&amp;L'!T:T,'Combined P&amp;L'!$C:$C,'P&amp;L Overview'!$B11)</f>
        <v>0</v>
      </c>
      <c r="S11" s="54">
        <f>SUMIFS('Combined P&amp;L'!U:U,'Combined P&amp;L'!$C:$C,'P&amp;L Overview'!$B11)</f>
        <v>0</v>
      </c>
      <c r="T11" s="54">
        <f>SUMIFS('Combined P&amp;L'!V:V,'Combined P&amp;L'!$C:$C,'P&amp;L Overview'!$B11)</f>
        <v>0</v>
      </c>
      <c r="U11" s="54">
        <f>SUMIFS('Combined P&amp;L'!W:W,'Combined P&amp;L'!$C:$C,'P&amp;L Overview'!$B11)</f>
        <v>0</v>
      </c>
      <c r="V11" s="54">
        <f>SUMIFS('Combined P&amp;L'!X:X,'Combined P&amp;L'!$C:$C,'P&amp;L Overview'!$B11)</f>
        <v>0</v>
      </c>
      <c r="W11" s="54">
        <f>SUMIFS('Combined P&amp;L'!Y:Y,'Combined P&amp;L'!$C:$C,'P&amp;L Overview'!$B11)</f>
        <v>0.06</v>
      </c>
      <c r="X11" s="54">
        <f>SUMIFS('Combined P&amp;L'!Z:Z,'Combined P&amp;L'!$C:$C,'P&amp;L Overview'!$B11)</f>
        <v>0.97</v>
      </c>
      <c r="Y11" s="54">
        <f>SUMIFS('Combined P&amp;L'!AA:AA,'Combined P&amp;L'!$C:$C,'P&amp;L Overview'!$B11)</f>
        <v>1.1000000000000001</v>
      </c>
      <c r="Z11" s="54">
        <f>SUMIFS('Combined P&amp;L'!AB:AB,'Combined P&amp;L'!$C:$C,'P&amp;L Overview'!$B11)</f>
        <v>1.7350000000000001</v>
      </c>
      <c r="AA11" s="54">
        <f>SUMIFS('Combined P&amp;L'!AC:AC,'Combined P&amp;L'!$C:$C,'P&amp;L Overview'!$B11)</f>
        <v>2.14</v>
      </c>
      <c r="AB11" s="54">
        <f>SUMIFS('Combined P&amp;L'!AD:AD,'Combined P&amp;L'!$C:$C,'P&amp;L Overview'!$B11)</f>
        <v>2.363</v>
      </c>
      <c r="AC11" s="54">
        <f>SUMIFS('Combined P&amp;L'!AE:AE,'Combined P&amp;L'!$C:$C,'P&amp;L Overview'!$B11)</f>
        <v>3.2635000000000001</v>
      </c>
      <c r="AD11" s="54">
        <f>SUMIFS('Combined P&amp;L'!AF:AF,'Combined P&amp;L'!$C:$C,'P&amp;L Overview'!$B11)</f>
        <v>3.92</v>
      </c>
      <c r="AE11" s="54">
        <f>SUMIFS('Combined P&amp;L'!AG:AG,'Combined P&amp;L'!$C:$C,'P&amp;L Overview'!$B11)</f>
        <v>3.9049999999999998</v>
      </c>
      <c r="AF11" s="54">
        <f>SUMIFS('Combined P&amp;L'!AH:AH,'Combined P&amp;L'!$C:$C,'P&amp;L Overview'!$B11)</f>
        <v>3.78</v>
      </c>
      <c r="AG11" s="54">
        <f>SUMIFS('Combined P&amp;L'!AI:AI,'Combined P&amp;L'!$C:$C,'P&amp;L Overview'!$B11)</f>
        <v>3.7949999999999999</v>
      </c>
      <c r="AH11" s="54">
        <f>SUMIFS('Combined P&amp;L'!AJ:AJ,'Combined P&amp;L'!$C:$C,'P&amp;L Overview'!$B11)</f>
        <v>4.33</v>
      </c>
      <c r="AI11" s="54">
        <f>SUMIFS('Combined P&amp;L'!AK:AK,'Combined P&amp;L'!$C:$C,'P&amp;L Overview'!$B11)</f>
        <v>5.3049999999999997</v>
      </c>
      <c r="AJ11" s="54">
        <f>SUMIFS('Combined P&amp;L'!AL:AL,'Combined P&amp;L'!$C:$C,'P&amp;L Overview'!$B11)</f>
        <v>6.3</v>
      </c>
      <c r="AK11" s="54">
        <f>SUMIFS('Combined P&amp;L'!AM:AM,'Combined P&amp;L'!$C:$C,'P&amp;L Overview'!$B11)</f>
        <v>6.39</v>
      </c>
      <c r="AL11" s="54">
        <f>SUMIFS('Combined P&amp;L'!AN:AN,'Combined P&amp;L'!$C:$C,'P&amp;L Overview'!$B11)</f>
        <v>6.4249999999999998</v>
      </c>
      <c r="AM11" s="54">
        <f>SUMIFS('Combined P&amp;L'!AO:AO,'Combined P&amp;L'!$C:$C,'P&amp;L Overview'!$B11)</f>
        <v>6.08</v>
      </c>
      <c r="AN11" s="54">
        <f>SUMIFS('Combined P&amp;L'!AP:AP,'Combined P&amp;L'!$C:$C,'P&amp;L Overview'!$B11)</f>
        <v>6.3250000000000002</v>
      </c>
      <c r="AO11" s="54">
        <f>SUMIFS('Combined P&amp;L'!AQ:AQ,'Combined P&amp;L'!$C:$C,'P&amp;L Overview'!$B11)</f>
        <v>6.6550000000000002</v>
      </c>
      <c r="AP11" s="54">
        <f>SUMIFS('Combined P&amp;L'!AR:AR,'Combined P&amp;L'!$C:$C,'P&amp;L Overview'!$B11)</f>
        <v>6.9550000000000001</v>
      </c>
    </row>
    <row r="12" spans="2:42" x14ac:dyDescent="0.2">
      <c r="B12" s="57" t="s">
        <v>28</v>
      </c>
      <c r="C12" s="24">
        <f>SUMIFS($L12:$AP12,$L$5:$AP$5,"&gt;"&amp;C$42,$L$5:$AP$5,"&lt;"&amp;C$43)</f>
        <v>0</v>
      </c>
      <c r="D12" s="24">
        <f>SUMIFS($L12:$AP12,$L$5:$AP$5,"&gt;"&amp;D$42,$L$5:$AP$5,"&lt;"&amp;D$43)</f>
        <v>9.947000000000001</v>
      </c>
      <c r="E12" s="24"/>
      <c r="F12" s="24">
        <f>SUMIFS($L12:$AP12,$L$5:$AP$5,"&gt;"&amp;F$42,$L$5:$AP$5,"&lt;"&amp;F$43)</f>
        <v>0</v>
      </c>
      <c r="G12" s="24">
        <f>SUMIFS($L12:$AP12,$L$5:$AP$5,"&gt;"&amp;G$42,$L$5:$AP$5,"&lt;"&amp;G$43)</f>
        <v>45.085999999999991</v>
      </c>
      <c r="H12" s="24"/>
      <c r="I12" s="24">
        <f>SUMIFS($L12:$AP12,$L$5:$AP$5,"&gt;"&amp;I$42,$L$5:$AP$5,"&lt;"&amp;I$43)</f>
        <v>0</v>
      </c>
      <c r="J12" s="24">
        <f>SUMIFS($L12:$AP12,$L$5:$AP$5,"&gt;"&amp;J$42,$L$5:$AP$5,"&lt;"&amp;J$43)</f>
        <v>47.129999999999995</v>
      </c>
      <c r="K12" s="53"/>
      <c r="L12" s="54">
        <f>SUMIFS('Combined P&amp;L'!N:N,'Combined P&amp;L'!$C:$C,'P&amp;L Overview'!$B12)</f>
        <v>0</v>
      </c>
      <c r="M12" s="54">
        <f>SUMIFS('Combined P&amp;L'!O:O,'Combined P&amp;L'!$C:$C,'P&amp;L Overview'!$B12)</f>
        <v>0</v>
      </c>
      <c r="N12" s="54">
        <f>SUMIFS('Combined P&amp;L'!P:P,'Combined P&amp;L'!$C:$C,'P&amp;L Overview'!$B12)</f>
        <v>0</v>
      </c>
      <c r="O12" s="54">
        <f>SUMIFS('Combined P&amp;L'!Q:Q,'Combined P&amp;L'!$C:$C,'P&amp;L Overview'!$B12)</f>
        <v>0</v>
      </c>
      <c r="P12" s="54">
        <f>SUMIFS('Combined P&amp;L'!R:R,'Combined P&amp;L'!$C:$C,'P&amp;L Overview'!$B12)</f>
        <v>0</v>
      </c>
      <c r="Q12" s="54">
        <f>SUMIFS('Combined P&amp;L'!S:S,'Combined P&amp;L'!$C:$C,'P&amp;L Overview'!$B12)</f>
        <v>0</v>
      </c>
      <c r="R12" s="54">
        <f>SUMIFS('Combined P&amp;L'!T:T,'Combined P&amp;L'!$C:$C,'P&amp;L Overview'!$B12)</f>
        <v>0</v>
      </c>
      <c r="S12" s="54">
        <f>SUMIFS('Combined P&amp;L'!U:U,'Combined P&amp;L'!$C:$C,'P&amp;L Overview'!$B12)</f>
        <v>0</v>
      </c>
      <c r="T12" s="54">
        <f>SUMIFS('Combined P&amp;L'!V:V,'Combined P&amp;L'!$C:$C,'P&amp;L Overview'!$B12)</f>
        <v>0</v>
      </c>
      <c r="U12" s="54">
        <f>SUMIFS('Combined P&amp;L'!W:W,'Combined P&amp;L'!$C:$C,'P&amp;L Overview'!$B12)</f>
        <v>0</v>
      </c>
      <c r="V12" s="54">
        <f>SUMIFS('Combined P&amp;L'!X:X,'Combined P&amp;L'!$C:$C,'P&amp;L Overview'!$B12)</f>
        <v>0</v>
      </c>
      <c r="W12" s="54">
        <f>SUMIFS('Combined P&amp;L'!Y:Y,'Combined P&amp;L'!$C:$C,'P&amp;L Overview'!$B12)</f>
        <v>0</v>
      </c>
      <c r="X12" s="54">
        <f>SUMIFS('Combined P&amp;L'!Z:Z,'Combined P&amp;L'!$C:$C,'P&amp;L Overview'!$B12)</f>
        <v>0</v>
      </c>
      <c r="Y12" s="54">
        <f>SUMIFS('Combined P&amp;L'!AA:AA,'Combined P&amp;L'!$C:$C,'P&amp;L Overview'!$B12)</f>
        <v>0</v>
      </c>
      <c r="Z12" s="54">
        <f>SUMIFS('Combined P&amp;L'!AB:AB,'Combined P&amp;L'!$C:$C,'P&amp;L Overview'!$B12)</f>
        <v>0</v>
      </c>
      <c r="AA12" s="54">
        <f>SUMIFS('Combined P&amp;L'!AC:AC,'Combined P&amp;L'!$C:$C,'P&amp;L Overview'!$B12)</f>
        <v>0</v>
      </c>
      <c r="AB12" s="54">
        <f>SUMIFS('Combined P&amp;L'!AD:AD,'Combined P&amp;L'!$C:$C,'P&amp;L Overview'!$B12)</f>
        <v>0</v>
      </c>
      <c r="AC12" s="54">
        <f>SUMIFS('Combined P&amp;L'!AE:AE,'Combined P&amp;L'!$C:$C,'P&amp;L Overview'!$B12)</f>
        <v>0</v>
      </c>
      <c r="AD12" s="54">
        <f>SUMIFS('Combined P&amp;L'!AF:AF,'Combined P&amp;L'!$C:$C,'P&amp;L Overview'!$B12)</f>
        <v>0</v>
      </c>
      <c r="AE12" s="54">
        <f>SUMIFS('Combined P&amp;L'!AG:AG,'Combined P&amp;L'!$C:$C,'P&amp;L Overview'!$B12)</f>
        <v>0</v>
      </c>
      <c r="AF12" s="54">
        <f>SUMIFS('Combined P&amp;L'!AH:AH,'Combined P&amp;L'!$C:$C,'P&amp;L Overview'!$B12)</f>
        <v>0.52</v>
      </c>
      <c r="AG12" s="54">
        <f>SUMIFS('Combined P&amp;L'!AI:AI,'Combined P&amp;L'!$C:$C,'P&amp;L Overview'!$B12)</f>
        <v>2.3570000000000002</v>
      </c>
      <c r="AH12" s="54">
        <f>SUMIFS('Combined P&amp;L'!AJ:AJ,'Combined P&amp;L'!$C:$C,'P&amp;L Overview'!$B12)</f>
        <v>2.8109999999999999</v>
      </c>
      <c r="AI12" s="54">
        <f>SUMIFS('Combined P&amp;L'!AK:AK,'Combined P&amp;L'!$C:$C,'P&amp;L Overview'!$B12)</f>
        <v>4.2590000000000003</v>
      </c>
      <c r="AJ12" s="54">
        <f>SUMIFS('Combined P&amp;L'!AL:AL,'Combined P&amp;L'!$C:$C,'P&amp;L Overview'!$B12)</f>
        <v>5.2539999999999996</v>
      </c>
      <c r="AK12" s="54">
        <f>SUMIFS('Combined P&amp;L'!AM:AM,'Combined P&amp;L'!$C:$C,'P&amp;L Overview'!$B12)</f>
        <v>5.6520000000000001</v>
      </c>
      <c r="AL12" s="54">
        <f>SUMIFS('Combined P&amp;L'!AN:AN,'Combined P&amp;L'!$C:$C,'P&amp;L Overview'!$B12)</f>
        <v>5.3239999999999998</v>
      </c>
      <c r="AM12" s="54">
        <f>SUMIFS('Combined P&amp;L'!AO:AO,'Combined P&amp;L'!$C:$C,'P&amp;L Overview'!$B12)</f>
        <v>6.3209999999999997</v>
      </c>
      <c r="AN12" s="54">
        <f>SUMIFS('Combined P&amp;L'!AP:AP,'Combined P&amp;L'!$C:$C,'P&amp;L Overview'!$B12)</f>
        <v>6.9589999999999996</v>
      </c>
      <c r="AO12" s="54">
        <f>SUMIFS('Combined P&amp;L'!AQ:AQ,'Combined P&amp;L'!$C:$C,'P&amp;L Overview'!$B12)</f>
        <v>7.673</v>
      </c>
      <c r="AP12" s="54">
        <f>SUMIFS('Combined P&amp;L'!AR:AR,'Combined P&amp;L'!$C:$C,'P&amp;L Overview'!$B12)</f>
        <v>7.9029999999999996</v>
      </c>
    </row>
    <row r="13" spans="2:42" x14ac:dyDescent="0.2">
      <c r="B13" s="58" t="s">
        <v>24</v>
      </c>
      <c r="C13" s="24">
        <f>SUMIFS($L13:$AP13,$L$5:$AP$5,"&gt;"&amp;C$42,$L$5:$AP$5,"&lt;"&amp;C$43)</f>
        <v>13.75</v>
      </c>
      <c r="D13" s="24">
        <f>SUMIFS($L13:$AP13,$L$5:$AP$5,"&gt;"&amp;D$42,$L$5:$AP$5,"&lt;"&amp;D$43)</f>
        <v>46.400000000000006</v>
      </c>
      <c r="E13" s="24"/>
      <c r="F13" s="24">
        <f>SUMIFS($L13:$AP13,$L$5:$AP$5,"&gt;"&amp;F$42,$L$5:$AP$5,"&lt;"&amp;F$43)</f>
        <v>31.5</v>
      </c>
      <c r="G13" s="24">
        <f>SUMIFS($L13:$AP13,$L$5:$AP$5,"&gt;"&amp;G$42,$L$5:$AP$5,"&lt;"&amp;G$43)</f>
        <v>24.25</v>
      </c>
      <c r="H13" s="24"/>
      <c r="I13" s="24">
        <f>SUMIFS($L13:$AP13,$L$5:$AP$5,"&gt;"&amp;I$42,$L$5:$AP$5,"&lt;"&amp;I$43)</f>
        <v>41.25</v>
      </c>
      <c r="J13" s="24">
        <f>SUMIFS($L13:$AP13,$L$5:$AP$5,"&gt;"&amp;J$42,$L$5:$AP$5,"&lt;"&amp;J$43)</f>
        <v>39.65</v>
      </c>
      <c r="K13" s="53"/>
      <c r="L13" s="54">
        <f>SUMIFS('Combined P&amp;L'!N:N,'Combined P&amp;L'!$C:$C,'P&amp;L Overview'!$B13)</f>
        <v>0</v>
      </c>
      <c r="M13" s="54">
        <f>SUMIFS('Combined P&amp;L'!O:O,'Combined P&amp;L'!$C:$C,'P&amp;L Overview'!$B13)</f>
        <v>0</v>
      </c>
      <c r="N13" s="54">
        <f>SUMIFS('Combined P&amp;L'!P:P,'Combined P&amp;L'!$C:$C,'P&amp;L Overview'!$B13)</f>
        <v>0</v>
      </c>
      <c r="O13" s="54">
        <f>SUMIFS('Combined P&amp;L'!Q:Q,'Combined P&amp;L'!$C:$C,'P&amp;L Overview'!$B13)</f>
        <v>0</v>
      </c>
      <c r="P13" s="54">
        <f>SUMIFS('Combined P&amp;L'!R:R,'Combined P&amp;L'!$C:$C,'P&amp;L Overview'!$B13)</f>
        <v>0</v>
      </c>
      <c r="Q13" s="54">
        <f>SUMIFS('Combined P&amp;L'!S:S,'Combined P&amp;L'!$C:$C,'P&amp;L Overview'!$B13)</f>
        <v>0</v>
      </c>
      <c r="R13" s="54">
        <f>SUMIFS('Combined P&amp;L'!T:T,'Combined P&amp;L'!$C:$C,'P&amp;L Overview'!$B13)</f>
        <v>1.25</v>
      </c>
      <c r="S13" s="54">
        <f>SUMIFS('Combined P&amp;L'!U:U,'Combined P&amp;L'!$C:$C,'P&amp;L Overview'!$B13)</f>
        <v>1.25</v>
      </c>
      <c r="T13" s="54">
        <f>SUMIFS('Combined P&amp;L'!V:V,'Combined P&amp;L'!$C:$C,'P&amp;L Overview'!$B13)</f>
        <v>1.25</v>
      </c>
      <c r="U13" s="54">
        <f>SUMIFS('Combined P&amp;L'!W:W,'Combined P&amp;L'!$C:$C,'P&amp;L Overview'!$B13)</f>
        <v>1.25</v>
      </c>
      <c r="V13" s="54">
        <f>SUMIFS('Combined P&amp;L'!X:X,'Combined P&amp;L'!$C:$C,'P&amp;L Overview'!$B13)</f>
        <v>5.75</v>
      </c>
      <c r="W13" s="54">
        <f>SUMIFS('Combined P&amp;L'!Y:Y,'Combined P&amp;L'!$C:$C,'P&amp;L Overview'!$B13)</f>
        <v>3</v>
      </c>
      <c r="X13" s="54">
        <f>SUMIFS('Combined P&amp;L'!Z:Z,'Combined P&amp;L'!$C:$C,'P&amp;L Overview'!$B13)</f>
        <v>4.45</v>
      </c>
      <c r="Y13" s="54">
        <f>SUMIFS('Combined P&amp;L'!AA:AA,'Combined P&amp;L'!$C:$C,'P&amp;L Overview'!$B13)</f>
        <v>3.45</v>
      </c>
      <c r="Z13" s="54">
        <f>SUMIFS('Combined P&amp;L'!AB:AB,'Combined P&amp;L'!$C:$C,'P&amp;L Overview'!$B13)</f>
        <v>3.45</v>
      </c>
      <c r="AA13" s="54">
        <f>SUMIFS('Combined P&amp;L'!AC:AC,'Combined P&amp;L'!$C:$C,'P&amp;L Overview'!$B13)</f>
        <v>5.95</v>
      </c>
      <c r="AB13" s="54">
        <f>SUMIFS('Combined P&amp;L'!AD:AD,'Combined P&amp;L'!$C:$C,'P&amp;L Overview'!$B13)</f>
        <v>5.2</v>
      </c>
      <c r="AC13" s="54">
        <f>SUMIFS('Combined P&amp;L'!AE:AE,'Combined P&amp;L'!$C:$C,'P&amp;L Overview'!$B13)</f>
        <v>5</v>
      </c>
      <c r="AD13" s="54">
        <f>SUMIFS('Combined P&amp;L'!AF:AF,'Combined P&amp;L'!$C:$C,'P&amp;L Overview'!$B13)</f>
        <v>4</v>
      </c>
      <c r="AE13" s="54">
        <f>SUMIFS('Combined P&amp;L'!AG:AG,'Combined P&amp;L'!$C:$C,'P&amp;L Overview'!$B13)</f>
        <v>2.95</v>
      </c>
      <c r="AF13" s="54">
        <f>SUMIFS('Combined P&amp;L'!AH:AH,'Combined P&amp;L'!$C:$C,'P&amp;L Overview'!$B13)</f>
        <v>3.0249999999999999</v>
      </c>
      <c r="AG13" s="54">
        <f>SUMIFS('Combined P&amp;L'!AI:AI,'Combined P&amp;L'!$C:$C,'P&amp;L Overview'!$B13)</f>
        <v>3.0249999999999999</v>
      </c>
      <c r="AH13" s="54">
        <f>SUMIFS('Combined P&amp;L'!AJ:AJ,'Combined P&amp;L'!$C:$C,'P&amp;L Overview'!$B13)</f>
        <v>2.95</v>
      </c>
      <c r="AI13" s="54">
        <f>SUMIFS('Combined P&amp;L'!AK:AK,'Combined P&amp;L'!$C:$C,'P&amp;L Overview'!$B13)</f>
        <v>2.95</v>
      </c>
      <c r="AJ13" s="54">
        <f>SUMIFS('Combined P&amp;L'!AL:AL,'Combined P&amp;L'!$C:$C,'P&amp;L Overview'!$B13)</f>
        <v>2.75</v>
      </c>
      <c r="AK13" s="54">
        <f>SUMIFS('Combined P&amp;L'!AM:AM,'Combined P&amp;L'!$C:$C,'P&amp;L Overview'!$B13)</f>
        <v>3.5</v>
      </c>
      <c r="AL13" s="54">
        <f>SUMIFS('Combined P&amp;L'!AN:AN,'Combined P&amp;L'!$C:$C,'P&amp;L Overview'!$B13)</f>
        <v>2.75</v>
      </c>
      <c r="AM13" s="54">
        <f>SUMIFS('Combined P&amp;L'!AO:AO,'Combined P&amp;L'!$C:$C,'P&amp;L Overview'!$B13)</f>
        <v>4.75</v>
      </c>
      <c r="AN13" s="54">
        <f>SUMIFS('Combined P&amp;L'!AP:AP,'Combined P&amp;L'!$C:$C,'P&amp;L Overview'!$B13)</f>
        <v>3.5</v>
      </c>
      <c r="AO13" s="54">
        <f>SUMIFS('Combined P&amp;L'!AQ:AQ,'Combined P&amp;L'!$C:$C,'P&amp;L Overview'!$B13)</f>
        <v>3.5</v>
      </c>
      <c r="AP13" s="54">
        <f>SUMIFS('Combined P&amp;L'!AR:AR,'Combined P&amp;L'!$C:$C,'P&amp;L Overview'!$B13)</f>
        <v>3.5</v>
      </c>
    </row>
    <row r="14" spans="2:42" x14ac:dyDescent="0.2">
      <c r="B14" s="58" t="s">
        <v>19</v>
      </c>
      <c r="C14" s="24">
        <f>SUMIFS($L14:$AP14,$L$5:$AP$5,"&gt;"&amp;C$42,$L$5:$AP$5,"&lt;"&amp;C$43)</f>
        <v>17.624000000000002</v>
      </c>
      <c r="D14" s="24">
        <f>SUMIFS($L14:$AP14,$L$5:$AP$5,"&gt;"&amp;D$42,$L$5:$AP$5,"&lt;"&amp;D$43)</f>
        <v>5.0337500000000004</v>
      </c>
      <c r="E14" s="24"/>
      <c r="F14" s="24">
        <f>SUMIFS($L14:$AP14,$L$5:$AP$5,"&gt;"&amp;F$42,$L$5:$AP$5,"&lt;"&amp;F$43)</f>
        <v>4.4387500000000006</v>
      </c>
      <c r="G14" s="24">
        <f>SUMIFS($L14:$AP14,$L$5:$AP$5,"&gt;"&amp;G$42,$L$5:$AP$5,"&lt;"&amp;G$43)</f>
        <v>0</v>
      </c>
      <c r="H14" s="24"/>
      <c r="I14" s="24">
        <f>SUMIFS($L14:$AP14,$L$5:$AP$5,"&gt;"&amp;I$42,$L$5:$AP$5,"&lt;"&amp;I$43)</f>
        <v>14.305250000000001</v>
      </c>
      <c r="J14" s="24">
        <f>SUMIFS($L14:$AP14,$L$5:$AP$5,"&gt;"&amp;J$42,$L$5:$AP$5,"&lt;"&amp;J$43)</f>
        <v>0.59499999999999997</v>
      </c>
      <c r="K14" s="53"/>
      <c r="L14" s="54">
        <f>SUMIFS('Combined P&amp;L'!N:N,'Combined P&amp;L'!$C:$C,'P&amp;L Overview'!$B14)</f>
        <v>1.2</v>
      </c>
      <c r="M14" s="54">
        <f>SUMIFS('Combined P&amp;L'!O:O,'Combined P&amp;L'!$C:$C,'P&amp;L Overview'!$B14)</f>
        <v>1.7625</v>
      </c>
      <c r="N14" s="54">
        <f>SUMIFS('Combined P&amp;L'!P:P,'Combined P&amp;L'!$C:$C,'P&amp;L Overview'!$B14)</f>
        <v>0.66</v>
      </c>
      <c r="O14" s="54">
        <f>SUMIFS('Combined P&amp;L'!Q:Q,'Combined P&amp;L'!$C:$C,'P&amp;L Overview'!$B14)</f>
        <v>0.39500000000000002</v>
      </c>
      <c r="P14" s="54">
        <f>SUMIFS('Combined P&amp;L'!R:R,'Combined P&amp;L'!$C:$C,'P&amp;L Overview'!$B14)</f>
        <v>2.4649999999999999</v>
      </c>
      <c r="Q14" s="54">
        <f>SUMIFS('Combined P&amp;L'!S:S,'Combined P&amp;L'!$C:$C,'P&amp;L Overview'!$B14)</f>
        <v>1.2749999999999999</v>
      </c>
      <c r="R14" s="54">
        <f>SUMIFS('Combined P&amp;L'!T:T,'Combined P&amp;L'!$C:$C,'P&amp;L Overview'!$B14)</f>
        <v>1.4624999999999999</v>
      </c>
      <c r="S14" s="54">
        <f>SUMIFS('Combined P&amp;L'!U:U,'Combined P&amp;L'!$C:$C,'P&amp;L Overview'!$B14)</f>
        <v>0</v>
      </c>
      <c r="T14" s="54">
        <f>SUMIFS('Combined P&amp;L'!V:V,'Combined P&amp;L'!$C:$C,'P&amp;L Overview'!$B14)</f>
        <v>1.1452500000000001</v>
      </c>
      <c r="U14" s="54">
        <f>SUMIFS('Combined P&amp;L'!W:W,'Combined P&amp;L'!$C:$C,'P&amp;L Overview'!$B14)</f>
        <v>1.3552500000000001</v>
      </c>
      <c r="V14" s="54">
        <f>SUMIFS('Combined P&amp;L'!X:X,'Combined P&amp;L'!$C:$C,'P&amp;L Overview'!$B14)</f>
        <v>1.9035</v>
      </c>
      <c r="W14" s="54">
        <f>SUMIFS('Combined P&amp;L'!Y:Y,'Combined P&amp;L'!$C:$C,'P&amp;L Overview'!$B14)</f>
        <v>4</v>
      </c>
      <c r="X14" s="54">
        <f>SUMIFS('Combined P&amp;L'!Z:Z,'Combined P&amp;L'!$C:$C,'P&amp;L Overview'!$B14)</f>
        <v>1.08375</v>
      </c>
      <c r="Y14" s="54">
        <f>SUMIFS('Combined P&amp;L'!AA:AA,'Combined P&amp;L'!$C:$C,'P&amp;L Overview'!$B14)</f>
        <v>2</v>
      </c>
      <c r="Z14" s="54">
        <f>SUMIFS('Combined P&amp;L'!AB:AB,'Combined P&amp;L'!$C:$C,'P&amp;L Overview'!$B14)</f>
        <v>1.355</v>
      </c>
      <c r="AA14" s="54">
        <f>SUMIFS('Combined P&amp;L'!AC:AC,'Combined P&amp;L'!$C:$C,'P&amp;L Overview'!$B14)</f>
        <v>0</v>
      </c>
      <c r="AB14" s="54">
        <f>SUMIFS('Combined P&amp;L'!AD:AD,'Combined P&amp;L'!$C:$C,'P&amp;L Overview'!$B14)</f>
        <v>0</v>
      </c>
      <c r="AC14" s="54">
        <f>SUMIFS('Combined P&amp;L'!AE:AE,'Combined P&amp;L'!$C:$C,'P&amp;L Overview'!$B14)</f>
        <v>0</v>
      </c>
      <c r="AD14" s="54">
        <f>SUMIFS('Combined P&amp;L'!AF:AF,'Combined P&amp;L'!$C:$C,'P&amp;L Overview'!$B14)</f>
        <v>0</v>
      </c>
      <c r="AE14" s="54">
        <f>SUMIFS('Combined P&amp;L'!AG:AG,'Combined P&amp;L'!$C:$C,'P&amp;L Overview'!$B14)</f>
        <v>0</v>
      </c>
      <c r="AF14" s="54">
        <f>SUMIFS('Combined P&amp;L'!AH:AH,'Combined P&amp;L'!$C:$C,'P&amp;L Overview'!$B14)</f>
        <v>0</v>
      </c>
      <c r="AG14" s="54">
        <f>SUMIFS('Combined P&amp;L'!AI:AI,'Combined P&amp;L'!$C:$C,'P&amp;L Overview'!$B14)</f>
        <v>0.59499999999999997</v>
      </c>
      <c r="AH14" s="54">
        <f>SUMIFS('Combined P&amp;L'!AJ:AJ,'Combined P&amp;L'!$C:$C,'P&amp;L Overview'!$B14)</f>
        <v>0</v>
      </c>
      <c r="AI14" s="54">
        <f>SUMIFS('Combined P&amp;L'!AK:AK,'Combined P&amp;L'!$C:$C,'P&amp;L Overview'!$B14)</f>
        <v>0</v>
      </c>
      <c r="AJ14" s="54">
        <f>SUMIFS('Combined P&amp;L'!AL:AL,'Combined P&amp;L'!$C:$C,'P&amp;L Overview'!$B14)</f>
        <v>0</v>
      </c>
      <c r="AK14" s="54">
        <f>SUMIFS('Combined P&amp;L'!AM:AM,'Combined P&amp;L'!$C:$C,'P&amp;L Overview'!$B14)</f>
        <v>0</v>
      </c>
      <c r="AL14" s="54">
        <f>SUMIFS('Combined P&amp;L'!AN:AN,'Combined P&amp;L'!$C:$C,'P&amp;L Overview'!$B14)</f>
        <v>0</v>
      </c>
      <c r="AM14" s="54">
        <f>SUMIFS('Combined P&amp;L'!AO:AO,'Combined P&amp;L'!$C:$C,'P&amp;L Overview'!$B14)</f>
        <v>0</v>
      </c>
      <c r="AN14" s="54">
        <f>SUMIFS('Combined P&amp;L'!AP:AP,'Combined P&amp;L'!$C:$C,'P&amp;L Overview'!$B14)</f>
        <v>0</v>
      </c>
      <c r="AO14" s="54">
        <f>SUMIFS('Combined P&amp;L'!AQ:AQ,'Combined P&amp;L'!$C:$C,'P&amp;L Overview'!$B14)</f>
        <v>0</v>
      </c>
      <c r="AP14" s="54">
        <f>SUMIFS('Combined P&amp;L'!AR:AR,'Combined P&amp;L'!$C:$C,'P&amp;L Overview'!$B14)</f>
        <v>0</v>
      </c>
    </row>
    <row r="15" spans="2:42" x14ac:dyDescent="0.2">
      <c r="B15" s="61" t="s">
        <v>261</v>
      </c>
      <c r="C15" s="62">
        <f>SUM(C7:C14)</f>
        <v>1094.31575</v>
      </c>
      <c r="D15" s="63">
        <f>SUM(D7:D14)</f>
        <v>1827.8493999999998</v>
      </c>
      <c r="F15" s="64">
        <f>SUM(F7:F14)</f>
        <v>958.89089999999987</v>
      </c>
      <c r="G15" s="63">
        <f>SUM(G7:G14)</f>
        <v>1600.0674900000001</v>
      </c>
      <c r="I15" s="64">
        <f t="shared" ref="I15:J15" si="1">SUM(I7:I14)</f>
        <v>1414.7118</v>
      </c>
      <c r="J15" s="63">
        <f t="shared" si="1"/>
        <v>2371.7313399999998</v>
      </c>
      <c r="L15" s="64">
        <f t="shared" ref="L15:AP15" si="2">SUM(L7:L14)</f>
        <v>73.349500000000006</v>
      </c>
      <c r="M15" s="62">
        <f t="shared" si="2"/>
        <v>74.744500000000002</v>
      </c>
      <c r="N15" s="62">
        <f t="shared" si="2"/>
        <v>77.995999999999995</v>
      </c>
      <c r="O15" s="62">
        <f t="shared" si="2"/>
        <v>83.212699999999984</v>
      </c>
      <c r="P15" s="62">
        <f t="shared" si="2"/>
        <v>86.604150000000018</v>
      </c>
      <c r="Q15" s="62">
        <f t="shared" si="2"/>
        <v>88.544000000000011</v>
      </c>
      <c r="R15" s="62">
        <f t="shared" si="2"/>
        <v>93.216750000000005</v>
      </c>
      <c r="S15" s="62">
        <f t="shared" si="2"/>
        <v>96.775350000000003</v>
      </c>
      <c r="T15" s="62">
        <f t="shared" si="2"/>
        <v>96.491950000000003</v>
      </c>
      <c r="U15" s="62">
        <f t="shared" si="2"/>
        <v>99.163499999999985</v>
      </c>
      <c r="V15" s="62">
        <f t="shared" si="2"/>
        <v>108.7123</v>
      </c>
      <c r="W15" s="62">
        <f t="shared" si="2"/>
        <v>115.50505000000003</v>
      </c>
      <c r="X15" s="62">
        <f t="shared" si="2"/>
        <v>117.69414999999998</v>
      </c>
      <c r="Y15" s="62">
        <f t="shared" si="2"/>
        <v>116.19465</v>
      </c>
      <c r="Z15" s="62">
        <f t="shared" si="2"/>
        <v>133.5471</v>
      </c>
      <c r="AA15" s="62">
        <f t="shared" si="2"/>
        <v>134.78</v>
      </c>
      <c r="AB15" s="62">
        <f t="shared" si="2"/>
        <v>151.01724999999999</v>
      </c>
      <c r="AC15" s="62">
        <f t="shared" si="2"/>
        <v>151.61374999999998</v>
      </c>
      <c r="AD15" s="62">
        <f t="shared" si="2"/>
        <v>154.04399999999998</v>
      </c>
      <c r="AE15" s="62">
        <f t="shared" si="2"/>
        <v>157.49274999999997</v>
      </c>
      <c r="AF15" s="62">
        <f t="shared" si="2"/>
        <v>161.958</v>
      </c>
      <c r="AG15" s="62">
        <f t="shared" si="2"/>
        <v>175.58</v>
      </c>
      <c r="AH15" s="62">
        <f t="shared" si="2"/>
        <v>180.39300000000003</v>
      </c>
      <c r="AI15" s="62">
        <f t="shared" si="2"/>
        <v>193.53474999999997</v>
      </c>
      <c r="AJ15" s="62">
        <f t="shared" si="2"/>
        <v>203.24331999999998</v>
      </c>
      <c r="AK15" s="62">
        <f t="shared" si="2"/>
        <v>208.38586999999998</v>
      </c>
      <c r="AL15" s="62">
        <f t="shared" si="2"/>
        <v>215.74275</v>
      </c>
      <c r="AM15" s="62">
        <f t="shared" si="2"/>
        <v>232.03611000000004</v>
      </c>
      <c r="AN15" s="62">
        <f t="shared" si="2"/>
        <v>245.53060999999997</v>
      </c>
      <c r="AO15" s="62">
        <f t="shared" si="2"/>
        <v>243.79017999999999</v>
      </c>
      <c r="AP15" s="63">
        <f t="shared" si="2"/>
        <v>251.33865000000003</v>
      </c>
    </row>
    <row r="16" spans="2:42" ht="3.95" customHeight="1" x14ac:dyDescent="0.2"/>
    <row r="17" spans="2:42" x14ac:dyDescent="0.2">
      <c r="B17" s="58" t="s">
        <v>13</v>
      </c>
      <c r="C17" s="24">
        <f>SUMIFS($L17:$AP17,$L$5:$AP$5,"&gt;"&amp;C$42,$L$5:$AP$5,"&lt;"&amp;C$43)</f>
        <v>10.475000000000001</v>
      </c>
      <c r="D17" s="24">
        <f>SUMIFS($L17:$AP17,$L$5:$AP$5,"&gt;"&amp;D$42,$L$5:$AP$5,"&lt;"&amp;D$43)</f>
        <v>23.55</v>
      </c>
      <c r="E17" s="24"/>
      <c r="F17" s="24">
        <f>SUMIFS($L17:$AP17,$L$5:$AP$5,"&gt;"&amp;F$42,$L$5:$AP$5,"&lt;"&amp;F$43)</f>
        <v>23.49</v>
      </c>
      <c r="G17" s="24">
        <f>SUMIFS($L17:$AP17,$L$5:$AP$5,"&gt;"&amp;G$42,$L$5:$AP$5,"&lt;"&amp;G$43)</f>
        <v>38.701499999999996</v>
      </c>
      <c r="H17" s="24"/>
      <c r="I17" s="24">
        <f>SUMIFS($L17:$AP17,$L$5:$AP$5,"&gt;"&amp;I$42,$L$5:$AP$5,"&lt;"&amp;I$43)</f>
        <v>23.52</v>
      </c>
      <c r="J17" s="24">
        <f>SUMIFS($L17:$AP17,$L$5:$AP$5,"&gt;"&amp;J$42,$L$5:$AP$5,"&lt;"&amp;J$43)</f>
        <v>38.761499999999998</v>
      </c>
      <c r="K17" s="53"/>
      <c r="L17" s="54">
        <f>SUMIFS('Combined P&amp;L'!N:N,'Combined P&amp;L'!$C:$C,'P&amp;L Overview'!$B17)</f>
        <v>6.9450000000000003</v>
      </c>
      <c r="M17" s="54">
        <f>SUMIFS('Combined P&amp;L'!O:O,'Combined P&amp;L'!$C:$C,'P&amp;L Overview'!$B17)</f>
        <v>3.38</v>
      </c>
      <c r="N17" s="54">
        <f>SUMIFS('Combined P&amp;L'!P:P,'Combined P&amp;L'!$C:$C,'P&amp;L Overview'!$B17)</f>
        <v>4.4999999999999998E-2</v>
      </c>
      <c r="O17" s="54">
        <f>SUMIFS('Combined P&amp;L'!Q:Q,'Combined P&amp;L'!$C:$C,'P&amp;L Overview'!$B17)</f>
        <v>0.06</v>
      </c>
      <c r="P17" s="54">
        <f>SUMIFS('Combined P&amp;L'!R:R,'Combined P&amp;L'!$C:$C,'P&amp;L Overview'!$B17)</f>
        <v>1.4999999999999999E-2</v>
      </c>
      <c r="Q17" s="54">
        <f>SUMIFS('Combined P&amp;L'!S:S,'Combined P&amp;L'!$C:$C,'P&amp;L Overview'!$B17)</f>
        <v>0</v>
      </c>
      <c r="R17" s="54">
        <f>SUMIFS('Combined P&amp;L'!T:T,'Combined P&amp;L'!$C:$C,'P&amp;L Overview'!$B17)</f>
        <v>0</v>
      </c>
      <c r="S17" s="54">
        <f>SUMIFS('Combined P&amp;L'!U:U,'Combined P&amp;L'!$C:$C,'P&amp;L Overview'!$B17)</f>
        <v>1.4999999999999999E-2</v>
      </c>
      <c r="T17" s="54">
        <f>SUMIFS('Combined P&amp;L'!V:V,'Combined P&amp;L'!$C:$C,'P&amp;L Overview'!$B17)</f>
        <v>0</v>
      </c>
      <c r="U17" s="54">
        <f>SUMIFS('Combined P&amp;L'!W:W,'Combined P&amp;L'!$C:$C,'P&amp;L Overview'!$B17)</f>
        <v>0</v>
      </c>
      <c r="V17" s="54">
        <f>SUMIFS('Combined P&amp;L'!X:X,'Combined P&amp;L'!$C:$C,'P&amp;L Overview'!$B17)</f>
        <v>1.4999999999999999E-2</v>
      </c>
      <c r="W17" s="54">
        <f>SUMIFS('Combined P&amp;L'!Y:Y,'Combined P&amp;L'!$C:$C,'P&amp;L Overview'!$B17)</f>
        <v>0</v>
      </c>
      <c r="X17" s="54">
        <f>SUMIFS('Combined P&amp;L'!Z:Z,'Combined P&amp;L'!$C:$C,'P&amp;L Overview'!$B17)</f>
        <v>13.484999999999999</v>
      </c>
      <c r="Y17" s="54">
        <f>SUMIFS('Combined P&amp;L'!AA:AA,'Combined P&amp;L'!$C:$C,'P&amp;L Overview'!$B17)</f>
        <v>9.9149999999999991</v>
      </c>
      <c r="Z17" s="54">
        <f>SUMIFS('Combined P&amp;L'!AB:AB,'Combined P&amp;L'!$C:$C,'P&amp;L Overview'!$B17)</f>
        <v>0.06</v>
      </c>
      <c r="AA17" s="54">
        <f>SUMIFS('Combined P&amp;L'!AC:AC,'Combined P&amp;L'!$C:$C,'P&amp;L Overview'!$B17)</f>
        <v>0.03</v>
      </c>
      <c r="AB17" s="54">
        <f>SUMIFS('Combined P&amp;L'!AD:AD,'Combined P&amp;L'!$C:$C,'P&amp;L Overview'!$B17)</f>
        <v>0</v>
      </c>
      <c r="AC17" s="54">
        <f>SUMIFS('Combined P&amp;L'!AE:AE,'Combined P&amp;L'!$C:$C,'P&amp;L Overview'!$B17)</f>
        <v>0</v>
      </c>
      <c r="AD17" s="54">
        <f>SUMIFS('Combined P&amp;L'!AF:AF,'Combined P&amp;L'!$C:$C,'P&amp;L Overview'!$B17)</f>
        <v>0</v>
      </c>
      <c r="AE17" s="54">
        <f>SUMIFS('Combined P&amp;L'!AG:AG,'Combined P&amp;L'!$C:$C,'P&amp;L Overview'!$B17)</f>
        <v>0.03</v>
      </c>
      <c r="AF17" s="54">
        <f>SUMIFS('Combined P&amp;L'!AH:AH,'Combined P&amp;L'!$C:$C,'P&amp;L Overview'!$B17)</f>
        <v>0.03</v>
      </c>
      <c r="AG17" s="54">
        <f>SUMIFS('Combined P&amp;L'!AI:AI,'Combined P&amp;L'!$C:$C,'P&amp;L Overview'!$B17)</f>
        <v>0</v>
      </c>
      <c r="AH17" s="54">
        <f>SUMIFS('Combined P&amp;L'!AJ:AJ,'Combined P&amp;L'!$C:$C,'P&amp;L Overview'!$B17)</f>
        <v>0</v>
      </c>
      <c r="AI17" s="54">
        <f>SUMIFS('Combined P&amp;L'!AK:AK,'Combined P&amp;L'!$C:$C,'P&amp;L Overview'!$B17)</f>
        <v>0</v>
      </c>
      <c r="AJ17" s="54">
        <f>SUMIFS('Combined P&amp;L'!AL:AL,'Combined P&amp;L'!$C:$C,'P&amp;L Overview'!$B17)</f>
        <v>6.1050000000000004</v>
      </c>
      <c r="AK17" s="54">
        <f>SUMIFS('Combined P&amp;L'!AM:AM,'Combined P&amp;L'!$C:$C,'P&amp;L Overview'!$B17)</f>
        <v>31.156500000000001</v>
      </c>
      <c r="AL17" s="54">
        <f>SUMIFS('Combined P&amp;L'!AN:AN,'Combined P&amp;L'!$C:$C,'P&amp;L Overview'!$B17)</f>
        <v>1.26</v>
      </c>
      <c r="AM17" s="54">
        <f>SUMIFS('Combined P&amp;L'!AO:AO,'Combined P&amp;L'!$C:$C,'P&amp;L Overview'!$B17)</f>
        <v>0.18</v>
      </c>
      <c r="AN17" s="54">
        <f>SUMIFS('Combined P&amp;L'!AP:AP,'Combined P&amp;L'!$C:$C,'P&amp;L Overview'!$B17)</f>
        <v>0</v>
      </c>
      <c r="AO17" s="54">
        <f>SUMIFS('Combined P&amp;L'!AQ:AQ,'Combined P&amp;L'!$C:$C,'P&amp;L Overview'!$B17)</f>
        <v>0</v>
      </c>
      <c r="AP17" s="54">
        <f>SUMIFS('Combined P&amp;L'!AR:AR,'Combined P&amp;L'!$C:$C,'P&amp;L Overview'!$B17)</f>
        <v>0</v>
      </c>
    </row>
    <row r="18" spans="2:42" x14ac:dyDescent="0.2">
      <c r="B18" s="58" t="s">
        <v>262</v>
      </c>
      <c r="C18" s="24">
        <f>SUMIFS($L18:$AP18,$L$5:$AP$5,"&gt;"&amp;C$42,$L$5:$AP$5,"&lt;"&amp;C$43)</f>
        <v>0</v>
      </c>
      <c r="D18" s="24">
        <f>SUMIFS($L18:$AP18,$L$5:$AP$5,"&gt;"&amp;D$42,$L$5:$AP$5,"&lt;"&amp;D$43)</f>
        <v>3.4</v>
      </c>
      <c r="E18" s="24"/>
      <c r="F18" s="24">
        <f>SUMIFS($L18:$AP18,$L$5:$AP$5,"&gt;"&amp;F$42,$L$5:$AP$5,"&lt;"&amp;F$43)</f>
        <v>0</v>
      </c>
      <c r="G18" s="24">
        <f>SUMIFS($L18:$AP18,$L$5:$AP$5,"&gt;"&amp;G$42,$L$5:$AP$5,"&lt;"&amp;G$43)</f>
        <v>23.914999999999999</v>
      </c>
      <c r="H18" s="24"/>
      <c r="I18" s="24">
        <f>SUMIFS($L18:$AP18,$L$5:$AP$5,"&gt;"&amp;I$42,$L$5:$AP$5,"&lt;"&amp;I$43)</f>
        <v>0</v>
      </c>
      <c r="J18" s="24">
        <f>SUMIFS($L18:$AP18,$L$5:$AP$5,"&gt;"&amp;J$42,$L$5:$AP$5,"&lt;"&amp;J$43)</f>
        <v>27.315000000000001</v>
      </c>
      <c r="K18" s="53"/>
      <c r="L18" s="54">
        <f>SUMIFS('Combined P&amp;L'!N:N,'Combined P&amp;L'!$C:$C,'P&amp;L Overview'!$B18)</f>
        <v>0</v>
      </c>
      <c r="M18" s="54">
        <f>SUMIFS('Combined P&amp;L'!O:O,'Combined P&amp;L'!$C:$C,'P&amp;L Overview'!$B18)</f>
        <v>0</v>
      </c>
      <c r="N18" s="54">
        <f>SUMIFS('Combined P&amp;L'!P:P,'Combined P&amp;L'!$C:$C,'P&amp;L Overview'!$B18)</f>
        <v>0</v>
      </c>
      <c r="O18" s="54">
        <f>SUMIFS('Combined P&amp;L'!Q:Q,'Combined P&amp;L'!$C:$C,'P&amp;L Overview'!$B18)</f>
        <v>0</v>
      </c>
      <c r="P18" s="54">
        <f>SUMIFS('Combined P&amp;L'!R:R,'Combined P&amp;L'!$C:$C,'P&amp;L Overview'!$B18)</f>
        <v>0</v>
      </c>
      <c r="Q18" s="54">
        <f>SUMIFS('Combined P&amp;L'!S:S,'Combined P&amp;L'!$C:$C,'P&amp;L Overview'!$B18)</f>
        <v>0</v>
      </c>
      <c r="R18" s="54">
        <f>SUMIFS('Combined P&amp;L'!T:T,'Combined P&amp;L'!$C:$C,'P&amp;L Overview'!$B18)</f>
        <v>0</v>
      </c>
      <c r="S18" s="54">
        <f>SUMIFS('Combined P&amp;L'!U:U,'Combined P&amp;L'!$C:$C,'P&amp;L Overview'!$B18)</f>
        <v>0</v>
      </c>
      <c r="T18" s="54">
        <f>SUMIFS('Combined P&amp;L'!V:V,'Combined P&amp;L'!$C:$C,'P&amp;L Overview'!$B18)</f>
        <v>0</v>
      </c>
      <c r="U18" s="54">
        <f>SUMIFS('Combined P&amp;L'!W:W,'Combined P&amp;L'!$C:$C,'P&amp;L Overview'!$B18)</f>
        <v>0</v>
      </c>
      <c r="V18" s="54">
        <f>SUMIFS('Combined P&amp;L'!X:X,'Combined P&amp;L'!$C:$C,'P&amp;L Overview'!$B18)</f>
        <v>0</v>
      </c>
      <c r="W18" s="54">
        <f>SUMIFS('Combined P&amp;L'!Y:Y,'Combined P&amp;L'!$C:$C,'P&amp;L Overview'!$B18)</f>
        <v>0</v>
      </c>
      <c r="X18" s="54">
        <f>SUMIFS('Combined P&amp;L'!Z:Z,'Combined P&amp;L'!$C:$C,'P&amp;L Overview'!$B18)</f>
        <v>0</v>
      </c>
      <c r="Y18" s="54">
        <f>SUMIFS('Combined P&amp;L'!AA:AA,'Combined P&amp;L'!$C:$C,'P&amp;L Overview'!$B18)</f>
        <v>0</v>
      </c>
      <c r="Z18" s="54">
        <f>SUMIFS('Combined P&amp;L'!AB:AB,'Combined P&amp;L'!$C:$C,'P&amp;L Overview'!$B18)</f>
        <v>0</v>
      </c>
      <c r="AA18" s="54">
        <f>SUMIFS('Combined P&amp;L'!AC:AC,'Combined P&amp;L'!$C:$C,'P&amp;L Overview'!$B18)</f>
        <v>0</v>
      </c>
      <c r="AB18" s="54">
        <f>SUMIFS('Combined P&amp;L'!AD:AD,'Combined P&amp;L'!$C:$C,'P&amp;L Overview'!$B18)</f>
        <v>0</v>
      </c>
      <c r="AC18" s="54">
        <f>SUMIFS('Combined P&amp;L'!AE:AE,'Combined P&amp;L'!$C:$C,'P&amp;L Overview'!$B18)</f>
        <v>0</v>
      </c>
      <c r="AD18" s="54">
        <f>SUMIFS('Combined P&amp;L'!AF:AF,'Combined P&amp;L'!$C:$C,'P&amp;L Overview'!$B18)</f>
        <v>0</v>
      </c>
      <c r="AE18" s="54">
        <f>SUMIFS('Combined P&amp;L'!AG:AG,'Combined P&amp;L'!$C:$C,'P&amp;L Overview'!$B18)</f>
        <v>0</v>
      </c>
      <c r="AF18" s="54">
        <f>SUMIFS('Combined P&amp;L'!AH:AH,'Combined P&amp;L'!$C:$C,'P&amp;L Overview'!$B18)</f>
        <v>0.875</v>
      </c>
      <c r="AG18" s="54">
        <f>SUMIFS('Combined P&amp;L'!AI:AI,'Combined P&amp;L'!$C:$C,'P&amp;L Overview'!$B18)</f>
        <v>1.65</v>
      </c>
      <c r="AH18" s="54">
        <f>SUMIFS('Combined P&amp;L'!AJ:AJ,'Combined P&amp;L'!$C:$C,'P&amp;L Overview'!$B18)</f>
        <v>0</v>
      </c>
      <c r="AI18" s="54">
        <f>SUMIFS('Combined P&amp;L'!AK:AK,'Combined P&amp;L'!$C:$C,'P&amp;L Overview'!$B18)</f>
        <v>0.875</v>
      </c>
      <c r="AJ18" s="54">
        <f>SUMIFS('Combined P&amp;L'!AL:AL,'Combined P&amp;L'!$C:$C,'P&amp;L Overview'!$B18)</f>
        <v>0</v>
      </c>
      <c r="AK18" s="54">
        <f>SUMIFS('Combined P&amp;L'!AM:AM,'Combined P&amp;L'!$C:$C,'P&amp;L Overview'!$B18)</f>
        <v>0</v>
      </c>
      <c r="AL18" s="54">
        <f>SUMIFS('Combined P&amp;L'!AN:AN,'Combined P&amp;L'!$C:$C,'P&amp;L Overview'!$B18)</f>
        <v>14.19</v>
      </c>
      <c r="AM18" s="54">
        <f>SUMIFS('Combined P&amp;L'!AO:AO,'Combined P&amp;L'!$C:$C,'P&amp;L Overview'!$B18)</f>
        <v>6.625</v>
      </c>
      <c r="AN18" s="54">
        <f>SUMIFS('Combined P&amp;L'!AP:AP,'Combined P&amp;L'!$C:$C,'P&amp;L Overview'!$B18)</f>
        <v>0</v>
      </c>
      <c r="AO18" s="54">
        <f>SUMIFS('Combined P&amp;L'!AQ:AQ,'Combined P&amp;L'!$C:$C,'P&amp;L Overview'!$B18)</f>
        <v>3.1</v>
      </c>
      <c r="AP18" s="54">
        <f>SUMIFS('Combined P&amp;L'!AR:AR,'Combined P&amp;L'!$C:$C,'P&amp;L Overview'!$B18)</f>
        <v>0</v>
      </c>
    </row>
    <row r="19" spans="2:42" x14ac:dyDescent="0.2">
      <c r="B19" s="58" t="s">
        <v>16</v>
      </c>
      <c r="C19" s="24">
        <f>SUMIFS($L19:$AP19,$L$5:$AP$5,"&gt;"&amp;C$42,$L$5:$AP$5,"&lt;"&amp;C$43)</f>
        <v>6.2004000000000001</v>
      </c>
      <c r="D19" s="24">
        <f>SUMIFS($L19:$AP19,$L$5:$AP$5,"&gt;"&amp;D$42,$L$5:$AP$5,"&lt;"&amp;D$43)</f>
        <v>23.261789999999998</v>
      </c>
      <c r="E19" s="24"/>
      <c r="F19" s="24">
        <f>SUMIFS($L19:$AP19,$L$5:$AP$5,"&gt;"&amp;F$42,$L$5:$AP$5,"&lt;"&amp;F$43)</f>
        <v>14.504949999999999</v>
      </c>
      <c r="G19" s="24">
        <f>SUMIFS($L19:$AP19,$L$5:$AP$5,"&gt;"&amp;G$42,$L$5:$AP$5,"&lt;"&amp;G$43)</f>
        <v>8.0793799999999987</v>
      </c>
      <c r="H19" s="24"/>
      <c r="I19" s="24">
        <f>SUMIFS($L19:$AP19,$L$5:$AP$5,"&gt;"&amp;I$42,$L$5:$AP$5,"&lt;"&amp;I$43)</f>
        <v>17.947879999999998</v>
      </c>
      <c r="J19" s="24">
        <f>SUMIFS($L19:$AP19,$L$5:$AP$5,"&gt;"&amp;J$42,$L$5:$AP$5,"&lt;"&amp;J$43)</f>
        <v>17.796090000000003</v>
      </c>
      <c r="K19" s="53"/>
      <c r="L19" s="54">
        <f>SUMIFS('Combined P&amp;L'!N:N,'Combined P&amp;L'!$C:$C,'P&amp;L Overview'!$B19)</f>
        <v>6.8599999999999994E-2</v>
      </c>
      <c r="M19" s="54">
        <f>SUMIFS('Combined P&amp;L'!O:O,'Combined P&amp;L'!$C:$C,'P&amp;L Overview'!$B19)</f>
        <v>0.13119999999999998</v>
      </c>
      <c r="N19" s="54">
        <f>SUMIFS('Combined P&amp;L'!P:P,'Combined P&amp;L'!$C:$C,'P&amp;L Overview'!$B19)</f>
        <v>7.1199999999999999E-2</v>
      </c>
      <c r="O19" s="54">
        <f>SUMIFS('Combined P&amp;L'!Q:Q,'Combined P&amp;L'!$C:$C,'P&amp;L Overview'!$B19)</f>
        <v>5.5600000000000004E-2</v>
      </c>
      <c r="P19" s="54">
        <f>SUMIFS('Combined P&amp;L'!R:R,'Combined P&amp;L'!$C:$C,'P&amp;L Overview'!$B19)</f>
        <v>0.57699999999999996</v>
      </c>
      <c r="Q19" s="54">
        <f>SUMIFS('Combined P&amp;L'!S:S,'Combined P&amp;L'!$C:$C,'P&amp;L Overview'!$B19)</f>
        <v>0.80679999999999996</v>
      </c>
      <c r="R19" s="54">
        <f>SUMIFS('Combined P&amp;L'!T:T,'Combined P&amp;L'!$C:$C,'P&amp;L Overview'!$B19)</f>
        <v>0.66559999999999997</v>
      </c>
      <c r="S19" s="54">
        <f>SUMIFS('Combined P&amp;L'!U:U,'Combined P&amp;L'!$C:$C,'P&amp;L Overview'!$B19)</f>
        <v>0.82640000000000002</v>
      </c>
      <c r="T19" s="54">
        <f>SUMIFS('Combined P&amp;L'!V:V,'Combined P&amp;L'!$C:$C,'P&amp;L Overview'!$B19)</f>
        <v>1.3808</v>
      </c>
      <c r="U19" s="54">
        <f>SUMIFS('Combined P&amp;L'!W:W,'Combined P&amp;L'!$C:$C,'P&amp;L Overview'!$B19)</f>
        <v>0.86039999999999994</v>
      </c>
      <c r="V19" s="54">
        <f>SUMIFS('Combined P&amp;L'!X:X,'Combined P&amp;L'!$C:$C,'P&amp;L Overview'!$B19)</f>
        <v>0.51</v>
      </c>
      <c r="W19" s="54">
        <f>SUMIFS('Combined P&amp;L'!Y:Y,'Combined P&amp;L'!$C:$C,'P&amp;L Overview'!$B19)</f>
        <v>0.24680000000000002</v>
      </c>
      <c r="X19" s="54">
        <f>SUMIFS('Combined P&amp;L'!Z:Z,'Combined P&amp;L'!$C:$C,'P&amp;L Overview'!$B19)</f>
        <v>7.3583999999999996</v>
      </c>
      <c r="Y19" s="54">
        <f>SUMIFS('Combined P&amp;L'!AA:AA,'Combined P&amp;L'!$C:$C,'P&amp;L Overview'!$B19)</f>
        <v>1.29335</v>
      </c>
      <c r="Z19" s="54">
        <f>SUMIFS('Combined P&amp;L'!AB:AB,'Combined P&amp;L'!$C:$C,'P&amp;L Overview'!$B19)</f>
        <v>0.96833000000000002</v>
      </c>
      <c r="AA19" s="54">
        <f>SUMIFS('Combined P&amp;L'!AC:AC,'Combined P&amp;L'!$C:$C,'P&amp;L Overview'!$B19)</f>
        <v>1.1656</v>
      </c>
      <c r="AB19" s="54">
        <f>SUMIFS('Combined P&amp;L'!AD:AD,'Combined P&amp;L'!$C:$C,'P&amp;L Overview'!$B19)</f>
        <v>0.96092999999999995</v>
      </c>
      <c r="AC19" s="54">
        <f>SUMIFS('Combined P&amp;L'!AE:AE,'Combined P&amp;L'!$C:$C,'P&amp;L Overview'!$B19)</f>
        <v>1.7112700000000001</v>
      </c>
      <c r="AD19" s="54">
        <f>SUMIFS('Combined P&amp;L'!AF:AF,'Combined P&amp;L'!$C:$C,'P&amp;L Overview'!$B19)</f>
        <v>1.0470699999999999</v>
      </c>
      <c r="AE19" s="54">
        <f>SUMIFS('Combined P&amp;L'!AG:AG,'Combined P&amp;L'!$C:$C,'P&amp;L Overview'!$B19)</f>
        <v>2.04088</v>
      </c>
      <c r="AF19" s="54">
        <f>SUMIFS('Combined P&amp;L'!AH:AH,'Combined P&amp;L'!$C:$C,'P&amp;L Overview'!$B19)</f>
        <v>1.1362099999999999</v>
      </c>
      <c r="AG19" s="54">
        <f>SUMIFS('Combined P&amp;L'!AI:AI,'Combined P&amp;L'!$C:$C,'P&amp;L Overview'!$B19)</f>
        <v>2.01424</v>
      </c>
      <c r="AH19" s="54">
        <f>SUMIFS('Combined P&amp;L'!AJ:AJ,'Combined P&amp;L'!$C:$C,'P&amp;L Overview'!$B19)</f>
        <v>1.29758</v>
      </c>
      <c r="AI19" s="54">
        <f>SUMIFS('Combined P&amp;L'!AK:AK,'Combined P&amp;L'!$C:$C,'P&amp;L Overview'!$B19)</f>
        <v>2.2679299999999998</v>
      </c>
      <c r="AJ19" s="54">
        <f>SUMIFS('Combined P&amp;L'!AL:AL,'Combined P&amp;L'!$C:$C,'P&amp;L Overview'!$B19)</f>
        <v>2.6778400000000002</v>
      </c>
      <c r="AK19" s="54">
        <f>SUMIFS('Combined P&amp;L'!AM:AM,'Combined P&amp;L'!$C:$C,'P&amp;L Overview'!$B19)</f>
        <v>2.3540100000000002</v>
      </c>
      <c r="AL19" s="54">
        <f>SUMIFS('Combined P&amp;L'!AN:AN,'Combined P&amp;L'!$C:$C,'P&amp;L Overview'!$B19)</f>
        <v>0.2276</v>
      </c>
      <c r="AM19" s="54">
        <f>SUMIFS('Combined P&amp;L'!AO:AO,'Combined P&amp;L'!$C:$C,'P&amp;L Overview'!$B19)</f>
        <v>1.4783599999999999</v>
      </c>
      <c r="AN19" s="54">
        <f>SUMIFS('Combined P&amp;L'!AP:AP,'Combined P&amp;L'!$C:$C,'P&amp;L Overview'!$B19)</f>
        <v>0.66824000000000006</v>
      </c>
      <c r="AO19" s="54">
        <f>SUMIFS('Combined P&amp;L'!AQ:AQ,'Combined P&amp;L'!$C:$C,'P&amp;L Overview'!$B19)</f>
        <v>0.58613000000000004</v>
      </c>
      <c r="AP19" s="54">
        <f>SUMIFS('Combined P&amp;L'!AR:AR,'Combined P&amp;L'!$C:$C,'P&amp;L Overview'!$B19)</f>
        <v>8.72E-2</v>
      </c>
    </row>
    <row r="20" spans="2:42" x14ac:dyDescent="0.2">
      <c r="B20" s="58" t="s">
        <v>14</v>
      </c>
      <c r="C20" s="24">
        <f>SUMIFS($L20:$AP20,$L$5:$AP$5,"&gt;"&amp;C$42,$L$5:$AP$5,"&lt;"&amp;C$43)</f>
        <v>0.37469999999999998</v>
      </c>
      <c r="D20" s="24">
        <f>SUMIFS($L20:$AP20,$L$5:$AP$5,"&gt;"&amp;D$42,$L$5:$AP$5,"&lt;"&amp;D$43)</f>
        <v>1.1219399999999999</v>
      </c>
      <c r="E20" s="24"/>
      <c r="F20" s="24">
        <f>SUMIFS($L20:$AP20,$L$5:$AP$5,"&gt;"&amp;F$42,$L$5:$AP$5,"&lt;"&amp;F$43)</f>
        <v>0.78725000000000001</v>
      </c>
      <c r="G20" s="24">
        <f>SUMIFS($L20:$AP20,$L$5:$AP$5,"&gt;"&amp;G$42,$L$5:$AP$5,"&lt;"&amp;G$43)</f>
        <v>0.25783</v>
      </c>
      <c r="H20" s="24"/>
      <c r="I20" s="24">
        <f>SUMIFS($L20:$AP20,$L$5:$AP$5,"&gt;"&amp;I$42,$L$5:$AP$5,"&lt;"&amp;I$43)</f>
        <v>0.79723999999999995</v>
      </c>
      <c r="J20" s="24">
        <f>SUMIFS($L20:$AP20,$L$5:$AP$5,"&gt;"&amp;J$42,$L$5:$AP$5,"&lt;"&amp;J$43)</f>
        <v>0.88222999999999985</v>
      </c>
      <c r="K20" s="53"/>
      <c r="L20" s="54">
        <f>SUMIFS('Combined P&amp;L'!N:N,'Combined P&amp;L'!$C:$C,'P&amp;L Overview'!$B20)</f>
        <v>0.05</v>
      </c>
      <c r="M20" s="54">
        <f>SUMIFS('Combined P&amp;L'!O:O,'Combined P&amp;L'!$C:$C,'P&amp;L Overview'!$B20)</f>
        <v>0</v>
      </c>
      <c r="N20" s="54">
        <f>SUMIFS('Combined P&amp;L'!P:P,'Combined P&amp;L'!$C:$C,'P&amp;L Overview'!$B20)</f>
        <v>0</v>
      </c>
      <c r="O20" s="54">
        <f>SUMIFS('Combined P&amp;L'!Q:Q,'Combined P&amp;L'!$C:$C,'P&amp;L Overview'!$B20)</f>
        <v>2.5000000000000001E-2</v>
      </c>
      <c r="P20" s="54">
        <f>SUMIFS('Combined P&amp;L'!R:R,'Combined P&amp;L'!$C:$C,'P&amp;L Overview'!$B20)</f>
        <v>0</v>
      </c>
      <c r="Q20" s="54">
        <f>SUMIFS('Combined P&amp;L'!S:S,'Combined P&amp;L'!$C:$C,'P&amp;L Overview'!$B20)</f>
        <v>0</v>
      </c>
      <c r="R20" s="54">
        <f>SUMIFS('Combined P&amp;L'!T:T,'Combined P&amp;L'!$C:$C,'P&amp;L Overview'!$B20)</f>
        <v>0.29969999999999997</v>
      </c>
      <c r="S20" s="54">
        <f>SUMIFS('Combined P&amp;L'!U:U,'Combined P&amp;L'!$C:$C,'P&amp;L Overview'!$B20)</f>
        <v>0</v>
      </c>
      <c r="T20" s="54">
        <f>SUMIFS('Combined P&amp;L'!V:V,'Combined P&amp;L'!$C:$C,'P&amp;L Overview'!$B20)</f>
        <v>0</v>
      </c>
      <c r="U20" s="54">
        <f>SUMIFS('Combined P&amp;L'!W:W,'Combined P&amp;L'!$C:$C,'P&amp;L Overview'!$B20)</f>
        <v>0</v>
      </c>
      <c r="V20" s="54">
        <f>SUMIFS('Combined P&amp;L'!X:X,'Combined P&amp;L'!$C:$C,'P&amp;L Overview'!$B20)</f>
        <v>0</v>
      </c>
      <c r="W20" s="54">
        <f>SUMIFS('Combined P&amp;L'!Y:Y,'Combined P&amp;L'!$C:$C,'P&amp;L Overview'!$B20)</f>
        <v>0</v>
      </c>
      <c r="X20" s="54">
        <f>SUMIFS('Combined P&amp;L'!Z:Z,'Combined P&amp;L'!$C:$C,'P&amp;L Overview'!$B20)</f>
        <v>2.5000000000000001E-2</v>
      </c>
      <c r="Y20" s="54">
        <f>SUMIFS('Combined P&amp;L'!AA:AA,'Combined P&amp;L'!$C:$C,'P&amp;L Overview'!$B20)</f>
        <v>0.39960000000000001</v>
      </c>
      <c r="Z20" s="54">
        <f>SUMIFS('Combined P&amp;L'!AB:AB,'Combined P&amp;L'!$C:$C,'P&amp;L Overview'!$B20)</f>
        <v>0</v>
      </c>
      <c r="AA20" s="54">
        <f>SUMIFS('Combined P&amp;L'!AC:AC,'Combined P&amp;L'!$C:$C,'P&amp;L Overview'!$B20)</f>
        <v>0</v>
      </c>
      <c r="AB20" s="54">
        <f>SUMIFS('Combined P&amp;L'!AD:AD,'Combined P&amp;L'!$C:$C,'P&amp;L Overview'!$B20)</f>
        <v>7.2939999999999991E-2</v>
      </c>
      <c r="AC20" s="54">
        <f>SUMIFS('Combined P&amp;L'!AE:AE,'Combined P&amp;L'!$C:$C,'P&amp;L Overview'!$B20)</f>
        <v>0</v>
      </c>
      <c r="AD20" s="54">
        <f>SUMIFS('Combined P&amp;L'!AF:AF,'Combined P&amp;L'!$C:$C,'P&amp;L Overview'!$B20)</f>
        <v>0.28970999999999997</v>
      </c>
      <c r="AE20" s="54">
        <f>SUMIFS('Combined P&amp;L'!AG:AG,'Combined P&amp;L'!$C:$C,'P&amp;L Overview'!$B20)</f>
        <v>0.30969000000000002</v>
      </c>
      <c r="AF20" s="54">
        <f>SUMIFS('Combined P&amp;L'!AH:AH,'Combined P&amp;L'!$C:$C,'P&amp;L Overview'!$B20)</f>
        <v>0</v>
      </c>
      <c r="AG20" s="54">
        <f>SUMIFS('Combined P&amp;L'!AI:AI,'Combined P&amp;L'!$C:$C,'P&amp;L Overview'!$B20)</f>
        <v>0</v>
      </c>
      <c r="AH20" s="54">
        <f>SUMIFS('Combined P&amp;L'!AJ:AJ,'Combined P&amp;L'!$C:$C,'P&amp;L Overview'!$B20)</f>
        <v>0</v>
      </c>
      <c r="AI20" s="54">
        <f>SUMIFS('Combined P&amp;L'!AK:AK,'Combined P&amp;L'!$C:$C,'P&amp;L Overview'!$B20)</f>
        <v>2.5000000000000001E-2</v>
      </c>
      <c r="AJ20" s="54">
        <f>SUMIFS('Combined P&amp;L'!AL:AL,'Combined P&amp;L'!$C:$C,'P&amp;L Overview'!$B20)</f>
        <v>0.15984000000000001</v>
      </c>
      <c r="AK20" s="54">
        <f>SUMIFS('Combined P&amp;L'!AM:AM,'Combined P&amp;L'!$C:$C,'P&amp;L Overview'!$B20)</f>
        <v>0</v>
      </c>
      <c r="AL20" s="54">
        <f>SUMIFS('Combined P&amp;L'!AN:AN,'Combined P&amp;L'!$C:$C,'P&amp;L Overview'!$B20)</f>
        <v>7.4999999999999997E-2</v>
      </c>
      <c r="AM20" s="54">
        <f>SUMIFS('Combined P&amp;L'!AO:AO,'Combined P&amp;L'!$C:$C,'P&amp;L Overview'!$B20)</f>
        <v>0</v>
      </c>
      <c r="AN20" s="54">
        <f>SUMIFS('Combined P&amp;L'!AP:AP,'Combined P&amp;L'!$C:$C,'P&amp;L Overview'!$B20)</f>
        <v>0</v>
      </c>
      <c r="AO20" s="54">
        <f>SUMIFS('Combined P&amp;L'!AQ:AQ,'Combined P&amp;L'!$C:$C,'P&amp;L Overview'!$B20)</f>
        <v>2.299E-2</v>
      </c>
      <c r="AP20" s="54">
        <f>SUMIFS('Combined P&amp;L'!AR:AR,'Combined P&amp;L'!$C:$C,'P&amp;L Overview'!$B20)</f>
        <v>0</v>
      </c>
    </row>
    <row r="21" spans="2:42" x14ac:dyDescent="0.2">
      <c r="B21" s="58" t="s">
        <v>15</v>
      </c>
      <c r="C21" s="24">
        <f>SUMIFS($L21:$AP21,$L$5:$AP$5,"&gt;"&amp;C$42,$L$5:$AP$5,"&lt;"&amp;C$43)</f>
        <v>23.599999999999998</v>
      </c>
      <c r="D21" s="24">
        <f>SUMIFS($L21:$AP21,$L$5:$AP$5,"&gt;"&amp;D$42,$L$5:$AP$5,"&lt;"&amp;D$43)</f>
        <v>0.2</v>
      </c>
      <c r="E21" s="24"/>
      <c r="F21" s="24">
        <f>SUMIFS($L21:$AP21,$L$5:$AP$5,"&gt;"&amp;F$42,$L$5:$AP$5,"&lt;"&amp;F$43)</f>
        <v>0.2</v>
      </c>
      <c r="G21" s="24">
        <f>SUMIFS($L21:$AP21,$L$5:$AP$5,"&gt;"&amp;G$42,$L$5:$AP$5,"&lt;"&amp;G$43)</f>
        <v>0</v>
      </c>
      <c r="H21" s="24"/>
      <c r="I21" s="24">
        <f>SUMIFS($L21:$AP21,$L$5:$AP$5,"&gt;"&amp;I$42,$L$5:$AP$5,"&lt;"&amp;I$43)</f>
        <v>16.735000000000003</v>
      </c>
      <c r="J21" s="24">
        <f>SUMIFS($L21:$AP21,$L$5:$AP$5,"&gt;"&amp;J$42,$L$5:$AP$5,"&lt;"&amp;J$43)</f>
        <v>0</v>
      </c>
      <c r="K21" s="53"/>
      <c r="L21" s="54">
        <f>SUMIFS('Combined P&amp;L'!N:N,'Combined P&amp;L'!$C:$C,'P&amp;L Overview'!$B21)</f>
        <v>0.5</v>
      </c>
      <c r="M21" s="54">
        <f>SUMIFS('Combined P&amp;L'!O:O,'Combined P&amp;L'!$C:$C,'P&amp;L Overview'!$B21)</f>
        <v>3</v>
      </c>
      <c r="N21" s="54">
        <f>SUMIFS('Combined P&amp;L'!P:P,'Combined P&amp;L'!$C:$C,'P&amp;L Overview'!$B21)</f>
        <v>0</v>
      </c>
      <c r="O21" s="54">
        <f>SUMIFS('Combined P&amp;L'!Q:Q,'Combined P&amp;L'!$C:$C,'P&amp;L Overview'!$B21)</f>
        <v>0</v>
      </c>
      <c r="P21" s="54">
        <f>SUMIFS('Combined P&amp;L'!R:R,'Combined P&amp;L'!$C:$C,'P&amp;L Overview'!$B21)</f>
        <v>3</v>
      </c>
      <c r="Q21" s="54">
        <f>SUMIFS('Combined P&amp;L'!S:S,'Combined P&amp;L'!$C:$C,'P&amp;L Overview'!$B21)</f>
        <v>0.56499999999999995</v>
      </c>
      <c r="R21" s="54">
        <f>SUMIFS('Combined P&amp;L'!T:T,'Combined P&amp;L'!$C:$C,'P&amp;L Overview'!$B21)</f>
        <v>10.5</v>
      </c>
      <c r="S21" s="54">
        <f>SUMIFS('Combined P&amp;L'!U:U,'Combined P&amp;L'!$C:$C,'P&amp;L Overview'!$B21)</f>
        <v>6.5</v>
      </c>
      <c r="T21" s="54">
        <f>SUMIFS('Combined P&amp;L'!V:V,'Combined P&amp;L'!$C:$C,'P&amp;L Overview'!$B21)</f>
        <v>0.5</v>
      </c>
      <c r="U21" s="54">
        <f>SUMIFS('Combined P&amp;L'!W:W,'Combined P&amp;L'!$C:$C,'P&amp;L Overview'!$B21)</f>
        <v>-0.96499999999999997</v>
      </c>
      <c r="V21" s="54">
        <f>SUMIFS('Combined P&amp;L'!X:X,'Combined P&amp;L'!$C:$C,'P&amp;L Overview'!$B21)</f>
        <v>0</v>
      </c>
      <c r="W21" s="54">
        <f>SUMIFS('Combined P&amp;L'!Y:Y,'Combined P&amp;L'!$C:$C,'P&amp;L Overview'!$B21)</f>
        <v>0</v>
      </c>
      <c r="X21" s="54">
        <f>SUMIFS('Combined P&amp;L'!Z:Z,'Combined P&amp;L'!$C:$C,'P&amp;L Overview'!$B21)</f>
        <v>0.1</v>
      </c>
      <c r="Y21" s="54">
        <f>SUMIFS('Combined P&amp;L'!AA:AA,'Combined P&amp;L'!$C:$C,'P&amp;L Overview'!$B21)</f>
        <v>0</v>
      </c>
      <c r="Z21" s="54">
        <f>SUMIFS('Combined P&amp;L'!AB:AB,'Combined P&amp;L'!$C:$C,'P&amp;L Overview'!$B21)</f>
        <v>0.1</v>
      </c>
      <c r="AA21" s="54">
        <f>SUMIFS('Combined P&amp;L'!AC:AC,'Combined P&amp;L'!$C:$C,'P&amp;L Overview'!$B21)</f>
        <v>0</v>
      </c>
      <c r="AB21" s="54">
        <f>SUMIFS('Combined P&amp;L'!AD:AD,'Combined P&amp;L'!$C:$C,'P&amp;L Overview'!$B21)</f>
        <v>0</v>
      </c>
      <c r="AC21" s="54">
        <f>SUMIFS('Combined P&amp;L'!AE:AE,'Combined P&amp;L'!$C:$C,'P&amp;L Overview'!$B21)</f>
        <v>0</v>
      </c>
      <c r="AD21" s="54">
        <f>SUMIFS('Combined P&amp;L'!AF:AF,'Combined P&amp;L'!$C:$C,'P&amp;L Overview'!$B21)</f>
        <v>0</v>
      </c>
      <c r="AE21" s="54">
        <f>SUMIFS('Combined P&amp;L'!AG:AG,'Combined P&amp;L'!$C:$C,'P&amp;L Overview'!$B21)</f>
        <v>0</v>
      </c>
      <c r="AF21" s="54">
        <f>SUMIFS('Combined P&amp;L'!AH:AH,'Combined P&amp;L'!$C:$C,'P&amp;L Overview'!$B21)</f>
        <v>0</v>
      </c>
      <c r="AG21" s="54">
        <f>SUMIFS('Combined P&amp;L'!AI:AI,'Combined P&amp;L'!$C:$C,'P&amp;L Overview'!$B21)</f>
        <v>0</v>
      </c>
      <c r="AH21" s="54">
        <f>SUMIFS('Combined P&amp;L'!AJ:AJ,'Combined P&amp;L'!$C:$C,'P&amp;L Overview'!$B21)</f>
        <v>0</v>
      </c>
      <c r="AI21" s="54">
        <f>SUMIFS('Combined P&amp;L'!AK:AK,'Combined P&amp;L'!$C:$C,'P&amp;L Overview'!$B21)</f>
        <v>0</v>
      </c>
      <c r="AJ21" s="54">
        <f>SUMIFS('Combined P&amp;L'!AL:AL,'Combined P&amp;L'!$C:$C,'P&amp;L Overview'!$B21)</f>
        <v>0</v>
      </c>
      <c r="AK21" s="54">
        <f>SUMIFS('Combined P&amp;L'!AM:AM,'Combined P&amp;L'!$C:$C,'P&amp;L Overview'!$B21)</f>
        <v>0</v>
      </c>
      <c r="AL21" s="54">
        <f>SUMIFS('Combined P&amp;L'!AN:AN,'Combined P&amp;L'!$C:$C,'P&amp;L Overview'!$B21)</f>
        <v>0</v>
      </c>
      <c r="AM21" s="54">
        <f>SUMIFS('Combined P&amp;L'!AO:AO,'Combined P&amp;L'!$C:$C,'P&amp;L Overview'!$B21)</f>
        <v>0</v>
      </c>
      <c r="AN21" s="54">
        <f>SUMIFS('Combined P&amp;L'!AP:AP,'Combined P&amp;L'!$C:$C,'P&amp;L Overview'!$B21)</f>
        <v>0</v>
      </c>
      <c r="AO21" s="54">
        <f>SUMIFS('Combined P&amp;L'!AQ:AQ,'Combined P&amp;L'!$C:$C,'P&amp;L Overview'!$B21)</f>
        <v>0</v>
      </c>
      <c r="AP21" s="54">
        <f>SUMIFS('Combined P&amp;L'!AR:AR,'Combined P&amp;L'!$C:$C,'P&amp;L Overview'!$B21)</f>
        <v>0</v>
      </c>
    </row>
    <row r="22" spans="2:42" x14ac:dyDescent="0.2">
      <c r="B22" s="59" t="s">
        <v>261</v>
      </c>
      <c r="C22" s="60">
        <f>SUM(C17:C21)</f>
        <v>40.650100000000002</v>
      </c>
      <c r="D22" s="60">
        <f>SUM(D17:D21)</f>
        <v>51.533729999999998</v>
      </c>
      <c r="F22" s="60">
        <f t="shared" ref="F22:G22" si="3">SUM(F17:F21)</f>
        <v>38.982199999999999</v>
      </c>
      <c r="G22" s="60">
        <f t="shared" si="3"/>
        <v>70.953709999999987</v>
      </c>
      <c r="I22" s="60">
        <f t="shared" ref="I22:J22" si="4">SUM(I17:I21)</f>
        <v>59.000119999999995</v>
      </c>
      <c r="J22" s="60">
        <f t="shared" si="4"/>
        <v>84.754819999999995</v>
      </c>
      <c r="L22" s="60">
        <f>SUM(L17:L21)</f>
        <v>7.5636000000000001</v>
      </c>
      <c r="M22" s="60">
        <f t="shared" ref="M22:AP22" si="5">SUM(M17:M21)</f>
        <v>6.5111999999999997</v>
      </c>
      <c r="N22" s="60">
        <f t="shared" si="5"/>
        <v>0.1162</v>
      </c>
      <c r="O22" s="60">
        <f t="shared" si="5"/>
        <v>0.1406</v>
      </c>
      <c r="P22" s="60">
        <f t="shared" si="5"/>
        <v>3.5920000000000001</v>
      </c>
      <c r="Q22" s="60">
        <f t="shared" si="5"/>
        <v>1.3717999999999999</v>
      </c>
      <c r="R22" s="60">
        <f t="shared" si="5"/>
        <v>11.465299999999999</v>
      </c>
      <c r="S22" s="60">
        <f t="shared" si="5"/>
        <v>7.3414000000000001</v>
      </c>
      <c r="T22" s="60">
        <f t="shared" si="5"/>
        <v>1.8808</v>
      </c>
      <c r="U22" s="60">
        <f t="shared" si="5"/>
        <v>-0.10460000000000003</v>
      </c>
      <c r="V22" s="60">
        <f t="shared" si="5"/>
        <v>0.52500000000000002</v>
      </c>
      <c r="W22" s="60">
        <f t="shared" si="5"/>
        <v>0.24680000000000002</v>
      </c>
      <c r="X22" s="60">
        <f t="shared" si="5"/>
        <v>20.968399999999999</v>
      </c>
      <c r="Y22" s="60">
        <f t="shared" si="5"/>
        <v>11.607949999999999</v>
      </c>
      <c r="Z22" s="60">
        <f t="shared" si="5"/>
        <v>1.1283300000000001</v>
      </c>
      <c r="AA22" s="60">
        <f t="shared" si="5"/>
        <v>1.1956</v>
      </c>
      <c r="AB22" s="60">
        <f t="shared" si="5"/>
        <v>1.0338699999999998</v>
      </c>
      <c r="AC22" s="60">
        <f t="shared" si="5"/>
        <v>1.7112700000000001</v>
      </c>
      <c r="AD22" s="60">
        <f t="shared" si="5"/>
        <v>1.3367799999999999</v>
      </c>
      <c r="AE22" s="60">
        <f t="shared" si="5"/>
        <v>2.3805699999999996</v>
      </c>
      <c r="AF22" s="60">
        <f t="shared" si="5"/>
        <v>2.04121</v>
      </c>
      <c r="AG22" s="60">
        <f t="shared" si="5"/>
        <v>3.6642399999999999</v>
      </c>
      <c r="AH22" s="60">
        <f t="shared" si="5"/>
        <v>1.29758</v>
      </c>
      <c r="AI22" s="60">
        <f t="shared" si="5"/>
        <v>3.1679299999999997</v>
      </c>
      <c r="AJ22" s="60">
        <f t="shared" si="5"/>
        <v>8.9426800000000011</v>
      </c>
      <c r="AK22" s="60">
        <f t="shared" si="5"/>
        <v>33.510510000000004</v>
      </c>
      <c r="AL22" s="60">
        <f t="shared" si="5"/>
        <v>15.752599999999999</v>
      </c>
      <c r="AM22" s="60">
        <f t="shared" si="5"/>
        <v>8.2833600000000001</v>
      </c>
      <c r="AN22" s="60">
        <f t="shared" si="5"/>
        <v>0.66824000000000006</v>
      </c>
      <c r="AO22" s="60">
        <f t="shared" si="5"/>
        <v>3.7091200000000004</v>
      </c>
      <c r="AP22" s="60">
        <f t="shared" si="5"/>
        <v>8.72E-2</v>
      </c>
    </row>
    <row r="23" spans="2:42" ht="5.0999999999999996" customHeight="1" x14ac:dyDescent="0.2"/>
    <row r="24" spans="2:42" x14ac:dyDescent="0.2">
      <c r="B24" s="61" t="s">
        <v>263</v>
      </c>
      <c r="C24" s="62">
        <f>+C22+C15</f>
        <v>1134.96585</v>
      </c>
      <c r="D24" s="63">
        <f>+D22+D15</f>
        <v>1879.3831299999999</v>
      </c>
      <c r="F24" s="64">
        <f>+F22+F15</f>
        <v>997.87309999999991</v>
      </c>
      <c r="G24" s="63">
        <f>+G22+G15</f>
        <v>1671.0212000000001</v>
      </c>
      <c r="I24" s="64">
        <f>+I22+I15</f>
        <v>1473.71192</v>
      </c>
      <c r="J24" s="63">
        <f>+J22+J15</f>
        <v>2456.4861599999999</v>
      </c>
      <c r="L24" s="64">
        <f t="shared" ref="L24:AP24" si="6">+L22+L15</f>
        <v>80.9131</v>
      </c>
      <c r="M24" s="62">
        <f t="shared" si="6"/>
        <v>81.255700000000004</v>
      </c>
      <c r="N24" s="62">
        <f t="shared" si="6"/>
        <v>78.112200000000001</v>
      </c>
      <c r="O24" s="62">
        <f t="shared" si="6"/>
        <v>83.35329999999999</v>
      </c>
      <c r="P24" s="62">
        <f t="shared" si="6"/>
        <v>90.196150000000017</v>
      </c>
      <c r="Q24" s="62">
        <f t="shared" si="6"/>
        <v>89.915800000000004</v>
      </c>
      <c r="R24" s="62">
        <f t="shared" si="6"/>
        <v>104.68205</v>
      </c>
      <c r="S24" s="62">
        <f t="shared" si="6"/>
        <v>104.11675</v>
      </c>
      <c r="T24" s="62">
        <f t="shared" si="6"/>
        <v>98.372749999999996</v>
      </c>
      <c r="U24" s="62">
        <f t="shared" si="6"/>
        <v>99.05889999999998</v>
      </c>
      <c r="V24" s="62">
        <f t="shared" si="6"/>
        <v>109.2373</v>
      </c>
      <c r="W24" s="62">
        <f t="shared" si="6"/>
        <v>115.75185000000002</v>
      </c>
      <c r="X24" s="62">
        <f t="shared" si="6"/>
        <v>138.66254999999998</v>
      </c>
      <c r="Y24" s="62">
        <f t="shared" si="6"/>
        <v>127.8026</v>
      </c>
      <c r="Z24" s="62">
        <f t="shared" si="6"/>
        <v>134.67543000000001</v>
      </c>
      <c r="AA24" s="62">
        <f t="shared" si="6"/>
        <v>135.97560000000001</v>
      </c>
      <c r="AB24" s="62">
        <f t="shared" si="6"/>
        <v>152.05112</v>
      </c>
      <c r="AC24" s="62">
        <f t="shared" si="6"/>
        <v>153.32501999999999</v>
      </c>
      <c r="AD24" s="62">
        <f t="shared" si="6"/>
        <v>155.38077999999999</v>
      </c>
      <c r="AE24" s="62">
        <f t="shared" si="6"/>
        <v>159.87331999999998</v>
      </c>
      <c r="AF24" s="62">
        <f t="shared" si="6"/>
        <v>163.99921000000001</v>
      </c>
      <c r="AG24" s="62">
        <f t="shared" si="6"/>
        <v>179.24424000000002</v>
      </c>
      <c r="AH24" s="62">
        <f t="shared" si="6"/>
        <v>181.69058000000004</v>
      </c>
      <c r="AI24" s="62">
        <f t="shared" si="6"/>
        <v>196.70267999999999</v>
      </c>
      <c r="AJ24" s="62">
        <f t="shared" si="6"/>
        <v>212.18599999999998</v>
      </c>
      <c r="AK24" s="62">
        <f t="shared" si="6"/>
        <v>241.89637999999999</v>
      </c>
      <c r="AL24" s="62">
        <f t="shared" si="6"/>
        <v>231.49535</v>
      </c>
      <c r="AM24" s="62">
        <f t="shared" si="6"/>
        <v>240.31947000000002</v>
      </c>
      <c r="AN24" s="62">
        <f t="shared" si="6"/>
        <v>246.19884999999996</v>
      </c>
      <c r="AO24" s="62">
        <f t="shared" si="6"/>
        <v>247.49930000000001</v>
      </c>
      <c r="AP24" s="63">
        <f t="shared" si="6"/>
        <v>251.42585000000003</v>
      </c>
    </row>
    <row r="25" spans="2:42" ht="3.95" customHeight="1" x14ac:dyDescent="0.2"/>
    <row r="26" spans="2:42" x14ac:dyDescent="0.2">
      <c r="B26" s="43" t="s">
        <v>50</v>
      </c>
      <c r="C26" s="44"/>
      <c r="D26" s="44"/>
      <c r="E26" s="6"/>
      <c r="F26" s="44"/>
      <c r="G26" s="44"/>
      <c r="H26" s="6"/>
      <c r="I26" s="44"/>
      <c r="J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</row>
    <row r="27" spans="2:42" s="14" customFormat="1" x14ac:dyDescent="0.2">
      <c r="B27" s="57" t="s">
        <v>64</v>
      </c>
      <c r="C27" s="24">
        <f>SUMIFS($L27:$AP27,$L$5:$AP$5,"&gt;"&amp;C$42,$L$5:$AP$5,"&lt;"&amp;C$43)</f>
        <v>101.37520000000001</v>
      </c>
      <c r="D27" s="24">
        <f>SUMIFS($L27:$AP27,$L$5:$AP$5,"&gt;"&amp;D$42,$L$5:$AP$5,"&lt;"&amp;D$43)</f>
        <v>281.24054000000001</v>
      </c>
      <c r="E27" s="24"/>
      <c r="F27" s="24">
        <f>SUMIFS($L27:$AP27,$L$5:$AP$5,"&gt;"&amp;F$42,$L$5:$AP$5,"&lt;"&amp;F$43)</f>
        <v>136.29648</v>
      </c>
      <c r="G27" s="24">
        <f>SUMIFS($L27:$AP27,$L$5:$AP$5,"&gt;"&amp;G$42,$L$5:$AP$5,"&lt;"&amp;G$43)</f>
        <v>357.27472</v>
      </c>
      <c r="H27" s="24"/>
      <c r="I27" s="24">
        <f>SUMIFS($L27:$AP27,$L$5:$AP$5,"&gt;"&amp;I$42,$L$5:$AP$5,"&lt;"&amp;I$43)</f>
        <v>184.76374000000001</v>
      </c>
      <c r="J27" s="24">
        <f>SUMIFS($L27:$AP27,$L$5:$AP$5,"&gt;"&amp;J$42,$L$5:$AP$5,"&lt;"&amp;J$43)</f>
        <v>466.92603999999994</v>
      </c>
      <c r="K27" s="53"/>
      <c r="L27" s="54">
        <f>SUMIFS('Combined P&amp;L'!N:N,'Combined P&amp;L'!$C:$C,'P&amp;L Overview'!$B27)</f>
        <v>3.0934599999999999</v>
      </c>
      <c r="M27" s="54">
        <f>SUMIFS('Combined P&amp;L'!O:O,'Combined P&amp;L'!$C:$C,'P&amp;L Overview'!$B27)</f>
        <v>4.6301699999999997</v>
      </c>
      <c r="N27" s="54">
        <f>SUMIFS('Combined P&amp;L'!P:P,'Combined P&amp;L'!$C:$C,'P&amp;L Overview'!$B27)</f>
        <v>4.3950699999999996</v>
      </c>
      <c r="O27" s="54">
        <f>SUMIFS('Combined P&amp;L'!Q:Q,'Combined P&amp;L'!$C:$C,'P&amp;L Overview'!$B27)</f>
        <v>5.8638699999999995</v>
      </c>
      <c r="P27" s="54">
        <f>SUMIFS('Combined P&amp;L'!R:R,'Combined P&amp;L'!$C:$C,'P&amp;L Overview'!$B27)</f>
        <v>7.3723299999999998</v>
      </c>
      <c r="Q27" s="54">
        <f>SUMIFS('Combined P&amp;L'!S:S,'Combined P&amp;L'!$C:$C,'P&amp;L Overview'!$B27)</f>
        <v>4.9503999999999992</v>
      </c>
      <c r="R27" s="54">
        <f>SUMIFS('Combined P&amp;L'!T:T,'Combined P&amp;L'!$C:$C,'P&amp;L Overview'!$B27)</f>
        <v>4.9503999999999992</v>
      </c>
      <c r="S27" s="54">
        <f>SUMIFS('Combined P&amp;L'!U:U,'Combined P&amp;L'!$C:$C,'P&amp;L Overview'!$B27)</f>
        <v>4.7003500000000003</v>
      </c>
      <c r="T27" s="54">
        <f>SUMIFS('Combined P&amp;L'!V:V,'Combined P&amp;L'!$C:$C,'P&amp;L Overview'!$B27)</f>
        <v>4.9503999999999992</v>
      </c>
      <c r="U27" s="54">
        <f>SUMIFS('Combined P&amp;L'!W:W,'Combined P&amp;L'!$C:$C,'P&amp;L Overview'!$B27)</f>
        <v>5.9998699999999996</v>
      </c>
      <c r="V27" s="54">
        <f>SUMIFS('Combined P&amp;L'!X:X,'Combined P&amp;L'!$C:$C,'P&amp;L Overview'!$B27)</f>
        <v>26.028759999999998</v>
      </c>
      <c r="W27" s="54">
        <f>SUMIFS('Combined P&amp;L'!Y:Y,'Combined P&amp;L'!$C:$C,'P&amp;L Overview'!$B27)</f>
        <v>24.44012</v>
      </c>
      <c r="X27" s="54">
        <f>SUMIFS('Combined P&amp;L'!Z:Z,'Combined P&amp;L'!$C:$C,'P&amp;L Overview'!$B27)</f>
        <v>21.052340000000001</v>
      </c>
      <c r="Y27" s="54">
        <f>SUMIFS('Combined P&amp;L'!AA:AA,'Combined P&amp;L'!$C:$C,'P&amp;L Overview'!$B27)</f>
        <v>19.916029999999999</v>
      </c>
      <c r="Z27" s="54">
        <f>SUMIFS('Combined P&amp;L'!AB:AB,'Combined P&amp;L'!$C:$C,'P&amp;L Overview'!$B27)</f>
        <v>11.743870000000001</v>
      </c>
      <c r="AA27" s="54">
        <f>SUMIFS('Combined P&amp;L'!AC:AC,'Combined P&amp;L'!$C:$C,'P&amp;L Overview'!$B27)</f>
        <v>19.617919999999998</v>
      </c>
      <c r="AB27" s="54">
        <f>SUMIFS('Combined P&amp;L'!AD:AD,'Combined P&amp;L'!$C:$C,'P&amp;L Overview'!$B27)</f>
        <v>20.669779999999999</v>
      </c>
      <c r="AC27" s="54">
        <f>SUMIFS('Combined P&amp;L'!AE:AE,'Combined P&amp;L'!$C:$C,'P&amp;L Overview'!$B27)</f>
        <v>20.693900000000003</v>
      </c>
      <c r="AD27" s="54">
        <f>SUMIFS('Combined P&amp;L'!AF:AF,'Combined P&amp;L'!$C:$C,'P&amp;L Overview'!$B27)</f>
        <v>22.602640000000001</v>
      </c>
      <c r="AE27" s="54">
        <f>SUMIFS('Combined P&amp;L'!AG:AG,'Combined P&amp;L'!$C:$C,'P&amp;L Overview'!$B27)</f>
        <v>19.961279999999999</v>
      </c>
      <c r="AF27" s="54">
        <f>SUMIFS('Combined P&amp;L'!AH:AH,'Combined P&amp;L'!$C:$C,'P&amp;L Overview'!$B27)</f>
        <v>27.605630000000001</v>
      </c>
      <c r="AG27" s="54">
        <f>SUMIFS('Combined P&amp;L'!AI:AI,'Combined P&amp;L'!$C:$C,'P&amp;L Overview'!$B27)</f>
        <v>34.185890000000001</v>
      </c>
      <c r="AH27" s="54">
        <f>SUMIFS('Combined P&amp;L'!AJ:AJ,'Combined P&amp;L'!$C:$C,'P&amp;L Overview'!$B27)</f>
        <v>29.731570000000001</v>
      </c>
      <c r="AI27" s="54">
        <f>SUMIFS('Combined P&amp;L'!AK:AK,'Combined P&amp;L'!$C:$C,'P&amp;L Overview'!$B27)</f>
        <v>33.459690000000002</v>
      </c>
      <c r="AJ27" s="54">
        <f>SUMIFS('Combined P&amp;L'!AL:AL,'Combined P&amp;L'!$C:$C,'P&amp;L Overview'!$B27)</f>
        <v>36.253599999999999</v>
      </c>
      <c r="AK27" s="54">
        <f>SUMIFS('Combined P&amp;L'!AM:AM,'Combined P&amp;L'!$C:$C,'P&amp;L Overview'!$B27)</f>
        <v>33.607510000000005</v>
      </c>
      <c r="AL27" s="54">
        <f>SUMIFS('Combined P&amp;L'!AN:AN,'Combined P&amp;L'!$C:$C,'P&amp;L Overview'!$B27)</f>
        <v>57.199239999999996</v>
      </c>
      <c r="AM27" s="54">
        <f>SUMIFS('Combined P&amp;L'!AO:AO,'Combined P&amp;L'!$C:$C,'P&amp;L Overview'!$B27)</f>
        <v>58.245950000000001</v>
      </c>
      <c r="AN27" s="54">
        <f>SUMIFS('Combined P&amp;L'!AP:AP,'Combined P&amp;L'!$C:$C,'P&amp;L Overview'!$B27)</f>
        <v>54.069230000000005</v>
      </c>
      <c r="AO27" s="54">
        <f>SUMIFS('Combined P&amp;L'!AQ:AQ,'Combined P&amp;L'!$C:$C,'P&amp;L Overview'!$B27)</f>
        <v>60.003809999999994</v>
      </c>
      <c r="AP27" s="54">
        <f>SUMIFS('Combined P&amp;L'!AR:AR,'Combined P&amp;L'!$C:$C,'P&amp;L Overview'!$B27)</f>
        <v>57.895379999999996</v>
      </c>
    </row>
    <row r="28" spans="2:42" x14ac:dyDescent="0.2">
      <c r="B28" s="58" t="s">
        <v>35</v>
      </c>
      <c r="C28" s="24">
        <f>SUMIFS($L28:$AP28,$L$5:$AP$5,"&gt;"&amp;C$42,$L$5:$AP$5,"&lt;"&amp;C$43)</f>
        <v>183.36902999999998</v>
      </c>
      <c r="D28" s="24">
        <f>SUMIFS($L28:$AP28,$L$5:$AP$5,"&gt;"&amp;D$42,$L$5:$AP$5,"&lt;"&amp;D$43)</f>
        <v>316.18462</v>
      </c>
      <c r="E28" s="24"/>
      <c r="F28" s="24">
        <f>SUMIFS($L28:$AP28,$L$5:$AP$5,"&gt;"&amp;F$42,$L$5:$AP$5,"&lt;"&amp;F$43)</f>
        <v>147.26813000000001</v>
      </c>
      <c r="G28" s="24">
        <f>SUMIFS($L28:$AP28,$L$5:$AP$5,"&gt;"&amp;G$42,$L$5:$AP$5,"&lt;"&amp;G$43)</f>
        <v>267.75739999999996</v>
      </c>
      <c r="H28" s="24"/>
      <c r="I28" s="24">
        <f>SUMIFS($L28:$AP28,$L$5:$AP$5,"&gt;"&amp;I$42,$L$5:$AP$5,"&lt;"&amp;I$43)</f>
        <v>226.32031000000001</v>
      </c>
      <c r="J28" s="24">
        <f>SUMIFS($L28:$AP28,$L$5:$AP$5,"&gt;"&amp;J$42,$L$5:$AP$5,"&lt;"&amp;J$43)</f>
        <v>420.09519999999998</v>
      </c>
      <c r="K28" s="53"/>
      <c r="L28" s="54">
        <f>SUMIFS('Combined P&amp;L'!N:N,'Combined P&amp;L'!$C:$C,'P&amp;L Overview'!$B28)</f>
        <v>9.5549999999999997</v>
      </c>
      <c r="M28" s="54">
        <f>SUMIFS('Combined P&amp;L'!O:O,'Combined P&amp;L'!$C:$C,'P&amp;L Overview'!$B28)</f>
        <v>9.5549999999999997</v>
      </c>
      <c r="N28" s="54">
        <f>SUMIFS('Combined P&amp;L'!P:P,'Combined P&amp;L'!$C:$C,'P&amp;L Overview'!$B28)</f>
        <v>10.397200000000002</v>
      </c>
      <c r="O28" s="54">
        <f>SUMIFS('Combined P&amp;L'!Q:Q,'Combined P&amp;L'!$C:$C,'P&amp;L Overview'!$B28)</f>
        <v>14.99967</v>
      </c>
      <c r="P28" s="54">
        <f>SUMIFS('Combined P&amp;L'!R:R,'Combined P&amp;L'!$C:$C,'P&amp;L Overview'!$B28)</f>
        <v>18.009799999999998</v>
      </c>
      <c r="Q28" s="54">
        <f>SUMIFS('Combined P&amp;L'!S:S,'Combined P&amp;L'!$C:$C,'P&amp;L Overview'!$B28)</f>
        <v>13.89127</v>
      </c>
      <c r="R28" s="54">
        <f>SUMIFS('Combined P&amp;L'!T:T,'Combined P&amp;L'!$C:$C,'P&amp;L Overview'!$B28)</f>
        <v>14.04824</v>
      </c>
      <c r="S28" s="54">
        <f>SUMIFS('Combined P&amp;L'!U:U,'Combined P&amp;L'!$C:$C,'P&amp;L Overview'!$B28)</f>
        <v>13.39091</v>
      </c>
      <c r="T28" s="54">
        <f>SUMIFS('Combined P&amp;L'!V:V,'Combined P&amp;L'!$C:$C,'P&amp;L Overview'!$B28)</f>
        <v>14.669309999999999</v>
      </c>
      <c r="U28" s="54">
        <f>SUMIFS('Combined P&amp;L'!W:W,'Combined P&amp;L'!$C:$C,'P&amp;L Overview'!$B28)</f>
        <v>15.882530000000001</v>
      </c>
      <c r="V28" s="54">
        <f>SUMIFS('Combined P&amp;L'!X:X,'Combined P&amp;L'!$C:$C,'P&amp;L Overview'!$B28)</f>
        <v>27.188669999999998</v>
      </c>
      <c r="W28" s="54">
        <f>SUMIFS('Combined P&amp;L'!Y:Y,'Combined P&amp;L'!$C:$C,'P&amp;L Overview'!$B28)</f>
        <v>21.78143</v>
      </c>
      <c r="X28" s="54">
        <f>SUMIFS('Combined P&amp;L'!Z:Z,'Combined P&amp;L'!$C:$C,'P&amp;L Overview'!$B28)</f>
        <v>19.402330000000003</v>
      </c>
      <c r="Y28" s="54">
        <f>SUMIFS('Combined P&amp;L'!AA:AA,'Combined P&amp;L'!$C:$C,'P&amp;L Overview'!$B28)</f>
        <v>16.40053</v>
      </c>
      <c r="Z28" s="54">
        <f>SUMIFS('Combined P&amp;L'!AB:AB,'Combined P&amp;L'!$C:$C,'P&amp;L Overview'!$B28)</f>
        <v>19.569830000000003</v>
      </c>
      <c r="AA28" s="54">
        <f>SUMIFS('Combined P&amp;L'!AC:AC,'Combined P&amp;L'!$C:$C,'P&amp;L Overview'!$B28)</f>
        <v>22.154199999999999</v>
      </c>
      <c r="AB28" s="54">
        <f>SUMIFS('Combined P&amp;L'!AD:AD,'Combined P&amp;L'!$C:$C,'P&amp;L Overview'!$B28)</f>
        <v>20.791540000000001</v>
      </c>
      <c r="AC28" s="54">
        <f>SUMIFS('Combined P&amp;L'!AE:AE,'Combined P&amp;L'!$C:$C,'P&amp;L Overview'!$B28)</f>
        <v>21.040790000000001</v>
      </c>
      <c r="AD28" s="54">
        <f>SUMIFS('Combined P&amp;L'!AF:AF,'Combined P&amp;L'!$C:$C,'P&amp;L Overview'!$B28)</f>
        <v>27.908909999999999</v>
      </c>
      <c r="AE28" s="54">
        <f>SUMIFS('Combined P&amp;L'!AG:AG,'Combined P&amp;L'!$C:$C,'P&amp;L Overview'!$B28)</f>
        <v>29.547000000000001</v>
      </c>
      <c r="AF28" s="54">
        <f>SUMIFS('Combined P&amp;L'!AH:AH,'Combined P&amp;L'!$C:$C,'P&amp;L Overview'!$B28)</f>
        <v>33.447269999999996</v>
      </c>
      <c r="AG28" s="54">
        <f>SUMIFS('Combined P&amp;L'!AI:AI,'Combined P&amp;L'!$C:$C,'P&amp;L Overview'!$B28)</f>
        <v>37.794319999999999</v>
      </c>
      <c r="AH28" s="54">
        <f>SUMIFS('Combined P&amp;L'!AJ:AJ,'Combined P&amp;L'!$C:$C,'P&amp;L Overview'!$B28)</f>
        <v>34.063319999999997</v>
      </c>
      <c r="AI28" s="54">
        <f>SUMIFS('Combined P&amp;L'!AK:AK,'Combined P&amp;L'!$C:$C,'P&amp;L Overview'!$B28)</f>
        <v>34.064579999999999</v>
      </c>
      <c r="AJ28" s="54">
        <f>SUMIFS('Combined P&amp;L'!AL:AL,'Combined P&amp;L'!$C:$C,'P&amp;L Overview'!$B28)</f>
        <v>38.378879999999995</v>
      </c>
      <c r="AK28" s="54">
        <f>SUMIFS('Combined P&amp;L'!AM:AM,'Combined P&amp;L'!$C:$C,'P&amp;L Overview'!$B28)</f>
        <v>29.701520000000002</v>
      </c>
      <c r="AL28" s="54">
        <f>SUMIFS('Combined P&amp;L'!AN:AN,'Combined P&amp;L'!$C:$C,'P&amp;L Overview'!$B28)</f>
        <v>37.422499999999999</v>
      </c>
      <c r="AM28" s="54">
        <f>SUMIFS('Combined P&amp;L'!AO:AO,'Combined P&amp;L'!$C:$C,'P&amp;L Overview'!$B28)</f>
        <v>38.772300000000001</v>
      </c>
      <c r="AN28" s="54">
        <f>SUMIFS('Combined P&amp;L'!AP:AP,'Combined P&amp;L'!$C:$C,'P&amp;L Overview'!$B28)</f>
        <v>38.29477</v>
      </c>
      <c r="AO28" s="54">
        <f>SUMIFS('Combined P&amp;L'!AQ:AQ,'Combined P&amp;L'!$C:$C,'P&amp;L Overview'!$B28)</f>
        <v>40.699829999999999</v>
      </c>
      <c r="AP28" s="54">
        <f>SUMIFS('Combined P&amp;L'!AR:AR,'Combined P&amp;L'!$C:$C,'P&amp;L Overview'!$B28)</f>
        <v>44.4876</v>
      </c>
    </row>
    <row r="29" spans="2:42" x14ac:dyDescent="0.2">
      <c r="B29" s="58" t="s">
        <v>36</v>
      </c>
      <c r="C29" s="24">
        <f>SUMIFS($L29:$AP29,$L$5:$AP$5,"&gt;"&amp;C$42,$L$5:$AP$5,"&lt;"&amp;C$43)</f>
        <v>286.16129000000001</v>
      </c>
      <c r="D29" s="24">
        <f>SUMIFS($L29:$AP29,$L$5:$AP$5,"&gt;"&amp;D$42,$L$5:$AP$5,"&lt;"&amp;D$43)</f>
        <v>352.95844</v>
      </c>
      <c r="E29" s="24"/>
      <c r="F29" s="24">
        <f>SUMIFS($L29:$AP29,$L$5:$AP$5,"&gt;"&amp;F$42,$L$5:$AP$5,"&lt;"&amp;F$43)</f>
        <v>201.27983</v>
      </c>
      <c r="G29" s="24">
        <f>SUMIFS($L29:$AP29,$L$5:$AP$5,"&gt;"&amp;G$42,$L$5:$AP$5,"&lt;"&amp;G$43)</f>
        <v>202.05309</v>
      </c>
      <c r="H29" s="24"/>
      <c r="I29" s="24">
        <f>SUMIFS($L29:$AP29,$L$5:$AP$5,"&gt;"&amp;I$42,$L$5:$AP$5,"&lt;"&amp;I$43)</f>
        <v>351.95998999999995</v>
      </c>
      <c r="J29" s="24">
        <f>SUMIFS($L29:$AP29,$L$5:$AP$5,"&gt;"&amp;J$42,$L$5:$AP$5,"&lt;"&amp;J$43)</f>
        <v>350.46762000000001</v>
      </c>
      <c r="K29" s="53"/>
      <c r="L29" s="54">
        <f>SUMIFS('Combined P&amp;L'!N:N,'Combined P&amp;L'!$C:$C,'P&amp;L Overview'!$B29)</f>
        <v>9.961079999999999</v>
      </c>
      <c r="M29" s="54">
        <f>SUMIFS('Combined P&amp;L'!O:O,'Combined P&amp;L'!$C:$C,'P&amp;L Overview'!$B29)</f>
        <v>13.85026</v>
      </c>
      <c r="N29" s="54">
        <f>SUMIFS('Combined P&amp;L'!P:P,'Combined P&amp;L'!$C:$C,'P&amp;L Overview'!$B29)</f>
        <v>12.79054</v>
      </c>
      <c r="O29" s="54">
        <f>SUMIFS('Combined P&amp;L'!Q:Q,'Combined P&amp;L'!$C:$C,'P&amp;L Overview'!$B29)</f>
        <v>14.57145</v>
      </c>
      <c r="P29" s="54">
        <f>SUMIFS('Combined P&amp;L'!R:R,'Combined P&amp;L'!$C:$C,'P&amp;L Overview'!$B29)</f>
        <v>28.285630000000001</v>
      </c>
      <c r="Q29" s="54">
        <f>SUMIFS('Combined P&amp;L'!S:S,'Combined P&amp;L'!$C:$C,'P&amp;L Overview'!$B29)</f>
        <v>26.542540000000002</v>
      </c>
      <c r="R29" s="54">
        <f>SUMIFS('Combined P&amp;L'!T:T,'Combined P&amp;L'!$C:$C,'P&amp;L Overview'!$B29)</f>
        <v>28.31119</v>
      </c>
      <c r="S29" s="54">
        <f>SUMIFS('Combined P&amp;L'!U:U,'Combined P&amp;L'!$C:$C,'P&amp;L Overview'!$B29)</f>
        <v>28.187459999999998</v>
      </c>
      <c r="T29" s="54">
        <f>SUMIFS('Combined P&amp;L'!V:V,'Combined P&amp;L'!$C:$C,'P&amp;L Overview'!$B29)</f>
        <v>30.868009999999998</v>
      </c>
      <c r="U29" s="54">
        <f>SUMIFS('Combined P&amp;L'!W:W,'Combined P&amp;L'!$C:$C,'P&amp;L Overview'!$B29)</f>
        <v>31.621279999999999</v>
      </c>
      <c r="V29" s="54">
        <f>SUMIFS('Combined P&amp;L'!X:X,'Combined P&amp;L'!$C:$C,'P&amp;L Overview'!$B29)</f>
        <v>28.449740000000002</v>
      </c>
      <c r="W29" s="54">
        <f>SUMIFS('Combined P&amp;L'!Y:Y,'Combined P&amp;L'!$C:$C,'P&amp;L Overview'!$B29)</f>
        <v>32.722110000000001</v>
      </c>
      <c r="X29" s="54">
        <f>SUMIFS('Combined P&amp;L'!Z:Z,'Combined P&amp;L'!$C:$C,'P&amp;L Overview'!$B29)</f>
        <v>32.780760000000001</v>
      </c>
      <c r="Y29" s="54">
        <f>SUMIFS('Combined P&amp;L'!AA:AA,'Combined P&amp;L'!$C:$C,'P&amp;L Overview'!$B29)</f>
        <v>23.361840000000001</v>
      </c>
      <c r="Z29" s="54">
        <f>SUMIFS('Combined P&amp;L'!AB:AB,'Combined P&amp;L'!$C:$C,'P&amp;L Overview'!$B29)</f>
        <v>26.914270000000002</v>
      </c>
      <c r="AA29" s="54">
        <f>SUMIFS('Combined P&amp;L'!AC:AC,'Combined P&amp;L'!$C:$C,'P&amp;L Overview'!$B29)</f>
        <v>28.81298</v>
      </c>
      <c r="AB29" s="54">
        <f>SUMIFS('Combined P&amp;L'!AD:AD,'Combined P&amp;L'!$C:$C,'P&amp;L Overview'!$B29)</f>
        <v>30.658750000000001</v>
      </c>
      <c r="AC29" s="54">
        <f>SUMIFS('Combined P&amp;L'!AE:AE,'Combined P&amp;L'!$C:$C,'P&amp;L Overview'!$B29)</f>
        <v>29.271599999999999</v>
      </c>
      <c r="AD29" s="54">
        <f>SUMIFS('Combined P&amp;L'!AF:AF,'Combined P&amp;L'!$C:$C,'P&amp;L Overview'!$B29)</f>
        <v>29.47963</v>
      </c>
      <c r="AE29" s="54">
        <f>SUMIFS('Combined P&amp;L'!AG:AG,'Combined P&amp;L'!$C:$C,'P&amp;L Overview'!$B29)</f>
        <v>26.830639999999999</v>
      </c>
      <c r="AF29" s="54">
        <f>SUMIFS('Combined P&amp;L'!AH:AH,'Combined P&amp;L'!$C:$C,'P&amp;L Overview'!$B29)</f>
        <v>29.785550000000001</v>
      </c>
      <c r="AG29" s="54">
        <f>SUMIFS('Combined P&amp;L'!AI:AI,'Combined P&amp;L'!$C:$C,'P&amp;L Overview'!$B29)</f>
        <v>32.899370000000005</v>
      </c>
      <c r="AH29" s="54">
        <f>SUMIFS('Combined P&amp;L'!AJ:AJ,'Combined P&amp;L'!$C:$C,'P&amp;L Overview'!$B29)</f>
        <v>29.49334</v>
      </c>
      <c r="AI29" s="54">
        <f>SUMIFS('Combined P&amp;L'!AK:AK,'Combined P&amp;L'!$C:$C,'P&amp;L Overview'!$B29)</f>
        <v>32.669710000000002</v>
      </c>
      <c r="AJ29" s="54">
        <f>SUMIFS('Combined P&amp;L'!AL:AL,'Combined P&amp;L'!$C:$C,'P&amp;L Overview'!$B29)</f>
        <v>26.114900000000002</v>
      </c>
      <c r="AK29" s="54">
        <f>SUMIFS('Combined P&amp;L'!AM:AM,'Combined P&amp;L'!$C:$C,'P&amp;L Overview'!$B29)</f>
        <v>21.9055</v>
      </c>
      <c r="AL29" s="54">
        <f>SUMIFS('Combined P&amp;L'!AN:AN,'Combined P&amp;L'!$C:$C,'P&amp;L Overview'!$B29)</f>
        <v>30.75844</v>
      </c>
      <c r="AM29" s="54">
        <f>SUMIFS('Combined P&amp;L'!AO:AO,'Combined P&amp;L'!$C:$C,'P&amp;L Overview'!$B29)</f>
        <v>31.59038</v>
      </c>
      <c r="AN29" s="54">
        <f>SUMIFS('Combined P&amp;L'!AP:AP,'Combined P&amp;L'!$C:$C,'P&amp;L Overview'!$B29)</f>
        <v>27.699919999999999</v>
      </c>
      <c r="AO29" s="54">
        <f>SUMIFS('Combined P&amp;L'!AQ:AQ,'Combined P&amp;L'!$C:$C,'P&amp;L Overview'!$B29)</f>
        <v>31.24024</v>
      </c>
      <c r="AP29" s="54">
        <f>SUMIFS('Combined P&amp;L'!AR:AR,'Combined P&amp;L'!$C:$C,'P&amp;L Overview'!$B29)</f>
        <v>32.74371</v>
      </c>
    </row>
    <row r="30" spans="2:42" x14ac:dyDescent="0.2">
      <c r="B30" s="58" t="s">
        <v>38</v>
      </c>
      <c r="C30" s="24">
        <f>SUMIFS($L30:$AP30,$L$5:$AP$5,"&gt;"&amp;C$42,$L$5:$AP$5,"&lt;"&amp;C$43)</f>
        <v>122.81254999999999</v>
      </c>
      <c r="D30" s="24">
        <f>SUMIFS($L30:$AP30,$L$5:$AP$5,"&gt;"&amp;D$42,$L$5:$AP$5,"&lt;"&amp;D$43)</f>
        <v>152.16972000000001</v>
      </c>
      <c r="E30" s="24"/>
      <c r="F30" s="24">
        <f>SUMIFS($L30:$AP30,$L$5:$AP$5,"&gt;"&amp;F$42,$L$5:$AP$5,"&lt;"&amp;F$43)</f>
        <v>73.949619999999996</v>
      </c>
      <c r="G30" s="24">
        <f>SUMIFS($L30:$AP30,$L$5:$AP$5,"&gt;"&amp;G$42,$L$5:$AP$5,"&lt;"&amp;G$43)</f>
        <v>111.27999</v>
      </c>
      <c r="H30" s="24"/>
      <c r="I30" s="24">
        <f>SUMIFS($L30:$AP30,$L$5:$AP$5,"&gt;"&amp;I$42,$L$5:$AP$5,"&lt;"&amp;I$43)</f>
        <v>115.8168</v>
      </c>
      <c r="J30" s="24">
        <f>SUMIFS($L30:$AP30,$L$5:$AP$5,"&gt;"&amp;J$42,$L$5:$AP$5,"&lt;"&amp;J$43)</f>
        <v>186.54353999999998</v>
      </c>
      <c r="K30" s="53"/>
      <c r="L30" s="54">
        <f>SUMIFS('Combined P&amp;L'!N:N,'Combined P&amp;L'!$C:$C,'P&amp;L Overview'!$B30)</f>
        <v>9.1372800000000005</v>
      </c>
      <c r="M30" s="54">
        <f>SUMIFS('Combined P&amp;L'!O:O,'Combined P&amp;L'!$C:$C,'P&amp;L Overview'!$B30)</f>
        <v>8.9629599999999989</v>
      </c>
      <c r="N30" s="54">
        <f>SUMIFS('Combined P&amp;L'!P:P,'Combined P&amp;L'!$C:$C,'P&amp;L Overview'!$B30)</f>
        <v>10.19584</v>
      </c>
      <c r="O30" s="54">
        <f>SUMIFS('Combined P&amp;L'!Q:Q,'Combined P&amp;L'!$C:$C,'P&amp;L Overview'!$B30)</f>
        <v>15.04429</v>
      </c>
      <c r="P30" s="54">
        <f>SUMIFS('Combined P&amp;L'!R:R,'Combined P&amp;L'!$C:$C,'P&amp;L Overview'!$B30)</f>
        <v>16.637439999999998</v>
      </c>
      <c r="Q30" s="54">
        <f>SUMIFS('Combined P&amp;L'!S:S,'Combined P&amp;L'!$C:$C,'P&amp;L Overview'!$B30)</f>
        <v>7.4949899999999996</v>
      </c>
      <c r="R30" s="54">
        <f>SUMIFS('Combined P&amp;L'!T:T,'Combined P&amp;L'!$C:$C,'P&amp;L Overview'!$B30)</f>
        <v>7.9820200000000003</v>
      </c>
      <c r="S30" s="54">
        <f>SUMIFS('Combined P&amp;L'!U:U,'Combined P&amp;L'!$C:$C,'P&amp;L Overview'!$B30)</f>
        <v>5.9027399999999997</v>
      </c>
      <c r="T30" s="54">
        <f>SUMIFS('Combined P&amp;L'!V:V,'Combined P&amp;L'!$C:$C,'P&amp;L Overview'!$B30)</f>
        <v>7.7676300000000005</v>
      </c>
      <c r="U30" s="54">
        <f>SUMIFS('Combined P&amp;L'!W:W,'Combined P&amp;L'!$C:$C,'P&amp;L Overview'!$B30)</f>
        <v>8.2141699999999993</v>
      </c>
      <c r="V30" s="54">
        <f>SUMIFS('Combined P&amp;L'!X:X,'Combined P&amp;L'!$C:$C,'P&amp;L Overview'!$B30)</f>
        <v>12.622719999999999</v>
      </c>
      <c r="W30" s="54">
        <f>SUMIFS('Combined P&amp;L'!Y:Y,'Combined P&amp;L'!$C:$C,'P&amp;L Overview'!$B30)</f>
        <v>12.85047</v>
      </c>
      <c r="X30" s="54">
        <f>SUMIFS('Combined P&amp;L'!Z:Z,'Combined P&amp;L'!$C:$C,'P&amp;L Overview'!$B30)</f>
        <v>10.345559999999999</v>
      </c>
      <c r="Y30" s="54">
        <f>SUMIFS('Combined P&amp;L'!AA:AA,'Combined P&amp;L'!$C:$C,'P&amp;L Overview'!$B30)</f>
        <v>8.0879799999999999</v>
      </c>
      <c r="Z30" s="54">
        <f>SUMIFS('Combined P&amp;L'!AB:AB,'Combined P&amp;L'!$C:$C,'P&amp;L Overview'!$B30)</f>
        <v>9.7528700000000015</v>
      </c>
      <c r="AA30" s="54">
        <f>SUMIFS('Combined P&amp;L'!AC:AC,'Combined P&amp;L'!$C:$C,'P&amp;L Overview'!$B30)</f>
        <v>10.28</v>
      </c>
      <c r="AB30" s="54">
        <f>SUMIFS('Combined P&amp;L'!AD:AD,'Combined P&amp;L'!$C:$C,'P&amp;L Overview'!$B30)</f>
        <v>11.13632</v>
      </c>
      <c r="AC30" s="54">
        <f>SUMIFS('Combined P&amp;L'!AE:AE,'Combined P&amp;L'!$C:$C,'P&amp;L Overview'!$B30)</f>
        <v>10.874319999999999</v>
      </c>
      <c r="AD30" s="54">
        <f>SUMIFS('Combined P&amp;L'!AF:AF,'Combined P&amp;L'!$C:$C,'P&amp;L Overview'!$B30)</f>
        <v>13.472569999999999</v>
      </c>
      <c r="AE30" s="54">
        <f>SUMIFS('Combined P&amp;L'!AG:AG,'Combined P&amp;L'!$C:$C,'P&amp;L Overview'!$B30)</f>
        <v>12.70407</v>
      </c>
      <c r="AF30" s="54">
        <f>SUMIFS('Combined P&amp;L'!AH:AH,'Combined P&amp;L'!$C:$C,'P&amp;L Overview'!$B30)</f>
        <v>14.698840000000001</v>
      </c>
      <c r="AG30" s="54">
        <f>SUMIFS('Combined P&amp;L'!AI:AI,'Combined P&amp;L'!$C:$C,'P&amp;L Overview'!$B30)</f>
        <v>15.543059999999999</v>
      </c>
      <c r="AH30" s="54">
        <f>SUMIFS('Combined P&amp;L'!AJ:AJ,'Combined P&amp;L'!$C:$C,'P&amp;L Overview'!$B30)</f>
        <v>14.34361</v>
      </c>
      <c r="AI30" s="54">
        <f>SUMIFS('Combined P&amp;L'!AK:AK,'Combined P&amp;L'!$C:$C,'P&amp;L Overview'!$B30)</f>
        <v>20.930520000000001</v>
      </c>
      <c r="AJ30" s="54">
        <f>SUMIFS('Combined P&amp;L'!AL:AL,'Combined P&amp;L'!$C:$C,'P&amp;L Overview'!$B30)</f>
        <v>16.553939999999997</v>
      </c>
      <c r="AK30" s="54">
        <f>SUMIFS('Combined P&amp;L'!AM:AM,'Combined P&amp;L'!$C:$C,'P&amp;L Overview'!$B30)</f>
        <v>11.52661</v>
      </c>
      <c r="AL30" s="54">
        <f>SUMIFS('Combined P&amp;L'!AN:AN,'Combined P&amp;L'!$C:$C,'P&amp;L Overview'!$B30)</f>
        <v>14.938829999999999</v>
      </c>
      <c r="AM30" s="54">
        <f>SUMIFS('Combined P&amp;L'!AO:AO,'Combined P&amp;L'!$C:$C,'P&amp;L Overview'!$B30)</f>
        <v>15.58352</v>
      </c>
      <c r="AN30" s="54">
        <f>SUMIFS('Combined P&amp;L'!AP:AP,'Combined P&amp;L'!$C:$C,'P&amp;L Overview'!$B30)</f>
        <v>19.603400000000001</v>
      </c>
      <c r="AO30" s="54">
        <f>SUMIFS('Combined P&amp;L'!AQ:AQ,'Combined P&amp;L'!$C:$C,'P&amp;L Overview'!$B30)</f>
        <v>16.644569999999998</v>
      </c>
      <c r="AP30" s="54">
        <f>SUMIFS('Combined P&amp;L'!AR:AR,'Combined P&amp;L'!$C:$C,'P&amp;L Overview'!$B30)</f>
        <v>16.429119999999998</v>
      </c>
    </row>
    <row r="31" spans="2:42" s="14" customFormat="1" x14ac:dyDescent="0.2">
      <c r="B31" s="57" t="s">
        <v>279</v>
      </c>
      <c r="C31" s="24">
        <f>SUMIFS($L31:$AP31,$L$5:$AP$5,"&gt;"&amp;C$42,$L$5:$AP$5,"&lt;"&amp;C$43)</f>
        <v>0</v>
      </c>
      <c r="D31" s="24">
        <f>SUMIFS($L31:$AP31,$L$5:$AP$5,"&gt;"&amp;D$42,$L$5:$AP$5,"&lt;"&amp;D$43)</f>
        <v>90.66704</v>
      </c>
      <c r="E31" s="24"/>
      <c r="F31" s="24">
        <f>SUMIFS($L31:$AP31,$L$5:$AP$5,"&gt;"&amp;F$42,$L$5:$AP$5,"&lt;"&amp;F$43)</f>
        <v>45.466120000000004</v>
      </c>
      <c r="G31" s="24">
        <f>SUMIFS($L31:$AP31,$L$5:$AP$5,"&gt;"&amp;G$42,$L$5:$AP$5,"&lt;"&amp;G$43)</f>
        <v>63.143019999999993</v>
      </c>
      <c r="H31" s="24"/>
      <c r="I31" s="24">
        <f>SUMIFS($L31:$AP31,$L$5:$AP$5,"&gt;"&amp;I$42,$L$5:$AP$5,"&lt;"&amp;I$43)</f>
        <v>35.943250000000006</v>
      </c>
      <c r="J31" s="24">
        <f>SUMIFS($L31:$AP31,$L$5:$AP$5,"&gt;"&amp;J$42,$L$5:$AP$5,"&lt;"&amp;J$43)</f>
        <v>108.34394</v>
      </c>
      <c r="K31" s="53"/>
      <c r="L31" s="54">
        <f>SUMIFS('Combined P&amp;L'!N:N,'Combined P&amp;L'!$C:$C,'P&amp;L Overview'!$B31)</f>
        <v>0</v>
      </c>
      <c r="M31" s="54">
        <f>SUMIFS('Combined P&amp;L'!O:O,'Combined P&amp;L'!$C:$C,'P&amp;L Overview'!$B31)</f>
        <v>0</v>
      </c>
      <c r="N31" s="54">
        <f>SUMIFS('Combined P&amp;L'!P:P,'Combined P&amp;L'!$C:$C,'P&amp;L Overview'!$B31)</f>
        <v>0</v>
      </c>
      <c r="O31" s="54">
        <f>SUMIFS('Combined P&amp;L'!Q:Q,'Combined P&amp;L'!$C:$C,'P&amp;L Overview'!$B31)</f>
        <v>0</v>
      </c>
      <c r="P31" s="54">
        <f>SUMIFS('Combined P&amp;L'!R:R,'Combined P&amp;L'!$C:$C,'P&amp;L Overview'!$B31)</f>
        <v>0</v>
      </c>
      <c r="Q31" s="54">
        <f>SUMIFS('Combined P&amp;L'!S:S,'Combined P&amp;L'!$C:$C,'P&amp;L Overview'!$B31)</f>
        <v>0</v>
      </c>
      <c r="R31" s="54">
        <f>SUMIFS('Combined P&amp;L'!T:T,'Combined P&amp;L'!$C:$C,'P&amp;L Overview'!$B31)</f>
        <v>0</v>
      </c>
      <c r="S31" s="54">
        <f>SUMIFS('Combined P&amp;L'!U:U,'Combined P&amp;L'!$C:$C,'P&amp;L Overview'!$B31)</f>
        <v>0</v>
      </c>
      <c r="T31" s="54">
        <f>SUMIFS('Combined P&amp;L'!V:V,'Combined P&amp;L'!$C:$C,'P&amp;L Overview'!$B31)</f>
        <v>0</v>
      </c>
      <c r="U31" s="54">
        <f>SUMIFS('Combined P&amp;L'!W:W,'Combined P&amp;L'!$C:$C,'P&amp;L Overview'!$B31)</f>
        <v>0</v>
      </c>
      <c r="V31" s="54">
        <f>SUMIFS('Combined P&amp;L'!X:X,'Combined P&amp;L'!$C:$C,'P&amp;L Overview'!$B31)</f>
        <v>0</v>
      </c>
      <c r="W31" s="54">
        <f>SUMIFS('Combined P&amp;L'!Y:Y,'Combined P&amp;L'!$C:$C,'P&amp;L Overview'!$B31)</f>
        <v>0</v>
      </c>
      <c r="X31" s="54">
        <f>SUMIFS('Combined P&amp;L'!Z:Z,'Combined P&amp;L'!$C:$C,'P&amp;L Overview'!$B31)</f>
        <v>0</v>
      </c>
      <c r="Y31" s="54">
        <f>SUMIFS('Combined P&amp;L'!AA:AA,'Combined P&amp;L'!$C:$C,'P&amp;L Overview'!$B31)</f>
        <v>0</v>
      </c>
      <c r="Z31" s="54">
        <f>SUMIFS('Combined P&amp;L'!AB:AB,'Combined P&amp;L'!$C:$C,'P&amp;L Overview'!$B31)</f>
        <v>8.90639</v>
      </c>
      <c r="AA31" s="54">
        <f>SUMIFS('Combined P&amp;L'!AC:AC,'Combined P&amp;L'!$C:$C,'P&amp;L Overview'!$B31)</f>
        <v>9.2332299999999989</v>
      </c>
      <c r="AB31" s="54">
        <f>SUMIFS('Combined P&amp;L'!AD:AD,'Combined P&amp;L'!$C:$C,'P&amp;L Overview'!$B31)</f>
        <v>9.1088400000000007</v>
      </c>
      <c r="AC31" s="54">
        <f>SUMIFS('Combined P&amp;L'!AE:AE,'Combined P&amp;L'!$C:$C,'P&amp;L Overview'!$B31)</f>
        <v>8.6947900000000011</v>
      </c>
      <c r="AD31" s="54">
        <f>SUMIFS('Combined P&amp;L'!AF:AF,'Combined P&amp;L'!$C:$C,'P&amp;L Overview'!$B31)</f>
        <v>9.5228700000000011</v>
      </c>
      <c r="AE31" s="54">
        <f>SUMIFS('Combined P&amp;L'!AG:AG,'Combined P&amp;L'!$C:$C,'P&amp;L Overview'!$B31)</f>
        <v>8.6948100000000004</v>
      </c>
      <c r="AF31" s="54">
        <f>SUMIFS('Combined P&amp;L'!AH:AH,'Combined P&amp;L'!$C:$C,'P&amp;L Overview'!$B31)</f>
        <v>9.1088400000000007</v>
      </c>
      <c r="AG31" s="54">
        <f>SUMIFS('Combined P&amp;L'!AI:AI,'Combined P&amp;L'!$C:$C,'P&amp;L Overview'!$B31)</f>
        <v>9.5228700000000011</v>
      </c>
      <c r="AH31" s="54">
        <f>SUMIFS('Combined P&amp;L'!AJ:AJ,'Combined P&amp;L'!$C:$C,'P&amp;L Overview'!$B31)</f>
        <v>8.2807600000000008</v>
      </c>
      <c r="AI31" s="54">
        <f>SUMIFS('Combined P&amp;L'!AK:AK,'Combined P&amp;L'!$C:$C,'P&amp;L Overview'!$B31)</f>
        <v>9.5936399999999988</v>
      </c>
      <c r="AJ31" s="54">
        <f>SUMIFS('Combined P&amp;L'!AL:AL,'Combined P&amp;L'!$C:$C,'P&amp;L Overview'!$B31)</f>
        <v>9.276209999999999</v>
      </c>
      <c r="AK31" s="54">
        <f>SUMIFS('Combined P&amp;L'!AM:AM,'Combined P&amp;L'!$C:$C,'P&amp;L Overview'!$B31)</f>
        <v>8.3226299999999984</v>
      </c>
      <c r="AL31" s="54">
        <f>SUMIFS('Combined P&amp;L'!AN:AN,'Combined P&amp;L'!$C:$C,'P&amp;L Overview'!$B31)</f>
        <v>9.1088299999999993</v>
      </c>
      <c r="AM31" s="54">
        <f>SUMIFS('Combined P&amp;L'!AO:AO,'Combined P&amp;L'!$C:$C,'P&amp;L Overview'!$B31)</f>
        <v>9.1088299999999993</v>
      </c>
      <c r="AN31" s="54">
        <f>SUMIFS('Combined P&amp;L'!AP:AP,'Combined P&amp;L'!$C:$C,'P&amp;L Overview'!$B31)</f>
        <v>8.6948100000000004</v>
      </c>
      <c r="AO31" s="54">
        <f>SUMIFS('Combined P&amp;L'!AQ:AQ,'Combined P&amp;L'!$C:$C,'P&amp;L Overview'!$B31)</f>
        <v>9.1088400000000007</v>
      </c>
      <c r="AP31" s="54">
        <f>SUMIFS('Combined P&amp;L'!AR:AR,'Combined P&amp;L'!$C:$C,'P&amp;L Overview'!$B31)</f>
        <v>9.5228700000000011</v>
      </c>
    </row>
    <row r="32" spans="2:42" s="14" customFormat="1" x14ac:dyDescent="0.2">
      <c r="B32" s="57" t="s">
        <v>280</v>
      </c>
      <c r="C32" s="24">
        <f>SUMIFS($L32:$AP32,$L$5:$AP$5,"&gt;"&amp;C$42,$L$5:$AP$5,"&lt;"&amp;C$43)</f>
        <v>0</v>
      </c>
      <c r="D32" s="24">
        <f>SUMIFS($L32:$AP32,$L$5:$AP$5,"&gt;"&amp;D$42,$L$5:$AP$5,"&lt;"&amp;D$43)</f>
        <v>19.149630000000002</v>
      </c>
      <c r="E32" s="24"/>
      <c r="F32" s="24">
        <f>SUMIFS($L32:$AP32,$L$5:$AP$5,"&gt;"&amp;F$42,$L$5:$AP$5,"&lt;"&amp;F$43)</f>
        <v>3.09945</v>
      </c>
      <c r="G32" s="24">
        <f>SUMIFS($L32:$AP32,$L$5:$AP$5,"&gt;"&amp;G$42,$L$5:$AP$5,"&lt;"&amp;G$43)</f>
        <v>51.941310000000001</v>
      </c>
      <c r="H32" s="24"/>
      <c r="I32" s="24">
        <f>SUMIFS($L32:$AP32,$L$5:$AP$5,"&gt;"&amp;I$42,$L$5:$AP$5,"&lt;"&amp;I$43)</f>
        <v>1.4667999999999999</v>
      </c>
      <c r="J32" s="24">
        <f>SUMIFS($L32:$AP32,$L$5:$AP$5,"&gt;"&amp;J$42,$L$5:$AP$5,"&lt;"&amp;J$43)</f>
        <v>61.428380000000004</v>
      </c>
      <c r="K32" s="53"/>
      <c r="L32" s="54">
        <f>SUMIFS('Combined P&amp;L'!N:N,'Combined P&amp;L'!$C:$C,'P&amp;L Overview'!$B32)</f>
        <v>0</v>
      </c>
      <c r="M32" s="54">
        <f>SUMIFS('Combined P&amp;L'!O:O,'Combined P&amp;L'!$C:$C,'P&amp;L Overview'!$B32)</f>
        <v>0</v>
      </c>
      <c r="N32" s="54">
        <f>SUMIFS('Combined P&amp;L'!P:P,'Combined P&amp;L'!$C:$C,'P&amp;L Overview'!$B32)</f>
        <v>0</v>
      </c>
      <c r="O32" s="54">
        <f>SUMIFS('Combined P&amp;L'!Q:Q,'Combined P&amp;L'!$C:$C,'P&amp;L Overview'!$B32)</f>
        <v>0</v>
      </c>
      <c r="P32" s="54">
        <f>SUMIFS('Combined P&amp;L'!R:R,'Combined P&amp;L'!$C:$C,'P&amp;L Overview'!$B32)</f>
        <v>0</v>
      </c>
      <c r="Q32" s="54">
        <f>SUMIFS('Combined P&amp;L'!S:S,'Combined P&amp;L'!$C:$C,'P&amp;L Overview'!$B32)</f>
        <v>0</v>
      </c>
      <c r="R32" s="54">
        <f>SUMIFS('Combined P&amp;L'!T:T,'Combined P&amp;L'!$C:$C,'P&amp;L Overview'!$B32)</f>
        <v>0</v>
      </c>
      <c r="S32" s="54">
        <f>SUMIFS('Combined P&amp;L'!U:U,'Combined P&amp;L'!$C:$C,'P&amp;L Overview'!$B32)</f>
        <v>0</v>
      </c>
      <c r="T32" s="54">
        <f>SUMIFS('Combined P&amp;L'!V:V,'Combined P&amp;L'!$C:$C,'P&amp;L Overview'!$B32)</f>
        <v>0</v>
      </c>
      <c r="U32" s="54">
        <f>SUMIFS('Combined P&amp;L'!W:W,'Combined P&amp;L'!$C:$C,'P&amp;L Overview'!$B32)</f>
        <v>0</v>
      </c>
      <c r="V32" s="54">
        <f>SUMIFS('Combined P&amp;L'!X:X,'Combined P&amp;L'!$C:$C,'P&amp;L Overview'!$B32)</f>
        <v>0</v>
      </c>
      <c r="W32" s="54">
        <f>SUMIFS('Combined P&amp;L'!Y:Y,'Combined P&amp;L'!$C:$C,'P&amp;L Overview'!$B32)</f>
        <v>0</v>
      </c>
      <c r="X32" s="54">
        <f>SUMIFS('Combined P&amp;L'!Z:Z,'Combined P&amp;L'!$C:$C,'P&amp;L Overview'!$B32)</f>
        <v>0</v>
      </c>
      <c r="Y32" s="54">
        <f>SUMIFS('Combined P&amp;L'!AA:AA,'Combined P&amp;L'!$C:$C,'P&amp;L Overview'!$B32)</f>
        <v>0</v>
      </c>
      <c r="Z32" s="54">
        <f>SUMIFS('Combined P&amp;L'!AB:AB,'Combined P&amp;L'!$C:$C,'P&amp;L Overview'!$B32)</f>
        <v>0</v>
      </c>
      <c r="AA32" s="54">
        <f>SUMIFS('Combined P&amp;L'!AC:AC,'Combined P&amp;L'!$C:$C,'P&amp;L Overview'!$B32)</f>
        <v>0</v>
      </c>
      <c r="AB32" s="54">
        <f>SUMIFS('Combined P&amp;L'!AD:AD,'Combined P&amp;L'!$C:$C,'P&amp;L Overview'!$B32)</f>
        <v>0</v>
      </c>
      <c r="AC32" s="54">
        <f>SUMIFS('Combined P&amp;L'!AE:AE,'Combined P&amp;L'!$C:$C,'P&amp;L Overview'!$B32)</f>
        <v>1.4667999999999999</v>
      </c>
      <c r="AD32" s="54">
        <f>SUMIFS('Combined P&amp;L'!AF:AF,'Combined P&amp;L'!$C:$C,'P&amp;L Overview'!$B32)</f>
        <v>1.6326500000000002</v>
      </c>
      <c r="AE32" s="54">
        <f>SUMIFS('Combined P&amp;L'!AG:AG,'Combined P&amp;L'!$C:$C,'P&amp;L Overview'!$B32)</f>
        <v>1.7180499999999999</v>
      </c>
      <c r="AF32" s="54">
        <f>SUMIFS('Combined P&amp;L'!AH:AH,'Combined P&amp;L'!$C:$C,'P&amp;L Overview'!$B32)</f>
        <v>1.9145999999999999</v>
      </c>
      <c r="AG32" s="54">
        <f>SUMIFS('Combined P&amp;L'!AI:AI,'Combined P&amp;L'!$C:$C,'P&amp;L Overview'!$B32)</f>
        <v>2.3529</v>
      </c>
      <c r="AH32" s="54">
        <f>SUMIFS('Combined P&amp;L'!AJ:AJ,'Combined P&amp;L'!$C:$C,'P&amp;L Overview'!$B32)</f>
        <v>2.2452399999999999</v>
      </c>
      <c r="AI32" s="54">
        <f>SUMIFS('Combined P&amp;L'!AK:AK,'Combined P&amp;L'!$C:$C,'P&amp;L Overview'!$B32)</f>
        <v>7.8193900000000003</v>
      </c>
      <c r="AJ32" s="54">
        <f>SUMIFS('Combined P&amp;L'!AL:AL,'Combined P&amp;L'!$C:$C,'P&amp;L Overview'!$B32)</f>
        <v>5.6533999999999995</v>
      </c>
      <c r="AK32" s="54">
        <f>SUMIFS('Combined P&amp;L'!AM:AM,'Combined P&amp;L'!$C:$C,'P&amp;L Overview'!$B32)</f>
        <v>5.9568900000000005</v>
      </c>
      <c r="AL32" s="54">
        <f>SUMIFS('Combined P&amp;L'!AN:AN,'Combined P&amp;L'!$C:$C,'P&amp;L Overview'!$B32)</f>
        <v>7.7827999999999999</v>
      </c>
      <c r="AM32" s="54">
        <f>SUMIFS('Combined P&amp;L'!AO:AO,'Combined P&amp;L'!$C:$C,'P&amp;L Overview'!$B32)</f>
        <v>8.1370100000000001</v>
      </c>
      <c r="AN32" s="54">
        <f>SUMIFS('Combined P&amp;L'!AP:AP,'Combined P&amp;L'!$C:$C,'P&amp;L Overview'!$B32)</f>
        <v>7.8082500000000001</v>
      </c>
      <c r="AO32" s="54">
        <f>SUMIFS('Combined P&amp;L'!AQ:AQ,'Combined P&amp;L'!$C:$C,'P&amp;L Overview'!$B32)</f>
        <v>8.4072000000000013</v>
      </c>
      <c r="AP32" s="54">
        <f>SUMIFS('Combined P&amp;L'!AR:AR,'Combined P&amp;L'!$C:$C,'P&amp;L Overview'!$B32)</f>
        <v>8.1957599999999999</v>
      </c>
    </row>
    <row r="33" spans="2:42" x14ac:dyDescent="0.2">
      <c r="B33" s="58" t="s">
        <v>37</v>
      </c>
      <c r="C33" s="24">
        <f>SUMIFS($L33:$AP33,$L$5:$AP$5,"&gt;"&amp;C$42,$L$5:$AP$5,"&lt;"&amp;C$43)</f>
        <v>1.1133499999999998</v>
      </c>
      <c r="D33" s="24">
        <f>SUMIFS($L33:$AP33,$L$5:$AP$5,"&gt;"&amp;D$42,$L$5:$AP$5,"&lt;"&amp;D$43)</f>
        <v>29.564150000000001</v>
      </c>
      <c r="E33" s="24"/>
      <c r="F33" s="24">
        <f>SUMIFS($L33:$AP33,$L$5:$AP$5,"&gt;"&amp;F$42,$L$5:$AP$5,"&lt;"&amp;F$43)</f>
        <v>14.275850000000002</v>
      </c>
      <c r="G33" s="24">
        <f>SUMIFS($L33:$AP33,$L$5:$AP$5,"&gt;"&amp;G$42,$L$5:$AP$5,"&lt;"&amp;G$43)</f>
        <v>42.085049999999995</v>
      </c>
      <c r="H33" s="24"/>
      <c r="I33" s="24">
        <f>SUMIFS($L33:$AP33,$L$5:$AP$5,"&gt;"&amp;I$42,$L$5:$AP$5,"&lt;"&amp;I$43)</f>
        <v>13.21003</v>
      </c>
      <c r="J33" s="24">
        <f>SUMIFS($L33:$AP33,$L$5:$AP$5,"&gt;"&amp;J$42,$L$5:$AP$5,"&lt;"&amp;J$43)</f>
        <v>53.876419999999996</v>
      </c>
      <c r="K33" s="53"/>
      <c r="L33" s="54">
        <f>SUMIFS('Combined P&amp;L'!N:N,'Combined P&amp;L'!$C:$C,'P&amp;L Overview'!$B33)</f>
        <v>0</v>
      </c>
      <c r="M33" s="54">
        <f>SUMIFS('Combined P&amp;L'!O:O,'Combined P&amp;L'!$C:$C,'P&amp;L Overview'!$B33)</f>
        <v>0</v>
      </c>
      <c r="N33" s="54">
        <f>SUMIFS('Combined P&amp;L'!P:P,'Combined P&amp;L'!$C:$C,'P&amp;L Overview'!$B33)</f>
        <v>0</v>
      </c>
      <c r="O33" s="54">
        <f>SUMIFS('Combined P&amp;L'!Q:Q,'Combined P&amp;L'!$C:$C,'P&amp;L Overview'!$B33)</f>
        <v>0</v>
      </c>
      <c r="P33" s="54">
        <f>SUMIFS('Combined P&amp;L'!R:R,'Combined P&amp;L'!$C:$C,'P&amp;L Overview'!$B33)</f>
        <v>0</v>
      </c>
      <c r="Q33" s="54">
        <f>SUMIFS('Combined P&amp;L'!S:S,'Combined P&amp;L'!$C:$C,'P&amp;L Overview'!$B33)</f>
        <v>0</v>
      </c>
      <c r="R33" s="54">
        <f>SUMIFS('Combined P&amp;L'!T:T,'Combined P&amp;L'!$C:$C,'P&amp;L Overview'!$B33)</f>
        <v>0</v>
      </c>
      <c r="S33" s="54">
        <f>SUMIFS('Combined P&amp;L'!U:U,'Combined P&amp;L'!$C:$C,'P&amp;L Overview'!$B33)</f>
        <v>0</v>
      </c>
      <c r="T33" s="54">
        <f>SUMIFS('Combined P&amp;L'!V:V,'Combined P&amp;L'!$C:$C,'P&amp;L Overview'!$B33)</f>
        <v>0</v>
      </c>
      <c r="U33" s="54">
        <f>SUMIFS('Combined P&amp;L'!W:W,'Combined P&amp;L'!$C:$C,'P&amp;L Overview'!$B33)</f>
        <v>0</v>
      </c>
      <c r="V33" s="54">
        <f>SUMIFS('Combined P&amp;L'!X:X,'Combined P&amp;L'!$C:$C,'P&amp;L Overview'!$B33)</f>
        <v>0</v>
      </c>
      <c r="W33" s="54">
        <f>SUMIFS('Combined P&amp;L'!Y:Y,'Combined P&amp;L'!$C:$C,'P&amp;L Overview'!$B33)</f>
        <v>1.1133499999999998</v>
      </c>
      <c r="X33" s="54">
        <f>SUMIFS('Combined P&amp;L'!Z:Z,'Combined P&amp;L'!$C:$C,'P&amp;L Overview'!$B33)</f>
        <v>2.1791700000000001</v>
      </c>
      <c r="Y33" s="54">
        <f>SUMIFS('Combined P&amp;L'!AA:AA,'Combined P&amp;L'!$C:$C,'P&amp;L Overview'!$B33)</f>
        <v>1.82504</v>
      </c>
      <c r="Z33" s="54">
        <f>SUMIFS('Combined P&amp;L'!AB:AB,'Combined P&amp;L'!$C:$C,'P&amp;L Overview'!$B33)</f>
        <v>1.9785299999999999</v>
      </c>
      <c r="AA33" s="54">
        <f>SUMIFS('Combined P&amp;L'!AC:AC,'Combined P&amp;L'!$C:$C,'P&amp;L Overview'!$B33)</f>
        <v>2.0621300000000002</v>
      </c>
      <c r="AB33" s="54">
        <f>SUMIFS('Combined P&amp;L'!AD:AD,'Combined P&amp;L'!$C:$C,'P&amp;L Overview'!$B33)</f>
        <v>2.0621300000000002</v>
      </c>
      <c r="AC33" s="54">
        <f>SUMIFS('Combined P&amp;L'!AE:AE,'Combined P&amp;L'!$C:$C,'P&amp;L Overview'!$B33)</f>
        <v>1.9896800000000001</v>
      </c>
      <c r="AD33" s="54">
        <f>SUMIFS('Combined P&amp;L'!AF:AF,'Combined P&amp;L'!$C:$C,'P&amp;L Overview'!$B33)</f>
        <v>2.1791700000000001</v>
      </c>
      <c r="AE33" s="54">
        <f>SUMIFS('Combined P&amp;L'!AG:AG,'Combined P&amp;L'!$C:$C,'P&amp;L Overview'!$B33)</f>
        <v>2.1229299999999998</v>
      </c>
      <c r="AF33" s="54">
        <f>SUMIFS('Combined P&amp;L'!AH:AH,'Combined P&amp;L'!$C:$C,'P&amp;L Overview'!$B33)</f>
        <v>3.1041999999999996</v>
      </c>
      <c r="AG33" s="54">
        <f>SUMIFS('Combined P&amp;L'!AI:AI,'Combined P&amp;L'!$C:$C,'P&amp;L Overview'!$B33)</f>
        <v>3.2713700000000001</v>
      </c>
      <c r="AH33" s="54">
        <f>SUMIFS('Combined P&amp;L'!AJ:AJ,'Combined P&amp;L'!$C:$C,'P&amp;L Overview'!$B33)</f>
        <v>3.6394699999999998</v>
      </c>
      <c r="AI33" s="54">
        <f>SUMIFS('Combined P&amp;L'!AK:AK,'Combined P&amp;L'!$C:$C,'P&amp;L Overview'!$B33)</f>
        <v>3.1503299999999999</v>
      </c>
      <c r="AJ33" s="54">
        <f>SUMIFS('Combined P&amp;L'!AL:AL,'Combined P&amp;L'!$C:$C,'P&amp;L Overview'!$B33)</f>
        <v>1.69116</v>
      </c>
      <c r="AK33" s="54">
        <f>SUMIFS('Combined P&amp;L'!AM:AM,'Combined P&amp;L'!$C:$C,'P&amp;L Overview'!$B33)</f>
        <v>5.5491899999999994</v>
      </c>
      <c r="AL33" s="54">
        <f>SUMIFS('Combined P&amp;L'!AN:AN,'Combined P&amp;L'!$C:$C,'P&amp;L Overview'!$B33)</f>
        <v>7.1998999999999995</v>
      </c>
      <c r="AM33" s="54">
        <f>SUMIFS('Combined P&amp;L'!AO:AO,'Combined P&amp;L'!$C:$C,'P&amp;L Overview'!$B33)</f>
        <v>8.1927000000000003</v>
      </c>
      <c r="AN33" s="54">
        <f>SUMIFS('Combined P&amp;L'!AP:AP,'Combined P&amp;L'!$C:$C,'P&amp;L Overview'!$B33)</f>
        <v>8.2833500000000004</v>
      </c>
      <c r="AO33" s="54">
        <f>SUMIFS('Combined P&amp;L'!AQ:AQ,'Combined P&amp;L'!$C:$C,'P&amp;L Overview'!$B33)</f>
        <v>5.4926499999999994</v>
      </c>
      <c r="AP33" s="54">
        <f>SUMIFS('Combined P&amp;L'!AR:AR,'Combined P&amp;L'!$C:$C,'P&amp;L Overview'!$B33)</f>
        <v>5.6760999999999999</v>
      </c>
    </row>
    <row r="34" spans="2:42" x14ac:dyDescent="0.2">
      <c r="B34" s="58" t="s">
        <v>39</v>
      </c>
      <c r="C34" s="24">
        <f>SUMIFS($L34:$AP34,$L$5:$AP$5,"&gt;"&amp;C$42,$L$5:$AP$5,"&lt;"&amp;C$43)</f>
        <v>0</v>
      </c>
      <c r="D34" s="24">
        <f>SUMIFS($L34:$AP34,$L$5:$AP$5,"&gt;"&amp;D$42,$L$5:$AP$5,"&lt;"&amp;D$43)</f>
        <v>0</v>
      </c>
      <c r="E34" s="24"/>
      <c r="F34" s="24">
        <f>SUMIFS($L34:$AP34,$L$5:$AP$5,"&gt;"&amp;F$42,$L$5:$AP$5,"&lt;"&amp;F$43)</f>
        <v>0</v>
      </c>
      <c r="G34" s="24">
        <f>SUMIFS($L34:$AP34,$L$5:$AP$5,"&gt;"&amp;G$42,$L$5:$AP$5,"&lt;"&amp;G$43)</f>
        <v>7.9949999999999992</v>
      </c>
      <c r="H34" s="24"/>
      <c r="I34" s="24">
        <f>SUMIFS($L34:$AP34,$L$5:$AP$5,"&gt;"&amp;I$42,$L$5:$AP$5,"&lt;"&amp;I$43)</f>
        <v>0</v>
      </c>
      <c r="J34" s="24">
        <f>SUMIFS($L34:$AP34,$L$5:$AP$5,"&gt;"&amp;J$42,$L$5:$AP$5,"&lt;"&amp;J$43)</f>
        <v>5.2382299999999997</v>
      </c>
      <c r="K34" s="53"/>
      <c r="L34" s="54">
        <f>SUMIFS('Combined P&amp;L'!N:N,'Combined P&amp;L'!$C:$C,'P&amp;L Overview'!$B34)</f>
        <v>0</v>
      </c>
      <c r="M34" s="54">
        <f>SUMIFS('Combined P&amp;L'!O:O,'Combined P&amp;L'!$C:$C,'P&amp;L Overview'!$B34)</f>
        <v>0</v>
      </c>
      <c r="N34" s="54">
        <f>SUMIFS('Combined P&amp;L'!P:P,'Combined P&amp;L'!$C:$C,'P&amp;L Overview'!$B34)</f>
        <v>0</v>
      </c>
      <c r="O34" s="54">
        <f>SUMIFS('Combined P&amp;L'!Q:Q,'Combined P&amp;L'!$C:$C,'P&amp;L Overview'!$B34)</f>
        <v>0</v>
      </c>
      <c r="P34" s="54">
        <f>SUMIFS('Combined P&amp;L'!R:R,'Combined P&amp;L'!$C:$C,'P&amp;L Overview'!$B34)</f>
        <v>0</v>
      </c>
      <c r="Q34" s="54">
        <f>SUMIFS('Combined P&amp;L'!S:S,'Combined P&amp;L'!$C:$C,'P&amp;L Overview'!$B34)</f>
        <v>0</v>
      </c>
      <c r="R34" s="54">
        <f>SUMIFS('Combined P&amp;L'!T:T,'Combined P&amp;L'!$C:$C,'P&amp;L Overview'!$B34)</f>
        <v>0</v>
      </c>
      <c r="S34" s="54">
        <f>SUMIFS('Combined P&amp;L'!U:U,'Combined P&amp;L'!$C:$C,'P&amp;L Overview'!$B34)</f>
        <v>0</v>
      </c>
      <c r="T34" s="54">
        <f>SUMIFS('Combined P&amp;L'!V:V,'Combined P&amp;L'!$C:$C,'P&amp;L Overview'!$B34)</f>
        <v>0</v>
      </c>
      <c r="U34" s="54">
        <f>SUMIFS('Combined P&amp;L'!W:W,'Combined P&amp;L'!$C:$C,'P&amp;L Overview'!$B34)</f>
        <v>0</v>
      </c>
      <c r="V34" s="54">
        <f>SUMIFS('Combined P&amp;L'!X:X,'Combined P&amp;L'!$C:$C,'P&amp;L Overview'!$B34)</f>
        <v>0</v>
      </c>
      <c r="W34" s="54">
        <f>SUMIFS('Combined P&amp;L'!Y:Y,'Combined P&amp;L'!$C:$C,'P&amp;L Overview'!$B34)</f>
        <v>0</v>
      </c>
      <c r="X34" s="54">
        <f>SUMIFS('Combined P&amp;L'!Z:Z,'Combined P&amp;L'!$C:$C,'P&amp;L Overview'!$B34)</f>
        <v>0</v>
      </c>
      <c r="Y34" s="54">
        <f>SUMIFS('Combined P&amp;L'!AA:AA,'Combined P&amp;L'!$C:$C,'P&amp;L Overview'!$B34)</f>
        <v>0</v>
      </c>
      <c r="Z34" s="54">
        <f>SUMIFS('Combined P&amp;L'!AB:AB,'Combined P&amp;L'!$C:$C,'P&amp;L Overview'!$B34)</f>
        <v>0</v>
      </c>
      <c r="AA34" s="54">
        <f>SUMIFS('Combined P&amp;L'!AC:AC,'Combined P&amp;L'!$C:$C,'P&amp;L Overview'!$B34)</f>
        <v>0</v>
      </c>
      <c r="AB34" s="54">
        <f>SUMIFS('Combined P&amp;L'!AD:AD,'Combined P&amp;L'!$C:$C,'P&amp;L Overview'!$B34)</f>
        <v>0</v>
      </c>
      <c r="AC34" s="54">
        <f>SUMIFS('Combined P&amp;L'!AE:AE,'Combined P&amp;L'!$C:$C,'P&amp;L Overview'!$B34)</f>
        <v>0</v>
      </c>
      <c r="AD34" s="54">
        <f>SUMIFS('Combined P&amp;L'!AF:AF,'Combined P&amp;L'!$C:$C,'P&amp;L Overview'!$B34)</f>
        <v>0</v>
      </c>
      <c r="AE34" s="54">
        <f>SUMIFS('Combined P&amp;L'!AG:AG,'Combined P&amp;L'!$C:$C,'P&amp;L Overview'!$B34)</f>
        <v>0</v>
      </c>
      <c r="AF34" s="54">
        <f>SUMIFS('Combined P&amp;L'!AH:AH,'Combined P&amp;L'!$C:$C,'P&amp;L Overview'!$B34)</f>
        <v>0</v>
      </c>
      <c r="AG34" s="54">
        <f>SUMIFS('Combined P&amp;L'!AI:AI,'Combined P&amp;L'!$C:$C,'P&amp;L Overview'!$B34)</f>
        <v>0</v>
      </c>
      <c r="AH34" s="54">
        <f>SUMIFS('Combined P&amp;L'!AJ:AJ,'Combined P&amp;L'!$C:$C,'P&amp;L Overview'!$B34)</f>
        <v>0</v>
      </c>
      <c r="AI34" s="54">
        <f>SUMIFS('Combined P&amp;L'!AK:AK,'Combined P&amp;L'!$C:$C,'P&amp;L Overview'!$B34)</f>
        <v>0</v>
      </c>
      <c r="AJ34" s="54">
        <f>SUMIFS('Combined P&amp;L'!AL:AL,'Combined P&amp;L'!$C:$C,'P&amp;L Overview'!$B34)</f>
        <v>0</v>
      </c>
      <c r="AK34" s="54">
        <f>SUMIFS('Combined P&amp;L'!AM:AM,'Combined P&amp;L'!$C:$C,'P&amp;L Overview'!$B34)</f>
        <v>0</v>
      </c>
      <c r="AL34" s="54">
        <f>SUMIFS('Combined P&amp;L'!AN:AN,'Combined P&amp;L'!$C:$C,'P&amp;L Overview'!$B34)</f>
        <v>0</v>
      </c>
      <c r="AM34" s="54">
        <f>SUMIFS('Combined P&amp;L'!AO:AO,'Combined P&amp;L'!$C:$C,'P&amp;L Overview'!$B34)</f>
        <v>0</v>
      </c>
      <c r="AN34" s="54">
        <f>SUMIFS('Combined P&amp;L'!AP:AP,'Combined P&amp;L'!$C:$C,'P&amp;L Overview'!$B34)</f>
        <v>2.5170599999999999</v>
      </c>
      <c r="AO34" s="54">
        <f>SUMIFS('Combined P&amp;L'!AQ:AQ,'Combined P&amp;L'!$C:$C,'P&amp;L Overview'!$B34)</f>
        <v>2.7211699999999999</v>
      </c>
      <c r="AP34" s="54">
        <f>SUMIFS('Combined P&amp;L'!AR:AR,'Combined P&amp;L'!$C:$C,'P&amp;L Overview'!$B34)</f>
        <v>2.7567699999999999</v>
      </c>
    </row>
    <row r="37" spans="2:42" x14ac:dyDescent="0.2">
      <c r="C37" s="34"/>
      <c r="D37" s="36"/>
      <c r="E37" s="36"/>
      <c r="F37" s="36"/>
      <c r="G37" s="36"/>
      <c r="H37" s="36"/>
      <c r="I37" s="34"/>
      <c r="J37" s="36"/>
    </row>
    <row r="38" spans="2:42" x14ac:dyDescent="0.2">
      <c r="C38" s="35"/>
      <c r="D38" s="35"/>
      <c r="E38" s="35"/>
      <c r="F38" s="35"/>
      <c r="G38" s="35"/>
      <c r="H38" s="35"/>
      <c r="I38" s="35"/>
      <c r="J38" s="35"/>
    </row>
    <row r="42" spans="2:42" x14ac:dyDescent="0.2">
      <c r="C42" s="34">
        <v>45291</v>
      </c>
      <c r="D42" s="36">
        <f>C43</f>
        <v>45657</v>
      </c>
      <c r="E42" s="36"/>
      <c r="F42" s="34">
        <v>45657</v>
      </c>
      <c r="G42" s="34">
        <v>46022</v>
      </c>
      <c r="H42" s="34"/>
      <c r="I42" s="34">
        <v>45473</v>
      </c>
      <c r="J42" s="36">
        <f>I43</f>
        <v>45838</v>
      </c>
    </row>
    <row r="43" spans="2:42" x14ac:dyDescent="0.2">
      <c r="C43" s="35">
        <f>EOMONTH(C42,12)</f>
        <v>45657</v>
      </c>
      <c r="D43" s="35">
        <f>EOMONTH(D42,12)</f>
        <v>46022</v>
      </c>
      <c r="E43" s="35"/>
      <c r="F43" s="35">
        <v>45869</v>
      </c>
      <c r="G43" s="35">
        <f>EOMONTH(G42,12)</f>
        <v>46387</v>
      </c>
      <c r="H43" s="35"/>
      <c r="I43" s="35">
        <f>EOMONTH(I42,12)</f>
        <v>45838</v>
      </c>
      <c r="J43" s="35">
        <f>EOMONTH(J42,12)</f>
        <v>46203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0"/>
  <sheetViews>
    <sheetView showGridLines="0" tabSelected="1" zoomScale="145" zoomScaleNormal="145" workbookViewId="0"/>
  </sheetViews>
  <sheetFormatPr defaultRowHeight="12" x14ac:dyDescent="0.2"/>
  <cols>
    <col min="1" max="1" width="1.7109375" style="37" customWidth="1"/>
    <col min="2" max="2" width="29.5703125" style="37" customWidth="1"/>
    <col min="3" max="4" width="9.5703125" style="37" customWidth="1"/>
    <col min="5" max="5" width="0.85546875" style="37" customWidth="1"/>
    <col min="6" max="7" width="11" style="37" customWidth="1"/>
    <col min="8" max="8" width="0.85546875" style="37" customWidth="1"/>
    <col min="9" max="11" width="11" style="37" customWidth="1"/>
    <col min="12" max="12" width="0.85546875" style="37" customWidth="1"/>
    <col min="13" max="14" width="11" style="37" customWidth="1"/>
    <col min="15" max="15" width="0.85546875" style="37" customWidth="1"/>
    <col min="16" max="46" width="10.140625" style="37" customWidth="1"/>
    <col min="47" max="16384" width="9.140625" style="37"/>
  </cols>
  <sheetData>
    <row r="2" spans="2:46" ht="16.5" x14ac:dyDescent="0.25">
      <c r="B2" s="38" t="str">
        <f>+Cover!B24</f>
        <v>Keystone Bookkeepers</v>
      </c>
    </row>
    <row r="3" spans="2:46" x14ac:dyDescent="0.2">
      <c r="B3" s="39" t="s">
        <v>258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</row>
    <row r="5" spans="2:46" x14ac:dyDescent="0.2">
      <c r="B5" s="43" t="s">
        <v>281</v>
      </c>
      <c r="C5" s="44"/>
      <c r="D5" s="105" t="s">
        <v>289</v>
      </c>
      <c r="E5" s="106"/>
      <c r="F5" s="106"/>
      <c r="G5" s="106"/>
      <c r="H5" s="106"/>
      <c r="I5" s="106"/>
      <c r="J5" s="106"/>
      <c r="K5" s="106"/>
      <c r="L5" s="106"/>
      <c r="M5" s="106"/>
      <c r="N5" s="10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2:46" x14ac:dyDescent="0.2">
      <c r="B6" s="58" t="str">
        <f>+B71</f>
        <v>STR Subscription</v>
      </c>
      <c r="C6" s="47">
        <f>+AT71*12</f>
        <v>2410.0500000000002</v>
      </c>
      <c r="D6" s="107" t="s">
        <v>290</v>
      </c>
      <c r="E6" s="46"/>
      <c r="F6" s="91"/>
      <c r="G6" s="91"/>
      <c r="H6" s="46"/>
      <c r="I6" s="91"/>
      <c r="J6" s="91"/>
      <c r="K6" s="91"/>
      <c r="L6" s="91"/>
      <c r="M6" s="91"/>
      <c r="N6" s="91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</row>
    <row r="7" spans="2:46" x14ac:dyDescent="0.2">
      <c r="B7" s="58" t="str">
        <f t="shared" ref="B7" si="0">+B73</f>
        <v>SMB Subscription</v>
      </c>
      <c r="C7" s="84">
        <f>+AT73*12</f>
        <v>119.706</v>
      </c>
      <c r="D7" s="107" t="s">
        <v>290</v>
      </c>
      <c r="F7" s="85"/>
      <c r="G7" s="85"/>
      <c r="I7" s="85"/>
      <c r="J7" s="85"/>
      <c r="K7" s="85"/>
      <c r="L7" s="85"/>
      <c r="M7" s="85"/>
      <c r="N7" s="85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</row>
    <row r="8" spans="2:46" x14ac:dyDescent="0.2">
      <c r="B8" s="58" t="str">
        <f>+B72</f>
        <v>Occupancy Taxes</v>
      </c>
      <c r="C8" s="84">
        <f>+AT72*12</f>
        <v>192.82980000000001</v>
      </c>
      <c r="D8" s="107" t="s">
        <v>290</v>
      </c>
      <c r="F8" s="85"/>
      <c r="G8" s="85"/>
      <c r="I8" s="85"/>
      <c r="J8" s="85"/>
      <c r="K8" s="85"/>
      <c r="L8" s="85"/>
      <c r="M8" s="85"/>
      <c r="N8" s="85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</row>
    <row r="9" spans="2:46" x14ac:dyDescent="0.2">
      <c r="B9" s="58" t="str">
        <f>+B74</f>
        <v>Onboarding</v>
      </c>
      <c r="C9" s="84">
        <f>AVERAGE(AM74:AT74)*12</f>
        <v>103.5675</v>
      </c>
      <c r="D9" s="107" t="s">
        <v>291</v>
      </c>
      <c r="F9" s="85"/>
      <c r="G9" s="85"/>
      <c r="I9" s="85"/>
      <c r="J9" s="85"/>
      <c r="K9" s="85"/>
      <c r="L9" s="85"/>
      <c r="M9" s="85"/>
      <c r="N9" s="85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</row>
    <row r="10" spans="2:46" x14ac:dyDescent="0.2">
      <c r="B10" s="58" t="str">
        <f>+B76</f>
        <v>STR Bill Pay</v>
      </c>
      <c r="C10" s="84">
        <f>+AT76*12</f>
        <v>83.460000000000008</v>
      </c>
      <c r="D10" s="107" t="s">
        <v>290</v>
      </c>
      <c r="F10" s="85"/>
      <c r="G10" s="85"/>
      <c r="I10" s="85"/>
      <c r="J10" s="85"/>
      <c r="K10" s="85"/>
      <c r="L10" s="85"/>
      <c r="M10" s="85"/>
      <c r="N10" s="85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</row>
    <row r="11" spans="2:46" x14ac:dyDescent="0.2">
      <c r="B11" s="58" t="str">
        <f>+B75</f>
        <v>Topkey Subscription</v>
      </c>
      <c r="C11" s="84">
        <f>+AT75*12</f>
        <v>94.835999999999999</v>
      </c>
      <c r="D11" s="107" t="s">
        <v>290</v>
      </c>
      <c r="F11" s="85"/>
      <c r="G11" s="85"/>
      <c r="I11" s="85"/>
      <c r="J11" s="85"/>
      <c r="K11" s="85"/>
      <c r="L11" s="85"/>
      <c r="M11" s="85"/>
      <c r="N11" s="85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</row>
    <row r="12" spans="2:46" x14ac:dyDescent="0.2">
      <c r="B12" s="58" t="str">
        <f>+B77</f>
        <v>Controller Services</v>
      </c>
      <c r="C12" s="84">
        <f t="shared" ref="C12:C13" si="1">+AT77*12</f>
        <v>42</v>
      </c>
      <c r="D12" s="107" t="s">
        <v>290</v>
      </c>
      <c r="F12" s="85"/>
      <c r="G12" s="85"/>
      <c r="I12" s="85"/>
      <c r="J12" s="85"/>
      <c r="K12" s="85"/>
      <c r="L12" s="85"/>
      <c r="M12" s="85"/>
      <c r="N12" s="85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</row>
    <row r="13" spans="2:46" x14ac:dyDescent="0.2">
      <c r="B13" s="58" t="str">
        <f>+B78</f>
        <v>Historical Cleanup</v>
      </c>
      <c r="C13" s="84">
        <f t="shared" si="1"/>
        <v>0</v>
      </c>
      <c r="D13" s="107" t="s">
        <v>292</v>
      </c>
      <c r="F13" s="85"/>
      <c r="G13" s="85"/>
      <c r="I13" s="85"/>
      <c r="J13" s="85"/>
      <c r="K13" s="85"/>
      <c r="L13" s="85"/>
      <c r="M13" s="85"/>
      <c r="N13" s="85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</row>
    <row r="14" spans="2:46" x14ac:dyDescent="0.2">
      <c r="B14" s="59" t="str">
        <f>+B79</f>
        <v>Total Recurring Revenue</v>
      </c>
      <c r="C14" s="60">
        <f>SUM(C6:C13)</f>
        <v>3046.4493000000002</v>
      </c>
      <c r="D14" s="72"/>
      <c r="F14" s="72"/>
      <c r="G14" s="72"/>
      <c r="I14" s="72"/>
      <c r="J14" s="72"/>
      <c r="K14" s="72"/>
      <c r="L14" s="72"/>
      <c r="M14" s="72"/>
      <c r="N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</row>
    <row r="15" spans="2:46" ht="3.95" customHeight="1" x14ac:dyDescent="0.2"/>
    <row r="16" spans="2:46" x14ac:dyDescent="0.2">
      <c r="B16" s="58" t="str">
        <f>+B82</f>
        <v>1099 Filing</v>
      </c>
      <c r="C16" s="84">
        <v>0</v>
      </c>
      <c r="D16" s="107" t="s">
        <v>293</v>
      </c>
    </row>
    <row r="17" spans="2:46" x14ac:dyDescent="0.2">
      <c r="B17" s="58" t="str">
        <f t="shared" ref="B17" si="2">+B83</f>
        <v>Income Tax</v>
      </c>
      <c r="C17" s="84">
        <v>0</v>
      </c>
      <c r="D17" s="107" t="s">
        <v>293</v>
      </c>
    </row>
    <row r="18" spans="2:46" x14ac:dyDescent="0.2">
      <c r="B18" s="58" t="str">
        <f>+B81</f>
        <v>Profit Share</v>
      </c>
      <c r="C18" s="84">
        <f>AVERAGE(AI81:AT81)*12</f>
        <v>16.836220000000001</v>
      </c>
      <c r="D18" s="107" t="s">
        <v>294</v>
      </c>
    </row>
    <row r="19" spans="2:46" x14ac:dyDescent="0.2">
      <c r="B19" s="58" t="str">
        <f>+B84</f>
        <v>Billable Expense Income</v>
      </c>
      <c r="C19" s="84">
        <v>0</v>
      </c>
      <c r="D19" s="107" t="s">
        <v>293</v>
      </c>
    </row>
    <row r="20" spans="2:46" x14ac:dyDescent="0.2">
      <c r="B20" s="58" t="str">
        <f>+B85</f>
        <v>Offshore Recruiting</v>
      </c>
      <c r="C20" s="84">
        <v>0</v>
      </c>
      <c r="D20" s="107" t="s">
        <v>293</v>
      </c>
    </row>
    <row r="21" spans="2:46" x14ac:dyDescent="0.2">
      <c r="B21" s="59" t="str">
        <f>+B86</f>
        <v>Total Nonrecurring Revenue</v>
      </c>
      <c r="C21" s="60">
        <f>SUM(C16:C20)</f>
        <v>16.836220000000001</v>
      </c>
    </row>
    <row r="22" spans="2:46" ht="3.95" customHeight="1" x14ac:dyDescent="0.2"/>
    <row r="23" spans="2:46" x14ac:dyDescent="0.2">
      <c r="B23" s="43" t="s">
        <v>282</v>
      </c>
      <c r="C23" s="44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2:46" x14ac:dyDescent="0.2">
      <c r="B24" s="57" t="s">
        <v>64</v>
      </c>
      <c r="C24" s="84">
        <f>AT91*12</f>
        <v>694.74455999999998</v>
      </c>
      <c r="D24" s="107" t="s">
        <v>290</v>
      </c>
      <c r="F24" s="85"/>
      <c r="G24" s="85"/>
      <c r="I24" s="85"/>
      <c r="J24" s="85"/>
      <c r="K24" s="85"/>
      <c r="L24" s="85"/>
      <c r="M24" s="85"/>
      <c r="N24" s="85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</row>
    <row r="25" spans="2:46" x14ac:dyDescent="0.2">
      <c r="B25" s="58" t="s">
        <v>35</v>
      </c>
      <c r="C25" s="84">
        <f>AT92*12</f>
        <v>533.85120000000006</v>
      </c>
      <c r="D25" s="107" t="s">
        <v>290</v>
      </c>
      <c r="F25" s="85"/>
      <c r="G25" s="85"/>
      <c r="I25" s="85"/>
      <c r="J25" s="85"/>
      <c r="K25" s="85"/>
      <c r="L25" s="85"/>
      <c r="M25" s="85"/>
      <c r="N25" s="85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</row>
    <row r="26" spans="2:46" x14ac:dyDescent="0.2">
      <c r="B26" s="103" t="s">
        <v>279</v>
      </c>
      <c r="C26" s="84">
        <v>200</v>
      </c>
      <c r="D26" s="107" t="s">
        <v>295</v>
      </c>
      <c r="F26" s="85"/>
      <c r="G26" s="85"/>
      <c r="I26" s="85"/>
      <c r="J26" s="85"/>
      <c r="K26" s="85"/>
      <c r="L26" s="85"/>
      <c r="M26" s="85"/>
      <c r="N26" s="85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</row>
    <row r="27" spans="2:46" x14ac:dyDescent="0.2">
      <c r="B27" s="58" t="s">
        <v>36</v>
      </c>
      <c r="C27" s="84">
        <f>AT93*12</f>
        <v>392.92452000000003</v>
      </c>
      <c r="D27" s="107" t="s">
        <v>290</v>
      </c>
      <c r="F27" s="85"/>
      <c r="G27" s="85"/>
      <c r="I27" s="85"/>
      <c r="J27" s="85"/>
      <c r="K27" s="85"/>
      <c r="L27" s="85"/>
      <c r="M27" s="85"/>
      <c r="N27" s="85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</row>
    <row r="28" spans="2:46" x14ac:dyDescent="0.2">
      <c r="B28" s="58" t="s">
        <v>280</v>
      </c>
      <c r="C28" s="84">
        <f>AT96*12</f>
        <v>98.349119999999999</v>
      </c>
      <c r="D28" s="107" t="s">
        <v>290</v>
      </c>
      <c r="F28" s="85"/>
      <c r="G28" s="85"/>
      <c r="I28" s="85"/>
      <c r="J28" s="85"/>
      <c r="K28" s="85"/>
      <c r="L28" s="85"/>
      <c r="M28" s="85"/>
      <c r="N28" s="85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</row>
    <row r="29" spans="2:46" x14ac:dyDescent="0.2">
      <c r="B29" s="58" t="s">
        <v>37</v>
      </c>
      <c r="C29" s="84">
        <f>AT97*12</f>
        <v>68.113200000000006</v>
      </c>
      <c r="D29" s="107" t="s">
        <v>290</v>
      </c>
      <c r="F29" s="85"/>
      <c r="G29" s="85"/>
      <c r="I29" s="85"/>
      <c r="J29" s="85"/>
      <c r="K29" s="85"/>
      <c r="L29" s="85"/>
      <c r="M29" s="85"/>
      <c r="N29" s="85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</row>
    <row r="30" spans="2:46" x14ac:dyDescent="0.2">
      <c r="B30" s="58" t="s">
        <v>39</v>
      </c>
      <c r="C30" s="84">
        <f>AT98*12</f>
        <v>33.081240000000001</v>
      </c>
      <c r="D30" s="107" t="s">
        <v>290</v>
      </c>
      <c r="F30" s="85"/>
      <c r="G30" s="85"/>
      <c r="I30" s="85"/>
      <c r="J30" s="85"/>
      <c r="K30" s="85"/>
      <c r="L30" s="85"/>
      <c r="M30" s="85"/>
      <c r="N30" s="85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</row>
    <row r="31" spans="2:46" x14ac:dyDescent="0.2">
      <c r="B31" s="58" t="s">
        <v>38</v>
      </c>
      <c r="C31" s="84">
        <f>AT95*12</f>
        <v>197.14943999999997</v>
      </c>
      <c r="D31" s="107" t="s">
        <v>290</v>
      </c>
      <c r="F31" s="85"/>
      <c r="G31" s="85"/>
      <c r="I31" s="85"/>
      <c r="J31" s="85"/>
      <c r="K31" s="85"/>
      <c r="L31" s="85"/>
      <c r="M31" s="85"/>
      <c r="N31" s="85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</row>
    <row r="32" spans="2:46" x14ac:dyDescent="0.2">
      <c r="B32" s="57" t="str">
        <f>+B99</f>
        <v>Employee Benefits</v>
      </c>
      <c r="C32" s="84">
        <f>+AT99*12</f>
        <v>32.178359999999998</v>
      </c>
      <c r="D32" s="107" t="s">
        <v>290</v>
      </c>
      <c r="F32" s="85"/>
      <c r="G32" s="85"/>
      <c r="I32" s="85"/>
      <c r="J32" s="85"/>
      <c r="K32" s="85"/>
      <c r="L32" s="85"/>
      <c r="M32" s="85"/>
      <c r="N32" s="85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</row>
    <row r="33" spans="2:46" x14ac:dyDescent="0.2">
      <c r="B33" s="59" t="str">
        <f>+B100</f>
        <v>Total Payroll Expenses</v>
      </c>
      <c r="C33" s="60">
        <f>SUM(C24:C32)</f>
        <v>2250.3916400000003</v>
      </c>
      <c r="D33" s="85"/>
      <c r="F33" s="85"/>
      <c r="G33" s="85"/>
      <c r="I33" s="85"/>
      <c r="J33" s="85"/>
      <c r="K33" s="85"/>
      <c r="L33" s="85"/>
      <c r="M33" s="85"/>
      <c r="N33" s="85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</row>
    <row r="34" spans="2:46" ht="3.95" customHeight="1" x14ac:dyDescent="0.2">
      <c r="D34" s="85"/>
      <c r="F34" s="85"/>
      <c r="G34" s="85"/>
      <c r="I34" s="85"/>
      <c r="J34" s="85"/>
      <c r="K34" s="85"/>
      <c r="L34" s="85"/>
      <c r="M34" s="85"/>
      <c r="N34" s="85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</row>
    <row r="35" spans="2:46" x14ac:dyDescent="0.2">
      <c r="B35" s="43" t="s">
        <v>307</v>
      </c>
      <c r="C35" s="44"/>
      <c r="D35" s="85"/>
      <c r="F35" s="85"/>
      <c r="G35" s="85"/>
      <c r="I35" s="85"/>
      <c r="J35" s="85"/>
      <c r="K35" s="85"/>
      <c r="L35" s="85"/>
      <c r="M35" s="85"/>
      <c r="N35" s="85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</row>
    <row r="36" spans="2:46" x14ac:dyDescent="0.2">
      <c r="B36" s="57" t="str">
        <f>+B102</f>
        <v>Software &amp; Apps - COGS</v>
      </c>
      <c r="C36" s="84">
        <f>+AT102*12</f>
        <v>335.70816000000002</v>
      </c>
      <c r="D36" s="107" t="s">
        <v>290</v>
      </c>
      <c r="F36" s="85"/>
      <c r="G36" s="85"/>
      <c r="I36" s="85"/>
      <c r="J36" s="85"/>
      <c r="K36" s="85"/>
      <c r="L36" s="85"/>
      <c r="M36" s="85"/>
      <c r="N36" s="85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</row>
    <row r="37" spans="2:46" x14ac:dyDescent="0.2">
      <c r="B37" s="57" t="str">
        <f>+B103</f>
        <v>Software &amp; Apps - G&amp;A</v>
      </c>
      <c r="C37" s="84">
        <f>+AT103*12</f>
        <v>155.82264000000001</v>
      </c>
      <c r="D37" s="107" t="s">
        <v>290</v>
      </c>
      <c r="F37" s="85"/>
      <c r="G37" s="85"/>
      <c r="I37" s="85"/>
      <c r="J37" s="85"/>
      <c r="K37" s="85"/>
      <c r="L37" s="85"/>
      <c r="M37" s="85"/>
      <c r="N37" s="85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</row>
    <row r="38" spans="2:46" x14ac:dyDescent="0.2">
      <c r="B38" s="57" t="str">
        <f>+B104</f>
        <v>Software &amp; Apps - Topkey</v>
      </c>
      <c r="C38" s="84">
        <f>AT104*12</f>
        <v>60.84</v>
      </c>
      <c r="D38" s="107" t="s">
        <v>290</v>
      </c>
      <c r="F38" s="85"/>
      <c r="G38" s="85"/>
      <c r="I38" s="85"/>
      <c r="J38" s="85"/>
      <c r="K38" s="85"/>
      <c r="L38" s="85"/>
      <c r="M38" s="85"/>
      <c r="N38" s="85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</row>
    <row r="39" spans="2:46" x14ac:dyDescent="0.2">
      <c r="B39" s="57" t="str">
        <f>+B105</f>
        <v>Software &amp; Apps - AI tools</v>
      </c>
      <c r="C39" s="84">
        <f>+AT105*12</f>
        <v>15.743759999999998</v>
      </c>
      <c r="D39" s="107" t="s">
        <v>290</v>
      </c>
      <c r="F39" s="85"/>
      <c r="G39" s="85"/>
      <c r="I39" s="85"/>
      <c r="J39" s="85"/>
      <c r="K39" s="85"/>
      <c r="L39" s="85"/>
      <c r="M39" s="85"/>
      <c r="N39" s="85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</row>
    <row r="40" spans="2:46" x14ac:dyDescent="0.2">
      <c r="B40" s="59" t="str">
        <f>+B106</f>
        <v>Total Software Expenses</v>
      </c>
      <c r="C40" s="60">
        <f>SUM(C36:C39)</f>
        <v>568.11455999999998</v>
      </c>
      <c r="D40" s="107"/>
      <c r="F40" s="85"/>
      <c r="G40" s="85"/>
      <c r="I40" s="85"/>
      <c r="J40" s="85"/>
      <c r="K40" s="85"/>
      <c r="L40" s="85"/>
      <c r="M40" s="85"/>
      <c r="N40" s="85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</row>
    <row r="41" spans="2:46" ht="3.95" customHeight="1" x14ac:dyDescent="0.2">
      <c r="B41" s="57"/>
      <c r="C41" s="84"/>
      <c r="D41" s="107"/>
      <c r="F41" s="85"/>
      <c r="G41" s="85"/>
      <c r="I41" s="85"/>
      <c r="J41" s="85"/>
      <c r="K41" s="85"/>
      <c r="L41" s="85"/>
      <c r="M41" s="85"/>
      <c r="N41" s="85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</row>
    <row r="42" spans="2:46" x14ac:dyDescent="0.2">
      <c r="B42" s="43" t="s">
        <v>285</v>
      </c>
      <c r="C42" s="44"/>
      <c r="D42" s="107"/>
      <c r="F42" s="85"/>
      <c r="G42" s="85"/>
      <c r="I42" s="85"/>
      <c r="J42" s="85"/>
      <c r="K42" s="85"/>
      <c r="L42" s="85"/>
      <c r="M42" s="85"/>
      <c r="N42" s="85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</row>
    <row r="43" spans="2:46" x14ac:dyDescent="0.2">
      <c r="B43" s="57" t="str">
        <f>+B108</f>
        <v>Other Professional Fees</v>
      </c>
      <c r="C43" s="85">
        <f>+J108</f>
        <v>53.626950000000001</v>
      </c>
      <c r="D43" s="107" t="s">
        <v>296</v>
      </c>
      <c r="F43" s="85"/>
      <c r="G43" s="85"/>
      <c r="I43" s="85"/>
      <c r="J43" s="85"/>
      <c r="K43" s="138" t="s">
        <v>317</v>
      </c>
      <c r="L43" s="85"/>
      <c r="M43" s="85"/>
      <c r="N43" s="85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 x14ac:dyDescent="0.2">
      <c r="B44" s="57" t="str">
        <f>+B123</f>
        <v>Contract Labor - Tax</v>
      </c>
      <c r="C44" s="84">
        <v>0</v>
      </c>
      <c r="D44" s="107" t="s">
        <v>309</v>
      </c>
      <c r="F44" s="85"/>
      <c r="G44" s="85"/>
      <c r="I44" s="85"/>
      <c r="J44" s="85"/>
      <c r="K44" s="85"/>
      <c r="L44" s="85"/>
      <c r="M44" s="85"/>
      <c r="N44" s="85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</row>
    <row r="45" spans="2:46" x14ac:dyDescent="0.2">
      <c r="B45" s="58" t="s">
        <v>43</v>
      </c>
      <c r="C45" s="85">
        <f>+J109</f>
        <v>30.69416</v>
      </c>
      <c r="D45" s="107" t="s">
        <v>296</v>
      </c>
      <c r="F45" s="85"/>
      <c r="G45" s="85"/>
      <c r="I45" s="85"/>
      <c r="J45" s="85"/>
      <c r="K45" s="85"/>
      <c r="L45" s="85"/>
      <c r="M45" s="85"/>
      <c r="N45" s="85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</row>
    <row r="46" spans="2:46" x14ac:dyDescent="0.2">
      <c r="B46" s="57" t="str">
        <f>+B110</f>
        <v>Travel, Meals &amp; Entertainment</v>
      </c>
      <c r="C46" s="85">
        <f>+J110</f>
        <v>28.23873</v>
      </c>
      <c r="D46" s="107" t="s">
        <v>296</v>
      </c>
      <c r="F46" s="85"/>
      <c r="G46" s="85"/>
      <c r="I46" s="85"/>
      <c r="J46" s="85"/>
      <c r="K46" s="85"/>
      <c r="L46" s="85"/>
      <c r="M46" s="85"/>
      <c r="N46" s="85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</row>
    <row r="47" spans="2:46" x14ac:dyDescent="0.2">
      <c r="B47" s="57" t="str">
        <f>+B111</f>
        <v>Payment Collection Fees</v>
      </c>
      <c r="C47" s="85">
        <f>+J111</f>
        <v>15.652799999999997</v>
      </c>
      <c r="D47" s="107" t="s">
        <v>296</v>
      </c>
      <c r="F47" s="85"/>
      <c r="G47" s="85"/>
      <c r="I47" s="85"/>
      <c r="J47" s="85"/>
      <c r="K47" s="85"/>
      <c r="L47" s="85"/>
      <c r="M47" s="85"/>
      <c r="N47" s="85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 x14ac:dyDescent="0.2">
      <c r="B48" s="57" t="str">
        <f>+B112</f>
        <v>Professional Organizations</v>
      </c>
      <c r="C48" s="85">
        <f>+J112</f>
        <v>12.156920000000003</v>
      </c>
      <c r="D48" s="107" t="s">
        <v>296</v>
      </c>
      <c r="F48" s="85"/>
      <c r="G48" s="85"/>
      <c r="I48" s="85"/>
      <c r="J48" s="85"/>
      <c r="K48" s="85"/>
      <c r="L48" s="85"/>
      <c r="M48" s="85"/>
      <c r="N48" s="85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</row>
    <row r="49" spans="2:46" x14ac:dyDescent="0.2">
      <c r="B49" s="57" t="str">
        <f>+B113</f>
        <v>S&amp;M Events</v>
      </c>
      <c r="C49" s="85">
        <f>+J113</f>
        <v>11.648780000000002</v>
      </c>
      <c r="D49" s="107" t="s">
        <v>296</v>
      </c>
      <c r="F49" s="85"/>
      <c r="G49" s="85"/>
      <c r="I49" s="85"/>
      <c r="J49" s="85"/>
      <c r="K49" s="85"/>
      <c r="L49" s="85"/>
      <c r="M49" s="85"/>
      <c r="N49" s="85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</row>
    <row r="50" spans="2:46" x14ac:dyDescent="0.2">
      <c r="B50" s="57" t="str">
        <f>+B114</f>
        <v>Recruiting Fees</v>
      </c>
      <c r="C50" s="85">
        <f>+J114</f>
        <v>8.8458499999999987</v>
      </c>
      <c r="D50" s="107" t="s">
        <v>296</v>
      </c>
      <c r="F50" s="85"/>
      <c r="G50" s="85"/>
      <c r="I50" s="85"/>
      <c r="J50" s="85"/>
      <c r="K50" s="85"/>
      <c r="L50" s="85"/>
      <c r="M50" s="85"/>
      <c r="N50" s="85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</row>
    <row r="51" spans="2:46" x14ac:dyDescent="0.2">
      <c r="B51" s="57" t="str">
        <f t="shared" ref="B51:B52" si="3">+B116</f>
        <v>Website</v>
      </c>
      <c r="C51" s="85">
        <f>+J116</f>
        <v>4.9035700000000002</v>
      </c>
      <c r="D51" s="107" t="s">
        <v>296</v>
      </c>
      <c r="F51" s="85"/>
      <c r="G51" s="85"/>
      <c r="I51" s="85"/>
      <c r="J51" s="85"/>
      <c r="K51" s="85"/>
      <c r="L51" s="85"/>
      <c r="M51" s="85"/>
      <c r="N51" s="85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</row>
    <row r="52" spans="2:46" x14ac:dyDescent="0.2">
      <c r="B52" s="57" t="str">
        <f t="shared" si="3"/>
        <v>State Taxes</v>
      </c>
      <c r="C52" s="85">
        <f>+J117</f>
        <v>5.2619999999999996</v>
      </c>
      <c r="D52" s="107" t="s">
        <v>296</v>
      </c>
      <c r="F52" s="85"/>
      <c r="G52" s="85"/>
      <c r="I52" s="85"/>
      <c r="J52" s="85"/>
      <c r="K52" s="85"/>
      <c r="L52" s="85"/>
      <c r="M52" s="85"/>
      <c r="N52" s="85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</row>
    <row r="53" spans="2:46" x14ac:dyDescent="0.2">
      <c r="B53" s="57" t="str">
        <f>+B118</f>
        <v>Insurance</v>
      </c>
      <c r="C53" s="85">
        <f t="shared" ref="C53" si="4">+J118</f>
        <v>4.897689999999999</v>
      </c>
      <c r="D53" s="107" t="s">
        <v>296</v>
      </c>
      <c r="F53" s="85"/>
      <c r="G53" s="85"/>
      <c r="I53" s="85"/>
      <c r="J53" s="85"/>
      <c r="K53" s="85"/>
      <c r="L53" s="85"/>
      <c r="M53" s="85"/>
      <c r="N53" s="85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</row>
    <row r="54" spans="2:46" x14ac:dyDescent="0.2">
      <c r="B54" s="57" t="str">
        <f>+B120</f>
        <v>Utilities</v>
      </c>
      <c r="C54" s="85">
        <f>+J120</f>
        <v>3.1680000000000001</v>
      </c>
      <c r="D54" s="107" t="s">
        <v>296</v>
      </c>
      <c r="F54" s="85"/>
      <c r="G54" s="85"/>
      <c r="I54" s="85"/>
      <c r="J54" s="85"/>
      <c r="K54" s="85"/>
      <c r="L54" s="85"/>
      <c r="M54" s="85"/>
      <c r="N54" s="85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</row>
    <row r="55" spans="2:46" x14ac:dyDescent="0.2">
      <c r="B55" s="57" t="str">
        <f>+B122</f>
        <v>1099 Filing Fees</v>
      </c>
      <c r="C55" s="84">
        <v>0</v>
      </c>
      <c r="D55" s="107" t="s">
        <v>309</v>
      </c>
      <c r="F55" s="85"/>
      <c r="G55" s="85"/>
      <c r="I55" s="85"/>
      <c r="J55" s="85"/>
      <c r="K55" s="85"/>
      <c r="L55" s="85"/>
      <c r="M55" s="85"/>
      <c r="N55" s="85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</row>
    <row r="56" spans="2:46" x14ac:dyDescent="0.2">
      <c r="B56" s="57" t="str">
        <f>+B115</f>
        <v>Amortization</v>
      </c>
      <c r="C56" s="85">
        <f>+J115</f>
        <v>6.673</v>
      </c>
      <c r="D56" s="107" t="s">
        <v>296</v>
      </c>
      <c r="F56" s="85"/>
      <c r="G56" s="85"/>
      <c r="I56" s="85"/>
      <c r="J56" s="85"/>
      <c r="K56" s="85"/>
      <c r="L56" s="85"/>
      <c r="M56" s="85"/>
      <c r="N56" s="85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</row>
    <row r="57" spans="2:46" x14ac:dyDescent="0.2">
      <c r="B57" s="57" t="str">
        <f>+B119</f>
        <v>Occupancy Tax Filing Fees</v>
      </c>
      <c r="C57" s="84">
        <f>+AT120*12</f>
        <v>3.516</v>
      </c>
      <c r="D57" s="107" t="s">
        <v>290</v>
      </c>
      <c r="F57" s="85"/>
      <c r="G57" s="85"/>
      <c r="I57" s="85"/>
      <c r="J57" s="85"/>
      <c r="K57" s="85"/>
      <c r="L57" s="85"/>
      <c r="M57" s="85"/>
      <c r="N57" s="85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</row>
    <row r="58" spans="2:46" x14ac:dyDescent="0.2">
      <c r="B58" s="57" t="str">
        <f>+B117</f>
        <v>State Taxes</v>
      </c>
      <c r="C58" s="85">
        <f>+J121</f>
        <v>1.49847</v>
      </c>
      <c r="D58" s="107" t="s">
        <v>296</v>
      </c>
      <c r="F58" s="85"/>
      <c r="G58" s="85"/>
      <c r="I58" s="85"/>
      <c r="J58" s="85"/>
      <c r="K58" s="85"/>
      <c r="L58" s="85"/>
      <c r="M58" s="85"/>
      <c r="N58" s="85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</row>
    <row r="59" spans="2:46" x14ac:dyDescent="0.2">
      <c r="B59" s="57" t="str">
        <f>+B114</f>
        <v>Recruiting Fees</v>
      </c>
      <c r="C59" s="85"/>
      <c r="D59" s="107"/>
      <c r="F59" s="85"/>
      <c r="G59" s="85"/>
      <c r="I59" s="85"/>
      <c r="J59" s="85"/>
      <c r="K59" s="85"/>
      <c r="L59" s="85"/>
      <c r="M59" s="85"/>
      <c r="N59" s="85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</row>
    <row r="60" spans="2:46" x14ac:dyDescent="0.2">
      <c r="B60" s="57" t="str">
        <f>+B124</f>
        <v>Other Income</v>
      </c>
      <c r="C60" s="85">
        <f>+J124</f>
        <v>-0.27642000000000005</v>
      </c>
      <c r="D60" s="107" t="s">
        <v>296</v>
      </c>
      <c r="F60" s="85"/>
      <c r="G60" s="85"/>
      <c r="I60" s="85"/>
      <c r="J60" s="85"/>
      <c r="K60" s="85"/>
      <c r="L60" s="85"/>
      <c r="M60" s="85"/>
      <c r="N60" s="85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</row>
    <row r="61" spans="2:46" x14ac:dyDescent="0.2">
      <c r="B61" s="57" t="str">
        <f>+B125</f>
        <v>Other Expenses</v>
      </c>
      <c r="C61" s="85">
        <f>+J125</f>
        <v>17.956009999999999</v>
      </c>
      <c r="D61" s="107" t="s">
        <v>296</v>
      </c>
      <c r="F61" s="85"/>
      <c r="G61" s="85"/>
      <c r="I61" s="85"/>
      <c r="J61" s="85"/>
      <c r="K61" s="85"/>
      <c r="L61" s="85"/>
      <c r="M61" s="85"/>
      <c r="N61" s="85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</row>
    <row r="62" spans="2:46" ht="3.95" customHeight="1" x14ac:dyDescent="0.2">
      <c r="B62" s="57"/>
      <c r="C62" s="85"/>
      <c r="D62" s="107"/>
      <c r="F62" s="85"/>
      <c r="G62" s="85"/>
      <c r="I62" s="85"/>
      <c r="J62" s="85"/>
      <c r="K62" s="85"/>
      <c r="L62" s="85"/>
      <c r="M62" s="85"/>
      <c r="N62" s="85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</row>
    <row r="63" spans="2:46" x14ac:dyDescent="0.2">
      <c r="B63" s="43" t="s">
        <v>323</v>
      </c>
      <c r="C63" s="44"/>
      <c r="D63" s="107"/>
      <c r="F63" s="85"/>
      <c r="G63" s="85"/>
      <c r="I63" s="85"/>
      <c r="J63" s="85"/>
      <c r="K63" s="85"/>
      <c r="L63" s="85"/>
      <c r="M63" s="85"/>
      <c r="N63" s="85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</row>
    <row r="64" spans="2:46" x14ac:dyDescent="0.2">
      <c r="B64" s="57" t="s">
        <v>324</v>
      </c>
      <c r="C64" s="84">
        <v>100</v>
      </c>
      <c r="D64" s="107" t="s">
        <v>325</v>
      </c>
      <c r="F64" s="85"/>
      <c r="G64" s="85"/>
      <c r="I64" s="85"/>
      <c r="J64" s="85"/>
      <c r="K64" s="85"/>
      <c r="L64" s="85"/>
      <c r="M64" s="85"/>
      <c r="N64" s="85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</row>
    <row r="65" spans="1:46" x14ac:dyDescent="0.2">
      <c r="B65" s="57"/>
      <c r="C65" s="85"/>
      <c r="D65" s="107"/>
      <c r="F65" s="85"/>
      <c r="G65" s="85"/>
      <c r="I65" s="85"/>
      <c r="J65" s="85"/>
      <c r="K65" s="85"/>
      <c r="L65" s="85"/>
      <c r="M65" s="85"/>
      <c r="N65" s="85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</row>
    <row r="66" spans="1:46" x14ac:dyDescent="0.2">
      <c r="B66" s="57"/>
      <c r="C66" s="85"/>
      <c r="D66" s="107"/>
      <c r="F66" s="85"/>
      <c r="G66" s="85"/>
      <c r="I66" s="85"/>
      <c r="J66" s="85"/>
      <c r="K66" s="85"/>
      <c r="L66" s="85"/>
      <c r="M66" s="85"/>
      <c r="N66" s="85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</row>
    <row r="67" spans="1:46" x14ac:dyDescent="0.2">
      <c r="B67" s="57"/>
      <c r="C67" s="85"/>
      <c r="D67" s="107"/>
      <c r="F67" s="85"/>
      <c r="G67" s="85"/>
      <c r="I67" s="85"/>
      <c r="J67" s="85"/>
      <c r="K67" s="85"/>
      <c r="L67" s="85"/>
      <c r="M67" s="85"/>
      <c r="N67" s="85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</row>
    <row r="69" spans="1:46" x14ac:dyDescent="0.2">
      <c r="A69" s="110" t="s">
        <v>297</v>
      </c>
      <c r="B69" s="41" t="s">
        <v>265</v>
      </c>
      <c r="C69" s="42" t="s">
        <v>4</v>
      </c>
      <c r="D69" s="42" t="s">
        <v>5</v>
      </c>
      <c r="E69" s="52"/>
      <c r="F69" s="42" t="s">
        <v>257</v>
      </c>
      <c r="G69" s="42" t="s">
        <v>6</v>
      </c>
      <c r="H69" s="52"/>
      <c r="I69" s="42" t="s">
        <v>255</v>
      </c>
      <c r="J69" s="42" t="s">
        <v>256</v>
      </c>
      <c r="K69" s="42" t="s">
        <v>283</v>
      </c>
      <c r="L69" s="52"/>
      <c r="M69" s="42" t="s">
        <v>286</v>
      </c>
      <c r="N69" s="42" t="s">
        <v>287</v>
      </c>
      <c r="P69" s="45">
        <v>45292</v>
      </c>
      <c r="Q69" s="45">
        <f>EOMONTH(P69,0)+1</f>
        <v>45323</v>
      </c>
      <c r="R69" s="45">
        <f t="shared" ref="R69:AT69" si="5">EOMONTH(Q69,0)+1</f>
        <v>45352</v>
      </c>
      <c r="S69" s="45">
        <f t="shared" si="5"/>
        <v>45383</v>
      </c>
      <c r="T69" s="45">
        <f t="shared" si="5"/>
        <v>45413</v>
      </c>
      <c r="U69" s="45">
        <f t="shared" si="5"/>
        <v>45444</v>
      </c>
      <c r="V69" s="45">
        <f t="shared" si="5"/>
        <v>45474</v>
      </c>
      <c r="W69" s="45">
        <f t="shared" si="5"/>
        <v>45505</v>
      </c>
      <c r="X69" s="45">
        <f t="shared" si="5"/>
        <v>45536</v>
      </c>
      <c r="Y69" s="45">
        <f t="shared" si="5"/>
        <v>45566</v>
      </c>
      <c r="Z69" s="45">
        <f t="shared" si="5"/>
        <v>45597</v>
      </c>
      <c r="AA69" s="45">
        <f t="shared" si="5"/>
        <v>45627</v>
      </c>
      <c r="AB69" s="45">
        <f t="shared" si="5"/>
        <v>45658</v>
      </c>
      <c r="AC69" s="45">
        <f t="shared" si="5"/>
        <v>45689</v>
      </c>
      <c r="AD69" s="45">
        <f t="shared" si="5"/>
        <v>45717</v>
      </c>
      <c r="AE69" s="45">
        <f t="shared" si="5"/>
        <v>45748</v>
      </c>
      <c r="AF69" s="45">
        <f t="shared" si="5"/>
        <v>45778</v>
      </c>
      <c r="AG69" s="45">
        <f t="shared" si="5"/>
        <v>45809</v>
      </c>
      <c r="AH69" s="45">
        <f t="shared" si="5"/>
        <v>45839</v>
      </c>
      <c r="AI69" s="45">
        <f t="shared" si="5"/>
        <v>45870</v>
      </c>
      <c r="AJ69" s="45">
        <f t="shared" si="5"/>
        <v>45901</v>
      </c>
      <c r="AK69" s="45">
        <f t="shared" si="5"/>
        <v>45931</v>
      </c>
      <c r="AL69" s="45">
        <f t="shared" si="5"/>
        <v>45962</v>
      </c>
      <c r="AM69" s="45">
        <f t="shared" si="5"/>
        <v>45992</v>
      </c>
      <c r="AN69" s="45">
        <f t="shared" si="5"/>
        <v>46023</v>
      </c>
      <c r="AO69" s="45">
        <f t="shared" si="5"/>
        <v>46054</v>
      </c>
      <c r="AP69" s="45">
        <f t="shared" si="5"/>
        <v>46082</v>
      </c>
      <c r="AQ69" s="45">
        <f t="shared" si="5"/>
        <v>46113</v>
      </c>
      <c r="AR69" s="45">
        <f t="shared" si="5"/>
        <v>46143</v>
      </c>
      <c r="AS69" s="45">
        <f t="shared" si="5"/>
        <v>46174</v>
      </c>
      <c r="AT69" s="45">
        <f t="shared" si="5"/>
        <v>46204</v>
      </c>
    </row>
    <row r="70" spans="1:46" x14ac:dyDescent="0.2">
      <c r="A70" s="110"/>
      <c r="B70" s="43" t="s">
        <v>259</v>
      </c>
      <c r="C70" s="44"/>
      <c r="D70" s="44"/>
      <c r="E70" s="6"/>
      <c r="F70" s="44"/>
      <c r="G70" s="44"/>
      <c r="H70" s="6"/>
      <c r="I70" s="44"/>
      <c r="J70" s="44"/>
      <c r="K70" s="44"/>
      <c r="L70" s="6"/>
      <c r="M70" s="44"/>
      <c r="N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</row>
    <row r="71" spans="1:46" x14ac:dyDescent="0.2">
      <c r="B71" s="57" t="s">
        <v>276</v>
      </c>
      <c r="C71" s="49">
        <f>SUMIFS($P71:$AT71,$P$69:$AT$69,"&gt;"&amp;C$169,$P$69:$AT$69,"&lt;"&amp;C$170)</f>
        <v>793.47225000000003</v>
      </c>
      <c r="D71" s="49">
        <f>SUMIFS($P71:$AT71,$P$69:$AT$69,"&gt;"&amp;D$169,$P$69:$AT$69,"&lt;"&amp;D$170)</f>
        <v>1450.4923499999998</v>
      </c>
      <c r="E71" s="49"/>
      <c r="F71" s="49">
        <f>SUMIFS($P71:$AT71,$P$69:$AT$69,"&gt;"&amp;F$169,$P$69:$AT$69,"&lt;"&amp;F$170)</f>
        <v>751.52859999999987</v>
      </c>
      <c r="G71" s="49">
        <f>SUMIFS($P71:$AT71,$P$69:$AT$69,"&gt;"&amp;G$169,$P$69:$AT$69,"&lt;"&amp;G$170)</f>
        <v>1261.47685</v>
      </c>
      <c r="H71" s="49"/>
      <c r="I71" s="49">
        <f>SUMIFS($P71:$AT71,$P$69:$AT$69,"&gt;"&amp;I$169,$P$69:$AT$69,"&lt;"&amp;I$170)</f>
        <v>1098.5075000000002</v>
      </c>
      <c r="J71" s="49">
        <f>SUMIFS($P71:$AT71,$P$69:$AT$69,"&gt;"&amp;J$169,$P$69:$AT$69,"&lt;"&amp;J$170)</f>
        <v>1881.6971000000001</v>
      </c>
      <c r="K71" s="51">
        <f>+C6</f>
        <v>2410.0500000000002</v>
      </c>
      <c r="L71" s="51"/>
      <c r="M71" s="49">
        <f t="shared" ref="M71:M78" si="6">K71-J71</f>
        <v>528.35290000000009</v>
      </c>
      <c r="N71" s="67">
        <f>IFERROR(K71/J71-1,0)</f>
        <v>0.28078530811361735</v>
      </c>
      <c r="P71" s="48">
        <f>SUMIFS('Combined P&amp;L'!N:N,'Combined P&amp;L'!$C:$C,'P&amp;L Forecast'!$B71)</f>
        <v>44.683500000000002</v>
      </c>
      <c r="Q71" s="48">
        <f>SUMIFS('Combined P&amp;L'!O:O,'Combined P&amp;L'!$C:$C,'P&amp;L Forecast'!$B71)</f>
        <v>47.045999999999999</v>
      </c>
      <c r="R71" s="48">
        <f>SUMIFS('Combined P&amp;L'!P:P,'Combined P&amp;L'!$C:$C,'P&amp;L Forecast'!$B71)</f>
        <v>52.47</v>
      </c>
      <c r="S71" s="48">
        <f>SUMIFS('Combined P&amp;L'!Q:Q,'Combined P&amp;L'!$C:$C,'P&amp;L Forecast'!$B71)</f>
        <v>57.169699999999999</v>
      </c>
      <c r="T71" s="48">
        <f>SUMIFS('Combined P&amp;L'!R:R,'Combined P&amp;L'!$C:$C,'P&amp;L Forecast'!$B71)</f>
        <v>57.514150000000001</v>
      </c>
      <c r="U71" s="48">
        <f>SUMIFS('Combined P&amp;L'!S:S,'Combined P&amp;L'!$C:$C,'P&amp;L Forecast'!$B71)</f>
        <v>65.516000000000005</v>
      </c>
      <c r="V71" s="48">
        <f>SUMIFS('Combined P&amp;L'!T:T,'Combined P&amp;L'!$C:$C,'P&amp;L Forecast'!$B71)</f>
        <v>68.28125</v>
      </c>
      <c r="W71" s="48">
        <f>SUMIFS('Combined P&amp;L'!U:U,'Combined P&amp;L'!$C:$C,'P&amp;L Forecast'!$B71)</f>
        <v>73.251350000000002</v>
      </c>
      <c r="X71" s="48">
        <f>SUMIFS('Combined P&amp;L'!V:V,'Combined P&amp;L'!$C:$C,'P&amp;L Forecast'!$B71)</f>
        <v>75.551699999999997</v>
      </c>
      <c r="Y71" s="48">
        <f>SUMIFS('Combined P&amp;L'!W:W,'Combined P&amp;L'!$C:$C,'P&amp;L Forecast'!$B71)</f>
        <v>79.113249999999994</v>
      </c>
      <c r="Z71" s="48">
        <f>SUMIFS('Combined P&amp;L'!X:X,'Combined P&amp;L'!$C:$C,'P&amp;L Forecast'!$B71)</f>
        <v>83.290800000000004</v>
      </c>
      <c r="AA71" s="48">
        <f>SUMIFS('Combined P&amp;L'!Y:Y,'Combined P&amp;L'!$C:$C,'P&amp;L Forecast'!$B71)</f>
        <v>89.584550000000007</v>
      </c>
      <c r="AB71" s="48">
        <f>SUMIFS('Combined P&amp;L'!Z:Z,'Combined P&amp;L'!$C:$C,'P&amp;L Forecast'!$B71)</f>
        <v>92.418899999999994</v>
      </c>
      <c r="AC71" s="48">
        <f>SUMIFS('Combined P&amp;L'!AA:AA,'Combined P&amp;L'!$C:$C,'P&amp;L Forecast'!$B71)</f>
        <v>94.00215</v>
      </c>
      <c r="AD71" s="48">
        <f>SUMIFS('Combined P&amp;L'!AB:AB,'Combined P&amp;L'!$C:$C,'P&amp;L Forecast'!$B71)</f>
        <v>101.50605</v>
      </c>
      <c r="AE71" s="48">
        <f>SUMIFS('Combined P&amp;L'!AC:AC,'Combined P&amp;L'!$C:$C,'P&amp;L Forecast'!$B71)</f>
        <v>106.1375</v>
      </c>
      <c r="AF71" s="48">
        <f>SUMIFS('Combined P&amp;L'!AD:AD,'Combined P&amp;L'!$C:$C,'P&amp;L Forecast'!$B71)</f>
        <v>115.93875</v>
      </c>
      <c r="AG71" s="48">
        <f>SUMIFS('Combined P&amp;L'!AE:AE,'Combined P&amp;L'!$C:$C,'P&amp;L Forecast'!$B71)</f>
        <v>119.43125000000001</v>
      </c>
      <c r="AH71" s="48">
        <f>SUMIFS('Combined P&amp;L'!AF:AF,'Combined P&amp;L'!$C:$C,'P&amp;L Forecast'!$B71)</f>
        <v>122.09399999999999</v>
      </c>
      <c r="AI71" s="48">
        <f>SUMIFS('Combined P&amp;L'!AG:AG,'Combined P&amp;L'!$C:$C,'P&amp;L Forecast'!$B71)</f>
        <v>130.08525</v>
      </c>
      <c r="AJ71" s="48">
        <f>SUMIFS('Combined P&amp;L'!AH:AH,'Combined P&amp;L'!$C:$C,'P&amp;L Forecast'!$B71)</f>
        <v>133.59049999999999</v>
      </c>
      <c r="AK71" s="48">
        <f>SUMIFS('Combined P&amp;L'!AI:AI,'Combined P&amp;L'!$C:$C,'P&amp;L Forecast'!$B71)</f>
        <v>139.60900000000001</v>
      </c>
      <c r="AL71" s="48">
        <f>SUMIFS('Combined P&amp;L'!AJ:AJ,'Combined P&amp;L'!$C:$C,'P&amp;L Forecast'!$B71)</f>
        <v>145.28075000000001</v>
      </c>
      <c r="AM71" s="48">
        <f>SUMIFS('Combined P&amp;L'!AK:AK,'Combined P&amp;L'!$C:$C,'P&amp;L Forecast'!$B71)</f>
        <v>150.39824999999999</v>
      </c>
      <c r="AN71" s="48">
        <f>SUMIFS('Combined P&amp;L'!AL:AL,'Combined P&amp;L'!$C:$C,'P&amp;L Forecast'!$B71)</f>
        <v>156.53879999999998</v>
      </c>
      <c r="AO71" s="48">
        <f>SUMIFS('Combined P&amp;L'!AM:AM,'Combined P&amp;L'!$C:$C,'P&amp;L Forecast'!$B71)</f>
        <v>164.9034</v>
      </c>
      <c r="AP71" s="48">
        <f>SUMIFS('Combined P&amp;L'!AN:AN,'Combined P&amp;L'!$C:$C,'P&amp;L Forecast'!$B71)</f>
        <v>170.34424999999999</v>
      </c>
      <c r="AQ71" s="48">
        <f>SUMIFS('Combined P&amp;L'!AO:AO,'Combined P&amp;L'!$C:$C,'P&amp;L Forecast'!$B71)</f>
        <v>183.66200000000001</v>
      </c>
      <c r="AR71" s="48">
        <f>SUMIFS('Combined P&amp;L'!AP:AP,'Combined P&amp;L'!$C:$C,'P&amp;L Forecast'!$B71)</f>
        <v>190.78440000000001</v>
      </c>
      <c r="AS71" s="48">
        <f>SUMIFS('Combined P&amp;L'!AQ:AQ,'Combined P&amp;L'!$C:$C,'P&amp;L Forecast'!$B71)</f>
        <v>194.40649999999999</v>
      </c>
      <c r="AT71" s="48">
        <f>SUMIFS('Combined P&amp;L'!AR:AR,'Combined P&amp;L'!$C:$C,'P&amp;L Forecast'!$B71)</f>
        <v>200.83750000000001</v>
      </c>
    </row>
    <row r="72" spans="1:46" x14ac:dyDescent="0.2">
      <c r="B72" s="58" t="s">
        <v>25</v>
      </c>
      <c r="C72" s="24">
        <f>SUMIFS($P72:$AT72,$P$69:$AT$69,"&gt;"&amp;C$169,$P$69:$AT$69,"&lt;"&amp;C$170)</f>
        <v>0.55999999999999994</v>
      </c>
      <c r="D72" s="24">
        <f>SUMIFS($P72:$AT72,$P$69:$AT$69,"&gt;"&amp;D$169,$P$69:$AT$69,"&lt;"&amp;D$170)</f>
        <v>55.080500000000008</v>
      </c>
      <c r="E72" s="24"/>
      <c r="F72" s="24">
        <f>SUMIFS($P72:$AT72,$P$69:$AT$69,"&gt;"&amp;F$169,$P$69:$AT$69,"&lt;"&amp;F$170)</f>
        <v>23.225500000000004</v>
      </c>
      <c r="G72" s="24">
        <f>SUMIFS($P72:$AT72,$P$69:$AT$69,"&gt;"&amp;G$169,$P$69:$AT$69,"&lt;"&amp;G$170)</f>
        <v>91.651139999999998</v>
      </c>
      <c r="H72" s="24"/>
      <c r="I72" s="24">
        <f>SUMIFS($P72:$AT72,$P$69:$AT$69,"&gt;"&amp;I$169,$P$69:$AT$69,"&lt;"&amp;I$170)</f>
        <v>18.727000000000004</v>
      </c>
      <c r="J72" s="24">
        <f>SUMIFS($P72:$AT72,$P$69:$AT$69,"&gt;"&amp;J$169,$P$69:$AT$69,"&lt;"&amp;J$170)</f>
        <v>112.49548999999999</v>
      </c>
      <c r="K72" s="66">
        <f>+C8</f>
        <v>192.82980000000001</v>
      </c>
      <c r="L72" s="66"/>
      <c r="M72" s="24">
        <f>K72-J72</f>
        <v>80.334310000000016</v>
      </c>
      <c r="N72" s="67">
        <f>IFERROR(K72/J72-1,0)</f>
        <v>0.71411138348746261</v>
      </c>
      <c r="O72" s="53"/>
      <c r="P72" s="54">
        <f>SUMIFS('Combined P&amp;L'!N:N,'Combined P&amp;L'!$C:$C,'P&amp;L Forecast'!$B72)</f>
        <v>0</v>
      </c>
      <c r="Q72" s="54">
        <f>SUMIFS('Combined P&amp;L'!O:O,'Combined P&amp;L'!$C:$C,'P&amp;L Forecast'!$B72)</f>
        <v>0</v>
      </c>
      <c r="R72" s="54">
        <f>SUMIFS('Combined P&amp;L'!P:P,'Combined P&amp;L'!$C:$C,'P&amp;L Forecast'!$B72)</f>
        <v>0</v>
      </c>
      <c r="S72" s="54">
        <f>SUMIFS('Combined P&amp;L'!Q:Q,'Combined P&amp;L'!$C:$C,'P&amp;L Forecast'!$B72)</f>
        <v>0</v>
      </c>
      <c r="T72" s="54">
        <f>SUMIFS('Combined P&amp;L'!R:R,'Combined P&amp;L'!$C:$C,'P&amp;L Forecast'!$B72)</f>
        <v>0</v>
      </c>
      <c r="U72" s="54">
        <f>SUMIFS('Combined P&amp;L'!S:S,'Combined P&amp;L'!$C:$C,'P&amp;L Forecast'!$B72)</f>
        <v>0</v>
      </c>
      <c r="V72" s="54">
        <f>SUMIFS('Combined P&amp;L'!T:T,'Combined P&amp;L'!$C:$C,'P&amp;L Forecast'!$B72)</f>
        <v>0</v>
      </c>
      <c r="W72" s="54">
        <f>SUMIFS('Combined P&amp;L'!U:U,'Combined P&amp;L'!$C:$C,'P&amp;L Forecast'!$B72)</f>
        <v>0</v>
      </c>
      <c r="X72" s="54">
        <f>SUMIFS('Combined P&amp;L'!V:V,'Combined P&amp;L'!$C:$C,'P&amp;L Forecast'!$B72)</f>
        <v>0</v>
      </c>
      <c r="Y72" s="54">
        <f>SUMIFS('Combined P&amp;L'!W:W,'Combined P&amp;L'!$C:$C,'P&amp;L Forecast'!$B72)</f>
        <v>0</v>
      </c>
      <c r="Z72" s="54">
        <f>SUMIFS('Combined P&amp;L'!X:X,'Combined P&amp;L'!$C:$C,'P&amp;L Forecast'!$B72)</f>
        <v>0.08</v>
      </c>
      <c r="AA72" s="54">
        <f>SUMIFS('Combined P&amp;L'!Y:Y,'Combined P&amp;L'!$C:$C,'P&amp;L Forecast'!$B72)</f>
        <v>0.48</v>
      </c>
      <c r="AB72" s="54">
        <f>SUMIFS('Combined P&amp;L'!Z:Z,'Combined P&amp;L'!$C:$C,'P&amp;L Forecast'!$B72)</f>
        <v>1.1299999999999999</v>
      </c>
      <c r="AC72" s="54">
        <f>SUMIFS('Combined P&amp;L'!AA:AA,'Combined P&amp;L'!$C:$C,'P&amp;L Forecast'!$B72)</f>
        <v>2.14</v>
      </c>
      <c r="AD72" s="54">
        <f>SUMIFS('Combined P&amp;L'!AB:AB,'Combined P&amp;L'!$C:$C,'P&amp;L Forecast'!$B72)</f>
        <v>2.66</v>
      </c>
      <c r="AE72" s="54">
        <f>SUMIFS('Combined P&amp;L'!AC:AC,'Combined P&amp;L'!$C:$C,'P&amp;L Forecast'!$B72)</f>
        <v>3.65</v>
      </c>
      <c r="AF72" s="54">
        <f>SUMIFS('Combined P&amp;L'!AD:AD,'Combined P&amp;L'!$C:$C,'P&amp;L Forecast'!$B72)</f>
        <v>3.6230000000000002</v>
      </c>
      <c r="AG72" s="54">
        <f>SUMIFS('Combined P&amp;L'!AE:AE,'Combined P&amp;L'!$C:$C,'P&amp;L Forecast'!$B72)</f>
        <v>4.9640000000000004</v>
      </c>
      <c r="AH72" s="54">
        <f>SUMIFS('Combined P&amp;L'!AF:AF,'Combined P&amp;L'!$C:$C,'P&amp;L Forecast'!$B72)</f>
        <v>5.0585000000000004</v>
      </c>
      <c r="AI72" s="54">
        <f>SUMIFS('Combined P&amp;L'!AG:AG,'Combined P&amp;L'!$C:$C,'P&amp;L Forecast'!$B72)</f>
        <v>4.7300000000000004</v>
      </c>
      <c r="AJ72" s="54">
        <f>SUMIFS('Combined P&amp;L'!AH:AH,'Combined P&amp;L'!$C:$C,'P&amp;L Forecast'!$B72)</f>
        <v>4.82</v>
      </c>
      <c r="AK72" s="54">
        <f>SUMIFS('Combined P&amp;L'!AI:AI,'Combined P&amp;L'!$C:$C,'P&amp;L Forecast'!$B72)</f>
        <v>5.37</v>
      </c>
      <c r="AL72" s="54">
        <f>SUMIFS('Combined P&amp;L'!AJ:AJ,'Combined P&amp;L'!$C:$C,'P&amp;L Forecast'!$B72)</f>
        <v>8.0500000000000007</v>
      </c>
      <c r="AM72" s="54">
        <f>SUMIFS('Combined P&amp;L'!AK:AK,'Combined P&amp;L'!$C:$C,'P&amp;L Forecast'!$B72)</f>
        <v>8.8849999999999998</v>
      </c>
      <c r="AN72" s="54">
        <f>SUMIFS('Combined P&amp;L'!AL:AL,'Combined P&amp;L'!$C:$C,'P&amp;L Forecast'!$B72)</f>
        <v>10.909520000000001</v>
      </c>
      <c r="AO72" s="54">
        <f>SUMIFS('Combined P&amp;L'!AM:AM,'Combined P&amp;L'!$C:$C,'P&amp;L Forecast'!$B72)</f>
        <v>10.33497</v>
      </c>
      <c r="AP72" s="54">
        <f>SUMIFS('Combined P&amp;L'!AN:AN,'Combined P&amp;L'!$C:$C,'P&amp;L Forecast'!$B72)</f>
        <v>11.175000000000001</v>
      </c>
      <c r="AQ72" s="54">
        <f>SUMIFS('Combined P&amp;L'!AO:AO,'Combined P&amp;L'!$C:$C,'P&amp;L Forecast'!$B72)</f>
        <v>11.953110000000001</v>
      </c>
      <c r="AR72" s="54">
        <f>SUMIFS('Combined P&amp;L'!AP:AP,'Combined P&amp;L'!$C:$C,'P&amp;L Forecast'!$B72)</f>
        <v>15.040709999999999</v>
      </c>
      <c r="AS72" s="54">
        <f>SUMIFS('Combined P&amp;L'!AQ:AQ,'Combined P&amp;L'!$C:$C,'P&amp;L Forecast'!$B72)</f>
        <v>16.168680000000002</v>
      </c>
      <c r="AT72" s="54">
        <f>SUMIFS('Combined P&amp;L'!AR:AR,'Combined P&amp;L'!$C:$C,'P&amp;L Forecast'!$B72)</f>
        <v>16.06915</v>
      </c>
    </row>
    <row r="73" spans="1:46" x14ac:dyDescent="0.2">
      <c r="B73" s="57" t="s">
        <v>275</v>
      </c>
      <c r="C73" s="24">
        <f>SUMIFS($P73:$AT73,$P$69:$AT$69,"&gt;"&amp;C$169,$P$69:$AT$69,"&lt;"&amp;C$170)</f>
        <v>224.79100000000003</v>
      </c>
      <c r="D73" s="24">
        <f>SUMIFS($P73:$AT73,$P$69:$AT$69,"&gt;"&amp;D$169,$P$69:$AT$69,"&lt;"&amp;D$170)</f>
        <v>149.76999999999998</v>
      </c>
      <c r="E73" s="24"/>
      <c r="F73" s="24">
        <f>SUMIFS($P73:$AT73,$P$69:$AT$69,"&gt;"&amp;F$169,$P$69:$AT$69,"&lt;"&amp;F$170)</f>
        <v>90.452500000000001</v>
      </c>
      <c r="G73" s="24">
        <f>SUMIFS($P73:$AT73,$P$69:$AT$69,"&gt;"&amp;G$169,$P$69:$AT$69,"&lt;"&amp;G$170)</f>
        <v>73.418499999999995</v>
      </c>
      <c r="H73" s="24"/>
      <c r="I73" s="24">
        <f>SUMIFS($P73:$AT73,$P$69:$AT$69,"&gt;"&amp;I$169,$P$69:$AT$69,"&lt;"&amp;I$170)</f>
        <v>174.62999999999997</v>
      </c>
      <c r="J73" s="24">
        <f>SUMIFS($P73:$AT73,$P$69:$AT$69,"&gt;"&amp;J$169,$P$69:$AT$69,"&lt;"&amp;J$170)</f>
        <v>135.298</v>
      </c>
      <c r="K73" s="66">
        <f>+C7</f>
        <v>119.706</v>
      </c>
      <c r="L73" s="66"/>
      <c r="M73" s="24">
        <f t="shared" si="6"/>
        <v>-15.591999999999999</v>
      </c>
      <c r="N73" s="67">
        <f t="shared" ref="N73:N79" si="7">IFERROR(K73/J73-1,0)</f>
        <v>-0.11524191044952625</v>
      </c>
      <c r="O73" s="53"/>
      <c r="P73" s="54">
        <f>SUMIFS('Combined P&amp;L'!N:N,'Combined P&amp;L'!$C:$C,'P&amp;L Forecast'!$B73)</f>
        <v>22.001000000000001</v>
      </c>
      <c r="Q73" s="54">
        <f>SUMIFS('Combined P&amp;L'!O:O,'Combined P&amp;L'!$C:$C,'P&amp;L Forecast'!$B73)</f>
        <v>22.036000000000001</v>
      </c>
      <c r="R73" s="54">
        <f>SUMIFS('Combined P&amp;L'!P:P,'Combined P&amp;L'!$C:$C,'P&amp;L Forecast'!$B73)</f>
        <v>22.111000000000001</v>
      </c>
      <c r="S73" s="54">
        <f>SUMIFS('Combined P&amp;L'!Q:Q,'Combined P&amp;L'!$C:$C,'P&amp;L Forecast'!$B73)</f>
        <v>22.146000000000001</v>
      </c>
      <c r="T73" s="54">
        <f>SUMIFS('Combined P&amp;L'!R:R,'Combined P&amp;L'!$C:$C,'P&amp;L Forecast'!$B73)</f>
        <v>21.966000000000001</v>
      </c>
      <c r="U73" s="54">
        <f>SUMIFS('Combined P&amp;L'!S:S,'Combined P&amp;L'!$C:$C,'P&amp;L Forecast'!$B73)</f>
        <v>17.815999999999999</v>
      </c>
      <c r="V73" s="54">
        <f>SUMIFS('Combined P&amp;L'!T:T,'Combined P&amp;L'!$C:$C,'P&amp;L Forecast'!$B73)</f>
        <v>17.620999999999999</v>
      </c>
      <c r="W73" s="54">
        <f>SUMIFS('Combined P&amp;L'!U:U,'Combined P&amp;L'!$C:$C,'P&amp;L Forecast'!$B73)</f>
        <v>17.536000000000001</v>
      </c>
      <c r="X73" s="54">
        <f>SUMIFS('Combined P&amp;L'!V:V,'Combined P&amp;L'!$C:$C,'P&amp;L Forecast'!$B73)</f>
        <v>16.425999999999998</v>
      </c>
      <c r="Y73" s="54">
        <f>SUMIFS('Combined P&amp;L'!W:W,'Combined P&amp;L'!$C:$C,'P&amp;L Forecast'!$B73)</f>
        <v>15.381</v>
      </c>
      <c r="Z73" s="54">
        <f>SUMIFS('Combined P&amp;L'!X:X,'Combined P&amp;L'!$C:$C,'P&amp;L Forecast'!$B73)</f>
        <v>14.6755</v>
      </c>
      <c r="AA73" s="54">
        <f>SUMIFS('Combined P&amp;L'!Y:Y,'Combined P&amp;L'!$C:$C,'P&amp;L Forecast'!$B73)</f>
        <v>15.0755</v>
      </c>
      <c r="AB73" s="54">
        <f>SUMIFS('Combined P&amp;L'!Z:Z,'Combined P&amp;L'!$C:$C,'P&amp;L Forecast'!$B73)</f>
        <v>14.5625</v>
      </c>
      <c r="AC73" s="54">
        <f>SUMIFS('Combined P&amp;L'!AA:AA,'Combined P&amp;L'!$C:$C,'P&amp;L Forecast'!$B73)</f>
        <v>12.8025</v>
      </c>
      <c r="AD73" s="54">
        <f>SUMIFS('Combined P&amp;L'!AB:AB,'Combined P&amp;L'!$C:$C,'P&amp;L Forecast'!$B73)</f>
        <v>12.4025</v>
      </c>
      <c r="AE73" s="54">
        <f>SUMIFS('Combined P&amp;L'!AC:AC,'Combined P&amp;L'!$C:$C,'P&amp;L Forecast'!$B73)</f>
        <v>12.602499999999999</v>
      </c>
      <c r="AF73" s="54">
        <f>SUMIFS('Combined P&amp;L'!AD:AD,'Combined P&amp;L'!$C:$C,'P&amp;L Forecast'!$B73)</f>
        <v>12.7525</v>
      </c>
      <c r="AG73" s="54">
        <f>SUMIFS('Combined P&amp;L'!AE:AE,'Combined P&amp;L'!$C:$C,'P&amp;L Forecast'!$B73)</f>
        <v>12.7925</v>
      </c>
      <c r="AH73" s="54">
        <f>SUMIFS('Combined P&amp;L'!AF:AF,'Combined P&amp;L'!$C:$C,'P&amp;L Forecast'!$B73)</f>
        <v>12.5375</v>
      </c>
      <c r="AI73" s="54">
        <f>SUMIFS('Combined P&amp;L'!AG:AG,'Combined P&amp;L'!$C:$C,'P&amp;L Forecast'!$B73)</f>
        <v>11.8575</v>
      </c>
      <c r="AJ73" s="54">
        <f>SUMIFS('Combined P&amp;L'!AH:AH,'Combined P&amp;L'!$C:$C,'P&amp;L Forecast'!$B73)</f>
        <v>12.3025</v>
      </c>
      <c r="AK73" s="54">
        <f>SUMIFS('Combined P&amp;L'!AI:AI,'Combined P&amp;L'!$C:$C,'P&amp;L Forecast'!$B73)</f>
        <v>11.692500000000001</v>
      </c>
      <c r="AL73" s="54">
        <f>SUMIFS('Combined P&amp;L'!AJ:AJ,'Combined P&amp;L'!$C:$C,'P&amp;L Forecast'!$B73)</f>
        <v>11.717499999999999</v>
      </c>
      <c r="AM73" s="54">
        <f>SUMIFS('Combined P&amp;L'!AK:AK,'Combined P&amp;L'!$C:$C,'P&amp;L Forecast'!$B73)</f>
        <v>11.7475</v>
      </c>
      <c r="AN73" s="54">
        <f>SUMIFS('Combined P&amp;L'!AL:AL,'Combined P&amp;L'!$C:$C,'P&amp;L Forecast'!$B73)</f>
        <v>11.2805</v>
      </c>
      <c r="AO73" s="54">
        <f>SUMIFS('Combined P&amp;L'!AM:AM,'Combined P&amp;L'!$C:$C,'P&amp;L Forecast'!$B73)</f>
        <v>10.9305</v>
      </c>
      <c r="AP73" s="54">
        <f>SUMIFS('Combined P&amp;L'!AN:AN,'Combined P&amp;L'!$C:$C,'P&amp;L Forecast'!$B73)</f>
        <v>10.625500000000001</v>
      </c>
      <c r="AQ73" s="54">
        <f>SUMIFS('Combined P&amp;L'!AO:AO,'Combined P&amp;L'!$C:$C,'P&amp;L Forecast'!$B73)</f>
        <v>10.3155</v>
      </c>
      <c r="AR73" s="54">
        <f>SUMIFS('Combined P&amp;L'!AP:AP,'Combined P&amp;L'!$C:$C,'P&amp;L Forecast'!$B73)</f>
        <v>10.3155</v>
      </c>
      <c r="AS73" s="54">
        <f>SUMIFS('Combined P&amp;L'!AQ:AQ,'Combined P&amp;L'!$C:$C,'P&amp;L Forecast'!$B73)</f>
        <v>9.9755000000000003</v>
      </c>
      <c r="AT73" s="54">
        <f>SUMIFS('Combined P&amp;L'!AR:AR,'Combined P&amp;L'!$C:$C,'P&amp;L Forecast'!$B73)</f>
        <v>9.9755000000000003</v>
      </c>
    </row>
    <row r="74" spans="1:46" x14ac:dyDescent="0.2">
      <c r="B74" s="58" t="s">
        <v>20</v>
      </c>
      <c r="C74" s="24">
        <f>SUMIFS($P74:$AT74,$P$69:$AT$69,"&gt;"&amp;C$169,$P$69:$AT$69,"&lt;"&amp;C$170)</f>
        <v>44.058500000000002</v>
      </c>
      <c r="D74" s="24">
        <f>SUMIFS($P74:$AT74,$P$69:$AT$69,"&gt;"&amp;D$169,$P$69:$AT$69,"&lt;"&amp;D$170)</f>
        <v>74.519299999999987</v>
      </c>
      <c r="E74" s="24"/>
      <c r="F74" s="24">
        <f>SUMIFS($P74:$AT74,$P$69:$AT$69,"&gt;"&amp;F$169,$P$69:$AT$69,"&lt;"&amp;F$170)</f>
        <v>42.254049999999999</v>
      </c>
      <c r="G74" s="24">
        <f>SUMIFS($P74:$AT74,$P$69:$AT$69,"&gt;"&amp;G$169,$P$69:$AT$69,"&lt;"&amp;G$170)</f>
        <v>59.055000000000007</v>
      </c>
      <c r="H74" s="24"/>
      <c r="I74" s="24">
        <f>SUMIFS($P74:$AT74,$P$69:$AT$69,"&gt;"&amp;I$169,$P$69:$AT$69,"&lt;"&amp;I$170)</f>
        <v>55.660549999999994</v>
      </c>
      <c r="J74" s="24">
        <f>SUMIFS($P74:$AT74,$P$69:$AT$69,"&gt;"&amp;J$169,$P$69:$AT$69,"&lt;"&amp;J$170)</f>
        <v>91.655749999999998</v>
      </c>
      <c r="K74" s="104">
        <f>+C9</f>
        <v>103.5675</v>
      </c>
      <c r="L74" s="87"/>
      <c r="M74" s="24">
        <f t="shared" si="6"/>
        <v>11.911749999999998</v>
      </c>
      <c r="N74" s="67">
        <f t="shared" si="7"/>
        <v>0.12996184091014484</v>
      </c>
      <c r="O74" s="53"/>
      <c r="P74" s="54">
        <f>SUMIFS('Combined P&amp;L'!N:N,'Combined P&amp;L'!$C:$C,'P&amp;L Forecast'!$B74)</f>
        <v>5.4649999999999999</v>
      </c>
      <c r="Q74" s="54">
        <f>SUMIFS('Combined P&amp;L'!O:O,'Combined P&amp;L'!$C:$C,'P&amp;L Forecast'!$B74)</f>
        <v>3.9</v>
      </c>
      <c r="R74" s="54">
        <f>SUMIFS('Combined P&amp;L'!P:P,'Combined P&amp;L'!$C:$C,'P&amp;L Forecast'!$B74)</f>
        <v>2.7549999999999999</v>
      </c>
      <c r="S74" s="54">
        <f>SUMIFS('Combined P&amp;L'!Q:Q,'Combined P&amp;L'!$C:$C,'P&amp;L Forecast'!$B74)</f>
        <v>3.5019999999999998</v>
      </c>
      <c r="T74" s="54">
        <f>SUMIFS('Combined P&amp;L'!R:R,'Combined P&amp;L'!$C:$C,'P&amp;L Forecast'!$B74)</f>
        <v>4.6589999999999998</v>
      </c>
      <c r="U74" s="54">
        <f>SUMIFS('Combined P&amp;L'!S:S,'Combined P&amp;L'!$C:$C,'P&amp;L Forecast'!$B74)</f>
        <v>3.9369999999999998</v>
      </c>
      <c r="V74" s="54">
        <f>SUMIFS('Combined P&amp;L'!T:T,'Combined P&amp;L'!$C:$C,'P&amp;L Forecast'!$B74)</f>
        <v>4.6020000000000003</v>
      </c>
      <c r="W74" s="54">
        <f>SUMIFS('Combined P&amp;L'!U:U,'Combined P&amp;L'!$C:$C,'P&amp;L Forecast'!$B74)</f>
        <v>4.7380000000000004</v>
      </c>
      <c r="X74" s="54">
        <f>SUMIFS('Combined P&amp;L'!V:V,'Combined P&amp;L'!$C:$C,'P&amp;L Forecast'!$B74)</f>
        <v>2.1190000000000002</v>
      </c>
      <c r="Y74" s="54">
        <f>SUMIFS('Combined P&amp;L'!W:W,'Combined P&amp;L'!$C:$C,'P&amp;L Forecast'!$B74)</f>
        <v>2.0640000000000001</v>
      </c>
      <c r="Z74" s="54">
        <f>SUMIFS('Combined P&amp;L'!X:X,'Combined P&amp;L'!$C:$C,'P&amp;L Forecast'!$B74)</f>
        <v>3.0125000000000002</v>
      </c>
      <c r="AA74" s="54">
        <f>SUMIFS('Combined P&amp;L'!Y:Y,'Combined P&amp;L'!$C:$C,'P&amp;L Forecast'!$B74)</f>
        <v>3.3050000000000002</v>
      </c>
      <c r="AB74" s="54">
        <f>SUMIFS('Combined P&amp;L'!Z:Z,'Combined P&amp;L'!$C:$C,'P&amp;L Forecast'!$B74)</f>
        <v>3.0790000000000002</v>
      </c>
      <c r="AC74" s="54">
        <f>SUMIFS('Combined P&amp;L'!AA:AA,'Combined P&amp;L'!$C:$C,'P&amp;L Forecast'!$B74)</f>
        <v>0.7</v>
      </c>
      <c r="AD74" s="54">
        <f>SUMIFS('Combined P&amp;L'!AB:AB,'Combined P&amp;L'!$C:$C,'P&amp;L Forecast'!$B74)</f>
        <v>10.438549999999999</v>
      </c>
      <c r="AE74" s="54">
        <f>SUMIFS('Combined P&amp;L'!AC:AC,'Combined P&amp;L'!$C:$C,'P&amp;L Forecast'!$B74)</f>
        <v>4.3</v>
      </c>
      <c r="AF74" s="54">
        <f>SUMIFS('Combined P&amp;L'!AD:AD,'Combined P&amp;L'!$C:$C,'P&amp;L Forecast'!$B74)</f>
        <v>11.14</v>
      </c>
      <c r="AG74" s="54">
        <f>SUMIFS('Combined P&amp;L'!AE:AE,'Combined P&amp;L'!$C:$C,'P&amp;L Forecast'!$B74)</f>
        <v>6.1624999999999996</v>
      </c>
      <c r="AH74" s="54">
        <f>SUMIFS('Combined P&amp;L'!AF:AF,'Combined P&amp;L'!$C:$C,'P&amp;L Forecast'!$B74)</f>
        <v>6.4340000000000002</v>
      </c>
      <c r="AI74" s="54">
        <f>SUMIFS('Combined P&amp;L'!AG:AG,'Combined P&amp;L'!$C:$C,'P&amp;L Forecast'!$B74)</f>
        <v>3.9649999999999999</v>
      </c>
      <c r="AJ74" s="54">
        <f>SUMIFS('Combined P&amp;L'!AH:AH,'Combined P&amp;L'!$C:$C,'P&amp;L Forecast'!$B74)</f>
        <v>3.92</v>
      </c>
      <c r="AK74" s="54">
        <f>SUMIFS('Combined P&amp;L'!AI:AI,'Combined P&amp;L'!$C:$C,'P&amp;L Forecast'!$B74)</f>
        <v>9.1364999999999998</v>
      </c>
      <c r="AL74" s="54">
        <f>SUMIFS('Combined P&amp;L'!AJ:AJ,'Combined P&amp;L'!$C:$C,'P&amp;L Forecast'!$B74)</f>
        <v>5.2537500000000001</v>
      </c>
      <c r="AM74" s="54">
        <f>SUMIFS('Combined P&amp;L'!AK:AK,'Combined P&amp;L'!$C:$C,'P&amp;L Forecast'!$B74)</f>
        <v>9.99</v>
      </c>
      <c r="AN74" s="54">
        <f>SUMIFS('Combined P&amp;L'!AL:AL,'Combined P&amp;L'!$C:$C,'P&amp;L Forecast'!$B74)</f>
        <v>10.2105</v>
      </c>
      <c r="AO74" s="54">
        <f>SUMIFS('Combined P&amp;L'!AM:AM,'Combined P&amp;L'!$C:$C,'P&amp;L Forecast'!$B74)</f>
        <v>6.6749999999999998</v>
      </c>
      <c r="AP74" s="54">
        <f>SUMIFS('Combined P&amp;L'!AN:AN,'Combined P&amp;L'!$C:$C,'P&amp;L Forecast'!$B74)</f>
        <v>9.0990000000000002</v>
      </c>
      <c r="AQ74" s="54">
        <f>SUMIFS('Combined P&amp;L'!AO:AO,'Combined P&amp;L'!$C:$C,'P&amp;L Forecast'!$B74)</f>
        <v>8.9544999999999995</v>
      </c>
      <c r="AR74" s="54">
        <f>SUMIFS('Combined P&amp;L'!AP:AP,'Combined P&amp;L'!$C:$C,'P&amp;L Forecast'!$B74)</f>
        <v>12.606</v>
      </c>
      <c r="AS74" s="54">
        <f>SUMIFS('Combined P&amp;L'!AQ:AQ,'Combined P&amp;L'!$C:$C,'P&amp;L Forecast'!$B74)</f>
        <v>5.4115000000000002</v>
      </c>
      <c r="AT74" s="54">
        <f>SUMIFS('Combined P&amp;L'!AR:AR,'Combined P&amp;L'!$C:$C,'P&amp;L Forecast'!$B74)</f>
        <v>6.0984999999999996</v>
      </c>
    </row>
    <row r="75" spans="1:46" x14ac:dyDescent="0.2">
      <c r="B75" s="57" t="s">
        <v>28</v>
      </c>
      <c r="C75" s="24">
        <f>SUMIFS($P75:$AT75,$P$69:$AT$69,"&gt;"&amp;C$169,$P$69:$AT$69,"&lt;"&amp;C$170)</f>
        <v>0</v>
      </c>
      <c r="D75" s="24">
        <f>SUMIFS($P75:$AT75,$P$69:$AT$69,"&gt;"&amp;D$169,$P$69:$AT$69,"&lt;"&amp;D$170)</f>
        <v>9.947000000000001</v>
      </c>
      <c r="E75" s="24"/>
      <c r="F75" s="24">
        <f>SUMIFS($P75:$AT75,$P$69:$AT$69,"&gt;"&amp;F$169,$P$69:$AT$69,"&lt;"&amp;F$170)</f>
        <v>0</v>
      </c>
      <c r="G75" s="24">
        <f>SUMIFS($P75:$AT75,$P$69:$AT$69,"&gt;"&amp;G$169,$P$69:$AT$69,"&lt;"&amp;G$170)</f>
        <v>45.085999999999991</v>
      </c>
      <c r="H75" s="24"/>
      <c r="I75" s="24">
        <f>SUMIFS($P75:$AT75,$P$69:$AT$69,"&gt;"&amp;I$169,$P$69:$AT$69,"&lt;"&amp;I$170)</f>
        <v>0</v>
      </c>
      <c r="J75" s="24">
        <f>SUMIFS($P75:$AT75,$P$69:$AT$69,"&gt;"&amp;J$169,$P$69:$AT$69,"&lt;"&amp;J$170)</f>
        <v>47.129999999999995</v>
      </c>
      <c r="K75" s="66">
        <f>+C11</f>
        <v>94.835999999999999</v>
      </c>
      <c r="L75" s="66"/>
      <c r="M75" s="24">
        <f>K75-J75</f>
        <v>47.706000000000003</v>
      </c>
      <c r="N75" s="67">
        <f>IFERROR(K75/J75-1,0)</f>
        <v>1.0122215149586253</v>
      </c>
      <c r="O75" s="53"/>
      <c r="P75" s="54">
        <f>SUMIFS('Combined P&amp;L'!N:N,'Combined P&amp;L'!$C:$C,'P&amp;L Forecast'!$B75)</f>
        <v>0</v>
      </c>
      <c r="Q75" s="54">
        <f>SUMIFS('Combined P&amp;L'!O:O,'Combined P&amp;L'!$C:$C,'P&amp;L Forecast'!$B75)</f>
        <v>0</v>
      </c>
      <c r="R75" s="54">
        <f>SUMIFS('Combined P&amp;L'!P:P,'Combined P&amp;L'!$C:$C,'P&amp;L Forecast'!$B75)</f>
        <v>0</v>
      </c>
      <c r="S75" s="54">
        <f>SUMIFS('Combined P&amp;L'!Q:Q,'Combined P&amp;L'!$C:$C,'P&amp;L Forecast'!$B75)</f>
        <v>0</v>
      </c>
      <c r="T75" s="54">
        <f>SUMIFS('Combined P&amp;L'!R:R,'Combined P&amp;L'!$C:$C,'P&amp;L Forecast'!$B75)</f>
        <v>0</v>
      </c>
      <c r="U75" s="54">
        <f>SUMIFS('Combined P&amp;L'!S:S,'Combined P&amp;L'!$C:$C,'P&amp;L Forecast'!$B75)</f>
        <v>0</v>
      </c>
      <c r="V75" s="54">
        <f>SUMIFS('Combined P&amp;L'!T:T,'Combined P&amp;L'!$C:$C,'P&amp;L Forecast'!$B75)</f>
        <v>0</v>
      </c>
      <c r="W75" s="54">
        <f>SUMIFS('Combined P&amp;L'!U:U,'Combined P&amp;L'!$C:$C,'P&amp;L Forecast'!$B75)</f>
        <v>0</v>
      </c>
      <c r="X75" s="54">
        <f>SUMIFS('Combined P&amp;L'!V:V,'Combined P&amp;L'!$C:$C,'P&amp;L Forecast'!$B75)</f>
        <v>0</v>
      </c>
      <c r="Y75" s="54">
        <f>SUMIFS('Combined P&amp;L'!W:W,'Combined P&amp;L'!$C:$C,'P&amp;L Forecast'!$B75)</f>
        <v>0</v>
      </c>
      <c r="Z75" s="54">
        <f>SUMIFS('Combined P&amp;L'!X:X,'Combined P&amp;L'!$C:$C,'P&amp;L Forecast'!$B75)</f>
        <v>0</v>
      </c>
      <c r="AA75" s="54">
        <f>SUMIFS('Combined P&amp;L'!Y:Y,'Combined P&amp;L'!$C:$C,'P&amp;L Forecast'!$B75)</f>
        <v>0</v>
      </c>
      <c r="AB75" s="54">
        <f>SUMIFS('Combined P&amp;L'!Z:Z,'Combined P&amp;L'!$C:$C,'P&amp;L Forecast'!$B75)</f>
        <v>0</v>
      </c>
      <c r="AC75" s="54">
        <f>SUMIFS('Combined P&amp;L'!AA:AA,'Combined P&amp;L'!$C:$C,'P&amp;L Forecast'!$B75)</f>
        <v>0</v>
      </c>
      <c r="AD75" s="54">
        <f>SUMIFS('Combined P&amp;L'!AB:AB,'Combined P&amp;L'!$C:$C,'P&amp;L Forecast'!$B75)</f>
        <v>0</v>
      </c>
      <c r="AE75" s="54">
        <f>SUMIFS('Combined P&amp;L'!AC:AC,'Combined P&amp;L'!$C:$C,'P&amp;L Forecast'!$B75)</f>
        <v>0</v>
      </c>
      <c r="AF75" s="54">
        <f>SUMIFS('Combined P&amp;L'!AD:AD,'Combined P&amp;L'!$C:$C,'P&amp;L Forecast'!$B75)</f>
        <v>0</v>
      </c>
      <c r="AG75" s="54">
        <f>SUMIFS('Combined P&amp;L'!AE:AE,'Combined P&amp;L'!$C:$C,'P&amp;L Forecast'!$B75)</f>
        <v>0</v>
      </c>
      <c r="AH75" s="54">
        <f>SUMIFS('Combined P&amp;L'!AF:AF,'Combined P&amp;L'!$C:$C,'P&amp;L Forecast'!$B75)</f>
        <v>0</v>
      </c>
      <c r="AI75" s="54">
        <f>SUMIFS('Combined P&amp;L'!AG:AG,'Combined P&amp;L'!$C:$C,'P&amp;L Forecast'!$B75)</f>
        <v>0</v>
      </c>
      <c r="AJ75" s="54">
        <f>SUMIFS('Combined P&amp;L'!AH:AH,'Combined P&amp;L'!$C:$C,'P&amp;L Forecast'!$B75)</f>
        <v>0.52</v>
      </c>
      <c r="AK75" s="54">
        <f>SUMIFS('Combined P&amp;L'!AI:AI,'Combined P&amp;L'!$C:$C,'P&amp;L Forecast'!$B75)</f>
        <v>2.3570000000000002</v>
      </c>
      <c r="AL75" s="54">
        <f>SUMIFS('Combined P&amp;L'!AJ:AJ,'Combined P&amp;L'!$C:$C,'P&amp;L Forecast'!$B75)</f>
        <v>2.8109999999999999</v>
      </c>
      <c r="AM75" s="54">
        <f>SUMIFS('Combined P&amp;L'!AK:AK,'Combined P&amp;L'!$C:$C,'P&amp;L Forecast'!$B75)</f>
        <v>4.2590000000000003</v>
      </c>
      <c r="AN75" s="54">
        <f>SUMIFS('Combined P&amp;L'!AL:AL,'Combined P&amp;L'!$C:$C,'P&amp;L Forecast'!$B75)</f>
        <v>5.2539999999999996</v>
      </c>
      <c r="AO75" s="54">
        <f>SUMIFS('Combined P&amp;L'!AM:AM,'Combined P&amp;L'!$C:$C,'P&amp;L Forecast'!$B75)</f>
        <v>5.6520000000000001</v>
      </c>
      <c r="AP75" s="54">
        <f>SUMIFS('Combined P&amp;L'!AN:AN,'Combined P&amp;L'!$C:$C,'P&amp;L Forecast'!$B75)</f>
        <v>5.3239999999999998</v>
      </c>
      <c r="AQ75" s="54">
        <f>SUMIFS('Combined P&amp;L'!AO:AO,'Combined P&amp;L'!$C:$C,'P&amp;L Forecast'!$B75)</f>
        <v>6.3209999999999997</v>
      </c>
      <c r="AR75" s="54">
        <f>SUMIFS('Combined P&amp;L'!AP:AP,'Combined P&amp;L'!$C:$C,'P&amp;L Forecast'!$B75)</f>
        <v>6.9589999999999996</v>
      </c>
      <c r="AS75" s="54">
        <f>SUMIFS('Combined P&amp;L'!AQ:AQ,'Combined P&amp;L'!$C:$C,'P&amp;L Forecast'!$B75)</f>
        <v>7.673</v>
      </c>
      <c r="AT75" s="54">
        <f>SUMIFS('Combined P&amp;L'!AR:AR,'Combined P&amp;L'!$C:$C,'P&amp;L Forecast'!$B75)</f>
        <v>7.9029999999999996</v>
      </c>
    </row>
    <row r="76" spans="1:46" x14ac:dyDescent="0.2">
      <c r="B76" s="57" t="s">
        <v>26</v>
      </c>
      <c r="C76" s="24">
        <f>SUMIFS($P76:$AT76,$P$69:$AT$69,"&gt;"&amp;C$169,$P$69:$AT$69,"&lt;"&amp;C$170)</f>
        <v>0.06</v>
      </c>
      <c r="D76" s="24">
        <f>SUMIFS($P76:$AT76,$P$69:$AT$69,"&gt;"&amp;D$169,$P$69:$AT$69,"&lt;"&amp;D$170)</f>
        <v>36.606499999999997</v>
      </c>
      <c r="E76" s="24"/>
      <c r="F76" s="24">
        <f>SUMIFS($P76:$AT76,$P$69:$AT$69,"&gt;"&amp;F$169,$P$69:$AT$69,"&lt;"&amp;F$170)</f>
        <v>15.4915</v>
      </c>
      <c r="G76" s="24">
        <f>SUMIFS($P76:$AT76,$P$69:$AT$69,"&gt;"&amp;G$169,$P$69:$AT$69,"&lt;"&amp;G$170)</f>
        <v>45.129999999999995</v>
      </c>
      <c r="H76" s="24"/>
      <c r="I76" s="24">
        <f>SUMIFS($P76:$AT76,$P$69:$AT$69,"&gt;"&amp;I$169,$P$69:$AT$69,"&lt;"&amp;I$170)</f>
        <v>11.631500000000001</v>
      </c>
      <c r="J76" s="24">
        <f>SUMIFS($P76:$AT76,$P$69:$AT$69,"&gt;"&amp;J$169,$P$69:$AT$69,"&lt;"&amp;J$170)</f>
        <v>63.209999999999994</v>
      </c>
      <c r="K76" s="66">
        <f>+C10</f>
        <v>83.460000000000008</v>
      </c>
      <c r="L76" s="66"/>
      <c r="M76" s="24">
        <f t="shared" si="6"/>
        <v>20.250000000000014</v>
      </c>
      <c r="N76" s="67">
        <f t="shared" si="7"/>
        <v>0.3203607024205033</v>
      </c>
      <c r="O76" s="53"/>
      <c r="P76" s="54">
        <f>SUMIFS('Combined P&amp;L'!N:N,'Combined P&amp;L'!$C:$C,'P&amp;L Forecast'!$B76)</f>
        <v>0</v>
      </c>
      <c r="Q76" s="54">
        <f>SUMIFS('Combined P&amp;L'!O:O,'Combined P&amp;L'!$C:$C,'P&amp;L Forecast'!$B76)</f>
        <v>0</v>
      </c>
      <c r="R76" s="54">
        <f>SUMIFS('Combined P&amp;L'!P:P,'Combined P&amp;L'!$C:$C,'P&amp;L Forecast'!$B76)</f>
        <v>0</v>
      </c>
      <c r="S76" s="54">
        <f>SUMIFS('Combined P&amp;L'!Q:Q,'Combined P&amp;L'!$C:$C,'P&amp;L Forecast'!$B76)</f>
        <v>0</v>
      </c>
      <c r="T76" s="54">
        <f>SUMIFS('Combined P&amp;L'!R:R,'Combined P&amp;L'!$C:$C,'P&amp;L Forecast'!$B76)</f>
        <v>0</v>
      </c>
      <c r="U76" s="54">
        <f>SUMIFS('Combined P&amp;L'!S:S,'Combined P&amp;L'!$C:$C,'P&amp;L Forecast'!$B76)</f>
        <v>0</v>
      </c>
      <c r="V76" s="54">
        <f>SUMIFS('Combined P&amp;L'!T:T,'Combined P&amp;L'!$C:$C,'P&amp;L Forecast'!$B76)</f>
        <v>0</v>
      </c>
      <c r="W76" s="54">
        <f>SUMIFS('Combined P&amp;L'!U:U,'Combined P&amp;L'!$C:$C,'P&amp;L Forecast'!$B76)</f>
        <v>0</v>
      </c>
      <c r="X76" s="54">
        <f>SUMIFS('Combined P&amp;L'!V:V,'Combined P&amp;L'!$C:$C,'P&amp;L Forecast'!$B76)</f>
        <v>0</v>
      </c>
      <c r="Y76" s="54">
        <f>SUMIFS('Combined P&amp;L'!W:W,'Combined P&amp;L'!$C:$C,'P&amp;L Forecast'!$B76)</f>
        <v>0</v>
      </c>
      <c r="Z76" s="54">
        <f>SUMIFS('Combined P&amp;L'!X:X,'Combined P&amp;L'!$C:$C,'P&amp;L Forecast'!$B76)</f>
        <v>0</v>
      </c>
      <c r="AA76" s="54">
        <f>SUMIFS('Combined P&amp;L'!Y:Y,'Combined P&amp;L'!$C:$C,'P&amp;L Forecast'!$B76)</f>
        <v>0.06</v>
      </c>
      <c r="AB76" s="54">
        <f>SUMIFS('Combined P&amp;L'!Z:Z,'Combined P&amp;L'!$C:$C,'P&amp;L Forecast'!$B76)</f>
        <v>0.97</v>
      </c>
      <c r="AC76" s="54">
        <f>SUMIFS('Combined P&amp;L'!AA:AA,'Combined P&amp;L'!$C:$C,'P&amp;L Forecast'!$B76)</f>
        <v>1.1000000000000001</v>
      </c>
      <c r="AD76" s="54">
        <f>SUMIFS('Combined P&amp;L'!AB:AB,'Combined P&amp;L'!$C:$C,'P&amp;L Forecast'!$B76)</f>
        <v>1.7350000000000001</v>
      </c>
      <c r="AE76" s="54">
        <f>SUMIFS('Combined P&amp;L'!AC:AC,'Combined P&amp;L'!$C:$C,'P&amp;L Forecast'!$B76)</f>
        <v>2.14</v>
      </c>
      <c r="AF76" s="54">
        <f>SUMIFS('Combined P&amp;L'!AD:AD,'Combined P&amp;L'!$C:$C,'P&amp;L Forecast'!$B76)</f>
        <v>2.363</v>
      </c>
      <c r="AG76" s="54">
        <f>SUMIFS('Combined P&amp;L'!AE:AE,'Combined P&amp;L'!$C:$C,'P&amp;L Forecast'!$B76)</f>
        <v>3.2635000000000001</v>
      </c>
      <c r="AH76" s="54">
        <f>SUMIFS('Combined P&amp;L'!AF:AF,'Combined P&amp;L'!$C:$C,'P&amp;L Forecast'!$B76)</f>
        <v>3.92</v>
      </c>
      <c r="AI76" s="54">
        <f>SUMIFS('Combined P&amp;L'!AG:AG,'Combined P&amp;L'!$C:$C,'P&amp;L Forecast'!$B76)</f>
        <v>3.9049999999999998</v>
      </c>
      <c r="AJ76" s="54">
        <f>SUMIFS('Combined P&amp;L'!AH:AH,'Combined P&amp;L'!$C:$C,'P&amp;L Forecast'!$B76)</f>
        <v>3.78</v>
      </c>
      <c r="AK76" s="54">
        <f>SUMIFS('Combined P&amp;L'!AI:AI,'Combined P&amp;L'!$C:$C,'P&amp;L Forecast'!$B76)</f>
        <v>3.7949999999999999</v>
      </c>
      <c r="AL76" s="54">
        <f>SUMIFS('Combined P&amp;L'!AJ:AJ,'Combined P&amp;L'!$C:$C,'P&amp;L Forecast'!$B76)</f>
        <v>4.33</v>
      </c>
      <c r="AM76" s="54">
        <f>SUMIFS('Combined P&amp;L'!AK:AK,'Combined P&amp;L'!$C:$C,'P&amp;L Forecast'!$B76)</f>
        <v>5.3049999999999997</v>
      </c>
      <c r="AN76" s="54">
        <f>SUMIFS('Combined P&amp;L'!AL:AL,'Combined P&amp;L'!$C:$C,'P&amp;L Forecast'!$B76)</f>
        <v>6.3</v>
      </c>
      <c r="AO76" s="54">
        <f>SUMIFS('Combined P&amp;L'!AM:AM,'Combined P&amp;L'!$C:$C,'P&amp;L Forecast'!$B76)</f>
        <v>6.39</v>
      </c>
      <c r="AP76" s="54">
        <f>SUMIFS('Combined P&amp;L'!AN:AN,'Combined P&amp;L'!$C:$C,'P&amp;L Forecast'!$B76)</f>
        <v>6.4249999999999998</v>
      </c>
      <c r="AQ76" s="54">
        <f>SUMIFS('Combined P&amp;L'!AO:AO,'Combined P&amp;L'!$C:$C,'P&amp;L Forecast'!$B76)</f>
        <v>6.08</v>
      </c>
      <c r="AR76" s="54">
        <f>SUMIFS('Combined P&amp;L'!AP:AP,'Combined P&amp;L'!$C:$C,'P&amp;L Forecast'!$B76)</f>
        <v>6.3250000000000002</v>
      </c>
      <c r="AS76" s="54">
        <f>SUMIFS('Combined P&amp;L'!AQ:AQ,'Combined P&amp;L'!$C:$C,'P&amp;L Forecast'!$B76)</f>
        <v>6.6550000000000002</v>
      </c>
      <c r="AT76" s="54">
        <f>SUMIFS('Combined P&amp;L'!AR:AR,'Combined P&amp;L'!$C:$C,'P&amp;L Forecast'!$B76)</f>
        <v>6.9550000000000001</v>
      </c>
    </row>
    <row r="77" spans="1:46" x14ac:dyDescent="0.2">
      <c r="B77" s="58" t="s">
        <v>24</v>
      </c>
      <c r="C77" s="24">
        <f>SUMIFS($P77:$AT77,$P$69:$AT$69,"&gt;"&amp;C$169,$P$69:$AT$69,"&lt;"&amp;C$170)</f>
        <v>13.75</v>
      </c>
      <c r="D77" s="24">
        <f>SUMIFS($P77:$AT77,$P$69:$AT$69,"&gt;"&amp;D$169,$P$69:$AT$69,"&lt;"&amp;D$170)</f>
        <v>46.400000000000006</v>
      </c>
      <c r="E77" s="24"/>
      <c r="F77" s="24">
        <f>SUMIFS($P77:$AT77,$P$69:$AT$69,"&gt;"&amp;F$169,$P$69:$AT$69,"&lt;"&amp;F$170)</f>
        <v>31.5</v>
      </c>
      <c r="G77" s="24">
        <f>SUMIFS($P77:$AT77,$P$69:$AT$69,"&gt;"&amp;G$169,$P$69:$AT$69,"&lt;"&amp;G$170)</f>
        <v>24.25</v>
      </c>
      <c r="H77" s="24"/>
      <c r="I77" s="24">
        <f>SUMIFS($P77:$AT77,$P$69:$AT$69,"&gt;"&amp;I$169,$P$69:$AT$69,"&lt;"&amp;I$170)</f>
        <v>41.25</v>
      </c>
      <c r="J77" s="24">
        <f>SUMIFS($P77:$AT77,$P$69:$AT$69,"&gt;"&amp;J$169,$P$69:$AT$69,"&lt;"&amp;J$170)</f>
        <v>39.65</v>
      </c>
      <c r="K77" s="66">
        <f>+C12</f>
        <v>42</v>
      </c>
      <c r="L77" s="66"/>
      <c r="M77" s="24">
        <f t="shared" si="6"/>
        <v>2.3500000000000014</v>
      </c>
      <c r="N77" s="67">
        <f t="shared" si="7"/>
        <v>5.9268600252206927E-2</v>
      </c>
      <c r="O77" s="53"/>
      <c r="P77" s="54">
        <f>SUMIFS('Combined P&amp;L'!N:N,'Combined P&amp;L'!$C:$C,'P&amp;L Forecast'!$B77)</f>
        <v>0</v>
      </c>
      <c r="Q77" s="54">
        <f>SUMIFS('Combined P&amp;L'!O:O,'Combined P&amp;L'!$C:$C,'P&amp;L Forecast'!$B77)</f>
        <v>0</v>
      </c>
      <c r="R77" s="54">
        <f>SUMIFS('Combined P&amp;L'!P:P,'Combined P&amp;L'!$C:$C,'P&amp;L Forecast'!$B77)</f>
        <v>0</v>
      </c>
      <c r="S77" s="54">
        <f>SUMIFS('Combined P&amp;L'!Q:Q,'Combined P&amp;L'!$C:$C,'P&amp;L Forecast'!$B77)</f>
        <v>0</v>
      </c>
      <c r="T77" s="54">
        <f>SUMIFS('Combined P&amp;L'!R:R,'Combined P&amp;L'!$C:$C,'P&amp;L Forecast'!$B77)</f>
        <v>0</v>
      </c>
      <c r="U77" s="54">
        <f>SUMIFS('Combined P&amp;L'!S:S,'Combined P&amp;L'!$C:$C,'P&amp;L Forecast'!$B77)</f>
        <v>0</v>
      </c>
      <c r="V77" s="54">
        <f>SUMIFS('Combined P&amp;L'!T:T,'Combined P&amp;L'!$C:$C,'P&amp;L Forecast'!$B77)</f>
        <v>1.25</v>
      </c>
      <c r="W77" s="54">
        <f>SUMIFS('Combined P&amp;L'!U:U,'Combined P&amp;L'!$C:$C,'P&amp;L Forecast'!$B77)</f>
        <v>1.25</v>
      </c>
      <c r="X77" s="54">
        <f>SUMIFS('Combined P&amp;L'!V:V,'Combined P&amp;L'!$C:$C,'P&amp;L Forecast'!$B77)</f>
        <v>1.25</v>
      </c>
      <c r="Y77" s="54">
        <f>SUMIFS('Combined P&amp;L'!W:W,'Combined P&amp;L'!$C:$C,'P&amp;L Forecast'!$B77)</f>
        <v>1.25</v>
      </c>
      <c r="Z77" s="54">
        <f>SUMIFS('Combined P&amp;L'!X:X,'Combined P&amp;L'!$C:$C,'P&amp;L Forecast'!$B77)</f>
        <v>5.75</v>
      </c>
      <c r="AA77" s="54">
        <f>SUMIFS('Combined P&amp;L'!Y:Y,'Combined P&amp;L'!$C:$C,'P&amp;L Forecast'!$B77)</f>
        <v>3</v>
      </c>
      <c r="AB77" s="54">
        <f>SUMIFS('Combined P&amp;L'!Z:Z,'Combined P&amp;L'!$C:$C,'P&amp;L Forecast'!$B77)</f>
        <v>4.45</v>
      </c>
      <c r="AC77" s="54">
        <f>SUMIFS('Combined P&amp;L'!AA:AA,'Combined P&amp;L'!$C:$C,'P&amp;L Forecast'!$B77)</f>
        <v>3.45</v>
      </c>
      <c r="AD77" s="54">
        <f>SUMIFS('Combined P&amp;L'!AB:AB,'Combined P&amp;L'!$C:$C,'P&amp;L Forecast'!$B77)</f>
        <v>3.45</v>
      </c>
      <c r="AE77" s="54">
        <f>SUMIFS('Combined P&amp;L'!AC:AC,'Combined P&amp;L'!$C:$C,'P&amp;L Forecast'!$B77)</f>
        <v>5.95</v>
      </c>
      <c r="AF77" s="54">
        <f>SUMIFS('Combined P&amp;L'!AD:AD,'Combined P&amp;L'!$C:$C,'P&amp;L Forecast'!$B77)</f>
        <v>5.2</v>
      </c>
      <c r="AG77" s="54">
        <f>SUMIFS('Combined P&amp;L'!AE:AE,'Combined P&amp;L'!$C:$C,'P&amp;L Forecast'!$B77)</f>
        <v>5</v>
      </c>
      <c r="AH77" s="54">
        <f>SUMIFS('Combined P&amp;L'!AF:AF,'Combined P&amp;L'!$C:$C,'P&amp;L Forecast'!$B77)</f>
        <v>4</v>
      </c>
      <c r="AI77" s="54">
        <f>SUMIFS('Combined P&amp;L'!AG:AG,'Combined P&amp;L'!$C:$C,'P&amp;L Forecast'!$B77)</f>
        <v>2.95</v>
      </c>
      <c r="AJ77" s="54">
        <f>SUMIFS('Combined P&amp;L'!AH:AH,'Combined P&amp;L'!$C:$C,'P&amp;L Forecast'!$B77)</f>
        <v>3.0249999999999999</v>
      </c>
      <c r="AK77" s="54">
        <f>SUMIFS('Combined P&amp;L'!AI:AI,'Combined P&amp;L'!$C:$C,'P&amp;L Forecast'!$B77)</f>
        <v>3.0249999999999999</v>
      </c>
      <c r="AL77" s="54">
        <f>SUMIFS('Combined P&amp;L'!AJ:AJ,'Combined P&amp;L'!$C:$C,'P&amp;L Forecast'!$B77)</f>
        <v>2.95</v>
      </c>
      <c r="AM77" s="54">
        <f>SUMIFS('Combined P&amp;L'!AK:AK,'Combined P&amp;L'!$C:$C,'P&amp;L Forecast'!$B77)</f>
        <v>2.95</v>
      </c>
      <c r="AN77" s="54">
        <f>SUMIFS('Combined P&amp;L'!AL:AL,'Combined P&amp;L'!$C:$C,'P&amp;L Forecast'!$B77)</f>
        <v>2.75</v>
      </c>
      <c r="AO77" s="54">
        <f>SUMIFS('Combined P&amp;L'!AM:AM,'Combined P&amp;L'!$C:$C,'P&amp;L Forecast'!$B77)</f>
        <v>3.5</v>
      </c>
      <c r="AP77" s="54">
        <f>SUMIFS('Combined P&amp;L'!AN:AN,'Combined P&amp;L'!$C:$C,'P&amp;L Forecast'!$B77)</f>
        <v>2.75</v>
      </c>
      <c r="AQ77" s="54">
        <f>SUMIFS('Combined P&amp;L'!AO:AO,'Combined P&amp;L'!$C:$C,'P&amp;L Forecast'!$B77)</f>
        <v>4.75</v>
      </c>
      <c r="AR77" s="54">
        <f>SUMIFS('Combined P&amp;L'!AP:AP,'Combined P&amp;L'!$C:$C,'P&amp;L Forecast'!$B77)</f>
        <v>3.5</v>
      </c>
      <c r="AS77" s="54">
        <f>SUMIFS('Combined P&amp;L'!AQ:AQ,'Combined P&amp;L'!$C:$C,'P&amp;L Forecast'!$B77)</f>
        <v>3.5</v>
      </c>
      <c r="AT77" s="54">
        <f>SUMIFS('Combined P&amp;L'!AR:AR,'Combined P&amp;L'!$C:$C,'P&amp;L Forecast'!$B77)</f>
        <v>3.5</v>
      </c>
    </row>
    <row r="78" spans="1:46" x14ac:dyDescent="0.2">
      <c r="B78" s="58" t="s">
        <v>19</v>
      </c>
      <c r="C78" s="24">
        <f>SUMIFS($P78:$AT78,$P$69:$AT$69,"&gt;"&amp;C$169,$P$69:$AT$69,"&lt;"&amp;C$170)</f>
        <v>17.624000000000002</v>
      </c>
      <c r="D78" s="24">
        <f>SUMIFS($P78:$AT78,$P$69:$AT$69,"&gt;"&amp;D$169,$P$69:$AT$69,"&lt;"&amp;D$170)</f>
        <v>5.0337500000000004</v>
      </c>
      <c r="E78" s="24"/>
      <c r="F78" s="24">
        <f>SUMIFS($P78:$AT78,$P$69:$AT$69,"&gt;"&amp;F$169,$P$69:$AT$69,"&lt;"&amp;F$170)</f>
        <v>4.4387500000000006</v>
      </c>
      <c r="G78" s="24">
        <f>SUMIFS($P78:$AT78,$P$69:$AT$69,"&gt;"&amp;G$169,$P$69:$AT$69,"&lt;"&amp;G$170)</f>
        <v>0</v>
      </c>
      <c r="H78" s="24"/>
      <c r="I78" s="24">
        <f>SUMIFS($P78:$AT78,$P$69:$AT$69,"&gt;"&amp;I$169,$P$69:$AT$69,"&lt;"&amp;I$170)</f>
        <v>14.305250000000001</v>
      </c>
      <c r="J78" s="24">
        <f>SUMIFS($P78:$AT78,$P$69:$AT$69,"&gt;"&amp;J$169,$P$69:$AT$69,"&lt;"&amp;J$170)</f>
        <v>0.59499999999999997</v>
      </c>
      <c r="K78" s="66">
        <f>+C13</f>
        <v>0</v>
      </c>
      <c r="L78" s="66"/>
      <c r="M78" s="24">
        <f t="shared" si="6"/>
        <v>-0.59499999999999997</v>
      </c>
      <c r="N78" s="67">
        <f t="shared" si="7"/>
        <v>-1</v>
      </c>
      <c r="O78" s="53"/>
      <c r="P78" s="54">
        <f>SUMIFS('Combined P&amp;L'!N:N,'Combined P&amp;L'!$C:$C,'P&amp;L Forecast'!$B78)</f>
        <v>1.2</v>
      </c>
      <c r="Q78" s="54">
        <f>SUMIFS('Combined P&amp;L'!O:O,'Combined P&amp;L'!$C:$C,'P&amp;L Forecast'!$B78)</f>
        <v>1.7625</v>
      </c>
      <c r="R78" s="54">
        <f>SUMIFS('Combined P&amp;L'!P:P,'Combined P&amp;L'!$C:$C,'P&amp;L Forecast'!$B78)</f>
        <v>0.66</v>
      </c>
      <c r="S78" s="54">
        <f>SUMIFS('Combined P&amp;L'!Q:Q,'Combined P&amp;L'!$C:$C,'P&amp;L Forecast'!$B78)</f>
        <v>0.39500000000000002</v>
      </c>
      <c r="T78" s="54">
        <f>SUMIFS('Combined P&amp;L'!R:R,'Combined P&amp;L'!$C:$C,'P&amp;L Forecast'!$B78)</f>
        <v>2.4649999999999999</v>
      </c>
      <c r="U78" s="54">
        <f>SUMIFS('Combined P&amp;L'!S:S,'Combined P&amp;L'!$C:$C,'P&amp;L Forecast'!$B78)</f>
        <v>1.2749999999999999</v>
      </c>
      <c r="V78" s="54">
        <f>SUMIFS('Combined P&amp;L'!T:T,'Combined P&amp;L'!$C:$C,'P&amp;L Forecast'!$B78)</f>
        <v>1.4624999999999999</v>
      </c>
      <c r="W78" s="54">
        <f>SUMIFS('Combined P&amp;L'!U:U,'Combined P&amp;L'!$C:$C,'P&amp;L Forecast'!$B78)</f>
        <v>0</v>
      </c>
      <c r="X78" s="54">
        <f>SUMIFS('Combined P&amp;L'!V:V,'Combined P&amp;L'!$C:$C,'P&amp;L Forecast'!$B78)</f>
        <v>1.1452500000000001</v>
      </c>
      <c r="Y78" s="54">
        <f>SUMIFS('Combined P&amp;L'!W:W,'Combined P&amp;L'!$C:$C,'P&amp;L Forecast'!$B78)</f>
        <v>1.3552500000000001</v>
      </c>
      <c r="Z78" s="54">
        <f>SUMIFS('Combined P&amp;L'!X:X,'Combined P&amp;L'!$C:$C,'P&amp;L Forecast'!$B78)</f>
        <v>1.9035</v>
      </c>
      <c r="AA78" s="54">
        <f>SUMIFS('Combined P&amp;L'!Y:Y,'Combined P&amp;L'!$C:$C,'P&amp;L Forecast'!$B78)</f>
        <v>4</v>
      </c>
      <c r="AB78" s="54">
        <f>SUMIFS('Combined P&amp;L'!Z:Z,'Combined P&amp;L'!$C:$C,'P&amp;L Forecast'!$B78)</f>
        <v>1.08375</v>
      </c>
      <c r="AC78" s="54">
        <f>SUMIFS('Combined P&amp;L'!AA:AA,'Combined P&amp;L'!$C:$C,'P&amp;L Forecast'!$B78)</f>
        <v>2</v>
      </c>
      <c r="AD78" s="54">
        <f>SUMIFS('Combined P&amp;L'!AB:AB,'Combined P&amp;L'!$C:$C,'P&amp;L Forecast'!$B78)</f>
        <v>1.355</v>
      </c>
      <c r="AE78" s="54">
        <f>SUMIFS('Combined P&amp;L'!AC:AC,'Combined P&amp;L'!$C:$C,'P&amp;L Forecast'!$B78)</f>
        <v>0</v>
      </c>
      <c r="AF78" s="54">
        <f>SUMIFS('Combined P&amp;L'!AD:AD,'Combined P&amp;L'!$C:$C,'P&amp;L Forecast'!$B78)</f>
        <v>0</v>
      </c>
      <c r="AG78" s="54">
        <f>SUMIFS('Combined P&amp;L'!AE:AE,'Combined P&amp;L'!$C:$C,'P&amp;L Forecast'!$B78)</f>
        <v>0</v>
      </c>
      <c r="AH78" s="54">
        <f>SUMIFS('Combined P&amp;L'!AF:AF,'Combined P&amp;L'!$C:$C,'P&amp;L Forecast'!$B78)</f>
        <v>0</v>
      </c>
      <c r="AI78" s="54">
        <f>SUMIFS('Combined P&amp;L'!AG:AG,'Combined P&amp;L'!$C:$C,'P&amp;L Forecast'!$B78)</f>
        <v>0</v>
      </c>
      <c r="AJ78" s="54">
        <f>SUMIFS('Combined P&amp;L'!AH:AH,'Combined P&amp;L'!$C:$C,'P&amp;L Forecast'!$B78)</f>
        <v>0</v>
      </c>
      <c r="AK78" s="54">
        <f>SUMIFS('Combined P&amp;L'!AI:AI,'Combined P&amp;L'!$C:$C,'P&amp;L Forecast'!$B78)</f>
        <v>0.59499999999999997</v>
      </c>
      <c r="AL78" s="54">
        <f>SUMIFS('Combined P&amp;L'!AJ:AJ,'Combined P&amp;L'!$C:$C,'P&amp;L Forecast'!$B78)</f>
        <v>0</v>
      </c>
      <c r="AM78" s="54">
        <f>SUMIFS('Combined P&amp;L'!AK:AK,'Combined P&amp;L'!$C:$C,'P&amp;L Forecast'!$B78)</f>
        <v>0</v>
      </c>
      <c r="AN78" s="54">
        <f>SUMIFS('Combined P&amp;L'!AL:AL,'Combined P&amp;L'!$C:$C,'P&amp;L Forecast'!$B78)</f>
        <v>0</v>
      </c>
      <c r="AO78" s="54">
        <f>SUMIFS('Combined P&amp;L'!AM:AM,'Combined P&amp;L'!$C:$C,'P&amp;L Forecast'!$B78)</f>
        <v>0</v>
      </c>
      <c r="AP78" s="54">
        <f>SUMIFS('Combined P&amp;L'!AN:AN,'Combined P&amp;L'!$C:$C,'P&amp;L Forecast'!$B78)</f>
        <v>0</v>
      </c>
      <c r="AQ78" s="54">
        <f>SUMIFS('Combined P&amp;L'!AO:AO,'Combined P&amp;L'!$C:$C,'P&amp;L Forecast'!$B78)</f>
        <v>0</v>
      </c>
      <c r="AR78" s="54">
        <f>SUMIFS('Combined P&amp;L'!AP:AP,'Combined P&amp;L'!$C:$C,'P&amp;L Forecast'!$B78)</f>
        <v>0</v>
      </c>
      <c r="AS78" s="54">
        <f>SUMIFS('Combined P&amp;L'!AQ:AQ,'Combined P&amp;L'!$C:$C,'P&amp;L Forecast'!$B78)</f>
        <v>0</v>
      </c>
      <c r="AT78" s="54">
        <f>SUMIFS('Combined P&amp;L'!AR:AR,'Combined P&amp;L'!$C:$C,'P&amp;L Forecast'!$B78)</f>
        <v>0</v>
      </c>
    </row>
    <row r="79" spans="1:46" x14ac:dyDescent="0.2">
      <c r="B79" s="61" t="s">
        <v>261</v>
      </c>
      <c r="C79" s="62">
        <f>SUM(C71:C78)</f>
        <v>1094.31575</v>
      </c>
      <c r="D79" s="63">
        <f>SUM(D71:D78)</f>
        <v>1827.8493999999998</v>
      </c>
      <c r="F79" s="64">
        <f>SUM(F71:F78)</f>
        <v>958.89089999999987</v>
      </c>
      <c r="G79" s="63">
        <f>SUM(G71:G78)</f>
        <v>1600.0674899999999</v>
      </c>
      <c r="I79" s="64">
        <f>SUM(I71:I78)</f>
        <v>1414.7118</v>
      </c>
      <c r="J79" s="62">
        <f>SUM(J71:J78)</f>
        <v>2371.7313400000003</v>
      </c>
      <c r="K79" s="63">
        <f>SUM(K71:K78)</f>
        <v>3046.4493000000002</v>
      </c>
      <c r="L79" s="72"/>
      <c r="M79" s="64">
        <f>SUM(M71:M78)</f>
        <v>674.71796000000006</v>
      </c>
      <c r="N79" s="92">
        <f t="shared" si="7"/>
        <v>0.28448330070976757</v>
      </c>
      <c r="P79" s="64">
        <f>SUM(P71:P78)</f>
        <v>73.349500000000006</v>
      </c>
      <c r="Q79" s="62">
        <f>SUM(Q71:Q78)</f>
        <v>74.744500000000002</v>
      </c>
      <c r="R79" s="62">
        <f>SUM(R71:R78)</f>
        <v>77.995999999999995</v>
      </c>
      <c r="S79" s="62">
        <f>SUM(S71:S78)</f>
        <v>83.212699999999984</v>
      </c>
      <c r="T79" s="62">
        <f>SUM(T71:T78)</f>
        <v>86.604150000000018</v>
      </c>
      <c r="U79" s="62">
        <f>SUM(U71:U78)</f>
        <v>88.544000000000011</v>
      </c>
      <c r="V79" s="62">
        <f>SUM(V71:V78)</f>
        <v>93.216750000000005</v>
      </c>
      <c r="W79" s="62">
        <f>SUM(W71:W78)</f>
        <v>96.775350000000003</v>
      </c>
      <c r="X79" s="62">
        <f>SUM(X71:X78)</f>
        <v>96.491950000000003</v>
      </c>
      <c r="Y79" s="62">
        <f>SUM(Y71:Y78)</f>
        <v>99.163499999999985</v>
      </c>
      <c r="Z79" s="62">
        <f>SUM(Z71:Z78)</f>
        <v>108.7123</v>
      </c>
      <c r="AA79" s="62">
        <f>SUM(AA71:AA78)</f>
        <v>115.50505000000003</v>
      </c>
      <c r="AB79" s="62">
        <f>SUM(AB71:AB78)</f>
        <v>117.69414999999998</v>
      </c>
      <c r="AC79" s="62">
        <f>SUM(AC71:AC78)</f>
        <v>116.19465</v>
      </c>
      <c r="AD79" s="62">
        <f>SUM(AD71:AD78)</f>
        <v>133.5471</v>
      </c>
      <c r="AE79" s="62">
        <f>SUM(AE71:AE78)</f>
        <v>134.78</v>
      </c>
      <c r="AF79" s="62">
        <f>SUM(AF71:AF78)</f>
        <v>151.01724999999999</v>
      </c>
      <c r="AG79" s="62">
        <f>SUM(AG71:AG78)</f>
        <v>151.61374999999998</v>
      </c>
      <c r="AH79" s="62">
        <f>SUM(AH71:AH78)</f>
        <v>154.04399999999998</v>
      </c>
      <c r="AI79" s="62">
        <f>SUM(AI71:AI78)</f>
        <v>157.49274999999997</v>
      </c>
      <c r="AJ79" s="62">
        <f>SUM(AJ71:AJ78)</f>
        <v>161.958</v>
      </c>
      <c r="AK79" s="62">
        <f>SUM(AK71:AK78)</f>
        <v>175.58</v>
      </c>
      <c r="AL79" s="62">
        <f>SUM(AL71:AL78)</f>
        <v>180.39300000000003</v>
      </c>
      <c r="AM79" s="62">
        <f>SUM(AM71:AM78)</f>
        <v>193.53474999999997</v>
      </c>
      <c r="AN79" s="62">
        <f>SUM(AN71:AN78)</f>
        <v>203.24331999999995</v>
      </c>
      <c r="AO79" s="62">
        <f>SUM(AO71:AO78)</f>
        <v>208.38586999999998</v>
      </c>
      <c r="AP79" s="62">
        <f>SUM(AP71:AP78)</f>
        <v>215.74275</v>
      </c>
      <c r="AQ79" s="62">
        <f>SUM(AQ71:AQ78)</f>
        <v>232.03611000000001</v>
      </c>
      <c r="AR79" s="62">
        <f>SUM(AR71:AR78)</f>
        <v>245.53060999999997</v>
      </c>
      <c r="AS79" s="62">
        <f>SUM(AS71:AS78)</f>
        <v>243.79017999999999</v>
      </c>
      <c r="AT79" s="63">
        <f>SUM(AT71:AT78)</f>
        <v>251.33865000000003</v>
      </c>
    </row>
    <row r="80" spans="1:46" ht="3.95" customHeight="1" x14ac:dyDescent="0.2"/>
    <row r="81" spans="2:46" ht="12" customHeight="1" x14ac:dyDescent="0.2">
      <c r="B81" s="58" t="s">
        <v>16</v>
      </c>
      <c r="C81" s="24">
        <f>SUMIFS($P81:$AT81,$P$69:$AT$69,"&gt;"&amp;C$169,$P$69:$AT$69,"&lt;"&amp;C$170)</f>
        <v>6.2004000000000001</v>
      </c>
      <c r="D81" s="24">
        <f>SUMIFS($P81:$AT81,$P$69:$AT$69,"&gt;"&amp;D$169,$P$69:$AT$69,"&lt;"&amp;D$170)</f>
        <v>23.261789999999998</v>
      </c>
      <c r="E81" s="24"/>
      <c r="F81" s="24">
        <f>SUMIFS($P81:$AT81,$P$69:$AT$69,"&gt;"&amp;F$169,$P$69:$AT$69,"&lt;"&amp;F$170)</f>
        <v>14.504949999999999</v>
      </c>
      <c r="G81" s="24">
        <f>SUMIFS($P81:$AT81,$P$69:$AT$69,"&gt;"&amp;G$169,$P$69:$AT$69,"&lt;"&amp;G$170)</f>
        <v>8.0793799999999987</v>
      </c>
      <c r="H81" s="24"/>
      <c r="I81" s="24">
        <f>SUMIFS($P81:$AT81,$P$69:$AT$69,"&gt;"&amp;I$169,$P$69:$AT$69,"&lt;"&amp;I$170)</f>
        <v>17.947879999999998</v>
      </c>
      <c r="J81" s="24">
        <f>SUMIFS($P81:$AT81,$P$69:$AT$69,"&gt;"&amp;J$169,$P$69:$AT$69,"&lt;"&amp;J$170)</f>
        <v>17.796090000000003</v>
      </c>
      <c r="K81" s="66">
        <f>+C18</f>
        <v>16.836220000000001</v>
      </c>
      <c r="L81" s="66"/>
      <c r="M81" s="24">
        <f>K81-J81</f>
        <v>-0.95987000000000222</v>
      </c>
      <c r="N81" s="93">
        <f>IFERROR(K81/J81-1,0)</f>
        <v>-5.3937128886176744E-2</v>
      </c>
      <c r="O81" s="53"/>
      <c r="P81" s="54">
        <f>SUMIFS('Combined P&amp;L'!N:N,'Combined P&amp;L'!$C:$C,'P&amp;L Forecast'!$B81)</f>
        <v>6.8599999999999994E-2</v>
      </c>
      <c r="Q81" s="54">
        <f>SUMIFS('Combined P&amp;L'!O:O,'Combined P&amp;L'!$C:$C,'P&amp;L Forecast'!$B81)</f>
        <v>0.13119999999999998</v>
      </c>
      <c r="R81" s="54">
        <f>SUMIFS('Combined P&amp;L'!P:P,'Combined P&amp;L'!$C:$C,'P&amp;L Forecast'!$B81)</f>
        <v>7.1199999999999999E-2</v>
      </c>
      <c r="S81" s="54">
        <f>SUMIFS('Combined P&amp;L'!Q:Q,'Combined P&amp;L'!$C:$C,'P&amp;L Forecast'!$B81)</f>
        <v>5.5600000000000004E-2</v>
      </c>
      <c r="T81" s="54">
        <f>SUMIFS('Combined P&amp;L'!R:R,'Combined P&amp;L'!$C:$C,'P&amp;L Forecast'!$B81)</f>
        <v>0.57699999999999996</v>
      </c>
      <c r="U81" s="54">
        <f>SUMIFS('Combined P&amp;L'!S:S,'Combined P&amp;L'!$C:$C,'P&amp;L Forecast'!$B81)</f>
        <v>0.80679999999999996</v>
      </c>
      <c r="V81" s="54">
        <f>SUMIFS('Combined P&amp;L'!T:T,'Combined P&amp;L'!$C:$C,'P&amp;L Forecast'!$B81)</f>
        <v>0.66559999999999997</v>
      </c>
      <c r="W81" s="54">
        <f>SUMIFS('Combined P&amp;L'!U:U,'Combined P&amp;L'!$C:$C,'P&amp;L Forecast'!$B81)</f>
        <v>0.82640000000000002</v>
      </c>
      <c r="X81" s="54">
        <f>SUMIFS('Combined P&amp;L'!V:V,'Combined P&amp;L'!$C:$C,'P&amp;L Forecast'!$B81)</f>
        <v>1.3808</v>
      </c>
      <c r="Y81" s="54">
        <f>SUMIFS('Combined P&amp;L'!W:W,'Combined P&amp;L'!$C:$C,'P&amp;L Forecast'!$B81)</f>
        <v>0.86039999999999994</v>
      </c>
      <c r="Z81" s="54">
        <f>SUMIFS('Combined P&amp;L'!X:X,'Combined P&amp;L'!$C:$C,'P&amp;L Forecast'!$B81)</f>
        <v>0.51</v>
      </c>
      <c r="AA81" s="54">
        <f>SUMIFS('Combined P&amp;L'!Y:Y,'Combined P&amp;L'!$C:$C,'P&amp;L Forecast'!$B81)</f>
        <v>0.24680000000000002</v>
      </c>
      <c r="AB81" s="54">
        <f>SUMIFS('Combined P&amp;L'!Z:Z,'Combined P&amp;L'!$C:$C,'P&amp;L Forecast'!$B81)</f>
        <v>7.3583999999999996</v>
      </c>
      <c r="AC81" s="54">
        <f>SUMIFS('Combined P&amp;L'!AA:AA,'Combined P&amp;L'!$C:$C,'P&amp;L Forecast'!$B81)</f>
        <v>1.29335</v>
      </c>
      <c r="AD81" s="54">
        <f>SUMIFS('Combined P&amp;L'!AB:AB,'Combined P&amp;L'!$C:$C,'P&amp;L Forecast'!$B81)</f>
        <v>0.96833000000000002</v>
      </c>
      <c r="AE81" s="54">
        <f>SUMIFS('Combined P&amp;L'!AC:AC,'Combined P&amp;L'!$C:$C,'P&amp;L Forecast'!$B81)</f>
        <v>1.1656</v>
      </c>
      <c r="AF81" s="54">
        <f>SUMIFS('Combined P&amp;L'!AD:AD,'Combined P&amp;L'!$C:$C,'P&amp;L Forecast'!$B81)</f>
        <v>0.96092999999999995</v>
      </c>
      <c r="AG81" s="54">
        <f>SUMIFS('Combined P&amp;L'!AE:AE,'Combined P&amp;L'!$C:$C,'P&amp;L Forecast'!$B81)</f>
        <v>1.7112700000000001</v>
      </c>
      <c r="AH81" s="54">
        <f>SUMIFS('Combined P&amp;L'!AF:AF,'Combined P&amp;L'!$C:$C,'P&amp;L Forecast'!$B81)</f>
        <v>1.0470699999999999</v>
      </c>
      <c r="AI81" s="54">
        <f>SUMIFS('Combined P&amp;L'!AG:AG,'Combined P&amp;L'!$C:$C,'P&amp;L Forecast'!$B81)</f>
        <v>2.04088</v>
      </c>
      <c r="AJ81" s="54">
        <f>SUMIFS('Combined P&amp;L'!AH:AH,'Combined P&amp;L'!$C:$C,'P&amp;L Forecast'!$B81)</f>
        <v>1.1362099999999999</v>
      </c>
      <c r="AK81" s="54">
        <f>SUMIFS('Combined P&amp;L'!AI:AI,'Combined P&amp;L'!$C:$C,'P&amp;L Forecast'!$B81)</f>
        <v>2.01424</v>
      </c>
      <c r="AL81" s="54">
        <f>SUMIFS('Combined P&amp;L'!AJ:AJ,'Combined P&amp;L'!$C:$C,'P&amp;L Forecast'!$B81)</f>
        <v>1.29758</v>
      </c>
      <c r="AM81" s="54">
        <f>SUMIFS('Combined P&amp;L'!AK:AK,'Combined P&amp;L'!$C:$C,'P&amp;L Forecast'!$B81)</f>
        <v>2.2679299999999998</v>
      </c>
      <c r="AN81" s="54">
        <f>SUMIFS('Combined P&amp;L'!AL:AL,'Combined P&amp;L'!$C:$C,'P&amp;L Forecast'!$B81)</f>
        <v>2.6778400000000002</v>
      </c>
      <c r="AO81" s="54">
        <f>SUMIFS('Combined P&amp;L'!AM:AM,'Combined P&amp;L'!$C:$C,'P&amp;L Forecast'!$B81)</f>
        <v>2.3540100000000002</v>
      </c>
      <c r="AP81" s="54">
        <f>SUMIFS('Combined P&amp;L'!AN:AN,'Combined P&amp;L'!$C:$C,'P&amp;L Forecast'!$B81)</f>
        <v>0.2276</v>
      </c>
      <c r="AQ81" s="54">
        <f>SUMIFS('Combined P&amp;L'!AO:AO,'Combined P&amp;L'!$C:$C,'P&amp;L Forecast'!$B81)</f>
        <v>1.4783599999999999</v>
      </c>
      <c r="AR81" s="54">
        <f>SUMIFS('Combined P&amp;L'!AP:AP,'Combined P&amp;L'!$C:$C,'P&amp;L Forecast'!$B81)</f>
        <v>0.66824000000000006</v>
      </c>
      <c r="AS81" s="54">
        <f>SUMIFS('Combined P&amp;L'!AQ:AQ,'Combined P&amp;L'!$C:$C,'P&amp;L Forecast'!$B81)</f>
        <v>0.58613000000000004</v>
      </c>
      <c r="AT81" s="54">
        <f>SUMIFS('Combined P&amp;L'!AR:AR,'Combined P&amp;L'!$C:$C,'P&amp;L Forecast'!$B81)</f>
        <v>8.72E-2</v>
      </c>
    </row>
    <row r="82" spans="2:46" ht="12" customHeight="1" x14ac:dyDescent="0.2">
      <c r="B82" s="58" t="s">
        <v>13</v>
      </c>
      <c r="C82" s="24">
        <f>SUMIFS($P82:$AT82,$P$69:$AT$69,"&gt;"&amp;C$169,$P$69:$AT$69,"&lt;"&amp;C$170)</f>
        <v>10.475000000000001</v>
      </c>
      <c r="D82" s="24">
        <f>SUMIFS($P82:$AT82,$P$69:$AT$69,"&gt;"&amp;D$169,$P$69:$AT$69,"&lt;"&amp;D$170)</f>
        <v>23.55</v>
      </c>
      <c r="E82" s="24"/>
      <c r="F82" s="24">
        <f>SUMIFS($P82:$AT82,$P$69:$AT$69,"&gt;"&amp;F$169,$P$69:$AT$69,"&lt;"&amp;F$170)</f>
        <v>23.49</v>
      </c>
      <c r="G82" s="24">
        <f>SUMIFS($P82:$AT82,$P$69:$AT$69,"&gt;"&amp;G$169,$P$69:$AT$69,"&lt;"&amp;G$170)</f>
        <v>38.701499999999996</v>
      </c>
      <c r="H82" s="24"/>
      <c r="I82" s="24">
        <f>SUMIFS($P82:$AT82,$P$69:$AT$69,"&gt;"&amp;I$169,$P$69:$AT$69,"&lt;"&amp;I$170)</f>
        <v>23.52</v>
      </c>
      <c r="J82" s="24">
        <f>SUMIFS($P82:$AT82,$P$69:$AT$69,"&gt;"&amp;J$169,$P$69:$AT$69,"&lt;"&amp;J$170)</f>
        <v>38.761499999999998</v>
      </c>
      <c r="K82" s="66">
        <f>+C16</f>
        <v>0</v>
      </c>
      <c r="L82" s="66"/>
      <c r="M82" s="24">
        <f>K82-J82</f>
        <v>-38.761499999999998</v>
      </c>
      <c r="N82" s="93">
        <f t="shared" ref="N82:N86" si="8">IFERROR(K82/J82-1,0)</f>
        <v>-1</v>
      </c>
      <c r="O82" s="53"/>
      <c r="P82" s="54">
        <f>SUMIFS('Combined P&amp;L'!N:N,'Combined P&amp;L'!$C:$C,'P&amp;L Forecast'!$B82)</f>
        <v>6.9450000000000003</v>
      </c>
      <c r="Q82" s="54">
        <f>SUMIFS('Combined P&amp;L'!O:O,'Combined P&amp;L'!$C:$C,'P&amp;L Forecast'!$B82)</f>
        <v>3.38</v>
      </c>
      <c r="R82" s="54">
        <f>SUMIFS('Combined P&amp;L'!P:P,'Combined P&amp;L'!$C:$C,'P&amp;L Forecast'!$B82)</f>
        <v>4.4999999999999998E-2</v>
      </c>
      <c r="S82" s="54">
        <f>SUMIFS('Combined P&amp;L'!Q:Q,'Combined P&amp;L'!$C:$C,'P&amp;L Forecast'!$B82)</f>
        <v>0.06</v>
      </c>
      <c r="T82" s="54">
        <f>SUMIFS('Combined P&amp;L'!R:R,'Combined P&amp;L'!$C:$C,'P&amp;L Forecast'!$B82)</f>
        <v>1.4999999999999999E-2</v>
      </c>
      <c r="U82" s="54">
        <f>SUMIFS('Combined P&amp;L'!S:S,'Combined P&amp;L'!$C:$C,'P&amp;L Forecast'!$B82)</f>
        <v>0</v>
      </c>
      <c r="V82" s="54">
        <f>SUMIFS('Combined P&amp;L'!T:T,'Combined P&amp;L'!$C:$C,'P&amp;L Forecast'!$B82)</f>
        <v>0</v>
      </c>
      <c r="W82" s="54">
        <f>SUMIFS('Combined P&amp;L'!U:U,'Combined P&amp;L'!$C:$C,'P&amp;L Forecast'!$B82)</f>
        <v>1.4999999999999999E-2</v>
      </c>
      <c r="X82" s="54">
        <f>SUMIFS('Combined P&amp;L'!V:V,'Combined P&amp;L'!$C:$C,'P&amp;L Forecast'!$B82)</f>
        <v>0</v>
      </c>
      <c r="Y82" s="54">
        <f>SUMIFS('Combined P&amp;L'!W:W,'Combined P&amp;L'!$C:$C,'P&amp;L Forecast'!$B82)</f>
        <v>0</v>
      </c>
      <c r="Z82" s="54">
        <f>SUMIFS('Combined P&amp;L'!X:X,'Combined P&amp;L'!$C:$C,'P&amp;L Forecast'!$B82)</f>
        <v>1.4999999999999999E-2</v>
      </c>
      <c r="AA82" s="54">
        <f>SUMIFS('Combined P&amp;L'!Y:Y,'Combined P&amp;L'!$C:$C,'P&amp;L Forecast'!$B82)</f>
        <v>0</v>
      </c>
      <c r="AB82" s="54">
        <f>SUMIFS('Combined P&amp;L'!Z:Z,'Combined P&amp;L'!$C:$C,'P&amp;L Forecast'!$B82)</f>
        <v>13.484999999999999</v>
      </c>
      <c r="AC82" s="54">
        <f>SUMIFS('Combined P&amp;L'!AA:AA,'Combined P&amp;L'!$C:$C,'P&amp;L Forecast'!$B82)</f>
        <v>9.9149999999999991</v>
      </c>
      <c r="AD82" s="54">
        <f>SUMIFS('Combined P&amp;L'!AB:AB,'Combined P&amp;L'!$C:$C,'P&amp;L Forecast'!$B82)</f>
        <v>0.06</v>
      </c>
      <c r="AE82" s="54">
        <f>SUMIFS('Combined P&amp;L'!AC:AC,'Combined P&amp;L'!$C:$C,'P&amp;L Forecast'!$B82)</f>
        <v>0.03</v>
      </c>
      <c r="AF82" s="54">
        <f>SUMIFS('Combined P&amp;L'!AD:AD,'Combined P&amp;L'!$C:$C,'P&amp;L Forecast'!$B82)</f>
        <v>0</v>
      </c>
      <c r="AG82" s="54">
        <f>SUMIFS('Combined P&amp;L'!AE:AE,'Combined P&amp;L'!$C:$C,'P&amp;L Forecast'!$B82)</f>
        <v>0</v>
      </c>
      <c r="AH82" s="54">
        <f>SUMIFS('Combined P&amp;L'!AF:AF,'Combined P&amp;L'!$C:$C,'P&amp;L Forecast'!$B82)</f>
        <v>0</v>
      </c>
      <c r="AI82" s="54">
        <f>SUMIFS('Combined P&amp;L'!AG:AG,'Combined P&amp;L'!$C:$C,'P&amp;L Forecast'!$B82)</f>
        <v>0.03</v>
      </c>
      <c r="AJ82" s="54">
        <f>SUMIFS('Combined P&amp;L'!AH:AH,'Combined P&amp;L'!$C:$C,'P&amp;L Forecast'!$B82)</f>
        <v>0.03</v>
      </c>
      <c r="AK82" s="54">
        <f>SUMIFS('Combined P&amp;L'!AI:AI,'Combined P&amp;L'!$C:$C,'P&amp;L Forecast'!$B82)</f>
        <v>0</v>
      </c>
      <c r="AL82" s="54">
        <f>SUMIFS('Combined P&amp;L'!AJ:AJ,'Combined P&amp;L'!$C:$C,'P&amp;L Forecast'!$B82)</f>
        <v>0</v>
      </c>
      <c r="AM82" s="54">
        <f>SUMIFS('Combined P&amp;L'!AK:AK,'Combined P&amp;L'!$C:$C,'P&amp;L Forecast'!$B82)</f>
        <v>0</v>
      </c>
      <c r="AN82" s="54">
        <f>SUMIFS('Combined P&amp;L'!AL:AL,'Combined P&amp;L'!$C:$C,'P&amp;L Forecast'!$B82)</f>
        <v>6.1050000000000004</v>
      </c>
      <c r="AO82" s="54">
        <f>SUMIFS('Combined P&amp;L'!AM:AM,'Combined P&amp;L'!$C:$C,'P&amp;L Forecast'!$B82)</f>
        <v>31.156500000000001</v>
      </c>
      <c r="AP82" s="54">
        <f>SUMIFS('Combined P&amp;L'!AN:AN,'Combined P&amp;L'!$C:$C,'P&amp;L Forecast'!$B82)</f>
        <v>1.26</v>
      </c>
      <c r="AQ82" s="54">
        <f>SUMIFS('Combined P&amp;L'!AO:AO,'Combined P&amp;L'!$C:$C,'P&amp;L Forecast'!$B82)</f>
        <v>0.18</v>
      </c>
      <c r="AR82" s="54">
        <f>SUMIFS('Combined P&amp;L'!AP:AP,'Combined P&amp;L'!$C:$C,'P&amp;L Forecast'!$B82)</f>
        <v>0</v>
      </c>
      <c r="AS82" s="54">
        <f>SUMIFS('Combined P&amp;L'!AQ:AQ,'Combined P&amp;L'!$C:$C,'P&amp;L Forecast'!$B82)</f>
        <v>0</v>
      </c>
      <c r="AT82" s="54">
        <f>SUMIFS('Combined P&amp;L'!AR:AR,'Combined P&amp;L'!$C:$C,'P&amp;L Forecast'!$B82)</f>
        <v>0</v>
      </c>
    </row>
    <row r="83" spans="2:46" ht="12" customHeight="1" x14ac:dyDescent="0.2">
      <c r="B83" s="58" t="s">
        <v>262</v>
      </c>
      <c r="C83" s="24">
        <f>SUMIFS($P83:$AT83,$P$69:$AT$69,"&gt;"&amp;C$169,$P$69:$AT$69,"&lt;"&amp;C$170)</f>
        <v>0</v>
      </c>
      <c r="D83" s="24">
        <f>SUMIFS($P83:$AT83,$P$69:$AT$69,"&gt;"&amp;D$169,$P$69:$AT$69,"&lt;"&amp;D$170)</f>
        <v>3.4</v>
      </c>
      <c r="E83" s="24"/>
      <c r="F83" s="24">
        <f>SUMIFS($P83:$AT83,$P$69:$AT$69,"&gt;"&amp;F$169,$P$69:$AT$69,"&lt;"&amp;F$170)</f>
        <v>0</v>
      </c>
      <c r="G83" s="24">
        <f>SUMIFS($P83:$AT83,$P$69:$AT$69,"&gt;"&amp;G$169,$P$69:$AT$69,"&lt;"&amp;G$170)</f>
        <v>23.914999999999999</v>
      </c>
      <c r="H83" s="24"/>
      <c r="I83" s="24">
        <f>SUMIFS($P83:$AT83,$P$69:$AT$69,"&gt;"&amp;I$169,$P$69:$AT$69,"&lt;"&amp;I$170)</f>
        <v>0</v>
      </c>
      <c r="J83" s="24">
        <f>SUMIFS($P83:$AT83,$P$69:$AT$69,"&gt;"&amp;J$169,$P$69:$AT$69,"&lt;"&amp;J$170)</f>
        <v>27.315000000000001</v>
      </c>
      <c r="K83" s="66">
        <f>+C17</f>
        <v>0</v>
      </c>
      <c r="L83" s="66"/>
      <c r="M83" s="24">
        <f>K83-J83</f>
        <v>-27.315000000000001</v>
      </c>
      <c r="N83" s="93">
        <f t="shared" si="8"/>
        <v>-1</v>
      </c>
      <c r="O83" s="53"/>
      <c r="P83" s="54">
        <f>SUMIFS('Combined P&amp;L'!N:N,'Combined P&amp;L'!$C:$C,'P&amp;L Forecast'!$B83)</f>
        <v>0</v>
      </c>
      <c r="Q83" s="54">
        <f>SUMIFS('Combined P&amp;L'!O:O,'Combined P&amp;L'!$C:$C,'P&amp;L Forecast'!$B83)</f>
        <v>0</v>
      </c>
      <c r="R83" s="54">
        <f>SUMIFS('Combined P&amp;L'!P:P,'Combined P&amp;L'!$C:$C,'P&amp;L Forecast'!$B83)</f>
        <v>0</v>
      </c>
      <c r="S83" s="54">
        <f>SUMIFS('Combined P&amp;L'!Q:Q,'Combined P&amp;L'!$C:$C,'P&amp;L Forecast'!$B83)</f>
        <v>0</v>
      </c>
      <c r="T83" s="54">
        <f>SUMIFS('Combined P&amp;L'!R:R,'Combined P&amp;L'!$C:$C,'P&amp;L Forecast'!$B83)</f>
        <v>0</v>
      </c>
      <c r="U83" s="54">
        <f>SUMIFS('Combined P&amp;L'!S:S,'Combined P&amp;L'!$C:$C,'P&amp;L Forecast'!$B83)</f>
        <v>0</v>
      </c>
      <c r="V83" s="54">
        <f>SUMIFS('Combined P&amp;L'!T:T,'Combined P&amp;L'!$C:$C,'P&amp;L Forecast'!$B83)</f>
        <v>0</v>
      </c>
      <c r="W83" s="54">
        <f>SUMIFS('Combined P&amp;L'!U:U,'Combined P&amp;L'!$C:$C,'P&amp;L Forecast'!$B83)</f>
        <v>0</v>
      </c>
      <c r="X83" s="54">
        <f>SUMIFS('Combined P&amp;L'!V:V,'Combined P&amp;L'!$C:$C,'P&amp;L Forecast'!$B83)</f>
        <v>0</v>
      </c>
      <c r="Y83" s="54">
        <f>SUMIFS('Combined P&amp;L'!W:W,'Combined P&amp;L'!$C:$C,'P&amp;L Forecast'!$B83)</f>
        <v>0</v>
      </c>
      <c r="Z83" s="54">
        <f>SUMIFS('Combined P&amp;L'!X:X,'Combined P&amp;L'!$C:$C,'P&amp;L Forecast'!$B83)</f>
        <v>0</v>
      </c>
      <c r="AA83" s="54">
        <f>SUMIFS('Combined P&amp;L'!Y:Y,'Combined P&amp;L'!$C:$C,'P&amp;L Forecast'!$B83)</f>
        <v>0</v>
      </c>
      <c r="AB83" s="54">
        <f>SUMIFS('Combined P&amp;L'!Z:Z,'Combined P&amp;L'!$C:$C,'P&amp;L Forecast'!$B83)</f>
        <v>0</v>
      </c>
      <c r="AC83" s="54">
        <f>SUMIFS('Combined P&amp;L'!AA:AA,'Combined P&amp;L'!$C:$C,'P&amp;L Forecast'!$B83)</f>
        <v>0</v>
      </c>
      <c r="AD83" s="54">
        <f>SUMIFS('Combined P&amp;L'!AB:AB,'Combined P&amp;L'!$C:$C,'P&amp;L Forecast'!$B83)</f>
        <v>0</v>
      </c>
      <c r="AE83" s="54">
        <f>SUMIFS('Combined P&amp;L'!AC:AC,'Combined P&amp;L'!$C:$C,'P&amp;L Forecast'!$B83)</f>
        <v>0</v>
      </c>
      <c r="AF83" s="54">
        <f>SUMIFS('Combined P&amp;L'!AD:AD,'Combined P&amp;L'!$C:$C,'P&amp;L Forecast'!$B83)</f>
        <v>0</v>
      </c>
      <c r="AG83" s="54">
        <f>SUMIFS('Combined P&amp;L'!AE:AE,'Combined P&amp;L'!$C:$C,'P&amp;L Forecast'!$B83)</f>
        <v>0</v>
      </c>
      <c r="AH83" s="54">
        <f>SUMIFS('Combined P&amp;L'!AF:AF,'Combined P&amp;L'!$C:$C,'P&amp;L Forecast'!$B83)</f>
        <v>0</v>
      </c>
      <c r="AI83" s="54">
        <f>SUMIFS('Combined P&amp;L'!AG:AG,'Combined P&amp;L'!$C:$C,'P&amp;L Forecast'!$B83)</f>
        <v>0</v>
      </c>
      <c r="AJ83" s="54">
        <f>SUMIFS('Combined P&amp;L'!AH:AH,'Combined P&amp;L'!$C:$C,'P&amp;L Forecast'!$B83)</f>
        <v>0.875</v>
      </c>
      <c r="AK83" s="54">
        <f>SUMIFS('Combined P&amp;L'!AI:AI,'Combined P&amp;L'!$C:$C,'P&amp;L Forecast'!$B83)</f>
        <v>1.65</v>
      </c>
      <c r="AL83" s="54">
        <f>SUMIFS('Combined P&amp;L'!AJ:AJ,'Combined P&amp;L'!$C:$C,'P&amp;L Forecast'!$B83)</f>
        <v>0</v>
      </c>
      <c r="AM83" s="54">
        <f>SUMIFS('Combined P&amp;L'!AK:AK,'Combined P&amp;L'!$C:$C,'P&amp;L Forecast'!$B83)</f>
        <v>0.875</v>
      </c>
      <c r="AN83" s="54">
        <f>SUMIFS('Combined P&amp;L'!AL:AL,'Combined P&amp;L'!$C:$C,'P&amp;L Forecast'!$B83)</f>
        <v>0</v>
      </c>
      <c r="AO83" s="54">
        <f>SUMIFS('Combined P&amp;L'!AM:AM,'Combined P&amp;L'!$C:$C,'P&amp;L Forecast'!$B83)</f>
        <v>0</v>
      </c>
      <c r="AP83" s="54">
        <f>SUMIFS('Combined P&amp;L'!AN:AN,'Combined P&amp;L'!$C:$C,'P&amp;L Forecast'!$B83)</f>
        <v>14.19</v>
      </c>
      <c r="AQ83" s="54">
        <f>SUMIFS('Combined P&amp;L'!AO:AO,'Combined P&amp;L'!$C:$C,'P&amp;L Forecast'!$B83)</f>
        <v>6.625</v>
      </c>
      <c r="AR83" s="54">
        <f>SUMIFS('Combined P&amp;L'!AP:AP,'Combined P&amp;L'!$C:$C,'P&amp;L Forecast'!$B83)</f>
        <v>0</v>
      </c>
      <c r="AS83" s="54">
        <f>SUMIFS('Combined P&amp;L'!AQ:AQ,'Combined P&amp;L'!$C:$C,'P&amp;L Forecast'!$B83)</f>
        <v>3.1</v>
      </c>
      <c r="AT83" s="54">
        <f>SUMIFS('Combined P&amp;L'!AR:AR,'Combined P&amp;L'!$C:$C,'P&amp;L Forecast'!$B83)</f>
        <v>0</v>
      </c>
    </row>
    <row r="84" spans="2:46" ht="12" customHeight="1" x14ac:dyDescent="0.2">
      <c r="B84" s="58" t="s">
        <v>14</v>
      </c>
      <c r="C84" s="24">
        <f>SUMIFS($P84:$AT84,$P$69:$AT$69,"&gt;"&amp;C$169,$P$69:$AT$69,"&lt;"&amp;C$170)</f>
        <v>0.37469999999999998</v>
      </c>
      <c r="D84" s="24">
        <f>SUMIFS($P84:$AT84,$P$69:$AT$69,"&gt;"&amp;D$169,$P$69:$AT$69,"&lt;"&amp;D$170)</f>
        <v>1.1219399999999999</v>
      </c>
      <c r="E84" s="24"/>
      <c r="F84" s="24">
        <f>SUMIFS($P84:$AT84,$P$69:$AT$69,"&gt;"&amp;F$169,$P$69:$AT$69,"&lt;"&amp;F$170)</f>
        <v>0.78725000000000001</v>
      </c>
      <c r="G84" s="24">
        <f>SUMIFS($P84:$AT84,$P$69:$AT$69,"&gt;"&amp;G$169,$P$69:$AT$69,"&lt;"&amp;G$170)</f>
        <v>0.25783</v>
      </c>
      <c r="H84" s="24"/>
      <c r="I84" s="24">
        <f>SUMIFS($P84:$AT84,$P$69:$AT$69,"&gt;"&amp;I$169,$P$69:$AT$69,"&lt;"&amp;I$170)</f>
        <v>0.79723999999999995</v>
      </c>
      <c r="J84" s="24">
        <f>SUMIFS($P84:$AT84,$P$69:$AT$69,"&gt;"&amp;J$169,$P$69:$AT$69,"&lt;"&amp;J$170)</f>
        <v>0.88222999999999985</v>
      </c>
      <c r="K84" s="66">
        <f>+C19</f>
        <v>0</v>
      </c>
      <c r="L84" s="66"/>
      <c r="M84" s="24">
        <f>K84-J84</f>
        <v>-0.88222999999999985</v>
      </c>
      <c r="N84" s="93">
        <f t="shared" si="8"/>
        <v>-1</v>
      </c>
      <c r="O84" s="53"/>
      <c r="P84" s="54">
        <f>SUMIFS('Combined P&amp;L'!N:N,'Combined P&amp;L'!$C:$C,'P&amp;L Forecast'!$B84)</f>
        <v>0.05</v>
      </c>
      <c r="Q84" s="54">
        <f>SUMIFS('Combined P&amp;L'!O:O,'Combined P&amp;L'!$C:$C,'P&amp;L Forecast'!$B84)</f>
        <v>0</v>
      </c>
      <c r="R84" s="54">
        <f>SUMIFS('Combined P&amp;L'!P:P,'Combined P&amp;L'!$C:$C,'P&amp;L Forecast'!$B84)</f>
        <v>0</v>
      </c>
      <c r="S84" s="54">
        <f>SUMIFS('Combined P&amp;L'!Q:Q,'Combined P&amp;L'!$C:$C,'P&amp;L Forecast'!$B84)</f>
        <v>2.5000000000000001E-2</v>
      </c>
      <c r="T84" s="54">
        <f>SUMIFS('Combined P&amp;L'!R:R,'Combined P&amp;L'!$C:$C,'P&amp;L Forecast'!$B84)</f>
        <v>0</v>
      </c>
      <c r="U84" s="54">
        <f>SUMIFS('Combined P&amp;L'!S:S,'Combined P&amp;L'!$C:$C,'P&amp;L Forecast'!$B84)</f>
        <v>0</v>
      </c>
      <c r="V84" s="54">
        <f>SUMIFS('Combined P&amp;L'!T:T,'Combined P&amp;L'!$C:$C,'P&amp;L Forecast'!$B84)</f>
        <v>0.29969999999999997</v>
      </c>
      <c r="W84" s="54">
        <f>SUMIFS('Combined P&amp;L'!U:U,'Combined P&amp;L'!$C:$C,'P&amp;L Forecast'!$B84)</f>
        <v>0</v>
      </c>
      <c r="X84" s="54">
        <f>SUMIFS('Combined P&amp;L'!V:V,'Combined P&amp;L'!$C:$C,'P&amp;L Forecast'!$B84)</f>
        <v>0</v>
      </c>
      <c r="Y84" s="54">
        <f>SUMIFS('Combined P&amp;L'!W:W,'Combined P&amp;L'!$C:$C,'P&amp;L Forecast'!$B84)</f>
        <v>0</v>
      </c>
      <c r="Z84" s="54">
        <f>SUMIFS('Combined P&amp;L'!X:X,'Combined P&amp;L'!$C:$C,'P&amp;L Forecast'!$B84)</f>
        <v>0</v>
      </c>
      <c r="AA84" s="54">
        <f>SUMIFS('Combined P&amp;L'!Y:Y,'Combined P&amp;L'!$C:$C,'P&amp;L Forecast'!$B84)</f>
        <v>0</v>
      </c>
      <c r="AB84" s="54">
        <f>SUMIFS('Combined P&amp;L'!Z:Z,'Combined P&amp;L'!$C:$C,'P&amp;L Forecast'!$B84)</f>
        <v>2.5000000000000001E-2</v>
      </c>
      <c r="AC84" s="54">
        <f>SUMIFS('Combined P&amp;L'!AA:AA,'Combined P&amp;L'!$C:$C,'P&amp;L Forecast'!$B84)</f>
        <v>0.39960000000000001</v>
      </c>
      <c r="AD84" s="54">
        <f>SUMIFS('Combined P&amp;L'!AB:AB,'Combined P&amp;L'!$C:$C,'P&amp;L Forecast'!$B84)</f>
        <v>0</v>
      </c>
      <c r="AE84" s="54">
        <f>SUMIFS('Combined P&amp;L'!AC:AC,'Combined P&amp;L'!$C:$C,'P&amp;L Forecast'!$B84)</f>
        <v>0</v>
      </c>
      <c r="AF84" s="54">
        <f>SUMIFS('Combined P&amp;L'!AD:AD,'Combined P&amp;L'!$C:$C,'P&amp;L Forecast'!$B84)</f>
        <v>7.2939999999999991E-2</v>
      </c>
      <c r="AG84" s="54">
        <f>SUMIFS('Combined P&amp;L'!AE:AE,'Combined P&amp;L'!$C:$C,'P&amp;L Forecast'!$B84)</f>
        <v>0</v>
      </c>
      <c r="AH84" s="54">
        <f>SUMIFS('Combined P&amp;L'!AF:AF,'Combined P&amp;L'!$C:$C,'P&amp;L Forecast'!$B84)</f>
        <v>0.28970999999999997</v>
      </c>
      <c r="AI84" s="54">
        <f>SUMIFS('Combined P&amp;L'!AG:AG,'Combined P&amp;L'!$C:$C,'P&amp;L Forecast'!$B84)</f>
        <v>0.30969000000000002</v>
      </c>
      <c r="AJ84" s="54">
        <f>SUMIFS('Combined P&amp;L'!AH:AH,'Combined P&amp;L'!$C:$C,'P&amp;L Forecast'!$B84)</f>
        <v>0</v>
      </c>
      <c r="AK84" s="54">
        <f>SUMIFS('Combined P&amp;L'!AI:AI,'Combined P&amp;L'!$C:$C,'P&amp;L Forecast'!$B84)</f>
        <v>0</v>
      </c>
      <c r="AL84" s="54">
        <f>SUMIFS('Combined P&amp;L'!AJ:AJ,'Combined P&amp;L'!$C:$C,'P&amp;L Forecast'!$B84)</f>
        <v>0</v>
      </c>
      <c r="AM84" s="54">
        <f>SUMIFS('Combined P&amp;L'!AK:AK,'Combined P&amp;L'!$C:$C,'P&amp;L Forecast'!$B84)</f>
        <v>2.5000000000000001E-2</v>
      </c>
      <c r="AN84" s="54">
        <f>SUMIFS('Combined P&amp;L'!AL:AL,'Combined P&amp;L'!$C:$C,'P&amp;L Forecast'!$B84)</f>
        <v>0.15984000000000001</v>
      </c>
      <c r="AO84" s="54">
        <f>SUMIFS('Combined P&amp;L'!AM:AM,'Combined P&amp;L'!$C:$C,'P&amp;L Forecast'!$B84)</f>
        <v>0</v>
      </c>
      <c r="AP84" s="54">
        <f>SUMIFS('Combined P&amp;L'!AN:AN,'Combined P&amp;L'!$C:$C,'P&amp;L Forecast'!$B84)</f>
        <v>7.4999999999999997E-2</v>
      </c>
      <c r="AQ84" s="54">
        <f>SUMIFS('Combined P&amp;L'!AO:AO,'Combined P&amp;L'!$C:$C,'P&amp;L Forecast'!$B84)</f>
        <v>0</v>
      </c>
      <c r="AR84" s="54">
        <f>SUMIFS('Combined P&amp;L'!AP:AP,'Combined P&amp;L'!$C:$C,'P&amp;L Forecast'!$B84)</f>
        <v>0</v>
      </c>
      <c r="AS84" s="54">
        <f>SUMIFS('Combined P&amp;L'!AQ:AQ,'Combined P&amp;L'!$C:$C,'P&amp;L Forecast'!$B84)</f>
        <v>2.299E-2</v>
      </c>
      <c r="AT84" s="54">
        <f>SUMIFS('Combined P&amp;L'!AR:AR,'Combined P&amp;L'!$C:$C,'P&amp;L Forecast'!$B84)</f>
        <v>0</v>
      </c>
    </row>
    <row r="85" spans="2:46" ht="12" customHeight="1" x14ac:dyDescent="0.2">
      <c r="B85" s="58" t="s">
        <v>15</v>
      </c>
      <c r="C85" s="24">
        <f>SUMIFS($P85:$AT85,$P$69:$AT$69,"&gt;"&amp;C$169,$P$69:$AT$69,"&lt;"&amp;C$170)</f>
        <v>23.599999999999998</v>
      </c>
      <c r="D85" s="24">
        <f>SUMIFS($P85:$AT85,$P$69:$AT$69,"&gt;"&amp;D$169,$P$69:$AT$69,"&lt;"&amp;D$170)</f>
        <v>0.2</v>
      </c>
      <c r="E85" s="24"/>
      <c r="F85" s="24">
        <f>SUMIFS($P85:$AT85,$P$69:$AT$69,"&gt;"&amp;F$169,$P$69:$AT$69,"&lt;"&amp;F$170)</f>
        <v>0.2</v>
      </c>
      <c r="G85" s="24">
        <f>SUMIFS($P85:$AT85,$P$69:$AT$69,"&gt;"&amp;G$169,$P$69:$AT$69,"&lt;"&amp;G$170)</f>
        <v>0</v>
      </c>
      <c r="H85" s="24"/>
      <c r="I85" s="24">
        <f>SUMIFS($P85:$AT85,$P$69:$AT$69,"&gt;"&amp;I$169,$P$69:$AT$69,"&lt;"&amp;I$170)</f>
        <v>16.735000000000003</v>
      </c>
      <c r="J85" s="24">
        <f>SUMIFS($P85:$AT85,$P$69:$AT$69,"&gt;"&amp;J$169,$P$69:$AT$69,"&lt;"&amp;J$170)</f>
        <v>0</v>
      </c>
      <c r="K85" s="66">
        <f>+C20</f>
        <v>0</v>
      </c>
      <c r="L85" s="66"/>
      <c r="M85" s="24">
        <f>K85-J85</f>
        <v>0</v>
      </c>
      <c r="N85" s="93">
        <f t="shared" si="8"/>
        <v>0</v>
      </c>
      <c r="O85" s="53"/>
      <c r="P85" s="54">
        <f>SUMIFS('Combined P&amp;L'!N:N,'Combined P&amp;L'!$C:$C,'P&amp;L Forecast'!$B85)</f>
        <v>0.5</v>
      </c>
      <c r="Q85" s="54">
        <f>SUMIFS('Combined P&amp;L'!O:O,'Combined P&amp;L'!$C:$C,'P&amp;L Forecast'!$B85)</f>
        <v>3</v>
      </c>
      <c r="R85" s="54">
        <f>SUMIFS('Combined P&amp;L'!P:P,'Combined P&amp;L'!$C:$C,'P&amp;L Forecast'!$B85)</f>
        <v>0</v>
      </c>
      <c r="S85" s="54">
        <f>SUMIFS('Combined P&amp;L'!Q:Q,'Combined P&amp;L'!$C:$C,'P&amp;L Forecast'!$B85)</f>
        <v>0</v>
      </c>
      <c r="T85" s="54">
        <f>SUMIFS('Combined P&amp;L'!R:R,'Combined P&amp;L'!$C:$C,'P&amp;L Forecast'!$B85)</f>
        <v>3</v>
      </c>
      <c r="U85" s="54">
        <f>SUMIFS('Combined P&amp;L'!S:S,'Combined P&amp;L'!$C:$C,'P&amp;L Forecast'!$B85)</f>
        <v>0.56499999999999995</v>
      </c>
      <c r="V85" s="54">
        <f>SUMIFS('Combined P&amp;L'!T:T,'Combined P&amp;L'!$C:$C,'P&amp;L Forecast'!$B85)</f>
        <v>10.5</v>
      </c>
      <c r="W85" s="54">
        <f>SUMIFS('Combined P&amp;L'!U:U,'Combined P&amp;L'!$C:$C,'P&amp;L Forecast'!$B85)</f>
        <v>6.5</v>
      </c>
      <c r="X85" s="54">
        <f>SUMIFS('Combined P&amp;L'!V:V,'Combined P&amp;L'!$C:$C,'P&amp;L Forecast'!$B85)</f>
        <v>0.5</v>
      </c>
      <c r="Y85" s="54">
        <f>SUMIFS('Combined P&amp;L'!W:W,'Combined P&amp;L'!$C:$C,'P&amp;L Forecast'!$B85)</f>
        <v>-0.96499999999999997</v>
      </c>
      <c r="Z85" s="54">
        <f>SUMIFS('Combined P&amp;L'!X:X,'Combined P&amp;L'!$C:$C,'P&amp;L Forecast'!$B85)</f>
        <v>0</v>
      </c>
      <c r="AA85" s="54">
        <f>SUMIFS('Combined P&amp;L'!Y:Y,'Combined P&amp;L'!$C:$C,'P&amp;L Forecast'!$B85)</f>
        <v>0</v>
      </c>
      <c r="AB85" s="54">
        <f>SUMIFS('Combined P&amp;L'!Z:Z,'Combined P&amp;L'!$C:$C,'P&amp;L Forecast'!$B85)</f>
        <v>0.1</v>
      </c>
      <c r="AC85" s="54">
        <f>SUMIFS('Combined P&amp;L'!AA:AA,'Combined P&amp;L'!$C:$C,'P&amp;L Forecast'!$B85)</f>
        <v>0</v>
      </c>
      <c r="AD85" s="54">
        <f>SUMIFS('Combined P&amp;L'!AB:AB,'Combined P&amp;L'!$C:$C,'P&amp;L Forecast'!$B85)</f>
        <v>0.1</v>
      </c>
      <c r="AE85" s="54">
        <f>SUMIFS('Combined P&amp;L'!AC:AC,'Combined P&amp;L'!$C:$C,'P&amp;L Forecast'!$B85)</f>
        <v>0</v>
      </c>
      <c r="AF85" s="54">
        <f>SUMIFS('Combined P&amp;L'!AD:AD,'Combined P&amp;L'!$C:$C,'P&amp;L Forecast'!$B85)</f>
        <v>0</v>
      </c>
      <c r="AG85" s="54">
        <f>SUMIFS('Combined P&amp;L'!AE:AE,'Combined P&amp;L'!$C:$C,'P&amp;L Forecast'!$B85)</f>
        <v>0</v>
      </c>
      <c r="AH85" s="54">
        <f>SUMIFS('Combined P&amp;L'!AF:AF,'Combined P&amp;L'!$C:$C,'P&amp;L Forecast'!$B85)</f>
        <v>0</v>
      </c>
      <c r="AI85" s="54">
        <f>SUMIFS('Combined P&amp;L'!AG:AG,'Combined P&amp;L'!$C:$C,'P&amp;L Forecast'!$B85)</f>
        <v>0</v>
      </c>
      <c r="AJ85" s="54">
        <f>SUMIFS('Combined P&amp;L'!AH:AH,'Combined P&amp;L'!$C:$C,'P&amp;L Forecast'!$B85)</f>
        <v>0</v>
      </c>
      <c r="AK85" s="54">
        <f>SUMIFS('Combined P&amp;L'!AI:AI,'Combined P&amp;L'!$C:$C,'P&amp;L Forecast'!$B85)</f>
        <v>0</v>
      </c>
      <c r="AL85" s="54">
        <f>SUMIFS('Combined P&amp;L'!AJ:AJ,'Combined P&amp;L'!$C:$C,'P&amp;L Forecast'!$B85)</f>
        <v>0</v>
      </c>
      <c r="AM85" s="54">
        <f>SUMIFS('Combined P&amp;L'!AK:AK,'Combined P&amp;L'!$C:$C,'P&amp;L Forecast'!$B85)</f>
        <v>0</v>
      </c>
      <c r="AN85" s="54">
        <f>SUMIFS('Combined P&amp;L'!AL:AL,'Combined P&amp;L'!$C:$C,'P&amp;L Forecast'!$B85)</f>
        <v>0</v>
      </c>
      <c r="AO85" s="54">
        <f>SUMIFS('Combined P&amp;L'!AM:AM,'Combined P&amp;L'!$C:$C,'P&amp;L Forecast'!$B85)</f>
        <v>0</v>
      </c>
      <c r="AP85" s="54">
        <f>SUMIFS('Combined P&amp;L'!AN:AN,'Combined P&amp;L'!$C:$C,'P&amp;L Forecast'!$B85)</f>
        <v>0</v>
      </c>
      <c r="AQ85" s="54">
        <f>SUMIFS('Combined P&amp;L'!AO:AO,'Combined P&amp;L'!$C:$C,'P&amp;L Forecast'!$B85)</f>
        <v>0</v>
      </c>
      <c r="AR85" s="54">
        <f>SUMIFS('Combined P&amp;L'!AP:AP,'Combined P&amp;L'!$C:$C,'P&amp;L Forecast'!$B85)</f>
        <v>0</v>
      </c>
      <c r="AS85" s="54">
        <f>SUMIFS('Combined P&amp;L'!AQ:AQ,'Combined P&amp;L'!$C:$C,'P&amp;L Forecast'!$B85)</f>
        <v>0</v>
      </c>
      <c r="AT85" s="54">
        <f>SUMIFS('Combined P&amp;L'!AR:AR,'Combined P&amp;L'!$C:$C,'P&amp;L Forecast'!$B85)</f>
        <v>0</v>
      </c>
    </row>
    <row r="86" spans="2:46" ht="12" customHeight="1" x14ac:dyDescent="0.2">
      <c r="B86" s="59" t="s">
        <v>288</v>
      </c>
      <c r="C86" s="60">
        <f>SUM(C81:C85)</f>
        <v>40.650100000000002</v>
      </c>
      <c r="D86" s="60">
        <f>SUM(D81:D85)</f>
        <v>51.533730000000006</v>
      </c>
      <c r="F86" s="60">
        <f t="shared" ref="F86:G86" si="9">SUM(F81:F85)</f>
        <v>38.982199999999999</v>
      </c>
      <c r="G86" s="60">
        <f t="shared" si="9"/>
        <v>70.953709999999987</v>
      </c>
      <c r="I86" s="60">
        <f t="shared" ref="I86:M86" si="10">SUM(I81:I85)</f>
        <v>59.000119999999995</v>
      </c>
      <c r="J86" s="60">
        <f t="shared" si="10"/>
        <v>84.754819999999995</v>
      </c>
      <c r="K86" s="60">
        <f t="shared" si="10"/>
        <v>16.836220000000001</v>
      </c>
      <c r="L86" s="72"/>
      <c r="M86" s="60">
        <f t="shared" si="10"/>
        <v>-67.918599999999998</v>
      </c>
      <c r="N86" s="94">
        <f t="shared" si="8"/>
        <v>-0.80135383450758313</v>
      </c>
      <c r="P86" s="60">
        <f t="shared" ref="P86" si="11">SUM(P81:P85)</f>
        <v>7.5636000000000001</v>
      </c>
      <c r="Q86" s="60">
        <f t="shared" ref="Q86" si="12">SUM(Q81:Q85)</f>
        <v>6.5111999999999997</v>
      </c>
      <c r="R86" s="60">
        <f t="shared" ref="R86" si="13">SUM(R81:R85)</f>
        <v>0.1162</v>
      </c>
      <c r="S86" s="60">
        <f t="shared" ref="S86" si="14">SUM(S81:S85)</f>
        <v>0.1406</v>
      </c>
      <c r="T86" s="60">
        <f t="shared" ref="T86" si="15">SUM(T81:T85)</f>
        <v>3.5920000000000001</v>
      </c>
      <c r="U86" s="60">
        <f t="shared" ref="U86" si="16">SUM(U81:U85)</f>
        <v>1.3717999999999999</v>
      </c>
      <c r="V86" s="60">
        <f t="shared" ref="V86" si="17">SUM(V81:V85)</f>
        <v>11.465299999999999</v>
      </c>
      <c r="W86" s="60">
        <f t="shared" ref="W86" si="18">SUM(W81:W85)</f>
        <v>7.3414000000000001</v>
      </c>
      <c r="X86" s="60">
        <f t="shared" ref="X86" si="19">SUM(X81:X85)</f>
        <v>1.8808</v>
      </c>
      <c r="Y86" s="60">
        <f t="shared" ref="Y86" si="20">SUM(Y81:Y85)</f>
        <v>-0.10460000000000003</v>
      </c>
      <c r="Z86" s="60">
        <f t="shared" ref="Z86" si="21">SUM(Z81:Z85)</f>
        <v>0.52500000000000002</v>
      </c>
      <c r="AA86" s="60">
        <f t="shared" ref="AA86" si="22">SUM(AA81:AA85)</f>
        <v>0.24680000000000002</v>
      </c>
      <c r="AB86" s="60">
        <f t="shared" ref="AB86" si="23">SUM(AB81:AB85)</f>
        <v>20.968399999999999</v>
      </c>
      <c r="AC86" s="60">
        <f t="shared" ref="AC86" si="24">SUM(AC81:AC85)</f>
        <v>11.607949999999999</v>
      </c>
      <c r="AD86" s="60">
        <f t="shared" ref="AD86" si="25">SUM(AD81:AD85)</f>
        <v>1.1283300000000001</v>
      </c>
      <c r="AE86" s="60">
        <f t="shared" ref="AE86" si="26">SUM(AE81:AE85)</f>
        <v>1.1956</v>
      </c>
      <c r="AF86" s="60">
        <f t="shared" ref="AF86" si="27">SUM(AF81:AF85)</f>
        <v>1.0338699999999998</v>
      </c>
      <c r="AG86" s="60">
        <f t="shared" ref="AG86" si="28">SUM(AG81:AG85)</f>
        <v>1.7112700000000001</v>
      </c>
      <c r="AH86" s="60">
        <f t="shared" ref="AH86" si="29">SUM(AH81:AH85)</f>
        <v>1.3367799999999999</v>
      </c>
      <c r="AI86" s="60">
        <f t="shared" ref="AI86" si="30">SUM(AI81:AI85)</f>
        <v>2.3805699999999996</v>
      </c>
      <c r="AJ86" s="60">
        <f t="shared" ref="AJ86" si="31">SUM(AJ81:AJ85)</f>
        <v>2.04121</v>
      </c>
      <c r="AK86" s="60">
        <f t="shared" ref="AK86" si="32">SUM(AK81:AK85)</f>
        <v>3.6642399999999999</v>
      </c>
      <c r="AL86" s="60">
        <f t="shared" ref="AL86" si="33">SUM(AL81:AL85)</f>
        <v>1.29758</v>
      </c>
      <c r="AM86" s="60">
        <f t="shared" ref="AM86" si="34">SUM(AM81:AM85)</f>
        <v>3.1679299999999997</v>
      </c>
      <c r="AN86" s="60">
        <f t="shared" ref="AN86" si="35">SUM(AN81:AN85)</f>
        <v>8.9426800000000011</v>
      </c>
      <c r="AO86" s="60">
        <f t="shared" ref="AO86" si="36">SUM(AO81:AO85)</f>
        <v>33.510510000000004</v>
      </c>
      <c r="AP86" s="60">
        <f t="shared" ref="AP86" si="37">SUM(AP81:AP85)</f>
        <v>15.752599999999999</v>
      </c>
      <c r="AQ86" s="60">
        <f t="shared" ref="AQ86" si="38">SUM(AQ81:AQ85)</f>
        <v>8.2833600000000001</v>
      </c>
      <c r="AR86" s="60">
        <f t="shared" ref="AR86" si="39">SUM(AR81:AR85)</f>
        <v>0.66824000000000006</v>
      </c>
      <c r="AS86" s="60">
        <f t="shared" ref="AS86" si="40">SUM(AS81:AS85)</f>
        <v>3.7091200000000004</v>
      </c>
      <c r="AT86" s="60">
        <f t="shared" ref="AT86" si="41">SUM(AT81:AT85)</f>
        <v>8.72E-2</v>
      </c>
    </row>
    <row r="87" spans="2:46" ht="5.0999999999999996" customHeight="1" x14ac:dyDescent="0.2"/>
    <row r="88" spans="2:46" x14ac:dyDescent="0.2">
      <c r="B88" s="61" t="s">
        <v>263</v>
      </c>
      <c r="C88" s="62">
        <f>+C86+C79</f>
        <v>1134.96585</v>
      </c>
      <c r="D88" s="63">
        <f>+D86+D79</f>
        <v>1879.3831299999999</v>
      </c>
      <c r="F88" s="64">
        <f>+F86+F79</f>
        <v>997.87309999999991</v>
      </c>
      <c r="G88" s="63">
        <f>+G86+G79</f>
        <v>1671.0211999999999</v>
      </c>
      <c r="I88" s="64">
        <f>+I86+I79</f>
        <v>1473.71192</v>
      </c>
      <c r="J88" s="62">
        <f>+J86+J79</f>
        <v>2456.4861600000004</v>
      </c>
      <c r="K88" s="63">
        <f>+K86+K79</f>
        <v>3063.2855200000004</v>
      </c>
      <c r="L88" s="72"/>
      <c r="M88" s="64">
        <f>+M86+M79</f>
        <v>606.79936000000009</v>
      </c>
      <c r="N88" s="92">
        <f>IFERROR(K88/J88-1,0)</f>
        <v>0.24701924638565842</v>
      </c>
      <c r="P88" s="64">
        <f>+P86+P79</f>
        <v>80.9131</v>
      </c>
      <c r="Q88" s="62">
        <f>+Q86+Q79</f>
        <v>81.255700000000004</v>
      </c>
      <c r="R88" s="62">
        <f>+R86+R79</f>
        <v>78.112200000000001</v>
      </c>
      <c r="S88" s="62">
        <f>+S86+S79</f>
        <v>83.35329999999999</v>
      </c>
      <c r="T88" s="62">
        <f>+T86+T79</f>
        <v>90.196150000000017</v>
      </c>
      <c r="U88" s="62">
        <f>+U86+U79</f>
        <v>89.915800000000004</v>
      </c>
      <c r="V88" s="62">
        <f>+V86+V79</f>
        <v>104.68205</v>
      </c>
      <c r="W88" s="62">
        <f>+W86+W79</f>
        <v>104.11675</v>
      </c>
      <c r="X88" s="62">
        <f>+X86+X79</f>
        <v>98.372749999999996</v>
      </c>
      <c r="Y88" s="62">
        <f>+Y86+Y79</f>
        <v>99.05889999999998</v>
      </c>
      <c r="Z88" s="62">
        <f>+Z86+Z79</f>
        <v>109.2373</v>
      </c>
      <c r="AA88" s="62">
        <f>+AA86+AA79</f>
        <v>115.75185000000002</v>
      </c>
      <c r="AB88" s="62">
        <f>+AB86+AB79</f>
        <v>138.66254999999998</v>
      </c>
      <c r="AC88" s="62">
        <f>+AC86+AC79</f>
        <v>127.8026</v>
      </c>
      <c r="AD88" s="62">
        <f>+AD86+AD79</f>
        <v>134.67543000000001</v>
      </c>
      <c r="AE88" s="62">
        <f>+AE86+AE79</f>
        <v>135.97560000000001</v>
      </c>
      <c r="AF88" s="62">
        <f>+AF86+AF79</f>
        <v>152.05112</v>
      </c>
      <c r="AG88" s="62">
        <f>+AG86+AG79</f>
        <v>153.32501999999999</v>
      </c>
      <c r="AH88" s="62">
        <f>+AH86+AH79</f>
        <v>155.38077999999999</v>
      </c>
      <c r="AI88" s="62">
        <f>+AI86+AI79</f>
        <v>159.87331999999998</v>
      </c>
      <c r="AJ88" s="62">
        <f>+AJ86+AJ79</f>
        <v>163.99921000000001</v>
      </c>
      <c r="AK88" s="62">
        <f>+AK86+AK79</f>
        <v>179.24424000000002</v>
      </c>
      <c r="AL88" s="62">
        <f>+AL86+AL79</f>
        <v>181.69058000000004</v>
      </c>
      <c r="AM88" s="62">
        <f>+AM86+AM79</f>
        <v>196.70267999999999</v>
      </c>
      <c r="AN88" s="62">
        <f>+AN86+AN79</f>
        <v>212.18599999999995</v>
      </c>
      <c r="AO88" s="62">
        <f>+AO86+AO79</f>
        <v>241.89637999999999</v>
      </c>
      <c r="AP88" s="62">
        <f>+AP86+AP79</f>
        <v>231.49535</v>
      </c>
      <c r="AQ88" s="62">
        <f>+AQ86+AQ79</f>
        <v>240.31947</v>
      </c>
      <c r="AR88" s="62">
        <f>+AR86+AR79</f>
        <v>246.19884999999996</v>
      </c>
      <c r="AS88" s="62">
        <f>+AS86+AS79</f>
        <v>247.49930000000001</v>
      </c>
      <c r="AT88" s="63">
        <f>+AT86+AT79</f>
        <v>251.42585000000003</v>
      </c>
    </row>
    <row r="89" spans="2:46" ht="3.95" customHeight="1" x14ac:dyDescent="0.2"/>
    <row r="90" spans="2:46" x14ac:dyDescent="0.2">
      <c r="B90" s="43" t="s">
        <v>50</v>
      </c>
      <c r="C90" s="44"/>
      <c r="D90" s="44"/>
      <c r="E90" s="6"/>
      <c r="F90" s="44"/>
      <c r="G90" s="44"/>
      <c r="H90" s="6"/>
      <c r="I90" s="44"/>
      <c r="J90" s="44"/>
      <c r="K90" s="44"/>
      <c r="L90" s="6"/>
      <c r="M90" s="44"/>
      <c r="N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</row>
    <row r="91" spans="2:46" s="14" customFormat="1" x14ac:dyDescent="0.2">
      <c r="B91" s="57" t="s">
        <v>64</v>
      </c>
      <c r="C91" s="24">
        <f>SUMIFS($P91:$AT91,$P$69:$AT$69,"&gt;"&amp;C$169,$P$69:$AT$69,"&lt;"&amp;C$170)</f>
        <v>101.37520000000001</v>
      </c>
      <c r="D91" s="24">
        <f>SUMIFS($P91:$AT91,$P$69:$AT$69,"&gt;"&amp;D$169,$P$69:$AT$69,"&lt;"&amp;D$170)</f>
        <v>281.24054000000001</v>
      </c>
      <c r="E91" s="24"/>
      <c r="F91" s="24">
        <f>SUMIFS($P91:$AT91,$P$69:$AT$69,"&gt;"&amp;F$169,$P$69:$AT$69,"&lt;"&amp;F$170)</f>
        <v>136.29648</v>
      </c>
      <c r="G91" s="24">
        <f>SUMIFS($P91:$AT91,$P$69:$AT$69,"&gt;"&amp;G$169,$P$69:$AT$69,"&lt;"&amp;G$170)</f>
        <v>357.27472</v>
      </c>
      <c r="H91" s="24"/>
      <c r="I91" s="24">
        <f>SUMIFS($P91:$AT91,$P$69:$AT$69,"&gt;"&amp;I$169,$P$69:$AT$69,"&lt;"&amp;I$170)</f>
        <v>184.76374000000001</v>
      </c>
      <c r="J91" s="24">
        <f>SUMIFS($P91:$AT91,$P$69:$AT$69,"&gt;"&amp;J$169,$P$69:$AT$69,"&lt;"&amp;J$170)</f>
        <v>466.92603999999994</v>
      </c>
      <c r="K91" s="66">
        <f>+C24</f>
        <v>694.74455999999998</v>
      </c>
      <c r="L91" s="66"/>
      <c r="M91" s="24">
        <f t="shared" ref="M91:M98" si="42">+J91-K91</f>
        <v>-227.81852000000003</v>
      </c>
      <c r="N91" s="67">
        <f t="shared" ref="N91:N100" si="43">IFERROR(K91/J91-1,0)</f>
        <v>0.48791136172229765</v>
      </c>
      <c r="O91" s="53"/>
      <c r="P91" s="54">
        <f>SUMIFS('Combined P&amp;L'!N:N,'Combined P&amp;L'!$C:$C,'P&amp;L Forecast'!$B91)</f>
        <v>3.0934599999999999</v>
      </c>
      <c r="Q91" s="54">
        <f>SUMIFS('Combined P&amp;L'!O:O,'Combined P&amp;L'!$C:$C,'P&amp;L Forecast'!$B91)</f>
        <v>4.6301699999999997</v>
      </c>
      <c r="R91" s="54">
        <f>SUMIFS('Combined P&amp;L'!P:P,'Combined P&amp;L'!$C:$C,'P&amp;L Forecast'!$B91)</f>
        <v>4.3950699999999996</v>
      </c>
      <c r="S91" s="54">
        <f>SUMIFS('Combined P&amp;L'!Q:Q,'Combined P&amp;L'!$C:$C,'P&amp;L Forecast'!$B91)</f>
        <v>5.8638699999999995</v>
      </c>
      <c r="T91" s="54">
        <f>SUMIFS('Combined P&amp;L'!R:R,'Combined P&amp;L'!$C:$C,'P&amp;L Forecast'!$B91)</f>
        <v>7.3723299999999998</v>
      </c>
      <c r="U91" s="54">
        <f>SUMIFS('Combined P&amp;L'!S:S,'Combined P&amp;L'!$C:$C,'P&amp;L Forecast'!$B91)</f>
        <v>4.9503999999999992</v>
      </c>
      <c r="V91" s="54">
        <f>SUMIFS('Combined P&amp;L'!T:T,'Combined P&amp;L'!$C:$C,'P&amp;L Forecast'!$B91)</f>
        <v>4.9503999999999992</v>
      </c>
      <c r="W91" s="54">
        <f>SUMIFS('Combined P&amp;L'!U:U,'Combined P&amp;L'!$C:$C,'P&amp;L Forecast'!$B91)</f>
        <v>4.7003500000000003</v>
      </c>
      <c r="X91" s="54">
        <f>SUMIFS('Combined P&amp;L'!V:V,'Combined P&amp;L'!$C:$C,'P&amp;L Forecast'!$B91)</f>
        <v>4.9503999999999992</v>
      </c>
      <c r="Y91" s="54">
        <f>SUMIFS('Combined P&amp;L'!W:W,'Combined P&amp;L'!$C:$C,'P&amp;L Forecast'!$B91)</f>
        <v>5.9998699999999996</v>
      </c>
      <c r="Z91" s="54">
        <f>SUMIFS('Combined P&amp;L'!X:X,'Combined P&amp;L'!$C:$C,'P&amp;L Forecast'!$B91)</f>
        <v>26.028759999999998</v>
      </c>
      <c r="AA91" s="54">
        <f>SUMIFS('Combined P&amp;L'!Y:Y,'Combined P&amp;L'!$C:$C,'P&amp;L Forecast'!$B91)</f>
        <v>24.44012</v>
      </c>
      <c r="AB91" s="54">
        <f>SUMIFS('Combined P&amp;L'!Z:Z,'Combined P&amp;L'!$C:$C,'P&amp;L Forecast'!$B91)</f>
        <v>21.052340000000001</v>
      </c>
      <c r="AC91" s="54">
        <f>SUMIFS('Combined P&amp;L'!AA:AA,'Combined P&amp;L'!$C:$C,'P&amp;L Forecast'!$B91)</f>
        <v>19.916029999999999</v>
      </c>
      <c r="AD91" s="54">
        <f>SUMIFS('Combined P&amp;L'!AB:AB,'Combined P&amp;L'!$C:$C,'P&amp;L Forecast'!$B91)</f>
        <v>11.743870000000001</v>
      </c>
      <c r="AE91" s="54">
        <f>SUMIFS('Combined P&amp;L'!AC:AC,'Combined P&amp;L'!$C:$C,'P&amp;L Forecast'!$B91)</f>
        <v>19.617919999999998</v>
      </c>
      <c r="AF91" s="54">
        <f>SUMIFS('Combined P&amp;L'!AD:AD,'Combined P&amp;L'!$C:$C,'P&amp;L Forecast'!$B91)</f>
        <v>20.669779999999999</v>
      </c>
      <c r="AG91" s="54">
        <f>SUMIFS('Combined P&amp;L'!AE:AE,'Combined P&amp;L'!$C:$C,'P&amp;L Forecast'!$B91)</f>
        <v>20.693900000000003</v>
      </c>
      <c r="AH91" s="54">
        <f>SUMIFS('Combined P&amp;L'!AF:AF,'Combined P&amp;L'!$C:$C,'P&amp;L Forecast'!$B91)</f>
        <v>22.602640000000001</v>
      </c>
      <c r="AI91" s="54">
        <f>SUMIFS('Combined P&amp;L'!AG:AG,'Combined P&amp;L'!$C:$C,'P&amp;L Forecast'!$B91)</f>
        <v>19.961279999999999</v>
      </c>
      <c r="AJ91" s="54">
        <f>SUMIFS('Combined P&amp;L'!AH:AH,'Combined P&amp;L'!$C:$C,'P&amp;L Forecast'!$B91)</f>
        <v>27.605630000000001</v>
      </c>
      <c r="AK91" s="54">
        <f>SUMIFS('Combined P&amp;L'!AI:AI,'Combined P&amp;L'!$C:$C,'P&amp;L Forecast'!$B91)</f>
        <v>34.185890000000001</v>
      </c>
      <c r="AL91" s="54">
        <f>SUMIFS('Combined P&amp;L'!AJ:AJ,'Combined P&amp;L'!$C:$C,'P&amp;L Forecast'!$B91)</f>
        <v>29.731570000000001</v>
      </c>
      <c r="AM91" s="54">
        <f>SUMIFS('Combined P&amp;L'!AK:AK,'Combined P&amp;L'!$C:$C,'P&amp;L Forecast'!$B91)</f>
        <v>33.459690000000002</v>
      </c>
      <c r="AN91" s="54">
        <f>SUMIFS('Combined P&amp;L'!AL:AL,'Combined P&amp;L'!$C:$C,'P&amp;L Forecast'!$B91)</f>
        <v>36.253599999999999</v>
      </c>
      <c r="AO91" s="54">
        <f>SUMIFS('Combined P&amp;L'!AM:AM,'Combined P&amp;L'!$C:$C,'P&amp;L Forecast'!$B91)</f>
        <v>33.607510000000005</v>
      </c>
      <c r="AP91" s="54">
        <f>SUMIFS('Combined P&amp;L'!AN:AN,'Combined P&amp;L'!$C:$C,'P&amp;L Forecast'!$B91)</f>
        <v>57.199239999999996</v>
      </c>
      <c r="AQ91" s="54">
        <f>SUMIFS('Combined P&amp;L'!AO:AO,'Combined P&amp;L'!$C:$C,'P&amp;L Forecast'!$B91)</f>
        <v>58.245950000000001</v>
      </c>
      <c r="AR91" s="54">
        <f>SUMIFS('Combined P&amp;L'!AP:AP,'Combined P&amp;L'!$C:$C,'P&amp;L Forecast'!$B91)</f>
        <v>54.069230000000005</v>
      </c>
      <c r="AS91" s="54">
        <f>SUMIFS('Combined P&amp;L'!AQ:AQ,'Combined P&amp;L'!$C:$C,'P&amp;L Forecast'!$B91)</f>
        <v>60.003809999999994</v>
      </c>
      <c r="AT91" s="54">
        <f>SUMIFS('Combined P&amp;L'!AR:AR,'Combined P&amp;L'!$C:$C,'P&amp;L Forecast'!$B91)</f>
        <v>57.895379999999996</v>
      </c>
    </row>
    <row r="92" spans="2:46" x14ac:dyDescent="0.2">
      <c r="B92" s="58" t="s">
        <v>35</v>
      </c>
      <c r="C92" s="24">
        <f>SUMIFS($P92:$AT92,$P$69:$AT$69,"&gt;"&amp;C$169,$P$69:$AT$69,"&lt;"&amp;C$170)</f>
        <v>183.36902999999998</v>
      </c>
      <c r="D92" s="24">
        <f>SUMIFS($P92:$AT92,$P$69:$AT$69,"&gt;"&amp;D$169,$P$69:$AT$69,"&lt;"&amp;D$170)</f>
        <v>316.18462</v>
      </c>
      <c r="E92" s="24"/>
      <c r="F92" s="24">
        <f>SUMIFS($P92:$AT92,$P$69:$AT$69,"&gt;"&amp;F$169,$P$69:$AT$69,"&lt;"&amp;F$170)</f>
        <v>147.26813000000001</v>
      </c>
      <c r="G92" s="24">
        <f>SUMIFS($P92:$AT92,$P$69:$AT$69,"&gt;"&amp;G$169,$P$69:$AT$69,"&lt;"&amp;G$170)</f>
        <v>267.75739999999996</v>
      </c>
      <c r="H92" s="24"/>
      <c r="I92" s="24">
        <f>SUMIFS($P92:$AT92,$P$69:$AT$69,"&gt;"&amp;I$169,$P$69:$AT$69,"&lt;"&amp;I$170)</f>
        <v>226.32031000000001</v>
      </c>
      <c r="J92" s="24">
        <f>SUMIFS($P92:$AT92,$P$69:$AT$69,"&gt;"&amp;J$169,$P$69:$AT$69,"&lt;"&amp;J$170)</f>
        <v>420.09519999999998</v>
      </c>
      <c r="K92" s="66">
        <f>+C25</f>
        <v>533.85120000000006</v>
      </c>
      <c r="L92" s="66"/>
      <c r="M92" s="24">
        <f t="shared" si="42"/>
        <v>-113.75600000000009</v>
      </c>
      <c r="N92" s="67">
        <f t="shared" si="43"/>
        <v>0.27078624083303038</v>
      </c>
      <c r="O92" s="53"/>
      <c r="P92" s="54">
        <f>SUMIFS('Combined P&amp;L'!N:N,'Combined P&amp;L'!$C:$C,'P&amp;L Forecast'!$B92)</f>
        <v>9.5549999999999997</v>
      </c>
      <c r="Q92" s="54">
        <f>SUMIFS('Combined P&amp;L'!O:O,'Combined P&amp;L'!$C:$C,'P&amp;L Forecast'!$B92)</f>
        <v>9.5549999999999997</v>
      </c>
      <c r="R92" s="54">
        <f>SUMIFS('Combined P&amp;L'!P:P,'Combined P&amp;L'!$C:$C,'P&amp;L Forecast'!$B92)</f>
        <v>10.397200000000002</v>
      </c>
      <c r="S92" s="54">
        <f>SUMIFS('Combined P&amp;L'!Q:Q,'Combined P&amp;L'!$C:$C,'P&amp;L Forecast'!$B92)</f>
        <v>14.99967</v>
      </c>
      <c r="T92" s="54">
        <f>SUMIFS('Combined P&amp;L'!R:R,'Combined P&amp;L'!$C:$C,'P&amp;L Forecast'!$B92)</f>
        <v>18.009799999999998</v>
      </c>
      <c r="U92" s="54">
        <f>SUMIFS('Combined P&amp;L'!S:S,'Combined P&amp;L'!$C:$C,'P&amp;L Forecast'!$B92)</f>
        <v>13.89127</v>
      </c>
      <c r="V92" s="54">
        <f>SUMIFS('Combined P&amp;L'!T:T,'Combined P&amp;L'!$C:$C,'P&amp;L Forecast'!$B92)</f>
        <v>14.04824</v>
      </c>
      <c r="W92" s="54">
        <f>SUMIFS('Combined P&amp;L'!U:U,'Combined P&amp;L'!$C:$C,'P&amp;L Forecast'!$B92)</f>
        <v>13.39091</v>
      </c>
      <c r="X92" s="54">
        <f>SUMIFS('Combined P&amp;L'!V:V,'Combined P&amp;L'!$C:$C,'P&amp;L Forecast'!$B92)</f>
        <v>14.669309999999999</v>
      </c>
      <c r="Y92" s="54">
        <f>SUMIFS('Combined P&amp;L'!W:W,'Combined P&amp;L'!$C:$C,'P&amp;L Forecast'!$B92)</f>
        <v>15.882530000000001</v>
      </c>
      <c r="Z92" s="54">
        <f>SUMIFS('Combined P&amp;L'!X:X,'Combined P&amp;L'!$C:$C,'P&amp;L Forecast'!$B92)</f>
        <v>27.188669999999998</v>
      </c>
      <c r="AA92" s="54">
        <f>SUMIFS('Combined P&amp;L'!Y:Y,'Combined P&amp;L'!$C:$C,'P&amp;L Forecast'!$B92)</f>
        <v>21.78143</v>
      </c>
      <c r="AB92" s="54">
        <f>SUMIFS('Combined P&amp;L'!Z:Z,'Combined P&amp;L'!$C:$C,'P&amp;L Forecast'!$B92)</f>
        <v>19.402330000000003</v>
      </c>
      <c r="AC92" s="54">
        <f>SUMIFS('Combined P&amp;L'!AA:AA,'Combined P&amp;L'!$C:$C,'P&amp;L Forecast'!$B92)</f>
        <v>16.40053</v>
      </c>
      <c r="AD92" s="54">
        <f>SUMIFS('Combined P&amp;L'!AB:AB,'Combined P&amp;L'!$C:$C,'P&amp;L Forecast'!$B92)</f>
        <v>19.569830000000003</v>
      </c>
      <c r="AE92" s="54">
        <f>SUMIFS('Combined P&amp;L'!AC:AC,'Combined P&amp;L'!$C:$C,'P&amp;L Forecast'!$B92)</f>
        <v>22.154199999999999</v>
      </c>
      <c r="AF92" s="54">
        <f>SUMIFS('Combined P&amp;L'!AD:AD,'Combined P&amp;L'!$C:$C,'P&amp;L Forecast'!$B92)</f>
        <v>20.791540000000001</v>
      </c>
      <c r="AG92" s="54">
        <f>SUMIFS('Combined P&amp;L'!AE:AE,'Combined P&amp;L'!$C:$C,'P&amp;L Forecast'!$B92)</f>
        <v>21.040790000000001</v>
      </c>
      <c r="AH92" s="54">
        <f>SUMIFS('Combined P&amp;L'!AF:AF,'Combined P&amp;L'!$C:$C,'P&amp;L Forecast'!$B92)</f>
        <v>27.908909999999999</v>
      </c>
      <c r="AI92" s="54">
        <f>SUMIFS('Combined P&amp;L'!AG:AG,'Combined P&amp;L'!$C:$C,'P&amp;L Forecast'!$B92)</f>
        <v>29.547000000000001</v>
      </c>
      <c r="AJ92" s="54">
        <f>SUMIFS('Combined P&amp;L'!AH:AH,'Combined P&amp;L'!$C:$C,'P&amp;L Forecast'!$B92)</f>
        <v>33.447269999999996</v>
      </c>
      <c r="AK92" s="54">
        <f>SUMIFS('Combined P&amp;L'!AI:AI,'Combined P&amp;L'!$C:$C,'P&amp;L Forecast'!$B92)</f>
        <v>37.794319999999999</v>
      </c>
      <c r="AL92" s="54">
        <f>SUMIFS('Combined P&amp;L'!AJ:AJ,'Combined P&amp;L'!$C:$C,'P&amp;L Forecast'!$B92)</f>
        <v>34.063319999999997</v>
      </c>
      <c r="AM92" s="54">
        <f>SUMIFS('Combined P&amp;L'!AK:AK,'Combined P&amp;L'!$C:$C,'P&amp;L Forecast'!$B92)</f>
        <v>34.064579999999999</v>
      </c>
      <c r="AN92" s="54">
        <f>SUMIFS('Combined P&amp;L'!AL:AL,'Combined P&amp;L'!$C:$C,'P&amp;L Forecast'!$B92)</f>
        <v>38.378879999999995</v>
      </c>
      <c r="AO92" s="54">
        <f>SUMIFS('Combined P&amp;L'!AM:AM,'Combined P&amp;L'!$C:$C,'P&amp;L Forecast'!$B92)</f>
        <v>29.701520000000002</v>
      </c>
      <c r="AP92" s="54">
        <f>SUMIFS('Combined P&amp;L'!AN:AN,'Combined P&amp;L'!$C:$C,'P&amp;L Forecast'!$B92)</f>
        <v>37.422499999999999</v>
      </c>
      <c r="AQ92" s="54">
        <f>SUMIFS('Combined P&amp;L'!AO:AO,'Combined P&amp;L'!$C:$C,'P&amp;L Forecast'!$B92)</f>
        <v>38.772300000000001</v>
      </c>
      <c r="AR92" s="54">
        <f>SUMIFS('Combined P&amp;L'!AP:AP,'Combined P&amp;L'!$C:$C,'P&amp;L Forecast'!$B92)</f>
        <v>38.29477</v>
      </c>
      <c r="AS92" s="54">
        <f>SUMIFS('Combined P&amp;L'!AQ:AQ,'Combined P&amp;L'!$C:$C,'P&amp;L Forecast'!$B92)</f>
        <v>40.699829999999999</v>
      </c>
      <c r="AT92" s="54">
        <f>SUMIFS('Combined P&amp;L'!AR:AR,'Combined P&amp;L'!$C:$C,'P&amp;L Forecast'!$B92)</f>
        <v>44.4876</v>
      </c>
    </row>
    <row r="93" spans="2:46" x14ac:dyDescent="0.2">
      <c r="B93" s="58" t="s">
        <v>36</v>
      </c>
      <c r="C93" s="24">
        <f>SUMIFS($P93:$AT93,$P$69:$AT$69,"&gt;"&amp;C$169,$P$69:$AT$69,"&lt;"&amp;C$170)</f>
        <v>286.16129000000001</v>
      </c>
      <c r="D93" s="24">
        <f>SUMIFS($P93:$AT93,$P$69:$AT$69,"&gt;"&amp;D$169,$P$69:$AT$69,"&lt;"&amp;D$170)</f>
        <v>352.95844</v>
      </c>
      <c r="E93" s="24"/>
      <c r="F93" s="24">
        <f>SUMIFS($P93:$AT93,$P$69:$AT$69,"&gt;"&amp;F$169,$P$69:$AT$69,"&lt;"&amp;F$170)</f>
        <v>201.27983</v>
      </c>
      <c r="G93" s="24">
        <f>SUMIFS($P93:$AT93,$P$69:$AT$69,"&gt;"&amp;G$169,$P$69:$AT$69,"&lt;"&amp;G$170)</f>
        <v>202.05309</v>
      </c>
      <c r="H93" s="24"/>
      <c r="I93" s="24">
        <f>SUMIFS($P93:$AT93,$P$69:$AT$69,"&gt;"&amp;I$169,$P$69:$AT$69,"&lt;"&amp;I$170)</f>
        <v>351.95998999999995</v>
      </c>
      <c r="J93" s="24">
        <f>SUMIFS($P93:$AT93,$P$69:$AT$69,"&gt;"&amp;J$169,$P$69:$AT$69,"&lt;"&amp;J$170)</f>
        <v>350.46762000000001</v>
      </c>
      <c r="K93" s="66">
        <f>+C27</f>
        <v>392.92452000000003</v>
      </c>
      <c r="L93" s="66"/>
      <c r="M93" s="24">
        <f>+J93-K93</f>
        <v>-42.456900000000019</v>
      </c>
      <c r="N93" s="67">
        <f>IFERROR(K93/J93-1,0)</f>
        <v>0.12114357383429608</v>
      </c>
      <c r="O93" s="53"/>
      <c r="P93" s="54">
        <f>SUMIFS('Combined P&amp;L'!N:N,'Combined P&amp;L'!$C:$C,'P&amp;L Forecast'!$B93)</f>
        <v>9.961079999999999</v>
      </c>
      <c r="Q93" s="54">
        <f>SUMIFS('Combined P&amp;L'!O:O,'Combined P&amp;L'!$C:$C,'P&amp;L Forecast'!$B93)</f>
        <v>13.85026</v>
      </c>
      <c r="R93" s="54">
        <f>SUMIFS('Combined P&amp;L'!P:P,'Combined P&amp;L'!$C:$C,'P&amp;L Forecast'!$B93)</f>
        <v>12.79054</v>
      </c>
      <c r="S93" s="54">
        <f>SUMIFS('Combined P&amp;L'!Q:Q,'Combined P&amp;L'!$C:$C,'P&amp;L Forecast'!$B93)</f>
        <v>14.57145</v>
      </c>
      <c r="T93" s="54">
        <f>SUMIFS('Combined P&amp;L'!R:R,'Combined P&amp;L'!$C:$C,'P&amp;L Forecast'!$B93)</f>
        <v>28.285630000000001</v>
      </c>
      <c r="U93" s="54">
        <f>SUMIFS('Combined P&amp;L'!S:S,'Combined P&amp;L'!$C:$C,'P&amp;L Forecast'!$B93)</f>
        <v>26.542540000000002</v>
      </c>
      <c r="V93" s="54">
        <f>SUMIFS('Combined P&amp;L'!T:T,'Combined P&amp;L'!$C:$C,'P&amp;L Forecast'!$B93)</f>
        <v>28.31119</v>
      </c>
      <c r="W93" s="54">
        <f>SUMIFS('Combined P&amp;L'!U:U,'Combined P&amp;L'!$C:$C,'P&amp;L Forecast'!$B93)</f>
        <v>28.187459999999998</v>
      </c>
      <c r="X93" s="54">
        <f>SUMIFS('Combined P&amp;L'!V:V,'Combined P&amp;L'!$C:$C,'P&amp;L Forecast'!$B93)</f>
        <v>30.868009999999998</v>
      </c>
      <c r="Y93" s="54">
        <f>SUMIFS('Combined P&amp;L'!W:W,'Combined P&amp;L'!$C:$C,'P&amp;L Forecast'!$B93)</f>
        <v>31.621279999999999</v>
      </c>
      <c r="Z93" s="54">
        <f>SUMIFS('Combined P&amp;L'!X:X,'Combined P&amp;L'!$C:$C,'P&amp;L Forecast'!$B93)</f>
        <v>28.449740000000002</v>
      </c>
      <c r="AA93" s="54">
        <f>SUMIFS('Combined P&amp;L'!Y:Y,'Combined P&amp;L'!$C:$C,'P&amp;L Forecast'!$B93)</f>
        <v>32.722110000000001</v>
      </c>
      <c r="AB93" s="54">
        <f>SUMIFS('Combined P&amp;L'!Z:Z,'Combined P&amp;L'!$C:$C,'P&amp;L Forecast'!$B93)</f>
        <v>32.780760000000001</v>
      </c>
      <c r="AC93" s="54">
        <f>SUMIFS('Combined P&amp;L'!AA:AA,'Combined P&amp;L'!$C:$C,'P&amp;L Forecast'!$B93)</f>
        <v>23.361840000000001</v>
      </c>
      <c r="AD93" s="54">
        <f>SUMIFS('Combined P&amp;L'!AB:AB,'Combined P&amp;L'!$C:$C,'P&amp;L Forecast'!$B93)</f>
        <v>26.914270000000002</v>
      </c>
      <c r="AE93" s="54">
        <f>SUMIFS('Combined P&amp;L'!AC:AC,'Combined P&amp;L'!$C:$C,'P&amp;L Forecast'!$B93)</f>
        <v>28.81298</v>
      </c>
      <c r="AF93" s="54">
        <f>SUMIFS('Combined P&amp;L'!AD:AD,'Combined P&amp;L'!$C:$C,'P&amp;L Forecast'!$B93)</f>
        <v>30.658750000000001</v>
      </c>
      <c r="AG93" s="54">
        <f>SUMIFS('Combined P&amp;L'!AE:AE,'Combined P&amp;L'!$C:$C,'P&amp;L Forecast'!$B93)</f>
        <v>29.271599999999999</v>
      </c>
      <c r="AH93" s="54">
        <f>SUMIFS('Combined P&amp;L'!AF:AF,'Combined P&amp;L'!$C:$C,'P&amp;L Forecast'!$B93)</f>
        <v>29.47963</v>
      </c>
      <c r="AI93" s="54">
        <f>SUMIFS('Combined P&amp;L'!AG:AG,'Combined P&amp;L'!$C:$C,'P&amp;L Forecast'!$B93)</f>
        <v>26.830639999999999</v>
      </c>
      <c r="AJ93" s="54">
        <f>SUMIFS('Combined P&amp;L'!AH:AH,'Combined P&amp;L'!$C:$C,'P&amp;L Forecast'!$B93)</f>
        <v>29.785550000000001</v>
      </c>
      <c r="AK93" s="54">
        <f>SUMIFS('Combined P&amp;L'!AI:AI,'Combined P&amp;L'!$C:$C,'P&amp;L Forecast'!$B93)</f>
        <v>32.899370000000005</v>
      </c>
      <c r="AL93" s="54">
        <f>SUMIFS('Combined P&amp;L'!AJ:AJ,'Combined P&amp;L'!$C:$C,'P&amp;L Forecast'!$B93)</f>
        <v>29.49334</v>
      </c>
      <c r="AM93" s="54">
        <f>SUMIFS('Combined P&amp;L'!AK:AK,'Combined P&amp;L'!$C:$C,'P&amp;L Forecast'!$B93)</f>
        <v>32.669710000000002</v>
      </c>
      <c r="AN93" s="54">
        <f>SUMIFS('Combined P&amp;L'!AL:AL,'Combined P&amp;L'!$C:$C,'P&amp;L Forecast'!$B93)</f>
        <v>26.114900000000002</v>
      </c>
      <c r="AO93" s="54">
        <f>SUMIFS('Combined P&amp;L'!AM:AM,'Combined P&amp;L'!$C:$C,'P&amp;L Forecast'!$B93)</f>
        <v>21.9055</v>
      </c>
      <c r="AP93" s="54">
        <f>SUMIFS('Combined P&amp;L'!AN:AN,'Combined P&amp;L'!$C:$C,'P&amp;L Forecast'!$B93)</f>
        <v>30.75844</v>
      </c>
      <c r="AQ93" s="54">
        <f>SUMIFS('Combined P&amp;L'!AO:AO,'Combined P&amp;L'!$C:$C,'P&amp;L Forecast'!$B93)</f>
        <v>31.59038</v>
      </c>
      <c r="AR93" s="54">
        <f>SUMIFS('Combined P&amp;L'!AP:AP,'Combined P&amp;L'!$C:$C,'P&amp;L Forecast'!$B93)</f>
        <v>27.699919999999999</v>
      </c>
      <c r="AS93" s="54">
        <f>SUMIFS('Combined P&amp;L'!AQ:AQ,'Combined P&amp;L'!$C:$C,'P&amp;L Forecast'!$B93)</f>
        <v>31.24024</v>
      </c>
      <c r="AT93" s="54">
        <f>SUMIFS('Combined P&amp;L'!AR:AR,'Combined P&amp;L'!$C:$C,'P&amp;L Forecast'!$B93)</f>
        <v>32.74371</v>
      </c>
    </row>
    <row r="94" spans="2:46" s="14" customFormat="1" x14ac:dyDescent="0.2">
      <c r="B94" s="57" t="s">
        <v>279</v>
      </c>
      <c r="C94" s="24">
        <f>SUMIFS($P94:$AT94,$P$69:$AT$69,"&gt;"&amp;C$169,$P$69:$AT$69,"&lt;"&amp;C$170)</f>
        <v>0</v>
      </c>
      <c r="D94" s="24">
        <f>SUMIFS($P94:$AT94,$P$69:$AT$69,"&gt;"&amp;D$169,$P$69:$AT$69,"&lt;"&amp;D$170)</f>
        <v>90.66704</v>
      </c>
      <c r="E94" s="24"/>
      <c r="F94" s="24">
        <f>SUMIFS($P94:$AT94,$P$69:$AT$69,"&gt;"&amp;F$169,$P$69:$AT$69,"&lt;"&amp;F$170)</f>
        <v>45.466120000000004</v>
      </c>
      <c r="G94" s="24">
        <f>SUMIFS($P94:$AT94,$P$69:$AT$69,"&gt;"&amp;G$169,$P$69:$AT$69,"&lt;"&amp;G$170)</f>
        <v>63.143019999999993</v>
      </c>
      <c r="H94" s="24"/>
      <c r="I94" s="24">
        <f>SUMIFS($P94:$AT94,$P$69:$AT$69,"&gt;"&amp;I$169,$P$69:$AT$69,"&lt;"&amp;I$170)</f>
        <v>35.943250000000006</v>
      </c>
      <c r="J94" s="24">
        <f>SUMIFS($P94:$AT94,$P$69:$AT$69,"&gt;"&amp;J$169,$P$69:$AT$69,"&lt;"&amp;J$170)</f>
        <v>108.34394</v>
      </c>
      <c r="K94" s="66">
        <f>+C26</f>
        <v>200</v>
      </c>
      <c r="L94" s="66"/>
      <c r="M94" s="24">
        <f>+J94-K94</f>
        <v>-91.656059999999997</v>
      </c>
      <c r="N94" s="67">
        <f>IFERROR(K94/J94-1,0)</f>
        <v>0.84597311118646767</v>
      </c>
      <c r="O94" s="53"/>
      <c r="P94" s="54">
        <f>SUMIFS('Combined P&amp;L'!N:N,'Combined P&amp;L'!$C:$C,'P&amp;L Forecast'!$B94)</f>
        <v>0</v>
      </c>
      <c r="Q94" s="54">
        <f>SUMIFS('Combined P&amp;L'!O:O,'Combined P&amp;L'!$C:$C,'P&amp;L Forecast'!$B94)</f>
        <v>0</v>
      </c>
      <c r="R94" s="54">
        <f>SUMIFS('Combined P&amp;L'!P:P,'Combined P&amp;L'!$C:$C,'P&amp;L Forecast'!$B94)</f>
        <v>0</v>
      </c>
      <c r="S94" s="54">
        <f>SUMIFS('Combined P&amp;L'!Q:Q,'Combined P&amp;L'!$C:$C,'P&amp;L Forecast'!$B94)</f>
        <v>0</v>
      </c>
      <c r="T94" s="54">
        <f>SUMIFS('Combined P&amp;L'!R:R,'Combined P&amp;L'!$C:$C,'P&amp;L Forecast'!$B94)</f>
        <v>0</v>
      </c>
      <c r="U94" s="54">
        <f>SUMIFS('Combined P&amp;L'!S:S,'Combined P&amp;L'!$C:$C,'P&amp;L Forecast'!$B94)</f>
        <v>0</v>
      </c>
      <c r="V94" s="54">
        <f>SUMIFS('Combined P&amp;L'!T:T,'Combined P&amp;L'!$C:$C,'P&amp;L Forecast'!$B94)</f>
        <v>0</v>
      </c>
      <c r="W94" s="54">
        <f>SUMIFS('Combined P&amp;L'!U:U,'Combined P&amp;L'!$C:$C,'P&amp;L Forecast'!$B94)</f>
        <v>0</v>
      </c>
      <c r="X94" s="54">
        <f>SUMIFS('Combined P&amp;L'!V:V,'Combined P&amp;L'!$C:$C,'P&amp;L Forecast'!$B94)</f>
        <v>0</v>
      </c>
      <c r="Y94" s="54">
        <f>SUMIFS('Combined P&amp;L'!W:W,'Combined P&amp;L'!$C:$C,'P&amp;L Forecast'!$B94)</f>
        <v>0</v>
      </c>
      <c r="Z94" s="54">
        <f>SUMIFS('Combined P&amp;L'!X:X,'Combined P&amp;L'!$C:$C,'P&amp;L Forecast'!$B94)</f>
        <v>0</v>
      </c>
      <c r="AA94" s="54">
        <f>SUMIFS('Combined P&amp;L'!Y:Y,'Combined P&amp;L'!$C:$C,'P&amp;L Forecast'!$B94)</f>
        <v>0</v>
      </c>
      <c r="AB94" s="54">
        <f>SUMIFS('Combined P&amp;L'!Z:Z,'Combined P&amp;L'!$C:$C,'P&amp;L Forecast'!$B94)</f>
        <v>0</v>
      </c>
      <c r="AC94" s="54">
        <f>SUMIFS('Combined P&amp;L'!AA:AA,'Combined P&amp;L'!$C:$C,'P&amp;L Forecast'!$B94)</f>
        <v>0</v>
      </c>
      <c r="AD94" s="54">
        <f>SUMIFS('Combined P&amp;L'!AB:AB,'Combined P&amp;L'!$C:$C,'P&amp;L Forecast'!$B94)</f>
        <v>8.90639</v>
      </c>
      <c r="AE94" s="54">
        <f>SUMIFS('Combined P&amp;L'!AC:AC,'Combined P&amp;L'!$C:$C,'P&amp;L Forecast'!$B94)</f>
        <v>9.2332299999999989</v>
      </c>
      <c r="AF94" s="54">
        <f>SUMIFS('Combined P&amp;L'!AD:AD,'Combined P&amp;L'!$C:$C,'P&amp;L Forecast'!$B94)</f>
        <v>9.1088400000000007</v>
      </c>
      <c r="AG94" s="54">
        <f>SUMIFS('Combined P&amp;L'!AE:AE,'Combined P&amp;L'!$C:$C,'P&amp;L Forecast'!$B94)</f>
        <v>8.6947900000000011</v>
      </c>
      <c r="AH94" s="54">
        <f>SUMIFS('Combined P&amp;L'!AF:AF,'Combined P&amp;L'!$C:$C,'P&amp;L Forecast'!$B94)</f>
        <v>9.5228700000000011</v>
      </c>
      <c r="AI94" s="54">
        <f>SUMIFS('Combined P&amp;L'!AG:AG,'Combined P&amp;L'!$C:$C,'P&amp;L Forecast'!$B94)</f>
        <v>8.6948100000000004</v>
      </c>
      <c r="AJ94" s="54">
        <f>SUMIFS('Combined P&amp;L'!AH:AH,'Combined P&amp;L'!$C:$C,'P&amp;L Forecast'!$B94)</f>
        <v>9.1088400000000007</v>
      </c>
      <c r="AK94" s="54">
        <f>SUMIFS('Combined P&amp;L'!AI:AI,'Combined P&amp;L'!$C:$C,'P&amp;L Forecast'!$B94)</f>
        <v>9.5228700000000011</v>
      </c>
      <c r="AL94" s="54">
        <f>SUMIFS('Combined P&amp;L'!AJ:AJ,'Combined P&amp;L'!$C:$C,'P&amp;L Forecast'!$B94)</f>
        <v>8.2807600000000008</v>
      </c>
      <c r="AM94" s="54">
        <f>SUMIFS('Combined P&amp;L'!AK:AK,'Combined P&amp;L'!$C:$C,'P&amp;L Forecast'!$B94)</f>
        <v>9.5936399999999988</v>
      </c>
      <c r="AN94" s="54">
        <f>SUMIFS('Combined P&amp;L'!AL:AL,'Combined P&amp;L'!$C:$C,'P&amp;L Forecast'!$B94)</f>
        <v>9.276209999999999</v>
      </c>
      <c r="AO94" s="54">
        <f>SUMIFS('Combined P&amp;L'!AM:AM,'Combined P&amp;L'!$C:$C,'P&amp;L Forecast'!$B94)</f>
        <v>8.3226299999999984</v>
      </c>
      <c r="AP94" s="54">
        <f>SUMIFS('Combined P&amp;L'!AN:AN,'Combined P&amp;L'!$C:$C,'P&amp;L Forecast'!$B94)</f>
        <v>9.1088299999999993</v>
      </c>
      <c r="AQ94" s="54">
        <f>SUMIFS('Combined P&amp;L'!AO:AO,'Combined P&amp;L'!$C:$C,'P&amp;L Forecast'!$B94)</f>
        <v>9.1088299999999993</v>
      </c>
      <c r="AR94" s="54">
        <f>SUMIFS('Combined P&amp;L'!AP:AP,'Combined P&amp;L'!$C:$C,'P&amp;L Forecast'!$B94)</f>
        <v>8.6948100000000004</v>
      </c>
      <c r="AS94" s="54">
        <f>SUMIFS('Combined P&amp;L'!AQ:AQ,'Combined P&amp;L'!$C:$C,'P&amp;L Forecast'!$B94)</f>
        <v>9.1088400000000007</v>
      </c>
      <c r="AT94" s="54">
        <f>SUMIFS('Combined P&amp;L'!AR:AR,'Combined P&amp;L'!$C:$C,'P&amp;L Forecast'!$B94)</f>
        <v>9.5228700000000011</v>
      </c>
    </row>
    <row r="95" spans="2:46" x14ac:dyDescent="0.2">
      <c r="B95" s="58" t="s">
        <v>38</v>
      </c>
      <c r="C95" s="24">
        <f>SUMIFS($P95:$AT95,$P$69:$AT$69,"&gt;"&amp;C$169,$P$69:$AT$69,"&lt;"&amp;C$170)</f>
        <v>122.81254999999999</v>
      </c>
      <c r="D95" s="24">
        <f>SUMIFS($P95:$AT95,$P$69:$AT$69,"&gt;"&amp;D$169,$P$69:$AT$69,"&lt;"&amp;D$170)</f>
        <v>152.16972000000001</v>
      </c>
      <c r="E95" s="24"/>
      <c r="F95" s="24">
        <f>SUMIFS($P95:$AT95,$P$69:$AT$69,"&gt;"&amp;F$169,$P$69:$AT$69,"&lt;"&amp;F$170)</f>
        <v>73.949619999999996</v>
      </c>
      <c r="G95" s="24">
        <f>SUMIFS($P95:$AT95,$P$69:$AT$69,"&gt;"&amp;G$169,$P$69:$AT$69,"&lt;"&amp;G$170)</f>
        <v>111.27999</v>
      </c>
      <c r="H95" s="24"/>
      <c r="I95" s="24">
        <f>SUMIFS($P95:$AT95,$P$69:$AT$69,"&gt;"&amp;I$169,$P$69:$AT$69,"&lt;"&amp;I$170)</f>
        <v>115.8168</v>
      </c>
      <c r="J95" s="24">
        <f>SUMIFS($P95:$AT95,$P$69:$AT$69,"&gt;"&amp;J$169,$P$69:$AT$69,"&lt;"&amp;J$170)</f>
        <v>186.54353999999998</v>
      </c>
      <c r="K95" s="66">
        <f>+C31</f>
        <v>197.14943999999997</v>
      </c>
      <c r="L95" s="66"/>
      <c r="M95" s="24">
        <f>+J95-K95</f>
        <v>-10.605899999999991</v>
      </c>
      <c r="N95" s="67">
        <f>IFERROR(K95/J95-1,0)</f>
        <v>5.6854823276110134E-2</v>
      </c>
      <c r="O95" s="53"/>
      <c r="P95" s="54">
        <f>SUMIFS('Combined P&amp;L'!N:N,'Combined P&amp;L'!$C:$C,'P&amp;L Forecast'!$B95)</f>
        <v>9.1372800000000005</v>
      </c>
      <c r="Q95" s="54">
        <f>SUMIFS('Combined P&amp;L'!O:O,'Combined P&amp;L'!$C:$C,'P&amp;L Forecast'!$B95)</f>
        <v>8.9629599999999989</v>
      </c>
      <c r="R95" s="54">
        <f>SUMIFS('Combined P&amp;L'!P:P,'Combined P&amp;L'!$C:$C,'P&amp;L Forecast'!$B95)</f>
        <v>10.19584</v>
      </c>
      <c r="S95" s="54">
        <f>SUMIFS('Combined P&amp;L'!Q:Q,'Combined P&amp;L'!$C:$C,'P&amp;L Forecast'!$B95)</f>
        <v>15.04429</v>
      </c>
      <c r="T95" s="54">
        <f>SUMIFS('Combined P&amp;L'!R:R,'Combined P&amp;L'!$C:$C,'P&amp;L Forecast'!$B95)</f>
        <v>16.637439999999998</v>
      </c>
      <c r="U95" s="54">
        <f>SUMIFS('Combined P&amp;L'!S:S,'Combined P&amp;L'!$C:$C,'P&amp;L Forecast'!$B95)</f>
        <v>7.4949899999999996</v>
      </c>
      <c r="V95" s="54">
        <f>SUMIFS('Combined P&amp;L'!T:T,'Combined P&amp;L'!$C:$C,'P&amp;L Forecast'!$B95)</f>
        <v>7.9820200000000003</v>
      </c>
      <c r="W95" s="54">
        <f>SUMIFS('Combined P&amp;L'!U:U,'Combined P&amp;L'!$C:$C,'P&amp;L Forecast'!$B95)</f>
        <v>5.9027399999999997</v>
      </c>
      <c r="X95" s="54">
        <f>SUMIFS('Combined P&amp;L'!V:V,'Combined P&amp;L'!$C:$C,'P&amp;L Forecast'!$B95)</f>
        <v>7.7676300000000005</v>
      </c>
      <c r="Y95" s="54">
        <f>SUMIFS('Combined P&amp;L'!W:W,'Combined P&amp;L'!$C:$C,'P&amp;L Forecast'!$B95)</f>
        <v>8.2141699999999993</v>
      </c>
      <c r="Z95" s="54">
        <f>SUMIFS('Combined P&amp;L'!X:X,'Combined P&amp;L'!$C:$C,'P&amp;L Forecast'!$B95)</f>
        <v>12.622719999999999</v>
      </c>
      <c r="AA95" s="54">
        <f>SUMIFS('Combined P&amp;L'!Y:Y,'Combined P&amp;L'!$C:$C,'P&amp;L Forecast'!$B95)</f>
        <v>12.85047</v>
      </c>
      <c r="AB95" s="54">
        <f>SUMIFS('Combined P&amp;L'!Z:Z,'Combined P&amp;L'!$C:$C,'P&amp;L Forecast'!$B95)</f>
        <v>10.345559999999999</v>
      </c>
      <c r="AC95" s="54">
        <f>SUMIFS('Combined P&amp;L'!AA:AA,'Combined P&amp;L'!$C:$C,'P&amp;L Forecast'!$B95)</f>
        <v>8.0879799999999999</v>
      </c>
      <c r="AD95" s="54">
        <f>SUMIFS('Combined P&amp;L'!AB:AB,'Combined P&amp;L'!$C:$C,'P&amp;L Forecast'!$B95)</f>
        <v>9.7528700000000015</v>
      </c>
      <c r="AE95" s="54">
        <f>SUMIFS('Combined P&amp;L'!AC:AC,'Combined P&amp;L'!$C:$C,'P&amp;L Forecast'!$B95)</f>
        <v>10.28</v>
      </c>
      <c r="AF95" s="54">
        <f>SUMIFS('Combined P&amp;L'!AD:AD,'Combined P&amp;L'!$C:$C,'P&amp;L Forecast'!$B95)</f>
        <v>11.13632</v>
      </c>
      <c r="AG95" s="54">
        <f>SUMIFS('Combined P&amp;L'!AE:AE,'Combined P&amp;L'!$C:$C,'P&amp;L Forecast'!$B95)</f>
        <v>10.874319999999999</v>
      </c>
      <c r="AH95" s="54">
        <f>SUMIFS('Combined P&amp;L'!AF:AF,'Combined P&amp;L'!$C:$C,'P&amp;L Forecast'!$B95)</f>
        <v>13.472569999999999</v>
      </c>
      <c r="AI95" s="54">
        <f>SUMIFS('Combined P&amp;L'!AG:AG,'Combined P&amp;L'!$C:$C,'P&amp;L Forecast'!$B95)</f>
        <v>12.70407</v>
      </c>
      <c r="AJ95" s="54">
        <f>SUMIFS('Combined P&amp;L'!AH:AH,'Combined P&amp;L'!$C:$C,'P&amp;L Forecast'!$B95)</f>
        <v>14.698840000000001</v>
      </c>
      <c r="AK95" s="54">
        <f>SUMIFS('Combined P&amp;L'!AI:AI,'Combined P&amp;L'!$C:$C,'P&amp;L Forecast'!$B95)</f>
        <v>15.543059999999999</v>
      </c>
      <c r="AL95" s="54">
        <f>SUMIFS('Combined P&amp;L'!AJ:AJ,'Combined P&amp;L'!$C:$C,'P&amp;L Forecast'!$B95)</f>
        <v>14.34361</v>
      </c>
      <c r="AM95" s="54">
        <f>SUMIFS('Combined P&amp;L'!AK:AK,'Combined P&amp;L'!$C:$C,'P&amp;L Forecast'!$B95)</f>
        <v>20.930520000000001</v>
      </c>
      <c r="AN95" s="54">
        <f>SUMIFS('Combined P&amp;L'!AL:AL,'Combined P&amp;L'!$C:$C,'P&amp;L Forecast'!$B95)</f>
        <v>16.553939999999997</v>
      </c>
      <c r="AO95" s="54">
        <f>SUMIFS('Combined P&amp;L'!AM:AM,'Combined P&amp;L'!$C:$C,'P&amp;L Forecast'!$B95)</f>
        <v>11.52661</v>
      </c>
      <c r="AP95" s="54">
        <f>SUMIFS('Combined P&amp;L'!AN:AN,'Combined P&amp;L'!$C:$C,'P&amp;L Forecast'!$B95)</f>
        <v>14.938829999999999</v>
      </c>
      <c r="AQ95" s="54">
        <f>SUMIFS('Combined P&amp;L'!AO:AO,'Combined P&amp;L'!$C:$C,'P&amp;L Forecast'!$B95)</f>
        <v>15.58352</v>
      </c>
      <c r="AR95" s="54">
        <f>SUMIFS('Combined P&amp;L'!AP:AP,'Combined P&amp;L'!$C:$C,'P&amp;L Forecast'!$B95)</f>
        <v>19.603400000000001</v>
      </c>
      <c r="AS95" s="54">
        <f>SUMIFS('Combined P&amp;L'!AQ:AQ,'Combined P&amp;L'!$C:$C,'P&amp;L Forecast'!$B95)</f>
        <v>16.644569999999998</v>
      </c>
      <c r="AT95" s="54">
        <f>SUMIFS('Combined P&amp;L'!AR:AR,'Combined P&amp;L'!$C:$C,'P&amp;L Forecast'!$B95)</f>
        <v>16.429119999999998</v>
      </c>
    </row>
    <row r="96" spans="2:46" s="14" customFormat="1" x14ac:dyDescent="0.2">
      <c r="B96" s="57" t="s">
        <v>280</v>
      </c>
      <c r="C96" s="24">
        <f>SUMIFS($P96:$AT96,$P$69:$AT$69,"&gt;"&amp;C$169,$P$69:$AT$69,"&lt;"&amp;C$170)</f>
        <v>0</v>
      </c>
      <c r="D96" s="24">
        <f>SUMIFS($P96:$AT96,$P$69:$AT$69,"&gt;"&amp;D$169,$P$69:$AT$69,"&lt;"&amp;D$170)</f>
        <v>19.149630000000002</v>
      </c>
      <c r="E96" s="24"/>
      <c r="F96" s="24">
        <f>SUMIFS($P96:$AT96,$P$69:$AT$69,"&gt;"&amp;F$169,$P$69:$AT$69,"&lt;"&amp;F$170)</f>
        <v>3.09945</v>
      </c>
      <c r="G96" s="24">
        <f>SUMIFS($P96:$AT96,$P$69:$AT$69,"&gt;"&amp;G$169,$P$69:$AT$69,"&lt;"&amp;G$170)</f>
        <v>51.941310000000001</v>
      </c>
      <c r="H96" s="24"/>
      <c r="I96" s="24">
        <f>SUMIFS($P96:$AT96,$P$69:$AT$69,"&gt;"&amp;I$169,$P$69:$AT$69,"&lt;"&amp;I$170)</f>
        <v>1.4667999999999999</v>
      </c>
      <c r="J96" s="24">
        <f>SUMIFS($P96:$AT96,$P$69:$AT$69,"&gt;"&amp;J$169,$P$69:$AT$69,"&lt;"&amp;J$170)</f>
        <v>61.428380000000004</v>
      </c>
      <c r="K96" s="66">
        <f>+C28</f>
        <v>98.349119999999999</v>
      </c>
      <c r="L96" s="66"/>
      <c r="M96" s="24">
        <f t="shared" si="42"/>
        <v>-36.920739999999995</v>
      </c>
      <c r="N96" s="67">
        <f t="shared" si="43"/>
        <v>0.60103717532515089</v>
      </c>
      <c r="O96" s="53"/>
      <c r="P96" s="54">
        <f>SUMIFS('Combined P&amp;L'!N:N,'Combined P&amp;L'!$C:$C,'P&amp;L Forecast'!$B96)</f>
        <v>0</v>
      </c>
      <c r="Q96" s="54">
        <f>SUMIFS('Combined P&amp;L'!O:O,'Combined P&amp;L'!$C:$C,'P&amp;L Forecast'!$B96)</f>
        <v>0</v>
      </c>
      <c r="R96" s="54">
        <f>SUMIFS('Combined P&amp;L'!P:P,'Combined P&amp;L'!$C:$C,'P&amp;L Forecast'!$B96)</f>
        <v>0</v>
      </c>
      <c r="S96" s="54">
        <f>SUMIFS('Combined P&amp;L'!Q:Q,'Combined P&amp;L'!$C:$C,'P&amp;L Forecast'!$B96)</f>
        <v>0</v>
      </c>
      <c r="T96" s="54">
        <f>SUMIFS('Combined P&amp;L'!R:R,'Combined P&amp;L'!$C:$C,'P&amp;L Forecast'!$B96)</f>
        <v>0</v>
      </c>
      <c r="U96" s="54">
        <f>SUMIFS('Combined P&amp;L'!S:S,'Combined P&amp;L'!$C:$C,'P&amp;L Forecast'!$B96)</f>
        <v>0</v>
      </c>
      <c r="V96" s="54">
        <f>SUMIFS('Combined P&amp;L'!T:T,'Combined P&amp;L'!$C:$C,'P&amp;L Forecast'!$B96)</f>
        <v>0</v>
      </c>
      <c r="W96" s="54">
        <f>SUMIFS('Combined P&amp;L'!U:U,'Combined P&amp;L'!$C:$C,'P&amp;L Forecast'!$B96)</f>
        <v>0</v>
      </c>
      <c r="X96" s="54">
        <f>SUMIFS('Combined P&amp;L'!V:V,'Combined P&amp;L'!$C:$C,'P&amp;L Forecast'!$B96)</f>
        <v>0</v>
      </c>
      <c r="Y96" s="54">
        <f>SUMIFS('Combined P&amp;L'!W:W,'Combined P&amp;L'!$C:$C,'P&amp;L Forecast'!$B96)</f>
        <v>0</v>
      </c>
      <c r="Z96" s="54">
        <f>SUMIFS('Combined P&amp;L'!X:X,'Combined P&amp;L'!$C:$C,'P&amp;L Forecast'!$B96)</f>
        <v>0</v>
      </c>
      <c r="AA96" s="54">
        <f>SUMIFS('Combined P&amp;L'!Y:Y,'Combined P&amp;L'!$C:$C,'P&amp;L Forecast'!$B96)</f>
        <v>0</v>
      </c>
      <c r="AB96" s="54">
        <f>SUMIFS('Combined P&amp;L'!Z:Z,'Combined P&amp;L'!$C:$C,'P&amp;L Forecast'!$B96)</f>
        <v>0</v>
      </c>
      <c r="AC96" s="54">
        <f>SUMIFS('Combined P&amp;L'!AA:AA,'Combined P&amp;L'!$C:$C,'P&amp;L Forecast'!$B96)</f>
        <v>0</v>
      </c>
      <c r="AD96" s="54">
        <f>SUMIFS('Combined P&amp;L'!AB:AB,'Combined P&amp;L'!$C:$C,'P&amp;L Forecast'!$B96)</f>
        <v>0</v>
      </c>
      <c r="AE96" s="54">
        <f>SUMIFS('Combined P&amp;L'!AC:AC,'Combined P&amp;L'!$C:$C,'P&amp;L Forecast'!$B96)</f>
        <v>0</v>
      </c>
      <c r="AF96" s="54">
        <f>SUMIFS('Combined P&amp;L'!AD:AD,'Combined P&amp;L'!$C:$C,'P&amp;L Forecast'!$B96)</f>
        <v>0</v>
      </c>
      <c r="AG96" s="54">
        <f>SUMIFS('Combined P&amp;L'!AE:AE,'Combined P&amp;L'!$C:$C,'P&amp;L Forecast'!$B96)</f>
        <v>1.4667999999999999</v>
      </c>
      <c r="AH96" s="54">
        <f>SUMIFS('Combined P&amp;L'!AF:AF,'Combined P&amp;L'!$C:$C,'P&amp;L Forecast'!$B96)</f>
        <v>1.6326500000000002</v>
      </c>
      <c r="AI96" s="54">
        <f>SUMIFS('Combined P&amp;L'!AG:AG,'Combined P&amp;L'!$C:$C,'P&amp;L Forecast'!$B96)</f>
        <v>1.7180499999999999</v>
      </c>
      <c r="AJ96" s="54">
        <f>SUMIFS('Combined P&amp;L'!AH:AH,'Combined P&amp;L'!$C:$C,'P&amp;L Forecast'!$B96)</f>
        <v>1.9145999999999999</v>
      </c>
      <c r="AK96" s="54">
        <f>SUMIFS('Combined P&amp;L'!AI:AI,'Combined P&amp;L'!$C:$C,'P&amp;L Forecast'!$B96)</f>
        <v>2.3529</v>
      </c>
      <c r="AL96" s="54">
        <f>SUMIFS('Combined P&amp;L'!AJ:AJ,'Combined P&amp;L'!$C:$C,'P&amp;L Forecast'!$B96)</f>
        <v>2.2452399999999999</v>
      </c>
      <c r="AM96" s="54">
        <f>SUMIFS('Combined P&amp;L'!AK:AK,'Combined P&amp;L'!$C:$C,'P&amp;L Forecast'!$B96)</f>
        <v>7.8193900000000003</v>
      </c>
      <c r="AN96" s="54">
        <f>SUMIFS('Combined P&amp;L'!AL:AL,'Combined P&amp;L'!$C:$C,'P&amp;L Forecast'!$B96)</f>
        <v>5.6533999999999995</v>
      </c>
      <c r="AO96" s="54">
        <f>SUMIFS('Combined P&amp;L'!AM:AM,'Combined P&amp;L'!$C:$C,'P&amp;L Forecast'!$B96)</f>
        <v>5.9568900000000005</v>
      </c>
      <c r="AP96" s="54">
        <f>SUMIFS('Combined P&amp;L'!AN:AN,'Combined P&amp;L'!$C:$C,'P&amp;L Forecast'!$B96)</f>
        <v>7.7827999999999999</v>
      </c>
      <c r="AQ96" s="54">
        <f>SUMIFS('Combined P&amp;L'!AO:AO,'Combined P&amp;L'!$C:$C,'P&amp;L Forecast'!$B96)</f>
        <v>8.1370100000000001</v>
      </c>
      <c r="AR96" s="54">
        <f>SUMIFS('Combined P&amp;L'!AP:AP,'Combined P&amp;L'!$C:$C,'P&amp;L Forecast'!$B96)</f>
        <v>7.8082500000000001</v>
      </c>
      <c r="AS96" s="54">
        <f>SUMIFS('Combined P&amp;L'!AQ:AQ,'Combined P&amp;L'!$C:$C,'P&amp;L Forecast'!$B96)</f>
        <v>8.4072000000000013</v>
      </c>
      <c r="AT96" s="54">
        <f>SUMIFS('Combined P&amp;L'!AR:AR,'Combined P&amp;L'!$C:$C,'P&amp;L Forecast'!$B96)</f>
        <v>8.1957599999999999</v>
      </c>
    </row>
    <row r="97" spans="2:46" x14ac:dyDescent="0.2">
      <c r="B97" s="58" t="s">
        <v>37</v>
      </c>
      <c r="C97" s="24">
        <f>SUMIFS($P97:$AT97,$P$69:$AT$69,"&gt;"&amp;C$169,$P$69:$AT$69,"&lt;"&amp;C$170)</f>
        <v>1.1133499999999998</v>
      </c>
      <c r="D97" s="24">
        <f>SUMIFS($P97:$AT97,$P$69:$AT$69,"&gt;"&amp;D$169,$P$69:$AT$69,"&lt;"&amp;D$170)</f>
        <v>29.564150000000001</v>
      </c>
      <c r="E97" s="24"/>
      <c r="F97" s="24">
        <f>SUMIFS($P97:$AT97,$P$69:$AT$69,"&gt;"&amp;F$169,$P$69:$AT$69,"&lt;"&amp;F$170)</f>
        <v>14.275850000000002</v>
      </c>
      <c r="G97" s="24">
        <f>SUMIFS($P97:$AT97,$P$69:$AT$69,"&gt;"&amp;G$169,$P$69:$AT$69,"&lt;"&amp;G$170)</f>
        <v>42.085049999999995</v>
      </c>
      <c r="H97" s="24"/>
      <c r="I97" s="24">
        <f>SUMIFS($P97:$AT97,$P$69:$AT$69,"&gt;"&amp;I$169,$P$69:$AT$69,"&lt;"&amp;I$170)</f>
        <v>13.21003</v>
      </c>
      <c r="J97" s="24">
        <f>SUMIFS($P97:$AT97,$P$69:$AT$69,"&gt;"&amp;J$169,$P$69:$AT$69,"&lt;"&amp;J$170)</f>
        <v>53.876419999999996</v>
      </c>
      <c r="K97" s="66">
        <f>+C29</f>
        <v>68.113200000000006</v>
      </c>
      <c r="L97" s="66"/>
      <c r="M97" s="24">
        <f t="shared" si="42"/>
        <v>-14.23678000000001</v>
      </c>
      <c r="N97" s="67">
        <f t="shared" si="43"/>
        <v>0.26424881237469022</v>
      </c>
      <c r="O97" s="53"/>
      <c r="P97" s="54">
        <f>SUMIFS('Combined P&amp;L'!N:N,'Combined P&amp;L'!$C:$C,'P&amp;L Forecast'!$B97)</f>
        <v>0</v>
      </c>
      <c r="Q97" s="54">
        <f>SUMIFS('Combined P&amp;L'!O:O,'Combined P&amp;L'!$C:$C,'P&amp;L Forecast'!$B97)</f>
        <v>0</v>
      </c>
      <c r="R97" s="54">
        <f>SUMIFS('Combined P&amp;L'!P:P,'Combined P&amp;L'!$C:$C,'P&amp;L Forecast'!$B97)</f>
        <v>0</v>
      </c>
      <c r="S97" s="54">
        <f>SUMIFS('Combined P&amp;L'!Q:Q,'Combined P&amp;L'!$C:$C,'P&amp;L Forecast'!$B97)</f>
        <v>0</v>
      </c>
      <c r="T97" s="54">
        <f>SUMIFS('Combined P&amp;L'!R:R,'Combined P&amp;L'!$C:$C,'P&amp;L Forecast'!$B97)</f>
        <v>0</v>
      </c>
      <c r="U97" s="54">
        <f>SUMIFS('Combined P&amp;L'!S:S,'Combined P&amp;L'!$C:$C,'P&amp;L Forecast'!$B97)</f>
        <v>0</v>
      </c>
      <c r="V97" s="54">
        <f>SUMIFS('Combined P&amp;L'!T:T,'Combined P&amp;L'!$C:$C,'P&amp;L Forecast'!$B97)</f>
        <v>0</v>
      </c>
      <c r="W97" s="54">
        <f>SUMIFS('Combined P&amp;L'!U:U,'Combined P&amp;L'!$C:$C,'P&amp;L Forecast'!$B97)</f>
        <v>0</v>
      </c>
      <c r="X97" s="54">
        <f>SUMIFS('Combined P&amp;L'!V:V,'Combined P&amp;L'!$C:$C,'P&amp;L Forecast'!$B97)</f>
        <v>0</v>
      </c>
      <c r="Y97" s="54">
        <f>SUMIFS('Combined P&amp;L'!W:W,'Combined P&amp;L'!$C:$C,'P&amp;L Forecast'!$B97)</f>
        <v>0</v>
      </c>
      <c r="Z97" s="54">
        <f>SUMIFS('Combined P&amp;L'!X:X,'Combined P&amp;L'!$C:$C,'P&amp;L Forecast'!$B97)</f>
        <v>0</v>
      </c>
      <c r="AA97" s="54">
        <f>SUMIFS('Combined P&amp;L'!Y:Y,'Combined P&amp;L'!$C:$C,'P&amp;L Forecast'!$B97)</f>
        <v>1.1133499999999998</v>
      </c>
      <c r="AB97" s="54">
        <f>SUMIFS('Combined P&amp;L'!Z:Z,'Combined P&amp;L'!$C:$C,'P&amp;L Forecast'!$B97)</f>
        <v>2.1791700000000001</v>
      </c>
      <c r="AC97" s="54">
        <f>SUMIFS('Combined P&amp;L'!AA:AA,'Combined P&amp;L'!$C:$C,'P&amp;L Forecast'!$B97)</f>
        <v>1.82504</v>
      </c>
      <c r="AD97" s="54">
        <f>SUMIFS('Combined P&amp;L'!AB:AB,'Combined P&amp;L'!$C:$C,'P&amp;L Forecast'!$B97)</f>
        <v>1.9785299999999999</v>
      </c>
      <c r="AE97" s="54">
        <f>SUMIFS('Combined P&amp;L'!AC:AC,'Combined P&amp;L'!$C:$C,'P&amp;L Forecast'!$B97)</f>
        <v>2.0621300000000002</v>
      </c>
      <c r="AF97" s="54">
        <f>SUMIFS('Combined P&amp;L'!AD:AD,'Combined P&amp;L'!$C:$C,'P&amp;L Forecast'!$B97)</f>
        <v>2.0621300000000002</v>
      </c>
      <c r="AG97" s="54">
        <f>SUMIFS('Combined P&amp;L'!AE:AE,'Combined P&amp;L'!$C:$C,'P&amp;L Forecast'!$B97)</f>
        <v>1.9896800000000001</v>
      </c>
      <c r="AH97" s="54">
        <f>SUMIFS('Combined P&amp;L'!AF:AF,'Combined P&amp;L'!$C:$C,'P&amp;L Forecast'!$B97)</f>
        <v>2.1791700000000001</v>
      </c>
      <c r="AI97" s="54">
        <f>SUMIFS('Combined P&amp;L'!AG:AG,'Combined P&amp;L'!$C:$C,'P&amp;L Forecast'!$B97)</f>
        <v>2.1229299999999998</v>
      </c>
      <c r="AJ97" s="54">
        <f>SUMIFS('Combined P&amp;L'!AH:AH,'Combined P&amp;L'!$C:$C,'P&amp;L Forecast'!$B97)</f>
        <v>3.1041999999999996</v>
      </c>
      <c r="AK97" s="54">
        <f>SUMIFS('Combined P&amp;L'!AI:AI,'Combined P&amp;L'!$C:$C,'P&amp;L Forecast'!$B97)</f>
        <v>3.2713700000000001</v>
      </c>
      <c r="AL97" s="54">
        <f>SUMIFS('Combined P&amp;L'!AJ:AJ,'Combined P&amp;L'!$C:$C,'P&amp;L Forecast'!$B97)</f>
        <v>3.6394699999999998</v>
      </c>
      <c r="AM97" s="54">
        <f>SUMIFS('Combined P&amp;L'!AK:AK,'Combined P&amp;L'!$C:$C,'P&amp;L Forecast'!$B97)</f>
        <v>3.1503299999999999</v>
      </c>
      <c r="AN97" s="54">
        <f>SUMIFS('Combined P&amp;L'!AL:AL,'Combined P&amp;L'!$C:$C,'P&amp;L Forecast'!$B97)</f>
        <v>1.69116</v>
      </c>
      <c r="AO97" s="54">
        <f>SUMIFS('Combined P&amp;L'!AM:AM,'Combined P&amp;L'!$C:$C,'P&amp;L Forecast'!$B97)</f>
        <v>5.5491899999999994</v>
      </c>
      <c r="AP97" s="54">
        <f>SUMIFS('Combined P&amp;L'!AN:AN,'Combined P&amp;L'!$C:$C,'P&amp;L Forecast'!$B97)</f>
        <v>7.1998999999999995</v>
      </c>
      <c r="AQ97" s="54">
        <f>SUMIFS('Combined P&amp;L'!AO:AO,'Combined P&amp;L'!$C:$C,'P&amp;L Forecast'!$B97)</f>
        <v>8.1927000000000003</v>
      </c>
      <c r="AR97" s="54">
        <f>SUMIFS('Combined P&amp;L'!AP:AP,'Combined P&amp;L'!$C:$C,'P&amp;L Forecast'!$B97)</f>
        <v>8.2833500000000004</v>
      </c>
      <c r="AS97" s="54">
        <f>SUMIFS('Combined P&amp;L'!AQ:AQ,'Combined P&amp;L'!$C:$C,'P&amp;L Forecast'!$B97)</f>
        <v>5.4926499999999994</v>
      </c>
      <c r="AT97" s="54">
        <f>SUMIFS('Combined P&amp;L'!AR:AR,'Combined P&amp;L'!$C:$C,'P&amp;L Forecast'!$B97)</f>
        <v>5.6760999999999999</v>
      </c>
    </row>
    <row r="98" spans="2:46" x14ac:dyDescent="0.2">
      <c r="B98" s="58" t="s">
        <v>39</v>
      </c>
      <c r="C98" s="24">
        <f>SUMIFS($P98:$AT98,$P$69:$AT$69,"&gt;"&amp;C$169,$P$69:$AT$69,"&lt;"&amp;C$170)</f>
        <v>0</v>
      </c>
      <c r="D98" s="24">
        <f>SUMIFS($P98:$AT98,$P$69:$AT$69,"&gt;"&amp;D$169,$P$69:$AT$69,"&lt;"&amp;D$170)</f>
        <v>0</v>
      </c>
      <c r="E98" s="24"/>
      <c r="F98" s="24">
        <f>SUMIFS($P98:$AT98,$P$69:$AT$69,"&gt;"&amp;F$169,$P$69:$AT$69,"&lt;"&amp;F$170)</f>
        <v>0</v>
      </c>
      <c r="G98" s="24">
        <f>SUMIFS($P98:$AT98,$P$69:$AT$69,"&gt;"&amp;G$169,$P$69:$AT$69,"&lt;"&amp;G$170)</f>
        <v>7.9949999999999992</v>
      </c>
      <c r="H98" s="24"/>
      <c r="I98" s="24">
        <f>SUMIFS($P98:$AT98,$P$69:$AT$69,"&gt;"&amp;I$169,$P$69:$AT$69,"&lt;"&amp;I$170)</f>
        <v>0</v>
      </c>
      <c r="J98" s="24">
        <f>SUMIFS($P98:$AT98,$P$69:$AT$69,"&gt;"&amp;J$169,$P$69:$AT$69,"&lt;"&amp;J$170)</f>
        <v>5.2382299999999997</v>
      </c>
      <c r="K98" s="66">
        <f>+C30</f>
        <v>33.081240000000001</v>
      </c>
      <c r="L98" s="66"/>
      <c r="M98" s="24">
        <f t="shared" si="42"/>
        <v>-27.84301</v>
      </c>
      <c r="N98" s="67">
        <f t="shared" si="43"/>
        <v>5.3153469778913873</v>
      </c>
      <c r="O98" s="53"/>
      <c r="P98" s="54">
        <f>SUMIFS('Combined P&amp;L'!N:N,'Combined P&amp;L'!$C:$C,'P&amp;L Forecast'!$B98)</f>
        <v>0</v>
      </c>
      <c r="Q98" s="54">
        <f>SUMIFS('Combined P&amp;L'!O:O,'Combined P&amp;L'!$C:$C,'P&amp;L Forecast'!$B98)</f>
        <v>0</v>
      </c>
      <c r="R98" s="54">
        <f>SUMIFS('Combined P&amp;L'!P:P,'Combined P&amp;L'!$C:$C,'P&amp;L Forecast'!$B98)</f>
        <v>0</v>
      </c>
      <c r="S98" s="54">
        <f>SUMIFS('Combined P&amp;L'!Q:Q,'Combined P&amp;L'!$C:$C,'P&amp;L Forecast'!$B98)</f>
        <v>0</v>
      </c>
      <c r="T98" s="54">
        <f>SUMIFS('Combined P&amp;L'!R:R,'Combined P&amp;L'!$C:$C,'P&amp;L Forecast'!$B98)</f>
        <v>0</v>
      </c>
      <c r="U98" s="54">
        <f>SUMIFS('Combined P&amp;L'!S:S,'Combined P&amp;L'!$C:$C,'P&amp;L Forecast'!$B98)</f>
        <v>0</v>
      </c>
      <c r="V98" s="54">
        <f>SUMIFS('Combined P&amp;L'!T:T,'Combined P&amp;L'!$C:$C,'P&amp;L Forecast'!$B98)</f>
        <v>0</v>
      </c>
      <c r="W98" s="54">
        <f>SUMIFS('Combined P&amp;L'!U:U,'Combined P&amp;L'!$C:$C,'P&amp;L Forecast'!$B98)</f>
        <v>0</v>
      </c>
      <c r="X98" s="54">
        <f>SUMIFS('Combined P&amp;L'!V:V,'Combined P&amp;L'!$C:$C,'P&amp;L Forecast'!$B98)</f>
        <v>0</v>
      </c>
      <c r="Y98" s="54">
        <f>SUMIFS('Combined P&amp;L'!W:W,'Combined P&amp;L'!$C:$C,'P&amp;L Forecast'!$B98)</f>
        <v>0</v>
      </c>
      <c r="Z98" s="54">
        <f>SUMIFS('Combined P&amp;L'!X:X,'Combined P&amp;L'!$C:$C,'P&amp;L Forecast'!$B98)</f>
        <v>0</v>
      </c>
      <c r="AA98" s="54">
        <f>SUMIFS('Combined P&amp;L'!Y:Y,'Combined P&amp;L'!$C:$C,'P&amp;L Forecast'!$B98)</f>
        <v>0</v>
      </c>
      <c r="AB98" s="54">
        <f>SUMIFS('Combined P&amp;L'!Z:Z,'Combined P&amp;L'!$C:$C,'P&amp;L Forecast'!$B98)</f>
        <v>0</v>
      </c>
      <c r="AC98" s="54">
        <f>SUMIFS('Combined P&amp;L'!AA:AA,'Combined P&amp;L'!$C:$C,'P&amp;L Forecast'!$B98)</f>
        <v>0</v>
      </c>
      <c r="AD98" s="54">
        <f>SUMIFS('Combined P&amp;L'!AB:AB,'Combined P&amp;L'!$C:$C,'P&amp;L Forecast'!$B98)</f>
        <v>0</v>
      </c>
      <c r="AE98" s="54">
        <f>SUMIFS('Combined P&amp;L'!AC:AC,'Combined P&amp;L'!$C:$C,'P&amp;L Forecast'!$B98)</f>
        <v>0</v>
      </c>
      <c r="AF98" s="54">
        <f>SUMIFS('Combined P&amp;L'!AD:AD,'Combined P&amp;L'!$C:$C,'P&amp;L Forecast'!$B98)</f>
        <v>0</v>
      </c>
      <c r="AG98" s="54">
        <f>SUMIFS('Combined P&amp;L'!AE:AE,'Combined P&amp;L'!$C:$C,'P&amp;L Forecast'!$B98)</f>
        <v>0</v>
      </c>
      <c r="AH98" s="54">
        <f>SUMIFS('Combined P&amp;L'!AF:AF,'Combined P&amp;L'!$C:$C,'P&amp;L Forecast'!$B98)</f>
        <v>0</v>
      </c>
      <c r="AI98" s="54">
        <f>SUMIFS('Combined P&amp;L'!AG:AG,'Combined P&amp;L'!$C:$C,'P&amp;L Forecast'!$B98)</f>
        <v>0</v>
      </c>
      <c r="AJ98" s="54">
        <f>SUMIFS('Combined P&amp;L'!AH:AH,'Combined P&amp;L'!$C:$C,'P&amp;L Forecast'!$B98)</f>
        <v>0</v>
      </c>
      <c r="AK98" s="54">
        <f>SUMIFS('Combined P&amp;L'!AI:AI,'Combined P&amp;L'!$C:$C,'P&amp;L Forecast'!$B98)</f>
        <v>0</v>
      </c>
      <c r="AL98" s="54">
        <f>SUMIFS('Combined P&amp;L'!AJ:AJ,'Combined P&amp;L'!$C:$C,'P&amp;L Forecast'!$B98)</f>
        <v>0</v>
      </c>
      <c r="AM98" s="54">
        <f>SUMIFS('Combined P&amp;L'!AK:AK,'Combined P&amp;L'!$C:$C,'P&amp;L Forecast'!$B98)</f>
        <v>0</v>
      </c>
      <c r="AN98" s="54">
        <f>SUMIFS('Combined P&amp;L'!AL:AL,'Combined P&amp;L'!$C:$C,'P&amp;L Forecast'!$B98)</f>
        <v>0</v>
      </c>
      <c r="AO98" s="54">
        <f>SUMIFS('Combined P&amp;L'!AM:AM,'Combined P&amp;L'!$C:$C,'P&amp;L Forecast'!$B98)</f>
        <v>0</v>
      </c>
      <c r="AP98" s="54">
        <f>SUMIFS('Combined P&amp;L'!AN:AN,'Combined P&amp;L'!$C:$C,'P&amp;L Forecast'!$B98)</f>
        <v>0</v>
      </c>
      <c r="AQ98" s="54">
        <f>SUMIFS('Combined P&amp;L'!AO:AO,'Combined P&amp;L'!$C:$C,'P&amp;L Forecast'!$B98)</f>
        <v>0</v>
      </c>
      <c r="AR98" s="54">
        <f>SUMIFS('Combined P&amp;L'!AP:AP,'Combined P&amp;L'!$C:$C,'P&amp;L Forecast'!$B98)</f>
        <v>2.5170599999999999</v>
      </c>
      <c r="AS98" s="54">
        <f>SUMIFS('Combined P&amp;L'!AQ:AQ,'Combined P&amp;L'!$C:$C,'P&amp;L Forecast'!$B98)</f>
        <v>2.7211699999999999</v>
      </c>
      <c r="AT98" s="54">
        <f>SUMIFS('Combined P&amp;L'!AR:AR,'Combined P&amp;L'!$C:$C,'P&amp;L Forecast'!$B98)</f>
        <v>2.7567699999999999</v>
      </c>
    </row>
    <row r="99" spans="2:46" x14ac:dyDescent="0.2">
      <c r="B99" s="58" t="s">
        <v>55</v>
      </c>
      <c r="C99" s="24">
        <f>SUMIFS($P99:$AT99,$P$69:$AT$69,"&gt;"&amp;C$169,$P$69:$AT$69,"&lt;"&amp;C$170)</f>
        <v>5.3740499999999995</v>
      </c>
      <c r="D99" s="24">
        <f>SUMIFS($P99:$AT99,$P$69:$AT$69,"&gt;"&amp;D$169,$P$69:$AT$69,"&lt;"&amp;D$170)</f>
        <v>19.23245</v>
      </c>
      <c r="E99" s="24"/>
      <c r="F99" s="24">
        <f>SUMIFS($P99:$AT99,$P$69:$AT$69,"&gt;"&amp;F$169,$P$69:$AT$69,"&lt;"&amp;F$170)</f>
        <v>9.0216600000000007</v>
      </c>
      <c r="G99" s="24">
        <f>SUMIFS($P99:$AT99,$P$69:$AT$69,"&gt;"&amp;G$169,$P$69:$AT$69,"&lt;"&amp;G$170)</f>
        <v>17.36251</v>
      </c>
      <c r="H99" s="24"/>
      <c r="I99" s="24">
        <f>SUMIFS($P99:$AT99,$P$69:$AT$69,"&gt;"&amp;I$169,$P$69:$AT$69,"&lt;"&amp;I$170)</f>
        <v>11.467930000000001</v>
      </c>
      <c r="J99" s="24">
        <f>SUMIFS($P99:$AT99,$P$69:$AT$69,"&gt;"&amp;J$169,$P$69:$AT$69,"&lt;"&amp;J$170)</f>
        <v>26.4526</v>
      </c>
      <c r="K99" s="66">
        <f>+C32</f>
        <v>32.178359999999998</v>
      </c>
      <c r="L99" s="66"/>
      <c r="M99" s="24">
        <f t="shared" ref="M99" si="44">+J99-K99</f>
        <v>-5.7257599999999975</v>
      </c>
      <c r="N99" s="67">
        <f t="shared" ref="N99" si="45">IFERROR(K99/J99-1,0)</f>
        <v>0.21645358112246038</v>
      </c>
      <c r="O99" s="53"/>
      <c r="P99" s="54">
        <f>SUMIFS('Combined P&amp;L'!N:N,'Combined P&amp;L'!$C:$C,'P&amp;L Forecast'!$B99)</f>
        <v>0</v>
      </c>
      <c r="Q99" s="54">
        <f>SUMIFS('Combined P&amp;L'!O:O,'Combined P&amp;L'!$C:$C,'P&amp;L Forecast'!$B99)</f>
        <v>0.62770000000000004</v>
      </c>
      <c r="R99" s="54">
        <f>SUMIFS('Combined P&amp;L'!P:P,'Combined P&amp;L'!$C:$C,'P&amp;L Forecast'!$B99)</f>
        <v>0</v>
      </c>
      <c r="S99" s="54">
        <f>SUMIFS('Combined P&amp;L'!Q:Q,'Combined P&amp;L'!$C:$C,'P&amp;L Forecast'!$B99)</f>
        <v>0.33889999999999998</v>
      </c>
      <c r="T99" s="54">
        <f>SUMIFS('Combined P&amp;L'!R:R,'Combined P&amp;L'!$C:$C,'P&amp;L Forecast'!$B99)</f>
        <v>0.33889999999999998</v>
      </c>
      <c r="U99" s="54">
        <f>SUMIFS('Combined P&amp;L'!S:S,'Combined P&amp;L'!$C:$C,'P&amp;L Forecast'!$B99)</f>
        <v>6.1450000000000005E-2</v>
      </c>
      <c r="V99" s="54">
        <f>SUMIFS('Combined P&amp;L'!T:T,'Combined P&amp;L'!$C:$C,'P&amp;L Forecast'!$B99)</f>
        <v>0.8619</v>
      </c>
      <c r="W99" s="54">
        <f>SUMIFS('Combined P&amp;L'!U:U,'Combined P&amp;L'!$C:$C,'P&amp;L Forecast'!$B99)</f>
        <v>0.35955999999999999</v>
      </c>
      <c r="X99" s="54">
        <f>SUMIFS('Combined P&amp;L'!V:V,'Combined P&amp;L'!$C:$C,'P&amp;L Forecast'!$B99)</f>
        <v>0.38744999999999996</v>
      </c>
      <c r="Y99" s="54">
        <f>SUMIFS('Combined P&amp;L'!W:W,'Combined P&amp;L'!$C:$C,'P&amp;L Forecast'!$B99)</f>
        <v>0.69889999999999997</v>
      </c>
      <c r="Z99" s="54">
        <f>SUMIFS('Combined P&amp;L'!X:X,'Combined P&amp;L'!$C:$C,'P&amp;L Forecast'!$B99)</f>
        <v>0.91699999999999993</v>
      </c>
      <c r="AA99" s="54">
        <f>SUMIFS('Combined P&amp;L'!Y:Y,'Combined P&amp;L'!$C:$C,'P&amp;L Forecast'!$B99)</f>
        <v>0.78229000000000004</v>
      </c>
      <c r="AB99" s="54">
        <f>SUMIFS('Combined P&amp;L'!Z:Z,'Combined P&amp;L'!$C:$C,'P&amp;L Forecast'!$B99)</f>
        <v>0.93724000000000007</v>
      </c>
      <c r="AC99" s="54">
        <f>SUMIFS('Combined P&amp;L'!AA:AA,'Combined P&amp;L'!$C:$C,'P&amp;L Forecast'!$B99)</f>
        <v>1.0310700000000002</v>
      </c>
      <c r="AD99" s="54">
        <f>SUMIFS('Combined P&amp;L'!AB:AB,'Combined P&amp;L'!$C:$C,'P&amp;L Forecast'!$B99)</f>
        <v>0.66153000000000006</v>
      </c>
      <c r="AE99" s="54">
        <f>SUMIFS('Combined P&amp;L'!AC:AC,'Combined P&amp;L'!$C:$C,'P&amp;L Forecast'!$B99)</f>
        <v>0.71452999999999989</v>
      </c>
      <c r="AF99" s="54">
        <f>SUMIFS('Combined P&amp;L'!AD:AD,'Combined P&amp;L'!$C:$C,'P&amp;L Forecast'!$B99)</f>
        <v>2.2549300000000003</v>
      </c>
      <c r="AG99" s="54">
        <f>SUMIFS('Combined P&amp;L'!AE:AE,'Combined P&amp;L'!$C:$C,'P&amp;L Forecast'!$B99)</f>
        <v>1.8615300000000001</v>
      </c>
      <c r="AH99" s="54">
        <f>SUMIFS('Combined P&amp;L'!AF:AF,'Combined P&amp;L'!$C:$C,'P&amp;L Forecast'!$B99)</f>
        <v>1.5608300000000002</v>
      </c>
      <c r="AI99" s="54">
        <f>SUMIFS('Combined P&amp;L'!AG:AG,'Combined P&amp;L'!$C:$C,'P&amp;L Forecast'!$B99)</f>
        <v>1.7476700000000003</v>
      </c>
      <c r="AJ99" s="54">
        <f>SUMIFS('Combined P&amp;L'!AH:AH,'Combined P&amp;L'!$C:$C,'P&amp;L Forecast'!$B99)</f>
        <v>0.90752999999999995</v>
      </c>
      <c r="AK99" s="54">
        <f>SUMIFS('Combined P&amp;L'!AI:AI,'Combined P&amp;L'!$C:$C,'P&amp;L Forecast'!$B99)</f>
        <v>2.5135300000000003</v>
      </c>
      <c r="AL99" s="54">
        <f>SUMIFS('Combined P&amp;L'!AJ:AJ,'Combined P&amp;L'!$C:$C,'P&amp;L Forecast'!$B99)</f>
        <v>1.0375300000000001</v>
      </c>
      <c r="AM99" s="54">
        <f>SUMIFS('Combined P&amp;L'!AK:AK,'Combined P&amp;L'!$C:$C,'P&amp;L Forecast'!$B99)</f>
        <v>4.0045299999999999</v>
      </c>
      <c r="AN99" s="54">
        <f>SUMIFS('Combined P&amp;L'!AL:AL,'Combined P&amp;L'!$C:$C,'P&amp;L Forecast'!$B99)</f>
        <v>1.5787300000000002</v>
      </c>
      <c r="AO99" s="54">
        <f>SUMIFS('Combined P&amp;L'!AM:AM,'Combined P&amp;L'!$C:$C,'P&amp;L Forecast'!$B99)</f>
        <v>1.1455300000000002</v>
      </c>
      <c r="AP99" s="54">
        <f>SUMIFS('Combined P&amp;L'!AN:AN,'Combined P&amp;L'!$C:$C,'P&amp;L Forecast'!$B99)</f>
        <v>5.1385300000000003</v>
      </c>
      <c r="AQ99" s="54">
        <f>SUMIFS('Combined P&amp;L'!AO:AO,'Combined P&amp;L'!$C:$C,'P&amp;L Forecast'!$B99)</f>
        <v>1.92353</v>
      </c>
      <c r="AR99" s="54">
        <f>SUMIFS('Combined P&amp;L'!AP:AP,'Combined P&amp;L'!$C:$C,'P&amp;L Forecast'!$B99)</f>
        <v>1.46353</v>
      </c>
      <c r="AS99" s="54">
        <f>SUMIFS('Combined P&amp;L'!AQ:AQ,'Combined P&amp;L'!$C:$C,'P&amp;L Forecast'!$B99)</f>
        <v>3.4311299999999996</v>
      </c>
      <c r="AT99" s="54">
        <f>SUMIFS('Combined P&amp;L'!AR:AR,'Combined P&amp;L'!$C:$C,'P&amp;L Forecast'!$B99)</f>
        <v>2.68153</v>
      </c>
    </row>
    <row r="100" spans="2:46" ht="12" customHeight="1" x14ac:dyDescent="0.2">
      <c r="B100" s="59" t="s">
        <v>284</v>
      </c>
      <c r="C100" s="60">
        <f>SUM(C91:C99)</f>
        <v>700.20546999999999</v>
      </c>
      <c r="D100" s="60">
        <f>SUM(D91:D99)</f>
        <v>1261.16659</v>
      </c>
      <c r="F100" s="60">
        <f>SUM(F91:F99)</f>
        <v>630.65714000000003</v>
      </c>
      <c r="G100" s="60">
        <f>SUM(G91:G99)</f>
        <v>1120.8920899999996</v>
      </c>
      <c r="I100" s="60">
        <f>SUM(I91:I99)</f>
        <v>940.94885000000011</v>
      </c>
      <c r="J100" s="60">
        <f>SUM(J91:J99)</f>
        <v>1679.3719699999999</v>
      </c>
      <c r="K100" s="60">
        <f>SUM(K91:K99)</f>
        <v>2250.3916400000003</v>
      </c>
      <c r="L100" s="72"/>
      <c r="M100" s="60">
        <f>SUM(M91:M99)</f>
        <v>-571.01967000000036</v>
      </c>
      <c r="N100" s="94">
        <f t="shared" si="43"/>
        <v>0.34001976941415801</v>
      </c>
      <c r="P100" s="60">
        <f>SUM(P91:P99)</f>
        <v>31.74682</v>
      </c>
      <c r="Q100" s="60">
        <f>SUM(Q91:Q99)</f>
        <v>37.626089999999998</v>
      </c>
      <c r="R100" s="60">
        <f>SUM(R91:R99)</f>
        <v>37.778649999999999</v>
      </c>
      <c r="S100" s="60">
        <f>SUM(S91:S99)</f>
        <v>50.818180000000005</v>
      </c>
      <c r="T100" s="60">
        <f>SUM(T91:T99)</f>
        <v>70.644099999999995</v>
      </c>
      <c r="U100" s="60">
        <f>SUM(U91:U99)</f>
        <v>52.940650000000005</v>
      </c>
      <c r="V100" s="60">
        <f>SUM(V91:V99)</f>
        <v>56.153749999999995</v>
      </c>
      <c r="W100" s="60">
        <f>SUM(W91:W99)</f>
        <v>52.541019999999996</v>
      </c>
      <c r="X100" s="60">
        <f>SUM(X91:X99)</f>
        <v>58.642799999999994</v>
      </c>
      <c r="Y100" s="60">
        <f>SUM(Y91:Y99)</f>
        <v>62.41675</v>
      </c>
      <c r="Z100" s="60">
        <f>SUM(Z91:Z99)</f>
        <v>95.206890000000001</v>
      </c>
      <c r="AA100" s="60">
        <f>SUM(AA91:AA99)</f>
        <v>93.689769999999996</v>
      </c>
      <c r="AB100" s="60">
        <f>SUM(AB91:AB99)</f>
        <v>86.697400000000016</v>
      </c>
      <c r="AC100" s="60">
        <f>SUM(AC91:AC99)</f>
        <v>70.622489999999999</v>
      </c>
      <c r="AD100" s="60">
        <f>SUM(AD91:AD99)</f>
        <v>79.527290000000008</v>
      </c>
      <c r="AE100" s="60">
        <f>SUM(AE91:AE99)</f>
        <v>92.874989999999997</v>
      </c>
      <c r="AF100" s="60">
        <f>SUM(AF91:AF99)</f>
        <v>96.682289999999995</v>
      </c>
      <c r="AG100" s="60">
        <f>SUM(AG91:AG99)</f>
        <v>95.893410000000017</v>
      </c>
      <c r="AH100" s="60">
        <f>SUM(AH91:AH99)</f>
        <v>108.35927</v>
      </c>
      <c r="AI100" s="60">
        <f>SUM(AI91:AI99)</f>
        <v>103.32645000000001</v>
      </c>
      <c r="AJ100" s="60">
        <f>SUM(AJ91:AJ99)</f>
        <v>120.57245999999999</v>
      </c>
      <c r="AK100" s="60">
        <f>SUM(AK91:AK99)</f>
        <v>138.08331000000001</v>
      </c>
      <c r="AL100" s="60">
        <f>SUM(AL91:AL99)</f>
        <v>122.83484</v>
      </c>
      <c r="AM100" s="60">
        <f>SUM(AM91:AM99)</f>
        <v>145.69238999999999</v>
      </c>
      <c r="AN100" s="60">
        <f>SUM(AN91:AN99)</f>
        <v>135.50081999999998</v>
      </c>
      <c r="AO100" s="60">
        <f>SUM(AO91:AO99)</f>
        <v>117.71538000000001</v>
      </c>
      <c r="AP100" s="60">
        <f>SUM(AP91:AP99)</f>
        <v>169.54907000000003</v>
      </c>
      <c r="AQ100" s="60">
        <f>SUM(AQ91:AQ99)</f>
        <v>171.55422000000002</v>
      </c>
      <c r="AR100" s="60">
        <f>SUM(AR91:AR99)</f>
        <v>168.43431999999996</v>
      </c>
      <c r="AS100" s="60">
        <f>SUM(AS91:AS99)</f>
        <v>177.74943999999994</v>
      </c>
      <c r="AT100" s="60">
        <f>SUM(AT91:AT99)</f>
        <v>180.38884000000002</v>
      </c>
    </row>
    <row r="101" spans="2:46" ht="3.95" customHeight="1" x14ac:dyDescent="0.2">
      <c r="K101" s="46"/>
      <c r="L101" s="46"/>
      <c r="N101" s="96"/>
    </row>
    <row r="102" spans="2:46" x14ac:dyDescent="0.2">
      <c r="B102" s="58" t="s">
        <v>45</v>
      </c>
      <c r="C102" s="24">
        <f>SUMIFS($P102:$AT102,$P$69:$AT$69,"&gt;"&amp;C$169,$P$69:$AT$69,"&lt;"&amp;C$170)</f>
        <v>114.42268999999999</v>
      </c>
      <c r="D102" s="24">
        <f>SUMIFS($P102:$AT102,$P$69:$AT$69,"&gt;"&amp;D$169,$P$69:$AT$69,"&lt;"&amp;D$170)</f>
        <v>157.49471000000003</v>
      </c>
      <c r="E102" s="24"/>
      <c r="F102" s="24">
        <f>SUMIFS($P102:$AT102,$P$69:$AT$69,"&gt;"&amp;F$169,$P$69:$AT$69,"&lt;"&amp;F$170)</f>
        <v>84.968590000000006</v>
      </c>
      <c r="G102" s="24">
        <f>SUMIFS($P102:$AT102,$P$69:$AT$69,"&gt;"&amp;G$169,$P$69:$AT$69,"&lt;"&amp;G$170)</f>
        <v>152.28157000000002</v>
      </c>
      <c r="H102" s="24"/>
      <c r="I102" s="24">
        <f>SUMIFS($P102:$AT102,$P$69:$AT$69,"&gt;"&amp;I$169,$P$69:$AT$69,"&lt;"&amp;I$170)</f>
        <v>139.99467999999999</v>
      </c>
      <c r="J102" s="24">
        <f>SUMIFS($P102:$AT102,$P$69:$AT$69,"&gt;"&amp;J$169,$P$69:$AT$69,"&lt;"&amp;J$170)</f>
        <v>209.96746000000002</v>
      </c>
      <c r="K102" s="66">
        <f>+C36</f>
        <v>335.70816000000002</v>
      </c>
      <c r="L102" s="66"/>
      <c r="M102" s="24">
        <f>+J102-K102</f>
        <v>-125.7407</v>
      </c>
      <c r="N102" s="67">
        <f t="shared" ref="N102:N108" si="46">IFERROR(K102/J102-1,0)</f>
        <v>0.59885803257323778</v>
      </c>
      <c r="O102" s="53"/>
      <c r="P102" s="54">
        <f>SUMIFS('Combined P&amp;L'!N:N,'Combined P&amp;L'!$C:$C,'P&amp;L Forecast'!$B102)</f>
        <v>7.0730000000000004</v>
      </c>
      <c r="Q102" s="54">
        <f>SUMIFS('Combined P&amp;L'!O:O,'Combined P&amp;L'!$C:$C,'P&amp;L Forecast'!$B102)</f>
        <v>7.0181800000000001</v>
      </c>
      <c r="R102" s="54">
        <f>SUMIFS('Combined P&amp;L'!P:P,'Combined P&amp;L'!$C:$C,'P&amp;L Forecast'!$B102)</f>
        <v>7.7778799999999997</v>
      </c>
      <c r="S102" s="54">
        <f>SUMIFS('Combined P&amp;L'!Q:Q,'Combined P&amp;L'!$C:$C,'P&amp;L Forecast'!$B102)</f>
        <v>7.7612399999999999</v>
      </c>
      <c r="T102" s="54">
        <f>SUMIFS('Combined P&amp;L'!R:R,'Combined P&amp;L'!$C:$C,'P&amp;L Forecast'!$B102)</f>
        <v>7.71821</v>
      </c>
      <c r="U102" s="54">
        <f>SUMIFS('Combined P&amp;L'!S:S,'Combined P&amp;L'!$C:$C,'P&amp;L Forecast'!$B102)</f>
        <v>8.9126399999999997</v>
      </c>
      <c r="V102" s="54">
        <f>SUMIFS('Combined P&amp;L'!T:T,'Combined P&amp;L'!$C:$C,'P&amp;L Forecast'!$B102)</f>
        <v>10.846680000000001</v>
      </c>
      <c r="W102" s="54">
        <f>SUMIFS('Combined P&amp;L'!U:U,'Combined P&amp;L'!$C:$C,'P&amp;L Forecast'!$B102)</f>
        <v>11.13514</v>
      </c>
      <c r="X102" s="54">
        <f>SUMIFS('Combined P&amp;L'!V:V,'Combined P&amp;L'!$C:$C,'P&amp;L Forecast'!$B102)</f>
        <v>11.0345</v>
      </c>
      <c r="Y102" s="54">
        <f>SUMIFS('Combined P&amp;L'!W:W,'Combined P&amp;L'!$C:$C,'P&amp;L Forecast'!$B102)</f>
        <v>11.728729999999999</v>
      </c>
      <c r="Z102" s="54">
        <f>SUMIFS('Combined P&amp;L'!X:X,'Combined P&amp;L'!$C:$C,'P&amp;L Forecast'!$B102)</f>
        <v>11.446909999999999</v>
      </c>
      <c r="AA102" s="54">
        <f>SUMIFS('Combined P&amp;L'!Y:Y,'Combined P&amp;L'!$C:$C,'P&amp;L Forecast'!$B102)</f>
        <v>11.969580000000001</v>
      </c>
      <c r="AB102" s="54">
        <f>SUMIFS('Combined P&amp;L'!Z:Z,'Combined P&amp;L'!$C:$C,'P&amp;L Forecast'!$B102)</f>
        <v>10.84853</v>
      </c>
      <c r="AC102" s="54">
        <f>SUMIFS('Combined P&amp;L'!AA:AA,'Combined P&amp;L'!$C:$C,'P&amp;L Forecast'!$B102)</f>
        <v>12.21311</v>
      </c>
      <c r="AD102" s="54">
        <f>SUMIFS('Combined P&amp;L'!AB:AB,'Combined P&amp;L'!$C:$C,'P&amp;L Forecast'!$B102)</f>
        <v>11.571669999999999</v>
      </c>
      <c r="AE102" s="54">
        <f>SUMIFS('Combined P&amp;L'!AC:AC,'Combined P&amp;L'!$C:$C,'P&amp;L Forecast'!$B102)</f>
        <v>11.810870000000001</v>
      </c>
      <c r="AF102" s="54">
        <f>SUMIFS('Combined P&amp;L'!AD:AD,'Combined P&amp;L'!$C:$C,'P&amp;L Forecast'!$B102)</f>
        <v>12.52563</v>
      </c>
      <c r="AG102" s="54">
        <f>SUMIFS('Combined P&amp;L'!AE:AE,'Combined P&amp;L'!$C:$C,'P&amp;L Forecast'!$B102)</f>
        <v>12.863329999999999</v>
      </c>
      <c r="AH102" s="54">
        <f>SUMIFS('Combined P&amp;L'!AF:AF,'Combined P&amp;L'!$C:$C,'P&amp;L Forecast'!$B102)</f>
        <v>13.135450000000001</v>
      </c>
      <c r="AI102" s="54">
        <f>SUMIFS('Combined P&amp;L'!AG:AG,'Combined P&amp;L'!$C:$C,'P&amp;L Forecast'!$B102)</f>
        <v>14.257149999999999</v>
      </c>
      <c r="AJ102" s="54">
        <f>SUMIFS('Combined P&amp;L'!AH:AH,'Combined P&amp;L'!$C:$C,'P&amp;L Forecast'!$B102)</f>
        <v>13.595120000000001</v>
      </c>
      <c r="AK102" s="54">
        <f>SUMIFS('Combined P&amp;L'!AI:AI,'Combined P&amp;L'!$C:$C,'P&amp;L Forecast'!$B102)</f>
        <v>12.347620000000001</v>
      </c>
      <c r="AL102" s="54">
        <f>SUMIFS('Combined P&amp;L'!AJ:AJ,'Combined P&amp;L'!$C:$C,'P&amp;L Forecast'!$B102)</f>
        <v>15.21781</v>
      </c>
      <c r="AM102" s="54">
        <f>SUMIFS('Combined P&amp;L'!AK:AK,'Combined P&amp;L'!$C:$C,'P&amp;L Forecast'!$B102)</f>
        <v>17.108419999999999</v>
      </c>
      <c r="AN102" s="54">
        <f>SUMIFS('Combined P&amp;L'!AL:AL,'Combined P&amp;L'!$C:$C,'P&amp;L Forecast'!$B102)</f>
        <v>18.468299999999999</v>
      </c>
      <c r="AO102" s="54">
        <f>SUMIFS('Combined P&amp;L'!AM:AM,'Combined P&amp;L'!$C:$C,'P&amp;L Forecast'!$B102)</f>
        <v>17.920270000000002</v>
      </c>
      <c r="AP102" s="54">
        <f>SUMIFS('Combined P&amp;L'!AN:AN,'Combined P&amp;L'!$C:$C,'P&amp;L Forecast'!$B102)</f>
        <v>18.40906</v>
      </c>
      <c r="AQ102" s="54">
        <f>SUMIFS('Combined P&amp;L'!AO:AO,'Combined P&amp;L'!$C:$C,'P&amp;L Forecast'!$B102)</f>
        <v>21.38775</v>
      </c>
      <c r="AR102" s="54">
        <f>SUMIFS('Combined P&amp;L'!AP:AP,'Combined P&amp;L'!$C:$C,'P&amp;L Forecast'!$B102)</f>
        <v>23.44584</v>
      </c>
      <c r="AS102" s="54">
        <f>SUMIFS('Combined P&amp;L'!AQ:AQ,'Combined P&amp;L'!$C:$C,'P&amp;L Forecast'!$B102)</f>
        <v>24.674669999999999</v>
      </c>
      <c r="AT102" s="54">
        <f>SUMIFS('Combined P&amp;L'!AR:AR,'Combined P&amp;L'!$C:$C,'P&amp;L Forecast'!$B102)</f>
        <v>27.975680000000001</v>
      </c>
    </row>
    <row r="103" spans="2:46" x14ac:dyDescent="0.2">
      <c r="B103" s="58" t="s">
        <v>77</v>
      </c>
      <c r="C103" s="24">
        <f>SUMIFS($P103:$AT103,$P$69:$AT$69,"&gt;"&amp;C$169,$P$69:$AT$69,"&lt;"&amp;C$170)</f>
        <v>60.915939999999999</v>
      </c>
      <c r="D103" s="24">
        <f>SUMIFS($P103:$AT103,$P$69:$AT$69,"&gt;"&amp;D$169,$P$69:$AT$69,"&lt;"&amp;D$170)</f>
        <v>117.05866</v>
      </c>
      <c r="E103" s="24"/>
      <c r="F103" s="24">
        <f>SUMIFS($P103:$AT103,$P$69:$AT$69,"&gt;"&amp;F$169,$P$69:$AT$69,"&lt;"&amp;F$170)</f>
        <v>56.811500000000009</v>
      </c>
      <c r="G103" s="24">
        <f>SUMIFS($P103:$AT103,$P$69:$AT$69,"&gt;"&amp;G$169,$P$69:$AT$69,"&lt;"&amp;G$170)</f>
        <v>97.04798000000001</v>
      </c>
      <c r="H103" s="24"/>
      <c r="I103" s="24">
        <f>SUMIFS($P103:$AT103,$P$69:$AT$69,"&gt;"&amp;I$169,$P$69:$AT$69,"&lt;"&amp;I$170)</f>
        <v>83.043899999999994</v>
      </c>
      <c r="J103" s="24">
        <f>SUMIFS($P103:$AT103,$P$69:$AT$69,"&gt;"&amp;J$169,$P$69:$AT$69,"&lt;"&amp;J$170)</f>
        <v>153.2946</v>
      </c>
      <c r="K103" s="66">
        <f>+C37</f>
        <v>155.82264000000001</v>
      </c>
      <c r="L103" s="66"/>
      <c r="M103" s="24">
        <f>+J103-K103</f>
        <v>-2.5280400000000043</v>
      </c>
      <c r="N103" s="67">
        <f>IFERROR(K103/J103-1,0)</f>
        <v>1.6491383258118608E-2</v>
      </c>
      <c r="O103" s="53"/>
      <c r="P103" s="54">
        <f>SUMIFS('Combined P&amp;L'!N:N,'Combined P&amp;L'!$C:$C,'P&amp;L Forecast'!$B103)</f>
        <v>3.4528499999999998</v>
      </c>
      <c r="Q103" s="54">
        <f>SUMIFS('Combined P&amp;L'!O:O,'Combined P&amp;L'!$C:$C,'P&amp;L Forecast'!$B103)</f>
        <v>3.6175300000000004</v>
      </c>
      <c r="R103" s="54">
        <f>SUMIFS('Combined P&amp;L'!P:P,'Combined P&amp;L'!$C:$C,'P&amp;L Forecast'!$B103)</f>
        <v>3.9740700000000002</v>
      </c>
      <c r="S103" s="54">
        <f>SUMIFS('Combined P&amp;L'!Q:Q,'Combined P&amp;L'!$C:$C,'P&amp;L Forecast'!$B103)</f>
        <v>4.2236499999999992</v>
      </c>
      <c r="T103" s="54">
        <f>SUMIFS('Combined P&amp;L'!R:R,'Combined P&amp;L'!$C:$C,'P&amp;L Forecast'!$B103)</f>
        <v>5.0972499999999998</v>
      </c>
      <c r="U103" s="54">
        <f>SUMIFS('Combined P&amp;L'!S:S,'Combined P&amp;L'!$C:$C,'P&amp;L Forecast'!$B103)</f>
        <v>5.3335100000000004</v>
      </c>
      <c r="V103" s="54">
        <f>SUMIFS('Combined P&amp;L'!T:T,'Combined P&amp;L'!$C:$C,'P&amp;L Forecast'!$B103)</f>
        <v>5.5136899999999995</v>
      </c>
      <c r="W103" s="54">
        <f>SUMIFS('Combined P&amp;L'!U:U,'Combined P&amp;L'!$C:$C,'P&amp;L Forecast'!$B103)</f>
        <v>5.2316899999999995</v>
      </c>
      <c r="X103" s="54">
        <f>SUMIFS('Combined P&amp;L'!V:V,'Combined P&amp;L'!$C:$C,'P&amp;L Forecast'!$B103)</f>
        <v>5.5162200000000006</v>
      </c>
      <c r="Y103" s="54">
        <f>SUMIFS('Combined P&amp;L'!W:W,'Combined P&amp;L'!$C:$C,'P&amp;L Forecast'!$B103)</f>
        <v>6.1279700000000004</v>
      </c>
      <c r="Z103" s="54">
        <f>SUMIFS('Combined P&amp;L'!X:X,'Combined P&amp;L'!$C:$C,'P&amp;L Forecast'!$B103)</f>
        <v>6.15097</v>
      </c>
      <c r="AA103" s="54">
        <f>SUMIFS('Combined P&amp;L'!Y:Y,'Combined P&amp;L'!$C:$C,'P&amp;L Forecast'!$B103)</f>
        <v>6.6765400000000001</v>
      </c>
      <c r="AB103" s="54">
        <f>SUMIFS('Combined P&amp;L'!Z:Z,'Combined P&amp;L'!$C:$C,'P&amp;L Forecast'!$B103)</f>
        <v>7.7464599999999999</v>
      </c>
      <c r="AC103" s="54">
        <f>SUMIFS('Combined P&amp;L'!AA:AA,'Combined P&amp;L'!$C:$C,'P&amp;L Forecast'!$B103)</f>
        <v>7.8918100000000004</v>
      </c>
      <c r="AD103" s="54">
        <f>SUMIFS('Combined P&amp;L'!AB:AB,'Combined P&amp;L'!$C:$C,'P&amp;L Forecast'!$B103)</f>
        <v>7.8908500000000004</v>
      </c>
      <c r="AE103" s="54">
        <f>SUMIFS('Combined P&amp;L'!AC:AC,'Combined P&amp;L'!$C:$C,'P&amp;L Forecast'!$B103)</f>
        <v>7.8346299999999998</v>
      </c>
      <c r="AF103" s="54">
        <f>SUMIFS('Combined P&amp;L'!AD:AD,'Combined P&amp;L'!$C:$C,'P&amp;L Forecast'!$B103)</f>
        <v>8.1172299999999993</v>
      </c>
      <c r="AG103" s="54">
        <f>SUMIFS('Combined P&amp;L'!AE:AE,'Combined P&amp;L'!$C:$C,'P&amp;L Forecast'!$B103)</f>
        <v>8.3458400000000008</v>
      </c>
      <c r="AH103" s="54">
        <f>SUMIFS('Combined P&amp;L'!AF:AF,'Combined P&amp;L'!$C:$C,'P&amp;L Forecast'!$B103)</f>
        <v>8.9846800000000009</v>
      </c>
      <c r="AI103" s="54">
        <f>SUMIFS('Combined P&amp;L'!AG:AG,'Combined P&amp;L'!$C:$C,'P&amp;L Forecast'!$B103)</f>
        <v>9.8566000000000003</v>
      </c>
      <c r="AJ103" s="54">
        <f>SUMIFS('Combined P&amp;L'!AH:AH,'Combined P&amp;L'!$C:$C,'P&amp;L Forecast'!$B103)</f>
        <v>10.73391</v>
      </c>
      <c r="AK103" s="54">
        <f>SUMIFS('Combined P&amp;L'!AI:AI,'Combined P&amp;L'!$C:$C,'P&amp;L Forecast'!$B103)</f>
        <v>12.08939</v>
      </c>
      <c r="AL103" s="54">
        <f>SUMIFS('Combined P&amp;L'!AJ:AJ,'Combined P&amp;L'!$C:$C,'P&amp;L Forecast'!$B103)</f>
        <v>13.14583</v>
      </c>
      <c r="AM103" s="54">
        <f>SUMIFS('Combined P&amp;L'!AK:AK,'Combined P&amp;L'!$C:$C,'P&amp;L Forecast'!$B103)</f>
        <v>14.421430000000001</v>
      </c>
      <c r="AN103" s="54">
        <f>SUMIFS('Combined P&amp;L'!AL:AL,'Combined P&amp;L'!$C:$C,'P&amp;L Forecast'!$B103)</f>
        <v>13.263159999999999</v>
      </c>
      <c r="AO103" s="54">
        <f>SUMIFS('Combined P&amp;L'!AM:AM,'Combined P&amp;L'!$C:$C,'P&amp;L Forecast'!$B103)</f>
        <v>14.7201</v>
      </c>
      <c r="AP103" s="54">
        <f>SUMIFS('Combined P&amp;L'!AN:AN,'Combined P&amp;L'!$C:$C,'P&amp;L Forecast'!$B103)</f>
        <v>14.99072</v>
      </c>
      <c r="AQ103" s="54">
        <f>SUMIFS('Combined P&amp;L'!AO:AO,'Combined P&amp;L'!$C:$C,'P&amp;L Forecast'!$B103)</f>
        <v>14.744590000000001</v>
      </c>
      <c r="AR103" s="54">
        <f>SUMIFS('Combined P&amp;L'!AP:AP,'Combined P&amp;L'!$C:$C,'P&amp;L Forecast'!$B103)</f>
        <v>13.229200000000001</v>
      </c>
      <c r="AS103" s="54">
        <f>SUMIFS('Combined P&amp;L'!AQ:AQ,'Combined P&amp;L'!$C:$C,'P&amp;L Forecast'!$B103)</f>
        <v>13.114990000000001</v>
      </c>
      <c r="AT103" s="54">
        <f>SUMIFS('Combined P&amp;L'!AR:AR,'Combined P&amp;L'!$C:$C,'P&amp;L Forecast'!$B103)</f>
        <v>12.98522</v>
      </c>
    </row>
    <row r="104" spans="2:46" x14ac:dyDescent="0.2">
      <c r="B104" s="58" t="s">
        <v>47</v>
      </c>
      <c r="C104" s="24">
        <f>SUMIFS($P104:$AT104,$P$69:$AT$69,"&gt;"&amp;C$169,$P$69:$AT$69,"&lt;"&amp;C$170)</f>
        <v>0</v>
      </c>
      <c r="D104" s="24">
        <f>SUMIFS($P104:$AT104,$P$69:$AT$69,"&gt;"&amp;D$169,$P$69:$AT$69,"&lt;"&amp;D$170)</f>
        <v>7.1412499999999994</v>
      </c>
      <c r="E104" s="24"/>
      <c r="F104" s="24">
        <f>SUMIFS($P104:$AT104,$P$69:$AT$69,"&gt;"&amp;F$169,$P$69:$AT$69,"&lt;"&amp;F$170)</f>
        <v>0</v>
      </c>
      <c r="G104" s="24">
        <f>SUMIFS($P104:$AT104,$P$69:$AT$69,"&gt;"&amp;G$169,$P$69:$AT$69,"&lt;"&amp;G$170)</f>
        <v>28.827750000000002</v>
      </c>
      <c r="H104" s="24"/>
      <c r="I104" s="24">
        <f>SUMIFS($P104:$AT104,$P$69:$AT$69,"&gt;"&amp;I$169,$P$69:$AT$69,"&lt;"&amp;I$170)</f>
        <v>0</v>
      </c>
      <c r="J104" s="24">
        <f>SUMIFS($P104:$AT104,$P$69:$AT$69,"&gt;"&amp;J$169,$P$69:$AT$69,"&lt;"&amp;J$170)</f>
        <v>30.899000000000001</v>
      </c>
      <c r="K104" s="66">
        <f>+C38</f>
        <v>60.84</v>
      </c>
      <c r="L104" s="66"/>
      <c r="M104" s="24">
        <f t="shared" ref="M104" si="47">+J104-K104</f>
        <v>-29.941000000000003</v>
      </c>
      <c r="N104" s="67">
        <f t="shared" ref="N104" si="48">IFERROR(K104/J104-1,0)</f>
        <v>0.96899576038059498</v>
      </c>
      <c r="O104" s="53"/>
      <c r="P104" s="54">
        <f>SUMIFS('Combined P&amp;L'!N:N,'Combined P&amp;L'!$C:$C,'P&amp;L Forecast'!$B104)</f>
        <v>0</v>
      </c>
      <c r="Q104" s="54">
        <f>SUMIFS('Combined P&amp;L'!O:O,'Combined P&amp;L'!$C:$C,'P&amp;L Forecast'!$B104)</f>
        <v>0</v>
      </c>
      <c r="R104" s="54">
        <f>SUMIFS('Combined P&amp;L'!P:P,'Combined P&amp;L'!$C:$C,'P&amp;L Forecast'!$B104)</f>
        <v>0</v>
      </c>
      <c r="S104" s="54">
        <f>SUMIFS('Combined P&amp;L'!Q:Q,'Combined P&amp;L'!$C:$C,'P&amp;L Forecast'!$B104)</f>
        <v>0</v>
      </c>
      <c r="T104" s="54">
        <f>SUMIFS('Combined P&amp;L'!R:R,'Combined P&amp;L'!$C:$C,'P&amp;L Forecast'!$B104)</f>
        <v>0</v>
      </c>
      <c r="U104" s="54">
        <f>SUMIFS('Combined P&amp;L'!S:S,'Combined P&amp;L'!$C:$C,'P&amp;L Forecast'!$B104)</f>
        <v>0</v>
      </c>
      <c r="V104" s="54">
        <f>SUMIFS('Combined P&amp;L'!T:T,'Combined P&amp;L'!$C:$C,'P&amp;L Forecast'!$B104)</f>
        <v>0</v>
      </c>
      <c r="W104" s="54">
        <f>SUMIFS('Combined P&amp;L'!U:U,'Combined P&amp;L'!$C:$C,'P&amp;L Forecast'!$B104)</f>
        <v>0</v>
      </c>
      <c r="X104" s="54">
        <f>SUMIFS('Combined P&amp;L'!V:V,'Combined P&amp;L'!$C:$C,'P&amp;L Forecast'!$B104)</f>
        <v>0</v>
      </c>
      <c r="Y104" s="54">
        <f>SUMIFS('Combined P&amp;L'!W:W,'Combined P&amp;L'!$C:$C,'P&amp;L Forecast'!$B104)</f>
        <v>0</v>
      </c>
      <c r="Z104" s="54">
        <f>SUMIFS('Combined P&amp;L'!X:X,'Combined P&amp;L'!$C:$C,'P&amp;L Forecast'!$B104)</f>
        <v>0</v>
      </c>
      <c r="AA104" s="54">
        <f>SUMIFS('Combined P&amp;L'!Y:Y,'Combined P&amp;L'!$C:$C,'P&amp;L Forecast'!$B104)</f>
        <v>0</v>
      </c>
      <c r="AB104" s="54">
        <f>SUMIFS('Combined P&amp;L'!Z:Z,'Combined P&amp;L'!$C:$C,'P&amp;L Forecast'!$B104)</f>
        <v>0</v>
      </c>
      <c r="AC104" s="54">
        <f>SUMIFS('Combined P&amp;L'!AA:AA,'Combined P&amp;L'!$C:$C,'P&amp;L Forecast'!$B104)</f>
        <v>0</v>
      </c>
      <c r="AD104" s="54">
        <f>SUMIFS('Combined P&amp;L'!AB:AB,'Combined P&amp;L'!$C:$C,'P&amp;L Forecast'!$B104)</f>
        <v>0</v>
      </c>
      <c r="AE104" s="54">
        <f>SUMIFS('Combined P&amp;L'!AC:AC,'Combined P&amp;L'!$C:$C,'P&amp;L Forecast'!$B104)</f>
        <v>0</v>
      </c>
      <c r="AF104" s="54">
        <f>SUMIFS('Combined P&amp;L'!AD:AD,'Combined P&amp;L'!$C:$C,'P&amp;L Forecast'!$B104)</f>
        <v>0</v>
      </c>
      <c r="AG104" s="54">
        <f>SUMIFS('Combined P&amp;L'!AE:AE,'Combined P&amp;L'!$C:$C,'P&amp;L Forecast'!$B104)</f>
        <v>0</v>
      </c>
      <c r="AH104" s="54">
        <f>SUMIFS('Combined P&amp;L'!AF:AF,'Combined P&amp;L'!$C:$C,'P&amp;L Forecast'!$B104)</f>
        <v>0</v>
      </c>
      <c r="AI104" s="54">
        <f>SUMIFS('Combined P&amp;L'!AG:AG,'Combined P&amp;L'!$C:$C,'P&amp;L Forecast'!$B104)</f>
        <v>0</v>
      </c>
      <c r="AJ104" s="54">
        <f>SUMIFS('Combined P&amp;L'!AH:AH,'Combined P&amp;L'!$C:$C,'P&amp;L Forecast'!$B104)</f>
        <v>0.93725000000000003</v>
      </c>
      <c r="AK104" s="54">
        <f>SUMIFS('Combined P&amp;L'!AI:AI,'Combined P&amp;L'!$C:$C,'P&amp;L Forecast'!$B104)</f>
        <v>1.39225</v>
      </c>
      <c r="AL104" s="54">
        <f>SUMIFS('Combined P&amp;L'!AJ:AJ,'Combined P&amp;L'!$C:$C,'P&amp;L Forecast'!$B104)</f>
        <v>2.3612500000000001</v>
      </c>
      <c r="AM104" s="54">
        <f>SUMIFS('Combined P&amp;L'!AK:AK,'Combined P&amp;L'!$C:$C,'P&amp;L Forecast'!$B104)</f>
        <v>2.4504999999999999</v>
      </c>
      <c r="AN104" s="54">
        <f>SUMIFS('Combined P&amp;L'!AL:AL,'Combined P&amp;L'!$C:$C,'P&amp;L Forecast'!$B104)</f>
        <v>2.9497499999999999</v>
      </c>
      <c r="AO104" s="54">
        <f>SUMIFS('Combined P&amp;L'!AM:AM,'Combined P&amp;L'!$C:$C,'P&amp;L Forecast'!$B104)</f>
        <v>3.42</v>
      </c>
      <c r="AP104" s="54">
        <f>SUMIFS('Combined P&amp;L'!AN:AN,'Combined P&amp;L'!$C:$C,'P&amp;L Forecast'!$B104)</f>
        <v>3.6779999999999999</v>
      </c>
      <c r="AQ104" s="54">
        <f>SUMIFS('Combined P&amp;L'!AO:AO,'Combined P&amp;L'!$C:$C,'P&amp;L Forecast'!$B104)</f>
        <v>4.218</v>
      </c>
      <c r="AR104" s="54">
        <f>SUMIFS('Combined P&amp;L'!AP:AP,'Combined P&amp;L'!$C:$C,'P&amp;L Forecast'!$B104)</f>
        <v>4.2839999999999998</v>
      </c>
      <c r="AS104" s="54">
        <f>SUMIFS('Combined P&amp;L'!AQ:AQ,'Combined P&amp;L'!$C:$C,'P&amp;L Forecast'!$B104)</f>
        <v>5.2080000000000002</v>
      </c>
      <c r="AT104" s="54">
        <f>SUMIFS('Combined P&amp;L'!AR:AR,'Combined P&amp;L'!$C:$C,'P&amp;L Forecast'!$B104)</f>
        <v>5.07</v>
      </c>
    </row>
    <row r="105" spans="2:46" x14ac:dyDescent="0.2">
      <c r="B105" s="58" t="s">
        <v>76</v>
      </c>
      <c r="C105" s="24">
        <f>SUMIFS($P105:$AT105,$P$69:$AT$69,"&gt;"&amp;C$169,$P$69:$AT$69,"&lt;"&amp;C$170)</f>
        <v>0</v>
      </c>
      <c r="D105" s="24">
        <f>SUMIFS($P105:$AT105,$P$69:$AT$69,"&gt;"&amp;D$169,$P$69:$AT$69,"&lt;"&amp;D$170)</f>
        <v>0</v>
      </c>
      <c r="E105" s="24"/>
      <c r="F105" s="24">
        <f>SUMIFS($P105:$AT105,$P$69:$AT$69,"&gt;"&amp;F$169,$P$69:$AT$69,"&lt;"&amp;F$170)</f>
        <v>0</v>
      </c>
      <c r="G105" s="24">
        <f>SUMIFS($P105:$AT105,$P$69:$AT$69,"&gt;"&amp;G$169,$P$69:$AT$69,"&lt;"&amp;G$170)</f>
        <v>6.52752</v>
      </c>
      <c r="H105" s="24"/>
      <c r="I105" s="24">
        <f>SUMIFS($P105:$AT105,$P$69:$AT$69,"&gt;"&amp;I$169,$P$69:$AT$69,"&lt;"&amp;I$170)</f>
        <v>0</v>
      </c>
      <c r="J105" s="24">
        <f>SUMIFS($P105:$AT105,$P$69:$AT$69,"&gt;"&amp;J$169,$P$69:$AT$69,"&lt;"&amp;J$170)</f>
        <v>5.2155399999999998</v>
      </c>
      <c r="K105" s="66">
        <f>+C39</f>
        <v>15.743759999999998</v>
      </c>
      <c r="L105" s="66"/>
      <c r="M105" s="24">
        <f t="shared" ref="M105" si="49">+J105-K105</f>
        <v>-10.528219999999997</v>
      </c>
      <c r="N105" s="67">
        <f t="shared" ref="N105" si="50">IFERROR(K105/J105-1,0)</f>
        <v>2.0186251088094425</v>
      </c>
      <c r="O105" s="53"/>
      <c r="P105" s="54">
        <f>SUMIFS('Combined P&amp;L'!N:N,'Combined P&amp;L'!$C:$C,'P&amp;L Forecast'!$B105)</f>
        <v>0</v>
      </c>
      <c r="Q105" s="54">
        <f>SUMIFS('Combined P&amp;L'!O:O,'Combined P&amp;L'!$C:$C,'P&amp;L Forecast'!$B105)</f>
        <v>0</v>
      </c>
      <c r="R105" s="54">
        <f>SUMIFS('Combined P&amp;L'!P:P,'Combined P&amp;L'!$C:$C,'P&amp;L Forecast'!$B105)</f>
        <v>0</v>
      </c>
      <c r="S105" s="54">
        <f>SUMIFS('Combined P&amp;L'!Q:Q,'Combined P&amp;L'!$C:$C,'P&amp;L Forecast'!$B105)</f>
        <v>0</v>
      </c>
      <c r="T105" s="54">
        <f>SUMIFS('Combined P&amp;L'!R:R,'Combined P&amp;L'!$C:$C,'P&amp;L Forecast'!$B105)</f>
        <v>0</v>
      </c>
      <c r="U105" s="54">
        <f>SUMIFS('Combined P&amp;L'!S:S,'Combined P&amp;L'!$C:$C,'P&amp;L Forecast'!$B105)</f>
        <v>0</v>
      </c>
      <c r="V105" s="54">
        <f>SUMIFS('Combined P&amp;L'!T:T,'Combined P&amp;L'!$C:$C,'P&amp;L Forecast'!$B105)</f>
        <v>0</v>
      </c>
      <c r="W105" s="54">
        <f>SUMIFS('Combined P&amp;L'!U:U,'Combined P&amp;L'!$C:$C,'P&amp;L Forecast'!$B105)</f>
        <v>0</v>
      </c>
      <c r="X105" s="54">
        <f>SUMIFS('Combined P&amp;L'!V:V,'Combined P&amp;L'!$C:$C,'P&amp;L Forecast'!$B105)</f>
        <v>0</v>
      </c>
      <c r="Y105" s="54">
        <f>SUMIFS('Combined P&amp;L'!W:W,'Combined P&amp;L'!$C:$C,'P&amp;L Forecast'!$B105)</f>
        <v>0</v>
      </c>
      <c r="Z105" s="54">
        <f>SUMIFS('Combined P&amp;L'!X:X,'Combined P&amp;L'!$C:$C,'P&amp;L Forecast'!$B105)</f>
        <v>0</v>
      </c>
      <c r="AA105" s="54">
        <f>SUMIFS('Combined P&amp;L'!Y:Y,'Combined P&amp;L'!$C:$C,'P&amp;L Forecast'!$B105)</f>
        <v>0</v>
      </c>
      <c r="AB105" s="54">
        <f>SUMIFS('Combined P&amp;L'!Z:Z,'Combined P&amp;L'!$C:$C,'P&amp;L Forecast'!$B105)</f>
        <v>0</v>
      </c>
      <c r="AC105" s="54">
        <f>SUMIFS('Combined P&amp;L'!AA:AA,'Combined P&amp;L'!$C:$C,'P&amp;L Forecast'!$B105)</f>
        <v>0</v>
      </c>
      <c r="AD105" s="54">
        <f>SUMIFS('Combined P&amp;L'!AB:AB,'Combined P&amp;L'!$C:$C,'P&amp;L Forecast'!$B105)</f>
        <v>0</v>
      </c>
      <c r="AE105" s="54">
        <f>SUMIFS('Combined P&amp;L'!AC:AC,'Combined P&amp;L'!$C:$C,'P&amp;L Forecast'!$B105)</f>
        <v>0</v>
      </c>
      <c r="AF105" s="54">
        <f>SUMIFS('Combined P&amp;L'!AD:AD,'Combined P&amp;L'!$C:$C,'P&amp;L Forecast'!$B105)</f>
        <v>0</v>
      </c>
      <c r="AG105" s="54">
        <f>SUMIFS('Combined P&amp;L'!AE:AE,'Combined P&amp;L'!$C:$C,'P&amp;L Forecast'!$B105)</f>
        <v>0</v>
      </c>
      <c r="AH105" s="54">
        <f>SUMIFS('Combined P&amp;L'!AF:AF,'Combined P&amp;L'!$C:$C,'P&amp;L Forecast'!$B105)</f>
        <v>0</v>
      </c>
      <c r="AI105" s="54">
        <f>SUMIFS('Combined P&amp;L'!AG:AG,'Combined P&amp;L'!$C:$C,'P&amp;L Forecast'!$B105)</f>
        <v>0</v>
      </c>
      <c r="AJ105" s="54">
        <f>SUMIFS('Combined P&amp;L'!AH:AH,'Combined P&amp;L'!$C:$C,'P&amp;L Forecast'!$B105)</f>
        <v>0</v>
      </c>
      <c r="AK105" s="54">
        <f>SUMIFS('Combined P&amp;L'!AI:AI,'Combined P&amp;L'!$C:$C,'P&amp;L Forecast'!$B105)</f>
        <v>0</v>
      </c>
      <c r="AL105" s="54">
        <f>SUMIFS('Combined P&amp;L'!AJ:AJ,'Combined P&amp;L'!$C:$C,'P&amp;L Forecast'!$B105)</f>
        <v>0</v>
      </c>
      <c r="AM105" s="54">
        <f>SUMIFS('Combined P&amp;L'!AK:AK,'Combined P&amp;L'!$C:$C,'P&amp;L Forecast'!$B105)</f>
        <v>0</v>
      </c>
      <c r="AN105" s="54">
        <f>SUMIFS('Combined P&amp;L'!AL:AL,'Combined P&amp;L'!$C:$C,'P&amp;L Forecast'!$B105)</f>
        <v>0.12</v>
      </c>
      <c r="AO105" s="54">
        <f>SUMIFS('Combined P&amp;L'!AM:AM,'Combined P&amp;L'!$C:$C,'P&amp;L Forecast'!$B105)</f>
        <v>0.12</v>
      </c>
      <c r="AP105" s="54">
        <f>SUMIFS('Combined P&amp;L'!AN:AN,'Combined P&amp;L'!$C:$C,'P&amp;L Forecast'!$B105)</f>
        <v>0.70165999999999995</v>
      </c>
      <c r="AQ105" s="54">
        <f>SUMIFS('Combined P&amp;L'!AO:AO,'Combined P&amp;L'!$C:$C,'P&amp;L Forecast'!$B105)</f>
        <v>2.20736</v>
      </c>
      <c r="AR105" s="54">
        <f>SUMIFS('Combined P&amp;L'!AP:AP,'Combined P&amp;L'!$C:$C,'P&amp;L Forecast'!$B105)</f>
        <v>0.91486999999999996</v>
      </c>
      <c r="AS105" s="54">
        <f>SUMIFS('Combined P&amp;L'!AQ:AQ,'Combined P&amp;L'!$C:$C,'P&amp;L Forecast'!$B105)</f>
        <v>1.1516500000000001</v>
      </c>
      <c r="AT105" s="54">
        <f>SUMIFS('Combined P&amp;L'!AR:AR,'Combined P&amp;L'!$C:$C,'P&amp;L Forecast'!$B105)</f>
        <v>1.3119799999999999</v>
      </c>
    </row>
    <row r="106" spans="2:46" ht="12" customHeight="1" x14ac:dyDescent="0.2">
      <c r="B106" s="59" t="s">
        <v>301</v>
      </c>
      <c r="C106" s="60">
        <f>SUM(C102:C105)</f>
        <v>175.33862999999999</v>
      </c>
      <c r="D106" s="60">
        <f>SUM(D102:D105)</f>
        <v>281.69462000000004</v>
      </c>
      <c r="F106" s="60">
        <f t="shared" ref="F106:G106" si="51">SUM(F102:F105)</f>
        <v>141.78009000000003</v>
      </c>
      <c r="G106" s="60">
        <f t="shared" si="51"/>
        <v>284.68482</v>
      </c>
      <c r="I106" s="60">
        <f t="shared" ref="I106:K106" si="52">SUM(I102:I105)</f>
        <v>223.03857999999997</v>
      </c>
      <c r="J106" s="60">
        <f t="shared" si="52"/>
        <v>399.3766</v>
      </c>
      <c r="K106" s="60">
        <f t="shared" si="52"/>
        <v>568.11455999999998</v>
      </c>
      <c r="L106" s="72"/>
      <c r="M106" s="60">
        <f>SUM(M102:M105)</f>
        <v>-168.73796000000002</v>
      </c>
      <c r="N106" s="94">
        <f t="shared" si="46"/>
        <v>0.42250337150448969</v>
      </c>
      <c r="P106" s="60">
        <f t="shared" ref="P106:AT106" si="53">SUM(P102:P105)</f>
        <v>10.52585</v>
      </c>
      <c r="Q106" s="60">
        <f t="shared" si="53"/>
        <v>10.63571</v>
      </c>
      <c r="R106" s="60">
        <f t="shared" si="53"/>
        <v>11.751950000000001</v>
      </c>
      <c r="S106" s="60">
        <f t="shared" si="53"/>
        <v>11.98489</v>
      </c>
      <c r="T106" s="60">
        <f t="shared" si="53"/>
        <v>12.81546</v>
      </c>
      <c r="U106" s="60">
        <f t="shared" si="53"/>
        <v>14.24615</v>
      </c>
      <c r="V106" s="60">
        <f t="shared" si="53"/>
        <v>16.36037</v>
      </c>
      <c r="W106" s="60">
        <f t="shared" si="53"/>
        <v>16.36683</v>
      </c>
      <c r="X106" s="60">
        <f t="shared" si="53"/>
        <v>16.550719999999998</v>
      </c>
      <c r="Y106" s="60">
        <f t="shared" si="53"/>
        <v>17.8567</v>
      </c>
      <c r="Z106" s="60">
        <f t="shared" si="53"/>
        <v>17.59788</v>
      </c>
      <c r="AA106" s="60">
        <f t="shared" si="53"/>
        <v>18.64612</v>
      </c>
      <c r="AB106" s="60">
        <f t="shared" si="53"/>
        <v>18.594989999999999</v>
      </c>
      <c r="AC106" s="60">
        <f t="shared" si="53"/>
        <v>20.10492</v>
      </c>
      <c r="AD106" s="60">
        <f t="shared" si="53"/>
        <v>19.462519999999998</v>
      </c>
      <c r="AE106" s="60">
        <f t="shared" si="53"/>
        <v>19.645500000000002</v>
      </c>
      <c r="AF106" s="60">
        <f t="shared" si="53"/>
        <v>20.642859999999999</v>
      </c>
      <c r="AG106" s="60">
        <f t="shared" si="53"/>
        <v>21.20917</v>
      </c>
      <c r="AH106" s="60">
        <f t="shared" si="53"/>
        <v>22.120130000000003</v>
      </c>
      <c r="AI106" s="60">
        <f t="shared" si="53"/>
        <v>24.11375</v>
      </c>
      <c r="AJ106" s="60">
        <f t="shared" si="53"/>
        <v>25.266280000000002</v>
      </c>
      <c r="AK106" s="60">
        <f t="shared" si="53"/>
        <v>25.829260000000001</v>
      </c>
      <c r="AL106" s="60">
        <f t="shared" si="53"/>
        <v>30.724890000000002</v>
      </c>
      <c r="AM106" s="60">
        <f t="shared" si="53"/>
        <v>33.980350000000001</v>
      </c>
      <c r="AN106" s="60">
        <f t="shared" si="53"/>
        <v>34.801209999999998</v>
      </c>
      <c r="AO106" s="60">
        <f t="shared" si="53"/>
        <v>36.180370000000003</v>
      </c>
      <c r="AP106" s="60">
        <f t="shared" si="53"/>
        <v>37.779439999999994</v>
      </c>
      <c r="AQ106" s="60">
        <f t="shared" si="53"/>
        <v>42.557700000000004</v>
      </c>
      <c r="AR106" s="60">
        <f t="shared" si="53"/>
        <v>41.873910000000002</v>
      </c>
      <c r="AS106" s="60">
        <f t="shared" si="53"/>
        <v>44.14931</v>
      </c>
      <c r="AT106" s="60">
        <f t="shared" si="53"/>
        <v>47.342880000000001</v>
      </c>
    </row>
    <row r="107" spans="2:46" ht="3.95" customHeight="1" x14ac:dyDescent="0.2">
      <c r="B107" s="58"/>
      <c r="C107" s="24"/>
      <c r="D107" s="24"/>
      <c r="E107" s="24"/>
      <c r="F107" s="24"/>
      <c r="G107" s="24"/>
      <c r="H107" s="24"/>
      <c r="I107" s="24"/>
      <c r="J107" s="24"/>
      <c r="K107" s="66"/>
      <c r="L107" s="66"/>
      <c r="M107" s="24"/>
      <c r="N107" s="67"/>
      <c r="O107" s="53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</row>
    <row r="108" spans="2:46" x14ac:dyDescent="0.2">
      <c r="B108" s="58" t="s">
        <v>68</v>
      </c>
      <c r="C108" s="24">
        <f>SUMIFS($P108:$AT108,$P$69:$AT$69,"&gt;"&amp;C$169,$P$69:$AT$69,"&lt;"&amp;C$170)</f>
        <v>18.234249999999999</v>
      </c>
      <c r="D108" s="24">
        <f>SUMIFS($P108:$AT108,$P$69:$AT$69,"&gt;"&amp;D$169,$P$69:$AT$69,"&lt;"&amp;D$170)</f>
        <v>27.040950000000002</v>
      </c>
      <c r="E108" s="24"/>
      <c r="F108" s="24">
        <f>SUMIFS($P108:$AT108,$P$69:$AT$69,"&gt;"&amp;F$169,$P$69:$AT$69,"&lt;"&amp;F$170)</f>
        <v>12.014000000000001</v>
      </c>
      <c r="G108" s="24">
        <f>SUMIFS($P108:$AT108,$P$69:$AT$69,"&gt;"&amp;G$169,$P$69:$AT$69,"&lt;"&amp;G$170)</f>
        <v>57.55</v>
      </c>
      <c r="H108" s="24"/>
      <c r="I108" s="24">
        <f>SUMIFS($P108:$AT108,$P$69:$AT$69,"&gt;"&amp;I$169,$P$69:$AT$69,"&lt;"&amp;I$170)</f>
        <v>22.915250000000004</v>
      </c>
      <c r="J108" s="24">
        <f>SUMIFS($P108:$AT108,$P$69:$AT$69,"&gt;"&amp;J$169,$P$69:$AT$69,"&lt;"&amp;J$170)</f>
        <v>53.626950000000001</v>
      </c>
      <c r="K108" s="66">
        <f>+C43</f>
        <v>53.626950000000001</v>
      </c>
      <c r="L108" s="66"/>
      <c r="M108" s="24">
        <f>+J108-K108</f>
        <v>0</v>
      </c>
      <c r="N108" s="67">
        <f t="shared" si="46"/>
        <v>0</v>
      </c>
      <c r="O108" s="53"/>
      <c r="P108" s="54">
        <f>SUMIFS('Combined P&amp;L'!N:N,'Combined P&amp;L'!$C:$C,'P&amp;L Forecast'!$B108)</f>
        <v>0</v>
      </c>
      <c r="Q108" s="54">
        <f>SUMIFS('Combined P&amp;L'!O:O,'Combined P&amp;L'!$C:$C,'P&amp;L Forecast'!$B108)</f>
        <v>1.1665000000000001</v>
      </c>
      <c r="R108" s="54">
        <f>SUMIFS('Combined P&amp;L'!P:P,'Combined P&amp;L'!$C:$C,'P&amp;L Forecast'!$B108)</f>
        <v>1.1665000000000001</v>
      </c>
      <c r="S108" s="54">
        <f>SUMIFS('Combined P&amp;L'!Q:Q,'Combined P&amp;L'!$C:$C,'P&amp;L Forecast'!$B108)</f>
        <v>1.1666700000000001</v>
      </c>
      <c r="T108" s="54">
        <f>SUMIFS('Combined P&amp;L'!R:R,'Combined P&amp;L'!$C:$C,'P&amp;L Forecast'!$B108)</f>
        <v>1.1666700000000001</v>
      </c>
      <c r="U108" s="54">
        <f>SUMIFS('Combined P&amp;L'!S:S,'Combined P&amp;L'!$C:$C,'P&amp;L Forecast'!$B108)</f>
        <v>2.6666599999999998</v>
      </c>
      <c r="V108" s="54">
        <f>SUMIFS('Combined P&amp;L'!T:T,'Combined P&amp;L'!$C:$C,'P&amp;L Forecast'!$B108)</f>
        <v>1.1666700000000001</v>
      </c>
      <c r="W108" s="54">
        <f>SUMIFS('Combined P&amp;L'!U:U,'Combined P&amp;L'!$C:$C,'P&amp;L Forecast'!$B108)</f>
        <v>1.1666700000000001</v>
      </c>
      <c r="X108" s="54">
        <f>SUMIFS('Combined P&amp;L'!V:V,'Combined P&amp;L'!$C:$C,'P&amp;L Forecast'!$B108)</f>
        <v>3.0679099999999999</v>
      </c>
      <c r="Y108" s="54">
        <f>SUMIFS('Combined P&amp;L'!W:W,'Combined P&amp;L'!$C:$C,'P&amp;L Forecast'!$B108)</f>
        <v>1.1666700000000001</v>
      </c>
      <c r="Z108" s="54">
        <f>SUMIFS('Combined P&amp;L'!X:X,'Combined P&amp;L'!$C:$C,'P&amp;L Forecast'!$B108)</f>
        <v>2.1666699999999999</v>
      </c>
      <c r="AA108" s="54">
        <f>SUMIFS('Combined P&amp;L'!Y:Y,'Combined P&amp;L'!$C:$C,'P&amp;L Forecast'!$B108)</f>
        <v>2.1666599999999998</v>
      </c>
      <c r="AB108" s="54">
        <f>SUMIFS('Combined P&amp;L'!Z:Z,'Combined P&amp;L'!$C:$C,'P&amp;L Forecast'!$B108)</f>
        <v>2.1666699999999999</v>
      </c>
      <c r="AC108" s="54">
        <f>SUMIFS('Combined P&amp;L'!AA:AA,'Combined P&amp;L'!$C:$C,'P&amp;L Forecast'!$B108)</f>
        <v>2.1666699999999999</v>
      </c>
      <c r="AD108" s="54">
        <f>SUMIFS('Combined P&amp;L'!AB:AB,'Combined P&amp;L'!$C:$C,'P&amp;L Forecast'!$B108)</f>
        <v>2.1666599999999998</v>
      </c>
      <c r="AE108" s="54">
        <f>SUMIFS('Combined P&amp;L'!AC:AC,'Combined P&amp;L'!$C:$C,'P&amp;L Forecast'!$B108)</f>
        <v>2.7606700000000002</v>
      </c>
      <c r="AF108" s="54">
        <f>SUMIFS('Combined P&amp;L'!AD:AD,'Combined P&amp;L'!$C:$C,'P&amp;L Forecast'!$B108)</f>
        <v>1.58667</v>
      </c>
      <c r="AG108" s="54">
        <f>SUMIFS('Combined P&amp;L'!AE:AE,'Combined P&amp;L'!$C:$C,'P&amp;L Forecast'!$B108)</f>
        <v>1.16666</v>
      </c>
      <c r="AH108" s="54">
        <f>SUMIFS('Combined P&amp;L'!AF:AF,'Combined P&amp;L'!$C:$C,'P&amp;L Forecast'!$B108)</f>
        <v>0</v>
      </c>
      <c r="AI108" s="54">
        <f>SUMIFS('Combined P&amp;L'!AG:AG,'Combined P&amp;L'!$C:$C,'P&amp;L Forecast'!$B108)</f>
        <v>0.2</v>
      </c>
      <c r="AJ108" s="54">
        <f>SUMIFS('Combined P&amp;L'!AH:AH,'Combined P&amp;L'!$C:$C,'P&amp;L Forecast'!$B108)</f>
        <v>1.3269500000000001</v>
      </c>
      <c r="AK108" s="54">
        <f>SUMIFS('Combined P&amp;L'!AI:AI,'Combined P&amp;L'!$C:$C,'P&amp;L Forecast'!$B108)</f>
        <v>0</v>
      </c>
      <c r="AL108" s="54">
        <f>SUMIFS('Combined P&amp;L'!AJ:AJ,'Combined P&amp;L'!$C:$C,'P&amp;L Forecast'!$B108)</f>
        <v>6</v>
      </c>
      <c r="AM108" s="54">
        <f>SUMIFS('Combined P&amp;L'!AK:AK,'Combined P&amp;L'!$C:$C,'P&amp;L Forecast'!$B108)</f>
        <v>7.5</v>
      </c>
      <c r="AN108" s="54">
        <f>SUMIFS('Combined P&amp;L'!AL:AL,'Combined P&amp;L'!$C:$C,'P&amp;L Forecast'!$B108)</f>
        <v>0</v>
      </c>
      <c r="AO108" s="54">
        <f>SUMIFS('Combined P&amp;L'!AM:AM,'Combined P&amp;L'!$C:$C,'P&amp;L Forecast'!$B108)</f>
        <v>0</v>
      </c>
      <c r="AP108" s="54">
        <f>SUMIFS('Combined P&amp;L'!AN:AN,'Combined P&amp;L'!$C:$C,'P&amp;L Forecast'!$B108)</f>
        <v>6.6</v>
      </c>
      <c r="AQ108" s="54">
        <f>SUMIFS('Combined P&amp;L'!AO:AO,'Combined P&amp;L'!$C:$C,'P&amp;L Forecast'!$B108)</f>
        <v>14</v>
      </c>
      <c r="AR108" s="54">
        <f>SUMIFS('Combined P&amp;L'!AP:AP,'Combined P&amp;L'!$C:$C,'P&amp;L Forecast'!$B108)</f>
        <v>18</v>
      </c>
      <c r="AS108" s="54">
        <f>SUMIFS('Combined P&amp;L'!AQ:AQ,'Combined P&amp;L'!$C:$C,'P&amp;L Forecast'!$B108)</f>
        <v>0</v>
      </c>
      <c r="AT108" s="54">
        <f>SUMIFS('Combined P&amp;L'!AR:AR,'Combined P&amp;L'!$C:$C,'P&amp;L Forecast'!$B108)</f>
        <v>18.95</v>
      </c>
    </row>
    <row r="109" spans="2:46" s="14" customFormat="1" x14ac:dyDescent="0.2">
      <c r="B109" s="58" t="s">
        <v>43</v>
      </c>
      <c r="C109" s="24">
        <f>SUMIFS($P109:$AT109,$P$69:$AT$69,"&gt;"&amp;C$169,$P$69:$AT$69,"&lt;"&amp;C$170)</f>
        <v>24.819999999999997</v>
      </c>
      <c r="D109" s="24">
        <f>SUMIFS($P109:$AT109,$P$69:$AT$69,"&gt;"&amp;D$169,$P$69:$AT$69,"&lt;"&amp;D$170)</f>
        <v>27.153739999999999</v>
      </c>
      <c r="E109" s="24"/>
      <c r="F109" s="24">
        <f>SUMIFS($P109:$AT109,$P$69:$AT$69,"&gt;"&amp;F$169,$P$69:$AT$69,"&lt;"&amp;F$170)</f>
        <v>17.089500000000001</v>
      </c>
      <c r="G109" s="24">
        <f>SUMIFS($P109:$AT109,$P$69:$AT$69,"&gt;"&amp;G$169,$P$69:$AT$69,"&lt;"&amp;G$170)</f>
        <v>20.62969</v>
      </c>
      <c r="H109" s="24"/>
      <c r="I109" s="24">
        <f>SUMIFS($P109:$AT109,$P$69:$AT$69,"&gt;"&amp;I$169,$P$69:$AT$69,"&lt;"&amp;I$170)</f>
        <v>23.719750000000001</v>
      </c>
      <c r="J109" s="24">
        <f>SUMIFS($P109:$AT109,$P$69:$AT$69,"&gt;"&amp;J$169,$P$69:$AT$69,"&lt;"&amp;J$170)</f>
        <v>30.69416</v>
      </c>
      <c r="K109" s="66">
        <f>+C45</f>
        <v>30.69416</v>
      </c>
      <c r="L109" s="66"/>
      <c r="M109" s="24">
        <f t="shared" ref="M109" si="54">+J109-K109</f>
        <v>0</v>
      </c>
      <c r="N109" s="67">
        <f t="shared" ref="N109" si="55">IFERROR(K109/J109-1,0)</f>
        <v>0</v>
      </c>
      <c r="O109" s="53"/>
      <c r="P109" s="54">
        <f>SUMIFS('Combined P&amp;L'!N:N,'Combined P&amp;L'!$C:$C,'P&amp;L Forecast'!$B109)</f>
        <v>2.21</v>
      </c>
      <c r="Q109" s="54">
        <f>SUMIFS('Combined P&amp;L'!O:O,'Combined P&amp;L'!$C:$C,'P&amp;L Forecast'!$B109)</f>
        <v>2.7349999999999999</v>
      </c>
      <c r="R109" s="54">
        <f>SUMIFS('Combined P&amp;L'!P:P,'Combined P&amp;L'!$C:$C,'P&amp;L Forecast'!$B109)</f>
        <v>2.7149999999999999</v>
      </c>
      <c r="S109" s="54">
        <f>SUMIFS('Combined P&amp;L'!Q:Q,'Combined P&amp;L'!$C:$C,'P&amp;L Forecast'!$B109)</f>
        <v>2.7349999999999999</v>
      </c>
      <c r="T109" s="54">
        <f>SUMIFS('Combined P&amp;L'!R:R,'Combined P&amp;L'!$C:$C,'P&amp;L Forecast'!$B109)</f>
        <v>0.78</v>
      </c>
      <c r="U109" s="54">
        <f>SUMIFS('Combined P&amp;L'!S:S,'Combined P&amp;L'!$C:$C,'P&amp;L Forecast'!$B109)</f>
        <v>3.2450000000000001</v>
      </c>
      <c r="V109" s="54">
        <f>SUMIFS('Combined P&amp;L'!T:T,'Combined P&amp;L'!$C:$C,'P&amp;L Forecast'!$B109)</f>
        <v>1.28</v>
      </c>
      <c r="W109" s="54">
        <f>SUMIFS('Combined P&amp;L'!U:U,'Combined P&amp;L'!$C:$C,'P&amp;L Forecast'!$B109)</f>
        <v>1.3</v>
      </c>
      <c r="X109" s="54">
        <f>SUMIFS('Combined P&amp;L'!V:V,'Combined P&amp;L'!$C:$C,'P&amp;L Forecast'!$B109)</f>
        <v>1.81</v>
      </c>
      <c r="Y109" s="54">
        <f>SUMIFS('Combined P&amp;L'!W:W,'Combined P&amp;L'!$C:$C,'P&amp;L Forecast'!$B109)</f>
        <v>1.82</v>
      </c>
      <c r="Z109" s="54">
        <f>SUMIFS('Combined P&amp;L'!X:X,'Combined P&amp;L'!$C:$C,'P&amp;L Forecast'!$B109)</f>
        <v>1.835</v>
      </c>
      <c r="AA109" s="54">
        <f>SUMIFS('Combined P&amp;L'!Y:Y,'Combined P&amp;L'!$C:$C,'P&amp;L Forecast'!$B109)</f>
        <v>2.355</v>
      </c>
      <c r="AB109" s="54">
        <f>SUMIFS('Combined P&amp;L'!Z:Z,'Combined P&amp;L'!$C:$C,'P&amp;L Forecast'!$B109)</f>
        <v>1.4702500000000001</v>
      </c>
      <c r="AC109" s="54">
        <f>SUMIFS('Combined P&amp;L'!AA:AA,'Combined P&amp;L'!$C:$C,'P&amp;L Forecast'!$B109)</f>
        <v>1.665</v>
      </c>
      <c r="AD109" s="54">
        <f>SUMIFS('Combined P&amp;L'!AB:AB,'Combined P&amp;L'!$C:$C,'P&amp;L Forecast'!$B109)</f>
        <v>2.6277499999999998</v>
      </c>
      <c r="AE109" s="54">
        <f>SUMIFS('Combined P&amp;L'!AC:AC,'Combined P&amp;L'!$C:$C,'P&amp;L Forecast'!$B109)</f>
        <v>1.24875</v>
      </c>
      <c r="AF109" s="54">
        <f>SUMIFS('Combined P&amp;L'!AD:AD,'Combined P&amp;L'!$C:$C,'P&amp;L Forecast'!$B109)</f>
        <v>2.1539999999999999</v>
      </c>
      <c r="AG109" s="54">
        <f>SUMIFS('Combined P&amp;L'!AE:AE,'Combined P&amp;L'!$C:$C,'P&amp;L Forecast'!$B109)</f>
        <v>4.1539999999999999</v>
      </c>
      <c r="AH109" s="54">
        <f>SUMIFS('Combined P&amp;L'!AF:AF,'Combined P&amp;L'!$C:$C,'P&amp;L Forecast'!$B109)</f>
        <v>3.7697500000000002</v>
      </c>
      <c r="AI109" s="54">
        <f>SUMIFS('Combined P&amp;L'!AG:AG,'Combined P&amp;L'!$C:$C,'P&amp;L Forecast'!$B109)</f>
        <v>1.696</v>
      </c>
      <c r="AJ109" s="54">
        <f>SUMIFS('Combined P&amp;L'!AH:AH,'Combined P&amp;L'!$C:$C,'P&amp;L Forecast'!$B109)</f>
        <v>2.2275</v>
      </c>
      <c r="AK109" s="54">
        <f>SUMIFS('Combined P&amp;L'!AI:AI,'Combined P&amp;L'!$C:$C,'P&amp;L Forecast'!$B109)</f>
        <v>1.6645000000000001</v>
      </c>
      <c r="AL109" s="54">
        <f>SUMIFS('Combined P&amp;L'!AJ:AJ,'Combined P&amp;L'!$C:$C,'P&amp;L Forecast'!$B109)</f>
        <v>1.71879</v>
      </c>
      <c r="AM109" s="54">
        <f>SUMIFS('Combined P&amp;L'!AK:AK,'Combined P&amp;L'!$C:$C,'P&amp;L Forecast'!$B109)</f>
        <v>2.75745</v>
      </c>
      <c r="AN109" s="54">
        <f>SUMIFS('Combined P&amp;L'!AL:AL,'Combined P&amp;L'!$C:$C,'P&amp;L Forecast'!$B109)</f>
        <v>1.8688</v>
      </c>
      <c r="AO109" s="54">
        <f>SUMIFS('Combined P&amp;L'!AM:AM,'Combined P&amp;L'!$C:$C,'P&amp;L Forecast'!$B109)</f>
        <v>4.4399100000000002</v>
      </c>
      <c r="AP109" s="54">
        <f>SUMIFS('Combined P&amp;L'!AN:AN,'Combined P&amp;L'!$C:$C,'P&amp;L Forecast'!$B109)</f>
        <v>2.3936100000000002</v>
      </c>
      <c r="AQ109" s="54">
        <f>SUMIFS('Combined P&amp;L'!AO:AO,'Combined P&amp;L'!$C:$C,'P&amp;L Forecast'!$B109)</f>
        <v>3.6578600000000003</v>
      </c>
      <c r="AR109" s="54">
        <f>SUMIFS('Combined P&amp;L'!AP:AP,'Combined P&amp;L'!$C:$C,'P&amp;L Forecast'!$B109)</f>
        <v>2.9337900000000001</v>
      </c>
      <c r="AS109" s="54">
        <f>SUMIFS('Combined P&amp;L'!AQ:AQ,'Combined P&amp;L'!$C:$C,'P&amp;L Forecast'!$B109)</f>
        <v>1.5662</v>
      </c>
      <c r="AT109" s="54">
        <f>SUMIFS('Combined P&amp;L'!AR:AR,'Combined P&amp;L'!$C:$C,'P&amp;L Forecast'!$B109)</f>
        <v>3.76952</v>
      </c>
    </row>
    <row r="110" spans="2:46" x14ac:dyDescent="0.2">
      <c r="B110" s="58" t="s">
        <v>91</v>
      </c>
      <c r="C110" s="24">
        <f>SUMIFS($P110:$AT110,$P$69:$AT$69,"&gt;"&amp;C$169,$P$69:$AT$69,"&lt;"&amp;C$170)</f>
        <v>0</v>
      </c>
      <c r="D110" s="24">
        <f>SUMIFS($P110:$AT110,$P$69:$AT$69,"&gt;"&amp;D$169,$P$69:$AT$69,"&lt;"&amp;D$170)</f>
        <v>29.761219999999998</v>
      </c>
      <c r="E110" s="24"/>
      <c r="F110" s="24">
        <f>SUMIFS($P110:$AT110,$P$69:$AT$69,"&gt;"&amp;F$169,$P$69:$AT$69,"&lt;"&amp;F$170)</f>
        <v>22.295579999999998</v>
      </c>
      <c r="G110" s="24">
        <f>SUMIFS($P110:$AT110,$P$69:$AT$69,"&gt;"&amp;G$169,$P$69:$AT$69,"&lt;"&amp;G$170)</f>
        <v>20.685420000000001</v>
      </c>
      <c r="H110" s="24"/>
      <c r="I110" s="24">
        <f>SUMIFS($P110:$AT110,$P$69:$AT$69,"&gt;"&amp;I$169,$P$69:$AT$69,"&lt;"&amp;I$170)</f>
        <v>22.197919999999996</v>
      </c>
      <c r="J110" s="24">
        <f>SUMIFS($P110:$AT110,$P$69:$AT$69,"&gt;"&amp;J$169,$P$69:$AT$69,"&lt;"&amp;J$170)</f>
        <v>28.23873</v>
      </c>
      <c r="K110" s="66">
        <f>+C46</f>
        <v>28.23873</v>
      </c>
      <c r="L110" s="66"/>
      <c r="M110" s="24">
        <f t="shared" ref="M110" si="56">+J110-K110</f>
        <v>0</v>
      </c>
      <c r="N110" s="67">
        <f t="shared" ref="N110" si="57">IFERROR(K110/J110-1,0)</f>
        <v>0</v>
      </c>
      <c r="O110" s="53"/>
      <c r="P110" s="54">
        <f>SUMIFS('Combined P&amp;L'!N:N,'Combined P&amp;L'!$C:$C,'P&amp;L Forecast'!$B110)</f>
        <v>0</v>
      </c>
      <c r="Q110" s="54">
        <f>SUMIFS('Combined P&amp;L'!O:O,'Combined P&amp;L'!$C:$C,'P&amp;L Forecast'!$B110)</f>
        <v>0</v>
      </c>
      <c r="R110" s="54">
        <f>SUMIFS('Combined P&amp;L'!P:P,'Combined P&amp;L'!$C:$C,'P&amp;L Forecast'!$B110)</f>
        <v>0</v>
      </c>
      <c r="S110" s="54">
        <f>SUMIFS('Combined P&amp;L'!Q:Q,'Combined P&amp;L'!$C:$C,'P&amp;L Forecast'!$B110)</f>
        <v>0</v>
      </c>
      <c r="T110" s="54">
        <f>SUMIFS('Combined P&amp;L'!R:R,'Combined P&amp;L'!$C:$C,'P&amp;L Forecast'!$B110)</f>
        <v>0</v>
      </c>
      <c r="U110" s="54">
        <f>SUMIFS('Combined P&amp;L'!S:S,'Combined P&amp;L'!$C:$C,'P&amp;L Forecast'!$B110)</f>
        <v>0</v>
      </c>
      <c r="V110" s="54">
        <f>SUMIFS('Combined P&amp;L'!T:T,'Combined P&amp;L'!$C:$C,'P&amp;L Forecast'!$B110)</f>
        <v>0</v>
      </c>
      <c r="W110" s="54">
        <f>SUMIFS('Combined P&amp;L'!U:U,'Combined P&amp;L'!$C:$C,'P&amp;L Forecast'!$B110)</f>
        <v>0</v>
      </c>
      <c r="X110" s="54">
        <f>SUMIFS('Combined P&amp;L'!V:V,'Combined P&amp;L'!$C:$C,'P&amp;L Forecast'!$B110)</f>
        <v>0</v>
      </c>
      <c r="Y110" s="54">
        <f>SUMIFS('Combined P&amp;L'!W:W,'Combined P&amp;L'!$C:$C,'P&amp;L Forecast'!$B110)</f>
        <v>0</v>
      </c>
      <c r="Z110" s="54">
        <f>SUMIFS('Combined P&amp;L'!X:X,'Combined P&amp;L'!$C:$C,'P&amp;L Forecast'!$B110)</f>
        <v>0</v>
      </c>
      <c r="AA110" s="54">
        <f>SUMIFS('Combined P&amp;L'!Y:Y,'Combined P&amp;L'!$C:$C,'P&amp;L Forecast'!$B110)</f>
        <v>0</v>
      </c>
      <c r="AB110" s="54">
        <f>SUMIFS('Combined P&amp;L'!Z:Z,'Combined P&amp;L'!$C:$C,'P&amp;L Forecast'!$B110)</f>
        <v>6.9100000000000003E-3</v>
      </c>
      <c r="AC110" s="54">
        <f>SUMIFS('Combined P&amp;L'!AA:AA,'Combined P&amp;L'!$C:$C,'P&amp;L Forecast'!$B110)</f>
        <v>0</v>
      </c>
      <c r="AD110" s="54">
        <f>SUMIFS('Combined P&amp;L'!AB:AB,'Combined P&amp;L'!$C:$C,'P&amp;L Forecast'!$B110)</f>
        <v>0</v>
      </c>
      <c r="AE110" s="54">
        <f>SUMIFS('Combined P&amp;L'!AC:AC,'Combined P&amp;L'!$C:$C,'P&amp;L Forecast'!$B110)</f>
        <v>11.40629</v>
      </c>
      <c r="AF110" s="54">
        <f>SUMIFS('Combined P&amp;L'!AD:AD,'Combined P&amp;L'!$C:$C,'P&amp;L Forecast'!$B110)</f>
        <v>10.784719999999997</v>
      </c>
      <c r="AG110" s="54">
        <f>SUMIFS('Combined P&amp;L'!AE:AE,'Combined P&amp;L'!$C:$C,'P&amp;L Forecast'!$B110)</f>
        <v>0</v>
      </c>
      <c r="AH110" s="54">
        <f>SUMIFS('Combined P&amp;L'!AF:AF,'Combined P&amp;L'!$C:$C,'P&amp;L Forecast'!$B110)</f>
        <v>9.7659999999999997E-2</v>
      </c>
      <c r="AI110" s="54">
        <f>SUMIFS('Combined P&amp;L'!AG:AG,'Combined P&amp;L'!$C:$C,'P&amp;L Forecast'!$B110)</f>
        <v>0.92152000000000001</v>
      </c>
      <c r="AJ110" s="54">
        <f>SUMIFS('Combined P&amp;L'!AH:AH,'Combined P&amp;L'!$C:$C,'P&amp;L Forecast'!$B110)</f>
        <v>2.9642300000000006</v>
      </c>
      <c r="AK110" s="54">
        <f>SUMIFS('Combined P&amp;L'!AI:AI,'Combined P&amp;L'!$C:$C,'P&amp;L Forecast'!$B110)</f>
        <v>1.0367900000000001</v>
      </c>
      <c r="AL110" s="54">
        <f>SUMIFS('Combined P&amp;L'!AJ:AJ,'Combined P&amp;L'!$C:$C,'P&amp;L Forecast'!$B110)</f>
        <v>2.11036</v>
      </c>
      <c r="AM110" s="54">
        <f>SUMIFS('Combined P&amp;L'!AK:AK,'Combined P&amp;L'!$C:$C,'P&amp;L Forecast'!$B110)</f>
        <v>0.43274000000000001</v>
      </c>
      <c r="AN110" s="54">
        <f>SUMIFS('Combined P&amp;L'!AL:AL,'Combined P&amp;L'!$C:$C,'P&amp;L Forecast'!$B110)</f>
        <v>0</v>
      </c>
      <c r="AO110" s="54">
        <f>SUMIFS('Combined P&amp;L'!AM:AM,'Combined P&amp;L'!$C:$C,'P&amp;L Forecast'!$B110)</f>
        <v>0</v>
      </c>
      <c r="AP110" s="54">
        <f>SUMIFS('Combined P&amp;L'!AN:AN,'Combined P&amp;L'!$C:$C,'P&amp;L Forecast'!$B110)</f>
        <v>0</v>
      </c>
      <c r="AQ110" s="54">
        <f>SUMIFS('Combined P&amp;L'!AO:AO,'Combined P&amp;L'!$C:$C,'P&amp;L Forecast'!$B110)</f>
        <v>9.7651000000000003</v>
      </c>
      <c r="AR110" s="54">
        <f>SUMIFS('Combined P&amp;L'!AP:AP,'Combined P&amp;L'!$C:$C,'P&amp;L Forecast'!$B110)</f>
        <v>10.254430000000001</v>
      </c>
      <c r="AS110" s="54">
        <f>SUMIFS('Combined P&amp;L'!AQ:AQ,'Combined P&amp;L'!$C:$C,'P&amp;L Forecast'!$B110)</f>
        <v>0.65590000000000004</v>
      </c>
      <c r="AT110" s="54">
        <f>SUMIFS('Combined P&amp;L'!AR:AR,'Combined P&amp;L'!$C:$C,'P&amp;L Forecast'!$B110)</f>
        <v>9.9900000000000006E-3</v>
      </c>
    </row>
    <row r="111" spans="2:46" x14ac:dyDescent="0.2">
      <c r="B111" s="58" t="s">
        <v>42</v>
      </c>
      <c r="C111" s="24">
        <f>SUMIFS($P111:$AT111,$P$69:$AT$69,"&gt;"&amp;C$169,$P$69:$AT$69,"&lt;"&amp;C$170)</f>
        <v>8.670989999999998</v>
      </c>
      <c r="D111" s="24">
        <f>SUMIFS($P111:$AT111,$P$69:$AT$69,"&gt;"&amp;D$169,$P$69:$AT$69,"&lt;"&amp;D$170)</f>
        <v>13.35153</v>
      </c>
      <c r="E111" s="24"/>
      <c r="F111" s="24">
        <f>SUMIFS($P111:$AT111,$P$69:$AT$69,"&gt;"&amp;F$169,$P$69:$AT$69,"&lt;"&amp;F$170)</f>
        <v>6.8044500000000001</v>
      </c>
      <c r="G111" s="24">
        <f>SUMIFS($P111:$AT111,$P$69:$AT$69,"&gt;"&amp;G$169,$P$69:$AT$69,"&lt;"&amp;G$170)</f>
        <v>9.02684</v>
      </c>
      <c r="H111" s="24"/>
      <c r="I111" s="24">
        <f>SUMIFS($P111:$AT111,$P$69:$AT$69,"&gt;"&amp;I$169,$P$69:$AT$69,"&lt;"&amp;I$170)</f>
        <v>9.9746000000000006</v>
      </c>
      <c r="J111" s="24">
        <f>SUMIFS($P111:$AT111,$P$69:$AT$69,"&gt;"&amp;J$169,$P$69:$AT$69,"&lt;"&amp;J$170)</f>
        <v>15.652799999999997</v>
      </c>
      <c r="K111" s="66">
        <f>+C47</f>
        <v>15.652799999999997</v>
      </c>
      <c r="L111" s="66"/>
      <c r="M111" s="24">
        <f t="shared" ref="M111" si="58">+J111-K111</f>
        <v>0</v>
      </c>
      <c r="N111" s="67">
        <f t="shared" ref="N111" si="59">IFERROR(K111/J111-1,0)</f>
        <v>0</v>
      </c>
      <c r="O111" s="53"/>
      <c r="P111" s="54">
        <f>SUMIFS('Combined P&amp;L'!N:N,'Combined P&amp;L'!$C:$C,'P&amp;L Forecast'!$B111)</f>
        <v>0.6179</v>
      </c>
      <c r="Q111" s="54">
        <f>SUMIFS('Combined P&amp;L'!O:O,'Combined P&amp;L'!$C:$C,'P&amp;L Forecast'!$B111)</f>
        <v>0.83739999999999992</v>
      </c>
      <c r="R111" s="54">
        <f>SUMIFS('Combined P&amp;L'!P:P,'Combined P&amp;L'!$C:$C,'P&amp;L Forecast'!$B111)</f>
        <v>0.62936000000000003</v>
      </c>
      <c r="S111" s="54">
        <f>SUMIFS('Combined P&amp;L'!Q:Q,'Combined P&amp;L'!$C:$C,'P&amp;L Forecast'!$B111)</f>
        <v>0.68245</v>
      </c>
      <c r="T111" s="54">
        <f>SUMIFS('Combined P&amp;L'!R:R,'Combined P&amp;L'!$C:$C,'P&amp;L Forecast'!$B111)</f>
        <v>0.72150999999999998</v>
      </c>
      <c r="U111" s="54">
        <f>SUMIFS('Combined P&amp;L'!S:S,'Combined P&amp;L'!$C:$C,'P&amp;L Forecast'!$B111)</f>
        <v>0.78747</v>
      </c>
      <c r="V111" s="54">
        <f>SUMIFS('Combined P&amp;L'!T:T,'Combined P&amp;L'!$C:$C,'P&amp;L Forecast'!$B111)</f>
        <v>0.65561999999999998</v>
      </c>
      <c r="W111" s="54">
        <f>SUMIFS('Combined P&amp;L'!U:U,'Combined P&amp;L'!$C:$C,'P&amp;L Forecast'!$B111)</f>
        <v>0.79491000000000001</v>
      </c>
      <c r="X111" s="54">
        <f>SUMIFS('Combined P&amp;L'!V:V,'Combined P&amp;L'!$C:$C,'P&amp;L Forecast'!$B111)</f>
        <v>0.69062999999999997</v>
      </c>
      <c r="Y111" s="54">
        <f>SUMIFS('Combined P&amp;L'!W:W,'Combined P&amp;L'!$C:$C,'P&amp;L Forecast'!$B111)</f>
        <v>0.71760999999999997</v>
      </c>
      <c r="Z111" s="54">
        <f>SUMIFS('Combined P&amp;L'!X:X,'Combined P&amp;L'!$C:$C,'P&amp;L Forecast'!$B111)</f>
        <v>0.73794999999999999</v>
      </c>
      <c r="AA111" s="54">
        <f>SUMIFS('Combined P&amp;L'!Y:Y,'Combined P&amp;L'!$C:$C,'P&amp;L Forecast'!$B111)</f>
        <v>0.79818</v>
      </c>
      <c r="AB111" s="54">
        <f>SUMIFS('Combined P&amp;L'!Z:Z,'Combined P&amp;L'!$C:$C,'P&amp;L Forecast'!$B111)</f>
        <v>0.83546000000000009</v>
      </c>
      <c r="AC111" s="54">
        <f>SUMIFS('Combined P&amp;L'!AA:AA,'Combined P&amp;L'!$C:$C,'P&amp;L Forecast'!$B111)</f>
        <v>1.0539400000000001</v>
      </c>
      <c r="AD111" s="54">
        <f>SUMIFS('Combined P&amp;L'!AB:AB,'Combined P&amp;L'!$C:$C,'P&amp;L Forecast'!$B111)</f>
        <v>0.87069000000000007</v>
      </c>
      <c r="AE111" s="54">
        <f>SUMIFS('Combined P&amp;L'!AC:AC,'Combined P&amp;L'!$C:$C,'P&amp;L Forecast'!$B111)</f>
        <v>0.90554999999999997</v>
      </c>
      <c r="AF111" s="54">
        <f>SUMIFS('Combined P&amp;L'!AD:AD,'Combined P&amp;L'!$C:$C,'P&amp;L Forecast'!$B111)</f>
        <v>0.9115700000000001</v>
      </c>
      <c r="AG111" s="54">
        <f>SUMIFS('Combined P&amp;L'!AE:AE,'Combined P&amp;L'!$C:$C,'P&amp;L Forecast'!$B111)</f>
        <v>1.0024900000000001</v>
      </c>
      <c r="AH111" s="54">
        <f>SUMIFS('Combined P&amp;L'!AF:AF,'Combined P&amp;L'!$C:$C,'P&amp;L Forecast'!$B111)</f>
        <v>1.22475</v>
      </c>
      <c r="AI111" s="54">
        <f>SUMIFS('Combined P&amp;L'!AG:AG,'Combined P&amp;L'!$C:$C,'P&amp;L Forecast'!$B111)</f>
        <v>1.1043800000000001</v>
      </c>
      <c r="AJ111" s="54">
        <f>SUMIFS('Combined P&amp;L'!AH:AH,'Combined P&amp;L'!$C:$C,'P&amp;L Forecast'!$B111)</f>
        <v>1.2972300000000001</v>
      </c>
      <c r="AK111" s="54">
        <f>SUMIFS('Combined P&amp;L'!AI:AI,'Combined P&amp;L'!$C:$C,'P&amp;L Forecast'!$B111)</f>
        <v>1.2173900000000002</v>
      </c>
      <c r="AL111" s="54">
        <f>SUMIFS('Combined P&amp;L'!AJ:AJ,'Combined P&amp;L'!$C:$C,'P&amp;L Forecast'!$B111)</f>
        <v>1.62294</v>
      </c>
      <c r="AM111" s="54">
        <f>SUMIFS('Combined P&amp;L'!AK:AK,'Combined P&amp;L'!$C:$C,'P&amp;L Forecast'!$B111)</f>
        <v>1.3051400000000002</v>
      </c>
      <c r="AN111" s="54">
        <f>SUMIFS('Combined P&amp;L'!AL:AL,'Combined P&amp;L'!$C:$C,'P&amp;L Forecast'!$B111)</f>
        <v>1.2297400000000001</v>
      </c>
      <c r="AO111" s="54">
        <f>SUMIFS('Combined P&amp;L'!AM:AM,'Combined P&amp;L'!$C:$C,'P&amp;L Forecast'!$B111)</f>
        <v>1.73847</v>
      </c>
      <c r="AP111" s="54">
        <f>SUMIFS('Combined P&amp;L'!AN:AN,'Combined P&amp;L'!$C:$C,'P&amp;L Forecast'!$B111)</f>
        <v>1.35348</v>
      </c>
      <c r="AQ111" s="54">
        <f>SUMIFS('Combined P&amp;L'!AO:AO,'Combined P&amp;L'!$C:$C,'P&amp;L Forecast'!$B111)</f>
        <v>1.2339899999999999</v>
      </c>
      <c r="AR111" s="54">
        <f>SUMIFS('Combined P&amp;L'!AP:AP,'Combined P&amp;L'!$C:$C,'P&amp;L Forecast'!$B111)</f>
        <v>1.1713699999999998</v>
      </c>
      <c r="AS111" s="54">
        <f>SUMIFS('Combined P&amp;L'!AQ:AQ,'Combined P&amp;L'!$C:$C,'P&amp;L Forecast'!$B111)</f>
        <v>1.1539200000000001</v>
      </c>
      <c r="AT111" s="54">
        <f>SUMIFS('Combined P&amp;L'!AR:AR,'Combined P&amp;L'!$C:$C,'P&amp;L Forecast'!$B111)</f>
        <v>1.1458699999999999</v>
      </c>
    </row>
    <row r="112" spans="2:46" x14ac:dyDescent="0.2">
      <c r="B112" s="58" t="s">
        <v>75</v>
      </c>
      <c r="C112" s="24">
        <f>SUMIFS($P112:$AT112,$P$69:$AT$69,"&gt;"&amp;C$169,$P$69:$AT$69,"&lt;"&amp;C$170)</f>
        <v>5.4433199999999999</v>
      </c>
      <c r="D112" s="24">
        <f>SUMIFS($P112:$AT112,$P$69:$AT$69,"&gt;"&amp;D$169,$P$69:$AT$69,"&lt;"&amp;D$170)</f>
        <v>11.22296</v>
      </c>
      <c r="E112" s="24"/>
      <c r="F112" s="24">
        <f>SUMIFS($P112:$AT112,$P$69:$AT$69,"&gt;"&amp;F$169,$P$69:$AT$69,"&lt;"&amp;F$170)</f>
        <v>6.1909999999999989</v>
      </c>
      <c r="G112" s="24">
        <f>SUMIFS($P112:$AT112,$P$69:$AT$69,"&gt;"&amp;G$169,$P$69:$AT$69,"&lt;"&amp;G$170)</f>
        <v>6.5788099999999998</v>
      </c>
      <c r="H112" s="24"/>
      <c r="I112" s="24">
        <f>SUMIFS($P112:$AT112,$P$69:$AT$69,"&gt;"&amp;I$169,$P$69:$AT$69,"&lt;"&amp;I$170)</f>
        <v>8.3016599999999983</v>
      </c>
      <c r="J112" s="24">
        <f>SUMIFS($P112:$AT112,$P$69:$AT$69,"&gt;"&amp;J$169,$P$69:$AT$69,"&lt;"&amp;J$170)</f>
        <v>12.156920000000003</v>
      </c>
      <c r="K112" s="66">
        <f>+C48</f>
        <v>12.156920000000003</v>
      </c>
      <c r="L112" s="66"/>
      <c r="M112" s="24">
        <f t="shared" ref="M112" si="60">+J112-K112</f>
        <v>0</v>
      </c>
      <c r="N112" s="67">
        <f t="shared" ref="N112" si="61">IFERROR(K112/J112-1,0)</f>
        <v>0</v>
      </c>
      <c r="O112" s="53"/>
      <c r="P112" s="54">
        <f>SUMIFS('Combined P&amp;L'!N:N,'Combined P&amp;L'!$C:$C,'P&amp;L Forecast'!$B112)</f>
        <v>0.33417000000000002</v>
      </c>
      <c r="Q112" s="54">
        <f>SUMIFS('Combined P&amp;L'!O:O,'Combined P&amp;L'!$C:$C,'P&amp;L Forecast'!$B112)</f>
        <v>0.33417000000000002</v>
      </c>
      <c r="R112" s="54">
        <f>SUMIFS('Combined P&amp;L'!P:P,'Combined P&amp;L'!$C:$C,'P&amp;L Forecast'!$B112)</f>
        <v>0.33417000000000002</v>
      </c>
      <c r="S112" s="54">
        <f>SUMIFS('Combined P&amp;L'!Q:Q,'Combined P&amp;L'!$C:$C,'P&amp;L Forecast'!$B112)</f>
        <v>0.33417000000000002</v>
      </c>
      <c r="T112" s="54">
        <f>SUMIFS('Combined P&amp;L'!R:R,'Combined P&amp;L'!$C:$C,'P&amp;L Forecast'!$B112)</f>
        <v>0.255</v>
      </c>
      <c r="U112" s="54">
        <f>SUMIFS('Combined P&amp;L'!S:S,'Combined P&amp;L'!$C:$C,'P&amp;L Forecast'!$B112)</f>
        <v>0.255</v>
      </c>
      <c r="V112" s="54">
        <f>SUMIFS('Combined P&amp;L'!T:T,'Combined P&amp;L'!$C:$C,'P&amp;L Forecast'!$B112)</f>
        <v>0.25496000000000002</v>
      </c>
      <c r="W112" s="54">
        <f>SUMIFS('Combined P&amp;L'!U:U,'Combined P&amp;L'!$C:$C,'P&amp;L Forecast'!$B112)</f>
        <v>0.20499999999999999</v>
      </c>
      <c r="X112" s="54">
        <f>SUMIFS('Combined P&amp;L'!V:V,'Combined P&amp;L'!$C:$C,'P&amp;L Forecast'!$B112)</f>
        <v>0.78416999999999992</v>
      </c>
      <c r="Y112" s="54">
        <f>SUMIFS('Combined P&amp;L'!W:W,'Combined P&amp;L'!$C:$C,'P&amp;L Forecast'!$B112)</f>
        <v>0.78416999999999992</v>
      </c>
      <c r="Z112" s="54">
        <f>SUMIFS('Combined P&amp;L'!X:X,'Combined P&amp;L'!$C:$C,'P&amp;L Forecast'!$B112)</f>
        <v>0.78416999999999992</v>
      </c>
      <c r="AA112" s="54">
        <f>SUMIFS('Combined P&amp;L'!Y:Y,'Combined P&amp;L'!$C:$C,'P&amp;L Forecast'!$B112)</f>
        <v>0.78416999999999992</v>
      </c>
      <c r="AB112" s="54">
        <f>SUMIFS('Combined P&amp;L'!Z:Z,'Combined P&amp;L'!$C:$C,'P&amp;L Forecast'!$B112)</f>
        <v>0.78416999999999992</v>
      </c>
      <c r="AC112" s="54">
        <f>SUMIFS('Combined P&amp;L'!AA:AA,'Combined P&amp;L'!$C:$C,'P&amp;L Forecast'!$B112)</f>
        <v>0.78416999999999992</v>
      </c>
      <c r="AD112" s="54">
        <f>SUMIFS('Combined P&amp;L'!AB:AB,'Combined P&amp;L'!$C:$C,'P&amp;L Forecast'!$B112)</f>
        <v>0.78416999999999992</v>
      </c>
      <c r="AE112" s="54">
        <f>SUMIFS('Combined P&amp;L'!AC:AC,'Combined P&amp;L'!$C:$C,'P&amp;L Forecast'!$B112)</f>
        <v>0.78416999999999992</v>
      </c>
      <c r="AF112" s="54">
        <f>SUMIFS('Combined P&amp;L'!AD:AD,'Combined P&amp;L'!$C:$C,'P&amp;L Forecast'!$B112)</f>
        <v>0.78416999999999992</v>
      </c>
      <c r="AG112" s="54">
        <f>SUMIFS('Combined P&amp;L'!AE:AE,'Combined P&amp;L'!$C:$C,'P&amp;L Forecast'!$B112)</f>
        <v>0.78416999999999992</v>
      </c>
      <c r="AH112" s="54">
        <f>SUMIFS('Combined P&amp;L'!AF:AF,'Combined P&amp;L'!$C:$C,'P&amp;L Forecast'!$B112)</f>
        <v>1.4859800000000001</v>
      </c>
      <c r="AI112" s="54">
        <f>SUMIFS('Combined P&amp;L'!AG:AG,'Combined P&amp;L'!$C:$C,'P&amp;L Forecast'!$B112)</f>
        <v>0.96329999999999993</v>
      </c>
      <c r="AJ112" s="54">
        <f>SUMIFS('Combined P&amp;L'!AH:AH,'Combined P&amp;L'!$C:$C,'P&amp;L Forecast'!$B112)</f>
        <v>0.98041999999999996</v>
      </c>
      <c r="AK112" s="54">
        <f>SUMIFS('Combined P&amp;L'!AI:AI,'Combined P&amp;L'!$C:$C,'P&amp;L Forecast'!$B112)</f>
        <v>1.02942</v>
      </c>
      <c r="AL112" s="54">
        <f>SUMIFS('Combined P&amp;L'!AJ:AJ,'Combined P&amp;L'!$C:$C,'P&amp;L Forecast'!$B112)</f>
        <v>1.02942</v>
      </c>
      <c r="AM112" s="54">
        <f>SUMIFS('Combined P&amp;L'!AK:AK,'Combined P&amp;L'!$C:$C,'P&amp;L Forecast'!$B112)</f>
        <v>1.0294000000000001</v>
      </c>
      <c r="AN112" s="54">
        <f>SUMIFS('Combined P&amp;L'!AL:AL,'Combined P&amp;L'!$C:$C,'P&amp;L Forecast'!$B112)</f>
        <v>0.93983000000000005</v>
      </c>
      <c r="AO112" s="54">
        <f>SUMIFS('Combined P&amp;L'!AM:AM,'Combined P&amp;L'!$C:$C,'P&amp;L Forecast'!$B112)</f>
        <v>0.93983000000000005</v>
      </c>
      <c r="AP112" s="54">
        <f>SUMIFS('Combined P&amp;L'!AN:AN,'Combined P&amp;L'!$C:$C,'P&amp;L Forecast'!$B112)</f>
        <v>0.93983000000000005</v>
      </c>
      <c r="AQ112" s="54">
        <f>SUMIFS('Combined P&amp;L'!AO:AO,'Combined P&amp;L'!$C:$C,'P&amp;L Forecast'!$B112)</f>
        <v>0.93983000000000005</v>
      </c>
      <c r="AR112" s="54">
        <f>SUMIFS('Combined P&amp;L'!AP:AP,'Combined P&amp;L'!$C:$C,'P&amp;L Forecast'!$B112)</f>
        <v>0.93983000000000005</v>
      </c>
      <c r="AS112" s="54">
        <f>SUMIFS('Combined P&amp;L'!AQ:AQ,'Combined P&amp;L'!$C:$C,'P&amp;L Forecast'!$B112)</f>
        <v>0.93983000000000005</v>
      </c>
      <c r="AT112" s="54">
        <f>SUMIFS('Combined P&amp;L'!AR:AR,'Combined P&amp;L'!$C:$C,'P&amp;L Forecast'!$B112)</f>
        <v>0.93983000000000005</v>
      </c>
    </row>
    <row r="113" spans="2:46" x14ac:dyDescent="0.2">
      <c r="B113" s="58" t="s">
        <v>313</v>
      </c>
      <c r="C113" s="24">
        <f>SUMIFS($P113:$AT113,$P$69:$AT$69,"&gt;"&amp;C$169,$P$69:$AT$69,"&lt;"&amp;C$170)</f>
        <v>0</v>
      </c>
      <c r="D113" s="24">
        <f>SUMIFS($P113:$AT113,$P$69:$AT$69,"&gt;"&amp;D$169,$P$69:$AT$69,"&lt;"&amp;D$170)</f>
        <v>11.4983</v>
      </c>
      <c r="E113" s="24"/>
      <c r="F113" s="24">
        <f>SUMIFS($P113:$AT113,$P$69:$AT$69,"&gt;"&amp;F$169,$P$69:$AT$69,"&lt;"&amp;F$170)</f>
        <v>0</v>
      </c>
      <c r="G113" s="24">
        <f>SUMIFS($P113:$AT113,$P$69:$AT$69,"&gt;"&amp;G$169,$P$69:$AT$69,"&lt;"&amp;G$170)</f>
        <v>11.84548</v>
      </c>
      <c r="H113" s="24"/>
      <c r="I113" s="24">
        <f>SUMIFS($P113:$AT113,$P$69:$AT$69,"&gt;"&amp;I$169,$P$69:$AT$69,"&lt;"&amp;I$170)</f>
        <v>0</v>
      </c>
      <c r="J113" s="24">
        <f>SUMIFS($P113:$AT113,$P$69:$AT$69,"&gt;"&amp;J$169,$P$69:$AT$69,"&lt;"&amp;J$170)</f>
        <v>11.648780000000002</v>
      </c>
      <c r="K113" s="66">
        <f>+C49</f>
        <v>11.648780000000002</v>
      </c>
      <c r="L113" s="66"/>
      <c r="M113" s="24">
        <f>+J113-K113</f>
        <v>0</v>
      </c>
      <c r="N113" s="67">
        <f t="shared" ref="N113" si="62">IFERROR(K113/J113-1,0)</f>
        <v>0</v>
      </c>
      <c r="O113" s="53"/>
      <c r="P113" s="54">
        <f>SUMIFS('Combined P&amp;L'!N:N,'Combined P&amp;L'!$C:$C,'P&amp;L Forecast'!$B113)</f>
        <v>0</v>
      </c>
      <c r="Q113" s="54">
        <f>SUMIFS('Combined P&amp;L'!O:O,'Combined P&amp;L'!$C:$C,'P&amp;L Forecast'!$B113)</f>
        <v>0</v>
      </c>
      <c r="R113" s="54">
        <f>SUMIFS('Combined P&amp;L'!P:P,'Combined P&amp;L'!$C:$C,'P&amp;L Forecast'!$B113)</f>
        <v>0</v>
      </c>
      <c r="S113" s="54">
        <f>SUMIFS('Combined P&amp;L'!Q:Q,'Combined P&amp;L'!$C:$C,'P&amp;L Forecast'!$B113)</f>
        <v>0</v>
      </c>
      <c r="T113" s="54">
        <f>SUMIFS('Combined P&amp;L'!R:R,'Combined P&amp;L'!$C:$C,'P&amp;L Forecast'!$B113)</f>
        <v>0</v>
      </c>
      <c r="U113" s="54">
        <f>SUMIFS('Combined P&amp;L'!S:S,'Combined P&amp;L'!$C:$C,'P&amp;L Forecast'!$B113)</f>
        <v>0</v>
      </c>
      <c r="V113" s="54">
        <f>SUMIFS('Combined P&amp;L'!T:T,'Combined P&amp;L'!$C:$C,'P&amp;L Forecast'!$B113)</f>
        <v>0</v>
      </c>
      <c r="W113" s="54">
        <f>SUMIFS('Combined P&amp;L'!U:U,'Combined P&amp;L'!$C:$C,'P&amp;L Forecast'!$B113)</f>
        <v>0</v>
      </c>
      <c r="X113" s="54">
        <f>SUMIFS('Combined P&amp;L'!V:V,'Combined P&amp;L'!$C:$C,'P&amp;L Forecast'!$B113)</f>
        <v>0</v>
      </c>
      <c r="Y113" s="54">
        <f>SUMIFS('Combined P&amp;L'!W:W,'Combined P&amp;L'!$C:$C,'P&amp;L Forecast'!$B113)</f>
        <v>0</v>
      </c>
      <c r="Z113" s="54">
        <f>SUMIFS('Combined P&amp;L'!X:X,'Combined P&amp;L'!$C:$C,'P&amp;L Forecast'!$B113)</f>
        <v>0</v>
      </c>
      <c r="AA113" s="54">
        <f>SUMIFS('Combined P&amp;L'!Y:Y,'Combined P&amp;L'!$C:$C,'P&amp;L Forecast'!$B113)</f>
        <v>0</v>
      </c>
      <c r="AB113" s="54">
        <f>SUMIFS('Combined P&amp;L'!Z:Z,'Combined P&amp;L'!$C:$C,'P&amp;L Forecast'!$B113)</f>
        <v>0</v>
      </c>
      <c r="AC113" s="54">
        <f>SUMIFS('Combined P&amp;L'!AA:AA,'Combined P&amp;L'!$C:$C,'P&amp;L Forecast'!$B113)</f>
        <v>0</v>
      </c>
      <c r="AD113" s="54">
        <f>SUMIFS('Combined P&amp;L'!AB:AB,'Combined P&amp;L'!$C:$C,'P&amp;L Forecast'!$B113)</f>
        <v>0</v>
      </c>
      <c r="AE113" s="54">
        <f>SUMIFS('Combined P&amp;L'!AC:AC,'Combined P&amp;L'!$C:$C,'P&amp;L Forecast'!$B113)</f>
        <v>0</v>
      </c>
      <c r="AF113" s="54">
        <f>SUMIFS('Combined P&amp;L'!AD:AD,'Combined P&amp;L'!$C:$C,'P&amp;L Forecast'!$B113)</f>
        <v>0</v>
      </c>
      <c r="AG113" s="54">
        <f>SUMIFS('Combined P&amp;L'!AE:AE,'Combined P&amp;L'!$C:$C,'P&amp;L Forecast'!$B113)</f>
        <v>0</v>
      </c>
      <c r="AH113" s="54">
        <f>SUMIFS('Combined P&amp;L'!AF:AF,'Combined P&amp;L'!$C:$C,'P&amp;L Forecast'!$B113)</f>
        <v>0</v>
      </c>
      <c r="AI113" s="54">
        <f>SUMIFS('Combined P&amp;L'!AG:AG,'Combined P&amp;L'!$C:$C,'P&amp;L Forecast'!$B113)</f>
        <v>7.17</v>
      </c>
      <c r="AJ113" s="54">
        <f>SUMIFS('Combined P&amp;L'!AH:AH,'Combined P&amp;L'!$C:$C,'P&amp;L Forecast'!$B113)</f>
        <v>1.6495</v>
      </c>
      <c r="AK113" s="54">
        <f>SUMIFS('Combined P&amp;L'!AI:AI,'Combined P&amp;L'!$C:$C,'P&amp;L Forecast'!$B113)</f>
        <v>2.6788000000000003</v>
      </c>
      <c r="AL113" s="54">
        <f>SUMIFS('Combined P&amp;L'!AJ:AJ,'Combined P&amp;L'!$C:$C,'P&amp;L Forecast'!$B113)</f>
        <v>0</v>
      </c>
      <c r="AM113" s="54">
        <f>SUMIFS('Combined P&amp;L'!AK:AK,'Combined P&amp;L'!$C:$C,'P&amp;L Forecast'!$B113)</f>
        <v>0</v>
      </c>
      <c r="AN113" s="54">
        <f>SUMIFS('Combined P&amp;L'!AL:AL,'Combined P&amp;L'!$C:$C,'P&amp;L Forecast'!$B113)</f>
        <v>0.05</v>
      </c>
      <c r="AO113" s="54">
        <f>SUMIFS('Combined P&amp;L'!AM:AM,'Combined P&amp;L'!$C:$C,'P&amp;L Forecast'!$B113)</f>
        <v>0</v>
      </c>
      <c r="AP113" s="54">
        <f>SUMIFS('Combined P&amp;L'!AN:AN,'Combined P&amp;L'!$C:$C,'P&amp;L Forecast'!$B113)</f>
        <v>0</v>
      </c>
      <c r="AQ113" s="54">
        <f>SUMIFS('Combined P&amp;L'!AO:AO,'Combined P&amp;L'!$C:$C,'P&amp;L Forecast'!$B113)</f>
        <v>0</v>
      </c>
      <c r="AR113" s="54">
        <f>SUMIFS('Combined P&amp;L'!AP:AP,'Combined P&amp;L'!$C:$C,'P&amp;L Forecast'!$B113)</f>
        <v>9.8049999999999998E-2</v>
      </c>
      <c r="AS113" s="54">
        <f>SUMIFS('Combined P&amp;L'!AQ:AQ,'Combined P&amp;L'!$C:$C,'P&amp;L Forecast'!$B113)</f>
        <v>2.4300000000000003E-3</v>
      </c>
      <c r="AT113" s="54">
        <f>SUMIFS('Combined P&amp;L'!AR:AR,'Combined P&amp;L'!$C:$C,'P&amp;L Forecast'!$B113)</f>
        <v>11.695</v>
      </c>
    </row>
    <row r="114" spans="2:46" x14ac:dyDescent="0.2">
      <c r="B114" s="58" t="s">
        <v>69</v>
      </c>
      <c r="C114" s="24">
        <f>SUMIFS($P114:$AT114,$P$69:$AT$69,"&gt;"&amp;C$169,$P$69:$AT$69,"&lt;"&amp;C$170)</f>
        <v>14.902050000000003</v>
      </c>
      <c r="D114" s="24">
        <f>SUMIFS($P114:$AT114,$P$69:$AT$69,"&gt;"&amp;D$169,$P$69:$AT$69,"&lt;"&amp;D$170)</f>
        <v>31.604100000000003</v>
      </c>
      <c r="E114" s="24"/>
      <c r="F114" s="24">
        <f>SUMIFS($P114:$AT114,$P$69:$AT$69,"&gt;"&amp;F$169,$P$69:$AT$69,"&lt;"&amp;F$170)</f>
        <v>28.299939999999999</v>
      </c>
      <c r="G114" s="24">
        <f>SUMIFS($P114:$AT114,$P$69:$AT$69,"&gt;"&amp;G$169,$P$69:$AT$69,"&lt;"&amp;G$170)</f>
        <v>5.5646000000000004</v>
      </c>
      <c r="H114" s="24"/>
      <c r="I114" s="24">
        <f>SUMIFS($P114:$AT114,$P$69:$AT$69,"&gt;"&amp;I$169,$P$69:$AT$69,"&lt;"&amp;I$170)</f>
        <v>36.582490000000007</v>
      </c>
      <c r="J114" s="24">
        <f>SUMIFS($P114:$AT114,$P$69:$AT$69,"&gt;"&amp;J$169,$P$69:$AT$69,"&lt;"&amp;J$170)</f>
        <v>8.8458499999999987</v>
      </c>
      <c r="K114" s="66">
        <f>+C50</f>
        <v>8.8458499999999987</v>
      </c>
      <c r="L114" s="66"/>
      <c r="M114" s="24">
        <f t="shared" ref="M114" si="63">+J114-K114</f>
        <v>0</v>
      </c>
      <c r="N114" s="67">
        <f t="shared" ref="N114" si="64">IFERROR(K114/J114-1,0)</f>
        <v>0</v>
      </c>
      <c r="O114" s="53"/>
      <c r="P114" s="54">
        <f>SUMIFS('Combined P&amp;L'!N:N,'Combined P&amp;L'!$C:$C,'P&amp;L Forecast'!$B114)</f>
        <v>2.4920000000000001E-2</v>
      </c>
      <c r="Q114" s="54">
        <f>SUMIFS('Combined P&amp;L'!O:O,'Combined P&amp;L'!$C:$C,'P&amp;L Forecast'!$B114)</f>
        <v>1.0249200000000001</v>
      </c>
      <c r="R114" s="54">
        <f>SUMIFS('Combined P&amp;L'!P:P,'Combined P&amp;L'!$C:$C,'P&amp;L Forecast'!$B114)</f>
        <v>1.0249200000000001</v>
      </c>
      <c r="S114" s="54">
        <f>SUMIFS('Combined P&amp;L'!Q:Q,'Combined P&amp;L'!$C:$C,'P&amp;L Forecast'!$B114)</f>
        <v>1.22492</v>
      </c>
      <c r="T114" s="54">
        <f>SUMIFS('Combined P&amp;L'!R:R,'Combined P&amp;L'!$C:$C,'P&amp;L Forecast'!$B114)</f>
        <v>1.0249200000000001</v>
      </c>
      <c r="U114" s="54">
        <f>SUMIFS('Combined P&amp;L'!S:S,'Combined P&amp;L'!$C:$C,'P&amp;L Forecast'!$B114)</f>
        <v>1.5180199999999999</v>
      </c>
      <c r="V114" s="54">
        <f>SUMIFS('Combined P&amp;L'!T:T,'Combined P&amp;L'!$C:$C,'P&amp;L Forecast'!$B114)</f>
        <v>2.0133100000000002</v>
      </c>
      <c r="W114" s="54">
        <f>SUMIFS('Combined P&amp;L'!U:U,'Combined P&amp;L'!$C:$C,'P&amp;L Forecast'!$B114)</f>
        <v>1.6009</v>
      </c>
      <c r="X114" s="54">
        <f>SUMIFS('Combined P&amp;L'!V:V,'Combined P&amp;L'!$C:$C,'P&amp;L Forecast'!$B114)</f>
        <v>1.58969</v>
      </c>
      <c r="Y114" s="54">
        <f>SUMIFS('Combined P&amp;L'!W:W,'Combined P&amp;L'!$C:$C,'P&amp;L Forecast'!$B114)</f>
        <v>1.12582</v>
      </c>
      <c r="Z114" s="54">
        <f>SUMIFS('Combined P&amp;L'!X:X,'Combined P&amp;L'!$C:$C,'P&amp;L Forecast'!$B114)</f>
        <v>1.4419900000000001</v>
      </c>
      <c r="AA114" s="54">
        <f>SUMIFS('Combined P&amp;L'!Y:Y,'Combined P&amp;L'!$C:$C,'P&amp;L Forecast'!$B114)</f>
        <v>1.28772</v>
      </c>
      <c r="AB114" s="54">
        <f>SUMIFS('Combined P&amp;L'!Z:Z,'Combined P&amp;L'!$C:$C,'P&amp;L Forecast'!$B114)</f>
        <v>2.4129499999999999</v>
      </c>
      <c r="AC114" s="54">
        <f>SUMIFS('Combined P&amp;L'!AA:AA,'Combined P&amp;L'!$C:$C,'P&amp;L Forecast'!$B114)</f>
        <v>22.379300000000001</v>
      </c>
      <c r="AD114" s="54">
        <f>SUMIFS('Combined P&amp;L'!AB:AB,'Combined P&amp;L'!$C:$C,'P&amp;L Forecast'!$B114)</f>
        <v>0.72983000000000009</v>
      </c>
      <c r="AE114" s="54">
        <f>SUMIFS('Combined P&amp;L'!AC:AC,'Combined P&amp;L'!$C:$C,'P&amp;L Forecast'!$B114)</f>
        <v>0.59597</v>
      </c>
      <c r="AF114" s="54">
        <f>SUMIFS('Combined P&amp;L'!AD:AD,'Combined P&amp;L'!$C:$C,'P&amp;L Forecast'!$B114)</f>
        <v>0.87534000000000001</v>
      </c>
      <c r="AG114" s="54">
        <f>SUMIFS('Combined P&amp;L'!AE:AE,'Combined P&amp;L'!$C:$C,'P&amp;L Forecast'!$B114)</f>
        <v>0.52966999999999997</v>
      </c>
      <c r="AH114" s="54">
        <f>SUMIFS('Combined P&amp;L'!AF:AF,'Combined P&amp;L'!$C:$C,'P&amp;L Forecast'!$B114)</f>
        <v>0.77688000000000001</v>
      </c>
      <c r="AI114" s="54">
        <f>SUMIFS('Combined P&amp;L'!AG:AG,'Combined P&amp;L'!$C:$C,'P&amp;L Forecast'!$B114)</f>
        <v>0.21671000000000001</v>
      </c>
      <c r="AJ114" s="54">
        <f>SUMIFS('Combined P&amp;L'!AH:AH,'Combined P&amp;L'!$C:$C,'P&amp;L Forecast'!$B114)</f>
        <v>0.74951999999999996</v>
      </c>
      <c r="AK114" s="54">
        <f>SUMIFS('Combined P&amp;L'!AI:AI,'Combined P&amp;L'!$C:$C,'P&amp;L Forecast'!$B114)</f>
        <v>0.92573000000000005</v>
      </c>
      <c r="AL114" s="54">
        <f>SUMIFS('Combined P&amp;L'!AJ:AJ,'Combined P&amp;L'!$C:$C,'P&amp;L Forecast'!$B114)</f>
        <v>0.66044000000000003</v>
      </c>
      <c r="AM114" s="54">
        <f>SUMIFS('Combined P&amp;L'!AK:AK,'Combined P&amp;L'!$C:$C,'P&amp;L Forecast'!$B114)</f>
        <v>0.75175999999999998</v>
      </c>
      <c r="AN114" s="54">
        <f>SUMIFS('Combined P&amp;L'!AL:AL,'Combined P&amp;L'!$C:$C,'P&amp;L Forecast'!$B114)</f>
        <v>0.82029999999999992</v>
      </c>
      <c r="AO114" s="54">
        <f>SUMIFS('Combined P&amp;L'!AM:AM,'Combined P&amp;L'!$C:$C,'P&amp;L Forecast'!$B114)</f>
        <v>0.68046000000000006</v>
      </c>
      <c r="AP114" s="54">
        <f>SUMIFS('Combined P&amp;L'!AN:AN,'Combined P&amp;L'!$C:$C,'P&amp;L Forecast'!$B114)</f>
        <v>0.77239000000000002</v>
      </c>
      <c r="AQ114" s="54">
        <f>SUMIFS('Combined P&amp;L'!AO:AO,'Combined P&amp;L'!$C:$C,'P&amp;L Forecast'!$B114)</f>
        <v>0.71608000000000005</v>
      </c>
      <c r="AR114" s="54">
        <f>SUMIFS('Combined P&amp;L'!AP:AP,'Combined P&amp;L'!$C:$C,'P&amp;L Forecast'!$B114)</f>
        <v>0.64019999999999999</v>
      </c>
      <c r="AS114" s="54">
        <f>SUMIFS('Combined P&amp;L'!AQ:AQ,'Combined P&amp;L'!$C:$C,'P&amp;L Forecast'!$B114)</f>
        <v>1.1353800000000001</v>
      </c>
      <c r="AT114" s="54">
        <f>SUMIFS('Combined P&amp;L'!AR:AR,'Combined P&amp;L'!$C:$C,'P&amp;L Forecast'!$B114)</f>
        <v>0.79979</v>
      </c>
    </row>
    <row r="115" spans="2:46" x14ac:dyDescent="0.2">
      <c r="B115" s="103" t="s">
        <v>298</v>
      </c>
      <c r="C115" s="24">
        <f>SUMIFS($P115:$AT115,$P$69:$AT$69,"&gt;"&amp;C$169,$P$69:$AT$69,"&lt;"&amp;C$170)</f>
        <v>6.673</v>
      </c>
      <c r="D115" s="24">
        <f>SUMIFS($P115:$AT115,$P$69:$AT$69,"&gt;"&amp;D$169,$P$69:$AT$69,"&lt;"&amp;D$170)</f>
        <v>6.673</v>
      </c>
      <c r="E115" s="24"/>
      <c r="F115" s="24">
        <f>SUMIFS($P115:$AT115,$P$69:$AT$69,"&gt;"&amp;F$169,$P$69:$AT$69,"&lt;"&amp;F$170)</f>
        <v>0</v>
      </c>
      <c r="G115" s="24">
        <f>SUMIFS($P115:$AT115,$P$69:$AT$69,"&gt;"&amp;G$169,$P$69:$AT$69,"&lt;"&amp;G$170)</f>
        <v>0</v>
      </c>
      <c r="H115" s="24"/>
      <c r="I115" s="24">
        <f>SUMIFS($P115:$AT115,$P$69:$AT$69,"&gt;"&amp;I$169,$P$69:$AT$69,"&lt;"&amp;I$170)</f>
        <v>6.673</v>
      </c>
      <c r="J115" s="24">
        <f>SUMIFS($P115:$AT115,$P$69:$AT$69,"&gt;"&amp;J$169,$P$69:$AT$69,"&lt;"&amp;J$170)</f>
        <v>6.673</v>
      </c>
      <c r="K115" s="66">
        <f>+C56</f>
        <v>6.673</v>
      </c>
      <c r="L115" s="66"/>
      <c r="M115" s="24">
        <f t="shared" ref="M115" si="65">+J115-K115</f>
        <v>0</v>
      </c>
      <c r="N115" s="67">
        <f t="shared" ref="N115" si="66">IFERROR(K115/J115-1,0)</f>
        <v>0</v>
      </c>
      <c r="O115" s="53"/>
      <c r="P115" s="54">
        <f>SUMIFS('Combined P&amp;L'!N:N,'Combined P&amp;L'!$C:$C,'P&amp;L Forecast'!$B115)</f>
        <v>0</v>
      </c>
      <c r="Q115" s="54">
        <f>SUMIFS('Combined P&amp;L'!O:O,'Combined P&amp;L'!$C:$C,'P&amp;L Forecast'!$B115)</f>
        <v>0</v>
      </c>
      <c r="R115" s="54">
        <f>SUMIFS('Combined P&amp;L'!P:P,'Combined P&amp;L'!$C:$C,'P&amp;L Forecast'!$B115)</f>
        <v>0</v>
      </c>
      <c r="S115" s="54">
        <f>SUMIFS('Combined P&amp;L'!Q:Q,'Combined P&amp;L'!$C:$C,'P&amp;L Forecast'!$B115)</f>
        <v>0</v>
      </c>
      <c r="T115" s="54">
        <f>SUMIFS('Combined P&amp;L'!R:R,'Combined P&amp;L'!$C:$C,'P&amp;L Forecast'!$B115)</f>
        <v>0</v>
      </c>
      <c r="U115" s="54">
        <f>SUMIFS('Combined P&amp;L'!S:S,'Combined P&amp;L'!$C:$C,'P&amp;L Forecast'!$B115)</f>
        <v>0</v>
      </c>
      <c r="V115" s="54">
        <f>SUMIFS('Combined P&amp;L'!T:T,'Combined P&amp;L'!$C:$C,'P&amp;L Forecast'!$B115)</f>
        <v>0</v>
      </c>
      <c r="W115" s="54">
        <f>SUMIFS('Combined P&amp;L'!U:U,'Combined P&amp;L'!$C:$C,'P&amp;L Forecast'!$B115)</f>
        <v>0</v>
      </c>
      <c r="X115" s="54">
        <f>SUMIFS('Combined P&amp;L'!V:V,'Combined P&amp;L'!$C:$C,'P&amp;L Forecast'!$B115)</f>
        <v>0</v>
      </c>
      <c r="Y115" s="54">
        <f>SUMIFS('Combined P&amp;L'!W:W,'Combined P&amp;L'!$C:$C,'P&amp;L Forecast'!$B115)</f>
        <v>0</v>
      </c>
      <c r="Z115" s="54">
        <f>SUMIFS('Combined P&amp;L'!X:X,'Combined P&amp;L'!$C:$C,'P&amp;L Forecast'!$B115)</f>
        <v>0</v>
      </c>
      <c r="AA115" s="54">
        <f>SUMIFS('Combined P&amp;L'!Y:Y,'Combined P&amp;L'!$C:$C,'P&amp;L Forecast'!$B115)</f>
        <v>6.673</v>
      </c>
      <c r="AB115" s="54">
        <f>SUMIFS('Combined P&amp;L'!Z:Z,'Combined P&amp;L'!$C:$C,'P&amp;L Forecast'!$B115)</f>
        <v>0</v>
      </c>
      <c r="AC115" s="54">
        <f>SUMIFS('Combined P&amp;L'!AA:AA,'Combined P&amp;L'!$C:$C,'P&amp;L Forecast'!$B115)</f>
        <v>0</v>
      </c>
      <c r="AD115" s="54">
        <f>SUMIFS('Combined P&amp;L'!AB:AB,'Combined P&amp;L'!$C:$C,'P&amp;L Forecast'!$B115)</f>
        <v>0</v>
      </c>
      <c r="AE115" s="54">
        <f>SUMIFS('Combined P&amp;L'!AC:AC,'Combined P&amp;L'!$C:$C,'P&amp;L Forecast'!$B115)</f>
        <v>0</v>
      </c>
      <c r="AF115" s="54">
        <f>SUMIFS('Combined P&amp;L'!AD:AD,'Combined P&amp;L'!$C:$C,'P&amp;L Forecast'!$B115)</f>
        <v>0</v>
      </c>
      <c r="AG115" s="54">
        <f>SUMIFS('Combined P&amp;L'!AE:AE,'Combined P&amp;L'!$C:$C,'P&amp;L Forecast'!$B115)</f>
        <v>0</v>
      </c>
      <c r="AH115" s="54">
        <f>SUMIFS('Combined P&amp;L'!AF:AF,'Combined P&amp;L'!$C:$C,'P&amp;L Forecast'!$B115)</f>
        <v>0</v>
      </c>
      <c r="AI115" s="54">
        <f>SUMIFS('Combined P&amp;L'!AG:AG,'Combined P&amp;L'!$C:$C,'P&amp;L Forecast'!$B115)</f>
        <v>0</v>
      </c>
      <c r="AJ115" s="54">
        <f>SUMIFS('Combined P&amp;L'!AH:AH,'Combined P&amp;L'!$C:$C,'P&amp;L Forecast'!$B115)</f>
        <v>0</v>
      </c>
      <c r="AK115" s="54">
        <f>SUMIFS('Combined P&amp;L'!AI:AI,'Combined P&amp;L'!$C:$C,'P&amp;L Forecast'!$B115)</f>
        <v>0</v>
      </c>
      <c r="AL115" s="54">
        <f>SUMIFS('Combined P&amp;L'!AJ:AJ,'Combined P&amp;L'!$C:$C,'P&amp;L Forecast'!$B115)</f>
        <v>0</v>
      </c>
      <c r="AM115" s="54">
        <f>SUMIFS('Combined P&amp;L'!AK:AK,'Combined P&amp;L'!$C:$C,'P&amp;L Forecast'!$B115)</f>
        <v>6.673</v>
      </c>
      <c r="AN115" s="54">
        <f>SUMIFS('Combined P&amp;L'!AL:AL,'Combined P&amp;L'!$C:$C,'P&amp;L Forecast'!$B115)</f>
        <v>0</v>
      </c>
      <c r="AO115" s="54">
        <f>SUMIFS('Combined P&amp;L'!AM:AM,'Combined P&amp;L'!$C:$C,'P&amp;L Forecast'!$B115)</f>
        <v>0</v>
      </c>
      <c r="AP115" s="54">
        <f>SUMIFS('Combined P&amp;L'!AN:AN,'Combined P&amp;L'!$C:$C,'P&amp;L Forecast'!$B115)</f>
        <v>0</v>
      </c>
      <c r="AQ115" s="54">
        <f>SUMIFS('Combined P&amp;L'!AO:AO,'Combined P&amp;L'!$C:$C,'P&amp;L Forecast'!$B115)</f>
        <v>0</v>
      </c>
      <c r="AR115" s="54">
        <f>SUMIFS('Combined P&amp;L'!AP:AP,'Combined P&amp;L'!$C:$C,'P&amp;L Forecast'!$B115)</f>
        <v>0</v>
      </c>
      <c r="AS115" s="54">
        <f>SUMIFS('Combined P&amp;L'!AQ:AQ,'Combined P&amp;L'!$C:$C,'P&amp;L Forecast'!$B115)</f>
        <v>0</v>
      </c>
      <c r="AT115" s="54">
        <f>SUMIFS('Combined P&amp;L'!AR:AR,'Combined P&amp;L'!$C:$C,'P&amp;L Forecast'!$B115)</f>
        <v>0</v>
      </c>
    </row>
    <row r="116" spans="2:46" x14ac:dyDescent="0.2">
      <c r="B116" s="58" t="s">
        <v>100</v>
      </c>
      <c r="C116" s="24">
        <f>SUMIFS($P116:$AT116,$P$69:$AT$69,"&gt;"&amp;C$169,$P$69:$AT$69,"&lt;"&amp;C$170)</f>
        <v>7.2617299999999982</v>
      </c>
      <c r="D116" s="24">
        <f>SUMIFS($P116:$AT116,$P$69:$AT$69,"&gt;"&amp;D$169,$P$69:$AT$69,"&lt;"&amp;D$170)</f>
        <v>4.91967</v>
      </c>
      <c r="E116" s="24"/>
      <c r="F116" s="24">
        <f>SUMIFS($P116:$AT116,$P$69:$AT$69,"&gt;"&amp;F$169,$P$69:$AT$69,"&lt;"&amp;F$170)</f>
        <v>2.9246699999999999</v>
      </c>
      <c r="G116" s="24">
        <f>SUMIFS($P116:$AT116,$P$69:$AT$69,"&gt;"&amp;G$169,$P$69:$AT$69,"&lt;"&amp;G$170)</f>
        <v>2.9085700000000001</v>
      </c>
      <c r="H116" s="24"/>
      <c r="I116" s="24">
        <f>SUMIFS($P116:$AT116,$P$69:$AT$69,"&gt;"&amp;I$169,$P$69:$AT$69,"&lt;"&amp;I$170)</f>
        <v>5.8363100000000001</v>
      </c>
      <c r="J116" s="24">
        <f>SUMIFS($P116:$AT116,$P$69:$AT$69,"&gt;"&amp;J$169,$P$69:$AT$69,"&lt;"&amp;J$170)</f>
        <v>4.9035700000000002</v>
      </c>
      <c r="K116" s="66">
        <f>+C51</f>
        <v>4.9035700000000002</v>
      </c>
      <c r="L116" s="66"/>
      <c r="M116" s="24">
        <f t="shared" ref="M116" si="67">+J116-K116</f>
        <v>0</v>
      </c>
      <c r="N116" s="67">
        <f t="shared" ref="N116" si="68">IFERROR(K116/J116-1,0)</f>
        <v>0</v>
      </c>
      <c r="O116" s="53"/>
      <c r="P116" s="54">
        <f>SUMIFS('Combined P&amp;L'!N:N,'Combined P&amp;L'!$C:$C,'P&amp;L Forecast'!$B116)</f>
        <v>0.43325999999999998</v>
      </c>
      <c r="Q116" s="54">
        <f>SUMIFS('Combined P&amp;L'!O:O,'Combined P&amp;L'!$C:$C,'P&amp;L Forecast'!$B116)</f>
        <v>1.6317600000000001</v>
      </c>
      <c r="R116" s="54">
        <f>SUMIFS('Combined P&amp;L'!P:P,'Combined P&amp;L'!$C:$C,'P&amp;L Forecast'!$B116)</f>
        <v>0.43368000000000001</v>
      </c>
      <c r="S116" s="54">
        <f>SUMIFS('Combined P&amp;L'!Q:Q,'Combined P&amp;L'!$C:$C,'P&amp;L Forecast'!$B116)</f>
        <v>0.48413</v>
      </c>
      <c r="T116" s="54">
        <f>SUMIFS('Combined P&amp;L'!R:R,'Combined P&amp;L'!$C:$C,'P&amp;L Forecast'!$B116)</f>
        <v>0.48413</v>
      </c>
      <c r="U116" s="54">
        <f>SUMIFS('Combined P&amp;L'!S:S,'Combined P&amp;L'!$C:$C,'P&amp;L Forecast'!$B116)</f>
        <v>0.48413</v>
      </c>
      <c r="V116" s="54">
        <f>SUMIFS('Combined P&amp;L'!T:T,'Combined P&amp;L'!$C:$C,'P&amp;L Forecast'!$B116)</f>
        <v>0.49343999999999999</v>
      </c>
      <c r="W116" s="54">
        <f>SUMIFS('Combined P&amp;L'!U:U,'Combined P&amp;L'!$C:$C,'P&amp;L Forecast'!$B116)</f>
        <v>0.84344000000000008</v>
      </c>
      <c r="X116" s="54">
        <f>SUMIFS('Combined P&amp;L'!V:V,'Combined P&amp;L'!$C:$C,'P&amp;L Forecast'!$B116)</f>
        <v>0.49343999999999999</v>
      </c>
      <c r="Y116" s="54">
        <f>SUMIFS('Combined P&amp;L'!W:W,'Combined P&amp;L'!$C:$C,'P&amp;L Forecast'!$B116)</f>
        <v>0.49343999999999999</v>
      </c>
      <c r="Z116" s="54">
        <f>SUMIFS('Combined P&amp;L'!X:X,'Combined P&amp;L'!$C:$C,'P&amp;L Forecast'!$B116)</f>
        <v>0.49343999999999999</v>
      </c>
      <c r="AA116" s="54">
        <f>SUMIFS('Combined P&amp;L'!Y:Y,'Combined P&amp;L'!$C:$C,'P&amp;L Forecast'!$B116)</f>
        <v>0.49343999999999999</v>
      </c>
      <c r="AB116" s="54">
        <f>SUMIFS('Combined P&amp;L'!Z:Z,'Combined P&amp;L'!$C:$C,'P&amp;L Forecast'!$B116)</f>
        <v>0.53066999999999998</v>
      </c>
      <c r="AC116" s="54">
        <f>SUMIFS('Combined P&amp;L'!AA:AA,'Combined P&amp;L'!$C:$C,'P&amp;L Forecast'!$B116)</f>
        <v>0.39900000000000002</v>
      </c>
      <c r="AD116" s="54">
        <f>SUMIFS('Combined P&amp;L'!AB:AB,'Combined P&amp;L'!$C:$C,'P&amp;L Forecast'!$B116)</f>
        <v>0.39900000000000002</v>
      </c>
      <c r="AE116" s="54">
        <f>SUMIFS('Combined P&amp;L'!AC:AC,'Combined P&amp;L'!$C:$C,'P&amp;L Forecast'!$B116)</f>
        <v>0.39900000000000002</v>
      </c>
      <c r="AF116" s="54">
        <f>SUMIFS('Combined P&amp;L'!AD:AD,'Combined P&amp;L'!$C:$C,'P&amp;L Forecast'!$B116)</f>
        <v>0.39900000000000002</v>
      </c>
      <c r="AG116" s="54">
        <f>SUMIFS('Combined P&amp;L'!AE:AE,'Combined P&amp;L'!$C:$C,'P&amp;L Forecast'!$B116)</f>
        <v>0.39900000000000002</v>
      </c>
      <c r="AH116" s="54">
        <f>SUMIFS('Combined P&amp;L'!AF:AF,'Combined P&amp;L'!$C:$C,'P&amp;L Forecast'!$B116)</f>
        <v>0.39900000000000002</v>
      </c>
      <c r="AI116" s="54">
        <f>SUMIFS('Combined P&amp;L'!AG:AG,'Combined P&amp;L'!$C:$C,'P&amp;L Forecast'!$B116)</f>
        <v>0.39900000000000002</v>
      </c>
      <c r="AJ116" s="54">
        <f>SUMIFS('Combined P&amp;L'!AH:AH,'Combined P&amp;L'!$C:$C,'P&amp;L Forecast'!$B116)</f>
        <v>0.39900000000000002</v>
      </c>
      <c r="AK116" s="54">
        <f>SUMIFS('Combined P&amp;L'!AI:AI,'Combined P&amp;L'!$C:$C,'P&amp;L Forecast'!$B116)</f>
        <v>0.39900000000000002</v>
      </c>
      <c r="AL116" s="54">
        <f>SUMIFS('Combined P&amp;L'!AJ:AJ,'Combined P&amp;L'!$C:$C,'P&amp;L Forecast'!$B116)</f>
        <v>0.39900000000000002</v>
      </c>
      <c r="AM116" s="54">
        <f>SUMIFS('Combined P&amp;L'!AK:AK,'Combined P&amp;L'!$C:$C,'P&amp;L Forecast'!$B116)</f>
        <v>0.39900000000000002</v>
      </c>
      <c r="AN116" s="54">
        <f>SUMIFS('Combined P&amp;L'!AL:AL,'Combined P&amp;L'!$C:$C,'P&amp;L Forecast'!$B116)</f>
        <v>0.43619000000000002</v>
      </c>
      <c r="AO116" s="54">
        <f>SUMIFS('Combined P&amp;L'!AM:AM,'Combined P&amp;L'!$C:$C,'P&amp;L Forecast'!$B116)</f>
        <v>0.39900000000000002</v>
      </c>
      <c r="AP116" s="54">
        <f>SUMIFS('Combined P&amp;L'!AN:AN,'Combined P&amp;L'!$C:$C,'P&amp;L Forecast'!$B116)</f>
        <v>0.47737999999999997</v>
      </c>
      <c r="AQ116" s="54">
        <f>SUMIFS('Combined P&amp;L'!AO:AO,'Combined P&amp;L'!$C:$C,'P&amp;L Forecast'!$B116)</f>
        <v>0.39900000000000002</v>
      </c>
      <c r="AR116" s="54">
        <f>SUMIFS('Combined P&amp;L'!AP:AP,'Combined P&amp;L'!$C:$C,'P&amp;L Forecast'!$B116)</f>
        <v>0.39900000000000002</v>
      </c>
      <c r="AS116" s="54">
        <f>SUMIFS('Combined P&amp;L'!AQ:AQ,'Combined P&amp;L'!$C:$C,'P&amp;L Forecast'!$B116)</f>
        <v>0.39900000000000002</v>
      </c>
      <c r="AT116" s="54">
        <f>SUMIFS('Combined P&amp;L'!AR:AR,'Combined P&amp;L'!$C:$C,'P&amp;L Forecast'!$B116)</f>
        <v>0.39900000000000002</v>
      </c>
    </row>
    <row r="117" spans="2:46" x14ac:dyDescent="0.2">
      <c r="B117" s="58" t="s">
        <v>112</v>
      </c>
      <c r="C117" s="24">
        <f>SUMIFS($P117:$AT117,$P$69:$AT$69,"&gt;"&amp;C$169,$P$69:$AT$69,"&lt;"&amp;C$170)</f>
        <v>7.4969999999999999</v>
      </c>
      <c r="D117" s="24">
        <f>SUMIFS($P117:$AT117,$P$69:$AT$69,"&gt;"&amp;D$169,$P$69:$AT$69,"&lt;"&amp;D$170)</f>
        <v>9.984</v>
      </c>
      <c r="E117" s="24"/>
      <c r="F117" s="24">
        <f>SUMIFS($P117:$AT117,$P$69:$AT$69,"&gt;"&amp;F$169,$P$69:$AT$69,"&lt;"&amp;F$170)</f>
        <v>5.8940000000000001</v>
      </c>
      <c r="G117" s="24">
        <f>SUMIFS($P117:$AT117,$P$69:$AT$69,"&gt;"&amp;G$169,$P$69:$AT$69,"&lt;"&amp;G$170)</f>
        <v>1.1719999999999997</v>
      </c>
      <c r="H117" s="24"/>
      <c r="I117" s="24">
        <f>SUMIFS($P117:$AT117,$P$69:$AT$69,"&gt;"&amp;I$169,$P$69:$AT$69,"&lt;"&amp;I$170)</f>
        <v>4.673</v>
      </c>
      <c r="J117" s="24">
        <f>SUMIFS($P117:$AT117,$P$69:$AT$69,"&gt;"&amp;J$169,$P$69:$AT$69,"&lt;"&amp;J$170)</f>
        <v>5.2619999999999996</v>
      </c>
      <c r="K117" s="66">
        <f>+C52</f>
        <v>5.2619999999999996</v>
      </c>
      <c r="L117" s="66"/>
      <c r="M117" s="24">
        <f t="shared" ref="M117" si="69">+J117-K117</f>
        <v>0</v>
      </c>
      <c r="N117" s="67">
        <f t="shared" ref="N117" si="70">IFERROR(K117/J117-1,0)</f>
        <v>0</v>
      </c>
      <c r="O117" s="53"/>
      <c r="P117" s="54">
        <f>SUMIFS('Combined P&amp;L'!N:N,'Combined P&amp;L'!$C:$C,'P&amp;L Forecast'!$B117)</f>
        <v>0</v>
      </c>
      <c r="Q117" s="54">
        <f>SUMIFS('Combined P&amp;L'!O:O,'Combined P&amp;L'!$C:$C,'P&amp;L Forecast'!$B117)</f>
        <v>0</v>
      </c>
      <c r="R117" s="54">
        <f>SUMIFS('Combined P&amp;L'!P:P,'Combined P&amp;L'!$C:$C,'P&amp;L Forecast'!$B117)</f>
        <v>0</v>
      </c>
      <c r="S117" s="54">
        <f>SUMIFS('Combined P&amp;L'!Q:Q,'Combined P&amp;L'!$C:$C,'P&amp;L Forecast'!$B117)</f>
        <v>6.2460000000000004</v>
      </c>
      <c r="T117" s="54">
        <f>SUMIFS('Combined P&amp;L'!R:R,'Combined P&amp;L'!$C:$C,'P&amp;L Forecast'!$B117)</f>
        <v>0</v>
      </c>
      <c r="U117" s="54">
        <f>SUMIFS('Combined P&amp;L'!S:S,'Combined P&amp;L'!$C:$C,'P&amp;L Forecast'!$B117)</f>
        <v>2.472</v>
      </c>
      <c r="V117" s="54">
        <f>SUMIFS('Combined P&amp;L'!T:T,'Combined P&amp;L'!$C:$C,'P&amp;L Forecast'!$B117)</f>
        <v>0</v>
      </c>
      <c r="W117" s="54">
        <f>SUMIFS('Combined P&amp;L'!U:U,'Combined P&amp;L'!$C:$C,'P&amp;L Forecast'!$B117)</f>
        <v>0</v>
      </c>
      <c r="X117" s="54">
        <f>SUMIFS('Combined P&amp;L'!V:V,'Combined P&amp;L'!$C:$C,'P&amp;L Forecast'!$B117)</f>
        <v>2.472</v>
      </c>
      <c r="Y117" s="54">
        <f>SUMIFS('Combined P&amp;L'!W:W,'Combined P&amp;L'!$C:$C,'P&amp;L Forecast'!$B117)</f>
        <v>0</v>
      </c>
      <c r="Z117" s="54">
        <f>SUMIFS('Combined P&amp;L'!X:X,'Combined P&amp;L'!$C:$C,'P&amp;L Forecast'!$B117)</f>
        <v>0</v>
      </c>
      <c r="AA117" s="54">
        <f>SUMIFS('Combined P&amp;L'!Y:Y,'Combined P&amp;L'!$C:$C,'P&amp;L Forecast'!$B117)</f>
        <v>-3.6930000000000001</v>
      </c>
      <c r="AB117" s="54">
        <f>SUMIFS('Combined P&amp;L'!Z:Z,'Combined P&amp;L'!$C:$C,'P&amp;L Forecast'!$B117)</f>
        <v>2.472</v>
      </c>
      <c r="AC117" s="54">
        <f>SUMIFS('Combined P&amp;L'!AA:AA,'Combined P&amp;L'!$C:$C,'P&amp;L Forecast'!$B117)</f>
        <v>0</v>
      </c>
      <c r="AD117" s="54">
        <f>SUMIFS('Combined P&amp;L'!AB:AB,'Combined P&amp;L'!$C:$C,'P&amp;L Forecast'!$B117)</f>
        <v>0</v>
      </c>
      <c r="AE117" s="54">
        <f>SUMIFS('Combined P&amp;L'!AC:AC,'Combined P&amp;L'!$C:$C,'P&amp;L Forecast'!$B117)</f>
        <v>3.649</v>
      </c>
      <c r="AF117" s="54">
        <f>SUMIFS('Combined P&amp;L'!AD:AD,'Combined P&amp;L'!$C:$C,'P&amp;L Forecast'!$B117)</f>
        <v>-2.2719999999999998</v>
      </c>
      <c r="AG117" s="54">
        <f>SUMIFS('Combined P&amp;L'!AE:AE,'Combined P&amp;L'!$C:$C,'P&amp;L Forecast'!$B117)</f>
        <v>2.0449999999999999</v>
      </c>
      <c r="AH117" s="54">
        <f>SUMIFS('Combined P&amp;L'!AF:AF,'Combined P&amp;L'!$C:$C,'P&amp;L Forecast'!$B117)</f>
        <v>0</v>
      </c>
      <c r="AI117" s="54">
        <f>SUMIFS('Combined P&amp;L'!AG:AG,'Combined P&amp;L'!$C:$C,'P&amp;L Forecast'!$B117)</f>
        <v>0</v>
      </c>
      <c r="AJ117" s="54">
        <f>SUMIFS('Combined P&amp;L'!AH:AH,'Combined P&amp;L'!$C:$C,'P&amp;L Forecast'!$B117)</f>
        <v>2.0449999999999999</v>
      </c>
      <c r="AK117" s="54">
        <f>SUMIFS('Combined P&amp;L'!AI:AI,'Combined P&amp;L'!$C:$C,'P&amp;L Forecast'!$B117)</f>
        <v>0</v>
      </c>
      <c r="AL117" s="54">
        <f>SUMIFS('Combined P&amp;L'!AJ:AJ,'Combined P&amp;L'!$C:$C,'P&amp;L Forecast'!$B117)</f>
        <v>0</v>
      </c>
      <c r="AM117" s="54">
        <f>SUMIFS('Combined P&amp;L'!AK:AK,'Combined P&amp;L'!$C:$C,'P&amp;L Forecast'!$B117)</f>
        <v>2.0449999999999999</v>
      </c>
      <c r="AN117" s="54">
        <f>SUMIFS('Combined P&amp;L'!AL:AL,'Combined P&amp;L'!$C:$C,'P&amp;L Forecast'!$B117)</f>
        <v>0</v>
      </c>
      <c r="AO117" s="54">
        <f>SUMIFS('Combined P&amp;L'!AM:AM,'Combined P&amp;L'!$C:$C,'P&amp;L Forecast'!$B117)</f>
        <v>0</v>
      </c>
      <c r="AP117" s="54">
        <f>SUMIFS('Combined P&amp;L'!AN:AN,'Combined P&amp;L'!$C:$C,'P&amp;L Forecast'!$B117)</f>
        <v>5.0359999999999996</v>
      </c>
      <c r="AQ117" s="54">
        <f>SUMIFS('Combined P&amp;L'!AO:AO,'Combined P&amp;L'!$C:$C,'P&amp;L Forecast'!$B117)</f>
        <v>-4.8639999999999999</v>
      </c>
      <c r="AR117" s="54">
        <f>SUMIFS('Combined P&amp;L'!AP:AP,'Combined P&amp;L'!$C:$C,'P&amp;L Forecast'!$B117)</f>
        <v>0</v>
      </c>
      <c r="AS117" s="54">
        <f>SUMIFS('Combined P&amp;L'!AQ:AQ,'Combined P&amp;L'!$C:$C,'P&amp;L Forecast'!$B117)</f>
        <v>1</v>
      </c>
      <c r="AT117" s="54">
        <f>SUMIFS('Combined P&amp;L'!AR:AR,'Combined P&amp;L'!$C:$C,'P&amp;L Forecast'!$B117)</f>
        <v>0</v>
      </c>
    </row>
    <row r="118" spans="2:46" x14ac:dyDescent="0.2">
      <c r="B118" s="58" t="s">
        <v>65</v>
      </c>
      <c r="C118" s="24">
        <f>SUMIFS($P118:$AT118,$P$69:$AT$69,"&gt;"&amp;C$169,$P$69:$AT$69,"&lt;"&amp;C$170)</f>
        <v>2.0899399999999999</v>
      </c>
      <c r="D118" s="24">
        <f>SUMIFS($P118:$AT118,$P$69:$AT$69,"&gt;"&amp;D$169,$P$69:$AT$69,"&lt;"&amp;D$170)</f>
        <v>2.6198199999999998</v>
      </c>
      <c r="E118" s="24"/>
      <c r="F118" s="24">
        <f>SUMIFS($P118:$AT118,$P$69:$AT$69,"&gt;"&amp;F$169,$P$69:$AT$69,"&lt;"&amp;F$170)</f>
        <v>1.44049</v>
      </c>
      <c r="G118" s="24">
        <f>SUMIFS($P118:$AT118,$P$69:$AT$69,"&gt;"&amp;G$169,$P$69:$AT$69,"&lt;"&amp;G$170)</f>
        <v>3.7097100000000003</v>
      </c>
      <c r="H118" s="24"/>
      <c r="I118" s="24">
        <f>SUMIFS($P118:$AT118,$P$69:$AT$69,"&gt;"&amp;I$169,$P$69:$AT$69,"&lt;"&amp;I$170)</f>
        <v>2.28315</v>
      </c>
      <c r="J118" s="24">
        <f>SUMIFS($P118:$AT118,$P$69:$AT$69,"&gt;"&amp;J$169,$P$69:$AT$69,"&lt;"&amp;J$170)</f>
        <v>4.897689999999999</v>
      </c>
      <c r="K118" s="66">
        <f>+C53</f>
        <v>4.897689999999999</v>
      </c>
      <c r="L118" s="66"/>
      <c r="M118" s="24">
        <f t="shared" ref="M118" si="71">+J118-K118</f>
        <v>0</v>
      </c>
      <c r="N118" s="67">
        <f t="shared" ref="N118" si="72">IFERROR(K118/J118-1,0)</f>
        <v>0</v>
      </c>
      <c r="O118" s="53"/>
      <c r="P118" s="54">
        <f>SUMIFS('Combined P&amp;L'!N:N,'Combined P&amp;L'!$C:$C,'P&amp;L Forecast'!$B118)</f>
        <v>0.14746999999999999</v>
      </c>
      <c r="Q118" s="54">
        <f>SUMIFS('Combined P&amp;L'!O:O,'Combined P&amp;L'!$C:$C,'P&amp;L Forecast'!$B118)</f>
        <v>0.14746999999999999</v>
      </c>
      <c r="R118" s="54">
        <f>SUMIFS('Combined P&amp;L'!P:P,'Combined P&amp;L'!$C:$C,'P&amp;L Forecast'!$B118)</f>
        <v>0.17755000000000001</v>
      </c>
      <c r="S118" s="54">
        <f>SUMIFS('Combined P&amp;L'!Q:Q,'Combined P&amp;L'!$C:$C,'P&amp;L Forecast'!$B118)</f>
        <v>0.19166999999999998</v>
      </c>
      <c r="T118" s="54">
        <f>SUMIFS('Combined P&amp;L'!R:R,'Combined P&amp;L'!$C:$C,'P&amp;L Forecast'!$B118)</f>
        <v>0.18013999999999999</v>
      </c>
      <c r="U118" s="54">
        <f>SUMIFS('Combined P&amp;L'!S:S,'Combined P&amp;L'!$C:$C,'P&amp;L Forecast'!$B118)</f>
        <v>0.17621999999999999</v>
      </c>
      <c r="V118" s="54">
        <f>SUMIFS('Combined P&amp;L'!T:T,'Combined P&amp;L'!$C:$C,'P&amp;L Forecast'!$B118)</f>
        <v>0.1762</v>
      </c>
      <c r="W118" s="54">
        <f>SUMIFS('Combined P&amp;L'!U:U,'Combined P&amp;L'!$C:$C,'P&amp;L Forecast'!$B118)</f>
        <v>0.17621999999999999</v>
      </c>
      <c r="X118" s="54">
        <f>SUMIFS('Combined P&amp;L'!V:V,'Combined P&amp;L'!$C:$C,'P&amp;L Forecast'!$B118)</f>
        <v>0.18712000000000001</v>
      </c>
      <c r="Y118" s="54">
        <f>SUMIFS('Combined P&amp;L'!W:W,'Combined P&amp;L'!$C:$C,'P&amp;L Forecast'!$B118)</f>
        <v>0.17743999999999999</v>
      </c>
      <c r="Z118" s="54">
        <f>SUMIFS('Combined P&amp;L'!X:X,'Combined P&amp;L'!$C:$C,'P&amp;L Forecast'!$B118)</f>
        <v>0.17621999999999999</v>
      </c>
      <c r="AA118" s="54">
        <f>SUMIFS('Combined P&amp;L'!Y:Y,'Combined P&amp;L'!$C:$C,'P&amp;L Forecast'!$B118)</f>
        <v>0.17621999999999999</v>
      </c>
      <c r="AB118" s="54">
        <f>SUMIFS('Combined P&amp;L'!Z:Z,'Combined P&amp;L'!$C:$C,'P&amp;L Forecast'!$B118)</f>
        <v>0.17677999999999999</v>
      </c>
      <c r="AC118" s="54">
        <f>SUMIFS('Combined P&amp;L'!AA:AA,'Combined P&amp;L'!$C:$C,'P&amp;L Forecast'!$B118)</f>
        <v>0.20899000000000001</v>
      </c>
      <c r="AD118" s="54">
        <f>SUMIFS('Combined P&amp;L'!AB:AB,'Combined P&amp;L'!$C:$C,'P&amp;L Forecast'!$B118)</f>
        <v>0.18959999999999999</v>
      </c>
      <c r="AE118" s="54">
        <f>SUMIFS('Combined P&amp;L'!AC:AC,'Combined P&amp;L'!$C:$C,'P&amp;L Forecast'!$B118)</f>
        <v>0.1759</v>
      </c>
      <c r="AF118" s="54">
        <f>SUMIFS('Combined P&amp;L'!AD:AD,'Combined P&amp;L'!$C:$C,'P&amp;L Forecast'!$B118)</f>
        <v>0.23569999999999999</v>
      </c>
      <c r="AG118" s="54">
        <f>SUMIFS('Combined P&amp;L'!AE:AE,'Combined P&amp;L'!$C:$C,'P&amp;L Forecast'!$B118)</f>
        <v>0.22675999999999999</v>
      </c>
      <c r="AH118" s="54">
        <f>SUMIFS('Combined P&amp;L'!AF:AF,'Combined P&amp;L'!$C:$C,'P&amp;L Forecast'!$B118)</f>
        <v>0.22675999999999999</v>
      </c>
      <c r="AI118" s="54">
        <f>SUMIFS('Combined P&amp;L'!AG:AG,'Combined P&amp;L'!$C:$C,'P&amp;L Forecast'!$B118)</f>
        <v>0.22675999999999999</v>
      </c>
      <c r="AJ118" s="54">
        <f>SUMIFS('Combined P&amp;L'!AH:AH,'Combined P&amp;L'!$C:$C,'P&amp;L Forecast'!$B118)</f>
        <v>0.24324999999999999</v>
      </c>
      <c r="AK118" s="54">
        <f>SUMIFS('Combined P&amp;L'!AI:AI,'Combined P&amp;L'!$C:$C,'P&amp;L Forecast'!$B118)</f>
        <v>0.24228</v>
      </c>
      <c r="AL118" s="54">
        <f>SUMIFS('Combined P&amp;L'!AJ:AJ,'Combined P&amp;L'!$C:$C,'P&amp;L Forecast'!$B118)</f>
        <v>0.23352000000000001</v>
      </c>
      <c r="AM118" s="54">
        <f>SUMIFS('Combined P&amp;L'!AK:AK,'Combined P&amp;L'!$C:$C,'P&amp;L Forecast'!$B118)</f>
        <v>0.23352000000000001</v>
      </c>
      <c r="AN118" s="54">
        <f>SUMIFS('Combined P&amp;L'!AL:AL,'Combined P&amp;L'!$C:$C,'P&amp;L Forecast'!$B118)</f>
        <v>0.22943</v>
      </c>
      <c r="AO118" s="54">
        <f>SUMIFS('Combined P&amp;L'!AM:AM,'Combined P&amp;L'!$C:$C,'P&amp;L Forecast'!$B118)</f>
        <v>2.22858</v>
      </c>
      <c r="AP118" s="54">
        <f>SUMIFS('Combined P&amp;L'!AN:AN,'Combined P&amp;L'!$C:$C,'P&amp;L Forecast'!$B118)</f>
        <v>0.25447999999999998</v>
      </c>
      <c r="AQ118" s="54">
        <f>SUMIFS('Combined P&amp;L'!AO:AO,'Combined P&amp;L'!$C:$C,'P&amp;L Forecast'!$B118)</f>
        <v>0.25563999999999998</v>
      </c>
      <c r="AR118" s="54">
        <f>SUMIFS('Combined P&amp;L'!AP:AP,'Combined P&amp;L'!$C:$C,'P&amp;L Forecast'!$B118)</f>
        <v>0.26163999999999998</v>
      </c>
      <c r="AS118" s="54">
        <f>SUMIFS('Combined P&amp;L'!AQ:AQ,'Combined P&amp;L'!$C:$C,'P&amp;L Forecast'!$B118)</f>
        <v>0.26183000000000001</v>
      </c>
      <c r="AT118" s="54">
        <f>SUMIFS('Combined P&amp;L'!AR:AR,'Combined P&amp;L'!$C:$C,'P&amp;L Forecast'!$B118)</f>
        <v>0.21811000000000003</v>
      </c>
    </row>
    <row r="119" spans="2:46" x14ac:dyDescent="0.2">
      <c r="B119" s="58" t="s">
        <v>41</v>
      </c>
      <c r="C119" s="24">
        <f>SUMIFS($P119:$AT119,$P$69:$AT$69,"&gt;"&amp;C$169,$P$69:$AT$69,"&lt;"&amp;C$170)</f>
        <v>0</v>
      </c>
      <c r="D119" s="24">
        <f>SUMIFS($P119:$AT119,$P$69:$AT$69,"&gt;"&amp;D$169,$P$69:$AT$69,"&lt;"&amp;D$170)</f>
        <v>1.7559100000000001</v>
      </c>
      <c r="E119" s="24"/>
      <c r="F119" s="24">
        <f>SUMIFS($P119:$AT119,$P$69:$AT$69,"&gt;"&amp;F$169,$P$69:$AT$69,"&lt;"&amp;F$170)</f>
        <v>0.53894999999999993</v>
      </c>
      <c r="G119" s="24">
        <f>SUMIFS($P119:$AT119,$P$69:$AT$69,"&gt;"&amp;G$169,$P$69:$AT$69,"&lt;"&amp;G$170)</f>
        <v>1.5394899999999998</v>
      </c>
      <c r="H119" s="24"/>
      <c r="I119" s="24">
        <f>SUMIFS($P119:$AT119,$P$69:$AT$69,"&gt;"&amp;I$169,$P$69:$AT$69,"&lt;"&amp;I$170)</f>
        <v>0.37924999999999998</v>
      </c>
      <c r="J119" s="24">
        <f>SUMIFS($P119:$AT119,$P$69:$AT$69,"&gt;"&amp;J$169,$P$69:$AT$69,"&lt;"&amp;J$170)</f>
        <v>2.2085900000000001</v>
      </c>
      <c r="K119" s="66">
        <f>+C57</f>
        <v>3.516</v>
      </c>
      <c r="L119" s="66"/>
      <c r="M119" s="24">
        <f t="shared" ref="M119" si="73">+J119-K119</f>
        <v>-1.30741</v>
      </c>
      <c r="N119" s="67">
        <f t="shared" ref="N119" si="74">IFERROR(K119/J119-1,0)</f>
        <v>0.59196591490498451</v>
      </c>
      <c r="O119" s="53"/>
      <c r="P119" s="54">
        <f>SUMIFS('Combined P&amp;L'!N:N,'Combined P&amp;L'!$C:$C,'P&amp;L Forecast'!$B119)</f>
        <v>0</v>
      </c>
      <c r="Q119" s="54">
        <f>SUMIFS('Combined P&amp;L'!O:O,'Combined P&amp;L'!$C:$C,'P&amp;L Forecast'!$B119)</f>
        <v>0</v>
      </c>
      <c r="R119" s="54">
        <f>SUMIFS('Combined P&amp;L'!P:P,'Combined P&amp;L'!$C:$C,'P&amp;L Forecast'!$B119)</f>
        <v>0</v>
      </c>
      <c r="S119" s="54">
        <f>SUMIFS('Combined P&amp;L'!Q:Q,'Combined P&amp;L'!$C:$C,'P&amp;L Forecast'!$B119)</f>
        <v>0</v>
      </c>
      <c r="T119" s="54">
        <f>SUMIFS('Combined P&amp;L'!R:R,'Combined P&amp;L'!$C:$C,'P&amp;L Forecast'!$B119)</f>
        <v>0</v>
      </c>
      <c r="U119" s="54">
        <f>SUMIFS('Combined P&amp;L'!S:S,'Combined P&amp;L'!$C:$C,'P&amp;L Forecast'!$B119)</f>
        <v>0</v>
      </c>
      <c r="V119" s="54">
        <f>SUMIFS('Combined P&amp;L'!T:T,'Combined P&amp;L'!$C:$C,'P&amp;L Forecast'!$B119)</f>
        <v>0</v>
      </c>
      <c r="W119" s="54">
        <f>SUMIFS('Combined P&amp;L'!U:U,'Combined P&amp;L'!$C:$C,'P&amp;L Forecast'!$B119)</f>
        <v>0</v>
      </c>
      <c r="X119" s="54">
        <f>SUMIFS('Combined P&amp;L'!V:V,'Combined P&amp;L'!$C:$C,'P&amp;L Forecast'!$B119)</f>
        <v>0</v>
      </c>
      <c r="Y119" s="54">
        <f>SUMIFS('Combined P&amp;L'!W:W,'Combined P&amp;L'!$C:$C,'P&amp;L Forecast'!$B119)</f>
        <v>0</v>
      </c>
      <c r="Z119" s="54">
        <f>SUMIFS('Combined P&amp;L'!X:X,'Combined P&amp;L'!$C:$C,'P&amp;L Forecast'!$B119)</f>
        <v>0</v>
      </c>
      <c r="AA119" s="54">
        <f>SUMIFS('Combined P&amp;L'!Y:Y,'Combined P&amp;L'!$C:$C,'P&amp;L Forecast'!$B119)</f>
        <v>0</v>
      </c>
      <c r="AB119" s="54">
        <f>SUMIFS('Combined P&amp;L'!Z:Z,'Combined P&amp;L'!$C:$C,'P&amp;L Forecast'!$B119)</f>
        <v>0.1</v>
      </c>
      <c r="AC119" s="54">
        <f>SUMIFS('Combined P&amp;L'!AA:AA,'Combined P&amp;L'!$C:$C,'P&amp;L Forecast'!$B119)</f>
        <v>0</v>
      </c>
      <c r="AD119" s="54">
        <f>SUMIFS('Combined P&amp;L'!AB:AB,'Combined P&amp;L'!$C:$C,'P&amp;L Forecast'!$B119)</f>
        <v>0</v>
      </c>
      <c r="AE119" s="54">
        <f>SUMIFS('Combined P&amp;L'!AC:AC,'Combined P&amp;L'!$C:$C,'P&amp;L Forecast'!$B119)</f>
        <v>0.14980000000000002</v>
      </c>
      <c r="AF119" s="54">
        <f>SUMIFS('Combined P&amp;L'!AD:AD,'Combined P&amp;L'!$C:$C,'P&amp;L Forecast'!$B119)</f>
        <v>5.9749999999999998E-2</v>
      </c>
      <c r="AG119" s="54">
        <f>SUMIFS('Combined P&amp;L'!AE:AE,'Combined P&amp;L'!$C:$C,'P&amp;L Forecast'!$B119)</f>
        <v>6.9699999999999998E-2</v>
      </c>
      <c r="AH119" s="54">
        <f>SUMIFS('Combined P&amp;L'!AF:AF,'Combined P&amp;L'!$C:$C,'P&amp;L Forecast'!$B119)</f>
        <v>0.15969999999999998</v>
      </c>
      <c r="AI119" s="54">
        <f>SUMIFS('Combined P&amp;L'!AG:AG,'Combined P&amp;L'!$C:$C,'P&amp;L Forecast'!$B119)</f>
        <v>0.31085000000000002</v>
      </c>
      <c r="AJ119" s="54">
        <f>SUMIFS('Combined P&amp;L'!AH:AH,'Combined P&amp;L'!$C:$C,'P&amp;L Forecast'!$B119)</f>
        <v>0.46750999999999998</v>
      </c>
      <c r="AK119" s="54">
        <f>SUMIFS('Combined P&amp;L'!AI:AI,'Combined P&amp;L'!$C:$C,'P&amp;L Forecast'!$B119)</f>
        <v>0.51751000000000003</v>
      </c>
      <c r="AL119" s="54">
        <f>SUMIFS('Combined P&amp;L'!AJ:AJ,'Combined P&amp;L'!$C:$C,'P&amp;L Forecast'!$B119)</f>
        <v>-0.18840999999999999</v>
      </c>
      <c r="AM119" s="54">
        <f>SUMIFS('Combined P&amp;L'!AK:AK,'Combined P&amp;L'!$C:$C,'P&amp;L Forecast'!$B119)</f>
        <v>0.1095</v>
      </c>
      <c r="AN119" s="54">
        <f>SUMIFS('Combined P&amp;L'!AL:AL,'Combined P&amp;L'!$C:$C,'P&amp;L Forecast'!$B119)</f>
        <v>0.22939999999999999</v>
      </c>
      <c r="AO119" s="54">
        <f>SUMIFS('Combined P&amp;L'!AM:AM,'Combined P&amp;L'!$C:$C,'P&amp;L Forecast'!$B119)</f>
        <v>0.11940000000000001</v>
      </c>
      <c r="AP119" s="54">
        <f>SUMIFS('Combined P&amp;L'!AN:AN,'Combined P&amp;L'!$C:$C,'P&amp;L Forecast'!$B119)</f>
        <v>0.17934999999999998</v>
      </c>
      <c r="AQ119" s="54">
        <f>SUMIFS('Combined P&amp;L'!AO:AO,'Combined P&amp;L'!$C:$C,'P&amp;L Forecast'!$B119)</f>
        <v>6.9900000000000004E-2</v>
      </c>
      <c r="AR119" s="54">
        <f>SUMIFS('Combined P&amp;L'!AP:AP,'Combined P&amp;L'!$C:$C,'P&amp;L Forecast'!$B119)</f>
        <v>6.9900000000000004E-2</v>
      </c>
      <c r="AS119" s="54">
        <f>SUMIFS('Combined P&amp;L'!AQ:AQ,'Combined P&amp;L'!$C:$C,'P&amp;L Forecast'!$B119)</f>
        <v>0.16397999999999999</v>
      </c>
      <c r="AT119" s="54">
        <f>SUMIFS('Combined P&amp;L'!AR:AR,'Combined P&amp;L'!$C:$C,'P&amp;L Forecast'!$B119)</f>
        <v>0.70755999999999997</v>
      </c>
    </row>
    <row r="120" spans="2:46" x14ac:dyDescent="0.2">
      <c r="B120" s="103" t="s">
        <v>79</v>
      </c>
      <c r="C120" s="24">
        <f>SUMIFS($P120:$AT120,$P$69:$AT$69,"&gt;"&amp;C$169,$P$69:$AT$69,"&lt;"&amp;C$170)</f>
        <v>1.0598299999999998</v>
      </c>
      <c r="D120" s="24">
        <f>SUMIFS($P120:$AT120,$P$69:$AT$69,"&gt;"&amp;D$169,$P$69:$AT$69,"&lt;"&amp;D$170)</f>
        <v>3.2913300000000008</v>
      </c>
      <c r="E120" s="24"/>
      <c r="F120" s="24">
        <f>SUMIFS($P120:$AT120,$P$69:$AT$69,"&gt;"&amp;F$169,$P$69:$AT$69,"&lt;"&amp;F$170)</f>
        <v>2.0263300000000002</v>
      </c>
      <c r="G120" s="24">
        <f>SUMIFS($P120:$AT120,$P$69:$AT$69,"&gt;"&amp;G$169,$P$69:$AT$69,"&lt;"&amp;G$170)</f>
        <v>1.9429999999999996</v>
      </c>
      <c r="H120" s="24"/>
      <c r="I120" s="24">
        <f>SUMIFS($P120:$AT120,$P$69:$AT$69,"&gt;"&amp;I$169,$P$69:$AT$69,"&lt;"&amp;I$170)</f>
        <v>2.2833300000000003</v>
      </c>
      <c r="J120" s="24">
        <f>SUMIFS($P120:$AT120,$P$69:$AT$69,"&gt;"&amp;J$169,$P$69:$AT$69,"&lt;"&amp;J$170)</f>
        <v>3.1680000000000001</v>
      </c>
      <c r="K120" s="66">
        <f>+C54</f>
        <v>3.1680000000000001</v>
      </c>
      <c r="L120" s="66"/>
      <c r="M120" s="24">
        <f t="shared" ref="M120" si="75">+J120-K120</f>
        <v>0</v>
      </c>
      <c r="N120" s="67">
        <f t="shared" ref="N120" si="76">IFERROR(K120/J120-1,0)</f>
        <v>0</v>
      </c>
      <c r="O120" s="53"/>
      <c r="P120" s="54">
        <f>SUMIFS('Combined P&amp;L'!N:N,'Combined P&amp;L'!$C:$C,'P&amp;L Forecast'!$B120)</f>
        <v>8.5000000000000006E-2</v>
      </c>
      <c r="Q120" s="54">
        <f>SUMIFS('Combined P&amp;L'!O:O,'Combined P&amp;L'!$C:$C,'P&amp;L Forecast'!$B120)</f>
        <v>8.5000000000000006E-2</v>
      </c>
      <c r="R120" s="54">
        <f>SUMIFS('Combined P&amp;L'!P:P,'Combined P&amp;L'!$C:$C,'P&amp;L Forecast'!$B120)</f>
        <v>9.7000000000000003E-2</v>
      </c>
      <c r="S120" s="54">
        <f>SUMIFS('Combined P&amp;L'!Q:Q,'Combined P&amp;L'!$C:$C,'P&amp;L Forecast'!$B120)</f>
        <v>0.11283</v>
      </c>
      <c r="T120" s="54">
        <f>SUMIFS('Combined P&amp;L'!R:R,'Combined P&amp;L'!$C:$C,'P&amp;L Forecast'!$B120)</f>
        <v>8.5000000000000006E-2</v>
      </c>
      <c r="U120" s="54">
        <f>SUMIFS('Combined P&amp;L'!S:S,'Combined P&amp;L'!$C:$C,'P&amp;L Forecast'!$B120)</f>
        <v>8.5000000000000006E-2</v>
      </c>
      <c r="V120" s="54">
        <f>SUMIFS('Combined P&amp;L'!T:T,'Combined P&amp;L'!$C:$C,'P&amp;L Forecast'!$B120)</f>
        <v>8.5000000000000006E-2</v>
      </c>
      <c r="W120" s="54">
        <f>SUMIFS('Combined P&amp;L'!U:U,'Combined P&amp;L'!$C:$C,'P&amp;L Forecast'!$B120)</f>
        <v>8.5000000000000006E-2</v>
      </c>
      <c r="X120" s="54">
        <f>SUMIFS('Combined P&amp;L'!V:V,'Combined P&amp;L'!$C:$C,'P&amp;L Forecast'!$B120)</f>
        <v>8.5000000000000006E-2</v>
      </c>
      <c r="Y120" s="54">
        <f>SUMIFS('Combined P&amp;L'!W:W,'Combined P&amp;L'!$C:$C,'P&amp;L Forecast'!$B120)</f>
        <v>8.5000000000000006E-2</v>
      </c>
      <c r="Z120" s="54">
        <f>SUMIFS('Combined P&amp;L'!X:X,'Combined P&amp;L'!$C:$C,'P&amp;L Forecast'!$B120)</f>
        <v>8.5000000000000006E-2</v>
      </c>
      <c r="AA120" s="54">
        <f>SUMIFS('Combined P&amp;L'!Y:Y,'Combined P&amp;L'!$C:$C,'P&amp;L Forecast'!$B120)</f>
        <v>8.5000000000000006E-2</v>
      </c>
      <c r="AB120" s="54">
        <f>SUMIFS('Combined P&amp;L'!Z:Z,'Combined P&amp;L'!$C:$C,'P&amp;L Forecast'!$B120)</f>
        <v>8.5000000000000006E-2</v>
      </c>
      <c r="AC120" s="54">
        <f>SUMIFS('Combined P&amp;L'!AA:AA,'Combined P&amp;L'!$C:$C,'P&amp;L Forecast'!$B120)</f>
        <v>9.4489999999999991E-2</v>
      </c>
      <c r="AD120" s="54">
        <f>SUMIFS('Combined P&amp;L'!AB:AB,'Combined P&amp;L'!$C:$C,'P&amp;L Forecast'!$B120)</f>
        <v>0.82489000000000001</v>
      </c>
      <c r="AE120" s="54">
        <f>SUMIFS('Combined P&amp;L'!AC:AC,'Combined P&amp;L'!$C:$C,'P&amp;L Forecast'!$B120)</f>
        <v>0.253</v>
      </c>
      <c r="AF120" s="54">
        <f>SUMIFS('Combined P&amp;L'!AD:AD,'Combined P&amp;L'!$C:$C,'P&amp;L Forecast'!$B120)</f>
        <v>0.26294999999999996</v>
      </c>
      <c r="AG120" s="54">
        <f>SUMIFS('Combined P&amp;L'!AE:AE,'Combined P&amp;L'!$C:$C,'P&amp;L Forecast'!$B120)</f>
        <v>0.253</v>
      </c>
      <c r="AH120" s="54">
        <f>SUMIFS('Combined P&amp;L'!AF:AF,'Combined P&amp;L'!$C:$C,'P&amp;L Forecast'!$B120)</f>
        <v>0.253</v>
      </c>
      <c r="AI120" s="54">
        <f>SUMIFS('Combined P&amp;L'!AG:AG,'Combined P&amp;L'!$C:$C,'P&amp;L Forecast'!$B120)</f>
        <v>0.253</v>
      </c>
      <c r="AJ120" s="54">
        <f>SUMIFS('Combined P&amp;L'!AH:AH,'Combined P&amp;L'!$C:$C,'P&amp;L Forecast'!$B120)</f>
        <v>0.253</v>
      </c>
      <c r="AK120" s="54">
        <f>SUMIFS('Combined P&amp;L'!AI:AI,'Combined P&amp;L'!$C:$C,'P&amp;L Forecast'!$B120)</f>
        <v>0.253</v>
      </c>
      <c r="AL120" s="54">
        <f>SUMIFS('Combined P&amp;L'!AJ:AJ,'Combined P&amp;L'!$C:$C,'P&amp;L Forecast'!$B120)</f>
        <v>0.253</v>
      </c>
      <c r="AM120" s="54">
        <f>SUMIFS('Combined P&amp;L'!AK:AK,'Combined P&amp;L'!$C:$C,'P&amp;L Forecast'!$B120)</f>
        <v>0.253</v>
      </c>
      <c r="AN120" s="54">
        <f>SUMIFS('Combined P&amp;L'!AL:AL,'Combined P&amp;L'!$C:$C,'P&amp;L Forecast'!$B120)</f>
        <v>0.253</v>
      </c>
      <c r="AO120" s="54">
        <f>SUMIFS('Combined P&amp;L'!AM:AM,'Combined P&amp;L'!$C:$C,'P&amp;L Forecast'!$B120)</f>
        <v>0.255</v>
      </c>
      <c r="AP120" s="54">
        <f>SUMIFS('Combined P&amp;L'!AN:AN,'Combined P&amp;L'!$C:$C,'P&amp;L Forecast'!$B120)</f>
        <v>0.28299999999999997</v>
      </c>
      <c r="AQ120" s="54">
        <f>SUMIFS('Combined P&amp;L'!AO:AO,'Combined P&amp;L'!$C:$C,'P&amp;L Forecast'!$B120)</f>
        <v>0.28299999999999997</v>
      </c>
      <c r="AR120" s="54">
        <f>SUMIFS('Combined P&amp;L'!AP:AP,'Combined P&amp;L'!$C:$C,'P&amp;L Forecast'!$B120)</f>
        <v>0.28299999999999997</v>
      </c>
      <c r="AS120" s="54">
        <f>SUMIFS('Combined P&amp;L'!AQ:AQ,'Combined P&amp;L'!$C:$C,'P&amp;L Forecast'!$B120)</f>
        <v>0.29299999999999998</v>
      </c>
      <c r="AT120" s="54">
        <f>SUMIFS('Combined P&amp;L'!AR:AR,'Combined P&amp;L'!$C:$C,'P&amp;L Forecast'!$B120)</f>
        <v>0.29299999999999998</v>
      </c>
    </row>
    <row r="121" spans="2:46" x14ac:dyDescent="0.2">
      <c r="B121" s="58" t="s">
        <v>299</v>
      </c>
      <c r="C121" s="24">
        <f>SUMIFS($P121:$AT121,$P$69:$AT$69,"&gt;"&amp;C$169,$P$69:$AT$69,"&lt;"&amp;C$170)</f>
        <v>7.9639999999999989E-2</v>
      </c>
      <c r="D121" s="24">
        <f>SUMIFS($P121:$AT121,$P$69:$AT$69,"&gt;"&amp;D$169,$P$69:$AT$69,"&lt;"&amp;D$170)</f>
        <v>1.4224800000000002</v>
      </c>
      <c r="E121" s="24"/>
      <c r="F121" s="24">
        <f>SUMIFS($P121:$AT121,$P$69:$AT$69,"&gt;"&amp;F$169,$P$69:$AT$69,"&lt;"&amp;F$170)</f>
        <v>1.07704</v>
      </c>
      <c r="G121" s="24">
        <f>SUMIFS($P121:$AT121,$P$69:$AT$69,"&gt;"&amp;G$169,$P$69:$AT$69,"&lt;"&amp;G$170)</f>
        <v>0.81103000000000003</v>
      </c>
      <c r="H121" s="24"/>
      <c r="I121" s="24">
        <f>SUMIFS($P121:$AT121,$P$69:$AT$69,"&gt;"&amp;I$169,$P$69:$AT$69,"&lt;"&amp;I$170)</f>
        <v>0.81467999999999996</v>
      </c>
      <c r="J121" s="24">
        <f>SUMIFS($P121:$AT121,$P$69:$AT$69,"&gt;"&amp;J$169,$P$69:$AT$69,"&lt;"&amp;J$170)</f>
        <v>1.49847</v>
      </c>
      <c r="K121" s="66">
        <f>+C58</f>
        <v>1.49847</v>
      </c>
      <c r="L121" s="66"/>
      <c r="M121" s="24">
        <f t="shared" ref="M121" si="77">+J121-K121</f>
        <v>0</v>
      </c>
      <c r="N121" s="67">
        <f t="shared" ref="N121" si="78">IFERROR(K121/J121-1,0)</f>
        <v>0</v>
      </c>
      <c r="O121" s="53"/>
      <c r="P121" s="54">
        <f>SUMIFS('Combined P&amp;L'!N:N,'Combined P&amp;L'!$C:$C,'P&amp;L Forecast'!$B121)</f>
        <v>0</v>
      </c>
      <c r="Q121" s="54">
        <f>SUMIFS('Combined P&amp;L'!O:O,'Combined P&amp;L'!$C:$C,'P&amp;L Forecast'!$B121)</f>
        <v>0</v>
      </c>
      <c r="R121" s="54">
        <f>SUMIFS('Combined P&amp;L'!P:P,'Combined P&amp;L'!$C:$C,'P&amp;L Forecast'!$B121)</f>
        <v>0</v>
      </c>
      <c r="S121" s="54">
        <f>SUMIFS('Combined P&amp;L'!Q:Q,'Combined P&amp;L'!$C:$C,'P&amp;L Forecast'!$B121)</f>
        <v>0</v>
      </c>
      <c r="T121" s="54">
        <f>SUMIFS('Combined P&amp;L'!R:R,'Combined P&amp;L'!$C:$C,'P&amp;L Forecast'!$B121)</f>
        <v>0</v>
      </c>
      <c r="U121" s="54">
        <f>SUMIFS('Combined P&amp;L'!S:S,'Combined P&amp;L'!$C:$C,'P&amp;L Forecast'!$B121)</f>
        <v>0</v>
      </c>
      <c r="V121" s="54">
        <f>SUMIFS('Combined P&amp;L'!T:T,'Combined P&amp;L'!$C:$C,'P&amp;L Forecast'!$B121)</f>
        <v>0</v>
      </c>
      <c r="W121" s="54">
        <f>SUMIFS('Combined P&amp;L'!U:U,'Combined P&amp;L'!$C:$C,'P&amp;L Forecast'!$B121)</f>
        <v>0</v>
      </c>
      <c r="X121" s="54">
        <f>SUMIFS('Combined P&amp;L'!V:V,'Combined P&amp;L'!$C:$C,'P&amp;L Forecast'!$B121)</f>
        <v>0</v>
      </c>
      <c r="Y121" s="54">
        <f>SUMIFS('Combined P&amp;L'!W:W,'Combined P&amp;L'!$C:$C,'P&amp;L Forecast'!$B121)</f>
        <v>0</v>
      </c>
      <c r="Z121" s="54">
        <f>SUMIFS('Combined P&amp;L'!X:X,'Combined P&amp;L'!$C:$C,'P&amp;L Forecast'!$B121)</f>
        <v>7.1499999999999994E-2</v>
      </c>
      <c r="AA121" s="54">
        <f>SUMIFS('Combined P&amp;L'!Y:Y,'Combined P&amp;L'!$C:$C,'P&amp;L Forecast'!$B121)</f>
        <v>8.1400000000000014E-3</v>
      </c>
      <c r="AB121" s="54">
        <f>SUMIFS('Combined P&amp;L'!Z:Z,'Combined P&amp;L'!$C:$C,'P&amp;L Forecast'!$B121)</f>
        <v>0.11752</v>
      </c>
      <c r="AC121" s="54">
        <f>SUMIFS('Combined P&amp;L'!AA:AA,'Combined P&amp;L'!$C:$C,'P&amp;L Forecast'!$B121)</f>
        <v>0.20646</v>
      </c>
      <c r="AD121" s="54">
        <f>SUMIFS('Combined P&amp;L'!AB:AB,'Combined P&amp;L'!$C:$C,'P&amp;L Forecast'!$B121)</f>
        <v>1.174E-2</v>
      </c>
      <c r="AE121" s="54">
        <f>SUMIFS('Combined P&amp;L'!AC:AC,'Combined P&amp;L'!$C:$C,'P&amp;L Forecast'!$B121)</f>
        <v>3.6600000000000001E-2</v>
      </c>
      <c r="AF121" s="54">
        <f>SUMIFS('Combined P&amp;L'!AD:AD,'Combined P&amp;L'!$C:$C,'P&amp;L Forecast'!$B121)</f>
        <v>0.11484</v>
      </c>
      <c r="AG121" s="54">
        <f>SUMIFS('Combined P&amp;L'!AE:AE,'Combined P&amp;L'!$C:$C,'P&amp;L Forecast'!$B121)</f>
        <v>0.24787999999999999</v>
      </c>
      <c r="AH121" s="54">
        <f>SUMIFS('Combined P&amp;L'!AF:AF,'Combined P&amp;L'!$C:$C,'P&amp;L Forecast'!$B121)</f>
        <v>0.34200000000000003</v>
      </c>
      <c r="AI121" s="54">
        <f>SUMIFS('Combined P&amp;L'!AG:AG,'Combined P&amp;L'!$C:$C,'P&amp;L Forecast'!$B121)</f>
        <v>0.25108999999999998</v>
      </c>
      <c r="AJ121" s="54">
        <f>SUMIFS('Combined P&amp;L'!AH:AH,'Combined P&amp;L'!$C:$C,'P&amp;L Forecast'!$B121)</f>
        <v>6.5290000000000001E-2</v>
      </c>
      <c r="AK121" s="54">
        <f>SUMIFS('Combined P&amp;L'!AI:AI,'Combined P&amp;L'!$C:$C,'P&amp;L Forecast'!$B121)</f>
        <v>1.916E-2</v>
      </c>
      <c r="AL121" s="54">
        <f>SUMIFS('Combined P&amp;L'!AJ:AJ,'Combined P&amp;L'!$C:$C,'P&amp;L Forecast'!$B121)</f>
        <v>9.9000000000000008E-3</v>
      </c>
      <c r="AM121" s="54">
        <f>SUMIFS('Combined P&amp;L'!AK:AK,'Combined P&amp;L'!$C:$C,'P&amp;L Forecast'!$B121)</f>
        <v>0</v>
      </c>
      <c r="AN121" s="54">
        <f>SUMIFS('Combined P&amp;L'!AL:AL,'Combined P&amp;L'!$C:$C,'P&amp;L Forecast'!$B121)</f>
        <v>0.28870000000000001</v>
      </c>
      <c r="AO121" s="54">
        <f>SUMIFS('Combined P&amp;L'!AM:AM,'Combined P&amp;L'!$C:$C,'P&amp;L Forecast'!$B121)</f>
        <v>0.14452999999999999</v>
      </c>
      <c r="AP121" s="54">
        <f>SUMIFS('Combined P&amp;L'!AN:AN,'Combined P&amp;L'!$C:$C,'P&amp;L Forecast'!$B121)</f>
        <v>0</v>
      </c>
      <c r="AQ121" s="54">
        <f>SUMIFS('Combined P&amp;L'!AO:AO,'Combined P&amp;L'!$C:$C,'P&amp;L Forecast'!$B121)</f>
        <v>0.15</v>
      </c>
      <c r="AR121" s="54">
        <f>SUMIFS('Combined P&amp;L'!AP:AP,'Combined P&amp;L'!$C:$C,'P&amp;L Forecast'!$B121)</f>
        <v>0.11769</v>
      </c>
      <c r="AS121" s="54">
        <f>SUMIFS('Combined P&amp;L'!AQ:AQ,'Combined P&amp;L'!$C:$C,'P&amp;L Forecast'!$B121)</f>
        <v>0.11011</v>
      </c>
      <c r="AT121" s="54">
        <f>SUMIFS('Combined P&amp;L'!AR:AR,'Combined P&amp;L'!$C:$C,'P&amp;L Forecast'!$B121)</f>
        <v>0</v>
      </c>
    </row>
    <row r="122" spans="2:46" x14ac:dyDescent="0.2">
      <c r="B122" s="103" t="s">
        <v>32</v>
      </c>
      <c r="C122" s="24">
        <f>SUMIFS($P122:$AT122,$P$69:$AT$69,"&gt;"&amp;C$169,$P$69:$AT$69,"&lt;"&amp;C$170)</f>
        <v>1.3459299999999998</v>
      </c>
      <c r="D122" s="24">
        <f>SUMIFS($P122:$AT122,$P$69:$AT$69,"&gt;"&amp;D$169,$P$69:$AT$69,"&lt;"&amp;D$170)</f>
        <v>2.4943299999999997</v>
      </c>
      <c r="E122" s="24"/>
      <c r="F122" s="24">
        <f>SUMIFS($P122:$AT122,$P$69:$AT$69,"&gt;"&amp;F$169,$P$69:$AT$69,"&lt;"&amp;F$170)</f>
        <v>2.3808799999999999</v>
      </c>
      <c r="G122" s="24">
        <f>SUMIFS($P122:$AT122,$P$69:$AT$69,"&gt;"&amp;G$169,$P$69:$AT$69,"&lt;"&amp;G$170)</f>
        <v>3.2046100000000002</v>
      </c>
      <c r="H122" s="24"/>
      <c r="I122" s="24">
        <f>SUMIFS($P122:$AT122,$P$69:$AT$69,"&gt;"&amp;I$169,$P$69:$AT$69,"&lt;"&amp;I$170)</f>
        <v>2.3828199999999997</v>
      </c>
      <c r="J122" s="24">
        <f>SUMIFS($P122:$AT122,$P$69:$AT$69,"&gt;"&amp;J$169,$P$69:$AT$69,"&lt;"&amp;J$170)</f>
        <v>3.31806</v>
      </c>
      <c r="K122" s="66">
        <f>+C55</f>
        <v>0</v>
      </c>
      <c r="L122" s="66"/>
      <c r="M122" s="24">
        <f t="shared" ref="M122" si="79">+J122-K122</f>
        <v>3.31806</v>
      </c>
      <c r="N122" s="67">
        <f t="shared" ref="N122" si="80">IFERROR(K122/J122-1,0)</f>
        <v>-1</v>
      </c>
      <c r="O122" s="53"/>
      <c r="P122" s="54">
        <f>SUMIFS('Combined P&amp;L'!N:N,'Combined P&amp;L'!$C:$C,'P&amp;L Forecast'!$B122)</f>
        <v>1.2993399999999999</v>
      </c>
      <c r="Q122" s="54">
        <f>SUMIFS('Combined P&amp;L'!O:O,'Combined P&amp;L'!$C:$C,'P&amp;L Forecast'!$B122)</f>
        <v>3.0120000000000001E-2</v>
      </c>
      <c r="R122" s="54">
        <f>SUMIFS('Combined P&amp;L'!P:P,'Combined P&amp;L'!$C:$C,'P&amp;L Forecast'!$B122)</f>
        <v>1.0630000000000001E-2</v>
      </c>
      <c r="S122" s="54">
        <f>SUMIFS('Combined P&amp;L'!Q:Q,'Combined P&amp;L'!$C:$C,'P&amp;L Forecast'!$B122)</f>
        <v>3.2499999999999999E-3</v>
      </c>
      <c r="T122" s="54">
        <f>SUMIFS('Combined P&amp;L'!R:R,'Combined P&amp;L'!$C:$C,'P&amp;L Forecast'!$B122)</f>
        <v>6.4999999999999997E-4</v>
      </c>
      <c r="U122" s="54">
        <f>SUMIFS('Combined P&amp;L'!S:S,'Combined P&amp;L'!$C:$C,'P&amp;L Forecast'!$B122)</f>
        <v>0</v>
      </c>
      <c r="V122" s="54">
        <f>SUMIFS('Combined P&amp;L'!T:T,'Combined P&amp;L'!$C:$C,'P&amp;L Forecast'!$B122)</f>
        <v>0</v>
      </c>
      <c r="W122" s="54">
        <f>SUMIFS('Combined P&amp;L'!U:U,'Combined P&amp;L'!$C:$C,'P&amp;L Forecast'!$B122)</f>
        <v>1.9399999999999999E-3</v>
      </c>
      <c r="X122" s="54">
        <f>SUMIFS('Combined P&amp;L'!V:V,'Combined P&amp;L'!$C:$C,'P&amp;L Forecast'!$B122)</f>
        <v>0</v>
      </c>
      <c r="Y122" s="54">
        <f>SUMIFS('Combined P&amp;L'!W:W,'Combined P&amp;L'!$C:$C,'P&amp;L Forecast'!$B122)</f>
        <v>0</v>
      </c>
      <c r="Z122" s="54">
        <f>SUMIFS('Combined P&amp;L'!X:X,'Combined P&amp;L'!$C:$C,'P&amp;L Forecast'!$B122)</f>
        <v>0</v>
      </c>
      <c r="AA122" s="54">
        <f>SUMIFS('Combined P&amp;L'!Y:Y,'Combined P&amp;L'!$C:$C,'P&amp;L Forecast'!$B122)</f>
        <v>0</v>
      </c>
      <c r="AB122" s="54">
        <f>SUMIFS('Combined P&amp;L'!Z:Z,'Combined P&amp;L'!$C:$C,'P&amp;L Forecast'!$B122)</f>
        <v>1.22655</v>
      </c>
      <c r="AC122" s="54">
        <f>SUMIFS('Combined P&amp;L'!AA:AA,'Combined P&amp;L'!$C:$C,'P&amp;L Forecast'!$B122)</f>
        <v>0</v>
      </c>
      <c r="AD122" s="54">
        <f>SUMIFS('Combined P&amp;L'!AB:AB,'Combined P&amp;L'!$C:$C,'P&amp;L Forecast'!$B122)</f>
        <v>1.1543299999999999</v>
      </c>
      <c r="AE122" s="54">
        <f>SUMIFS('Combined P&amp;L'!AC:AC,'Combined P&amp;L'!$C:$C,'P&amp;L Forecast'!$B122)</f>
        <v>0</v>
      </c>
      <c r="AF122" s="54">
        <f>SUMIFS('Combined P&amp;L'!AD:AD,'Combined P&amp;L'!$C:$C,'P&amp;L Forecast'!$B122)</f>
        <v>0</v>
      </c>
      <c r="AG122" s="54">
        <f>SUMIFS('Combined P&amp;L'!AE:AE,'Combined P&amp;L'!$C:$C,'P&amp;L Forecast'!$B122)</f>
        <v>0</v>
      </c>
      <c r="AH122" s="54">
        <f>SUMIFS('Combined P&amp;L'!AF:AF,'Combined P&amp;L'!$C:$C,'P&amp;L Forecast'!$B122)</f>
        <v>0</v>
      </c>
      <c r="AI122" s="54">
        <f>SUMIFS('Combined P&amp;L'!AG:AG,'Combined P&amp;L'!$C:$C,'P&amp;L Forecast'!$B122)</f>
        <v>0</v>
      </c>
      <c r="AJ122" s="54">
        <f>SUMIFS('Combined P&amp;L'!AH:AH,'Combined P&amp;L'!$C:$C,'P&amp;L Forecast'!$B122)</f>
        <v>0</v>
      </c>
      <c r="AK122" s="54">
        <f>SUMIFS('Combined P&amp;L'!AI:AI,'Combined P&amp;L'!$C:$C,'P&amp;L Forecast'!$B122)</f>
        <v>0.11345000000000001</v>
      </c>
      <c r="AL122" s="54">
        <f>SUMIFS('Combined P&amp;L'!AJ:AJ,'Combined P&amp;L'!$C:$C,'P&amp;L Forecast'!$B122)</f>
        <v>0</v>
      </c>
      <c r="AM122" s="54">
        <f>SUMIFS('Combined P&amp;L'!AK:AK,'Combined P&amp;L'!$C:$C,'P&amp;L Forecast'!$B122)</f>
        <v>0</v>
      </c>
      <c r="AN122" s="54">
        <f>SUMIFS('Combined P&amp;L'!AL:AL,'Combined P&amp;L'!$C:$C,'P&amp;L Forecast'!$B122)</f>
        <v>2.4948000000000001</v>
      </c>
      <c r="AO122" s="54">
        <f>SUMIFS('Combined P&amp;L'!AM:AM,'Combined P&amp;L'!$C:$C,'P&amp;L Forecast'!$B122)</f>
        <v>0</v>
      </c>
      <c r="AP122" s="54">
        <f>SUMIFS('Combined P&amp;L'!AN:AN,'Combined P&amp;L'!$C:$C,'P&amp;L Forecast'!$B122)</f>
        <v>0</v>
      </c>
      <c r="AQ122" s="54">
        <f>SUMIFS('Combined P&amp;L'!AO:AO,'Combined P&amp;L'!$C:$C,'P&amp;L Forecast'!$B122)</f>
        <v>0.70980999999999994</v>
      </c>
      <c r="AR122" s="54">
        <f>SUMIFS('Combined P&amp;L'!AP:AP,'Combined P&amp;L'!$C:$C,'P&amp;L Forecast'!$B122)</f>
        <v>0</v>
      </c>
      <c r="AS122" s="54">
        <f>SUMIFS('Combined P&amp;L'!AQ:AQ,'Combined P&amp;L'!$C:$C,'P&amp;L Forecast'!$B122)</f>
        <v>0</v>
      </c>
      <c r="AT122" s="54">
        <f>SUMIFS('Combined P&amp;L'!AR:AR,'Combined P&amp;L'!$C:$C,'P&amp;L Forecast'!$B122)</f>
        <v>0</v>
      </c>
    </row>
    <row r="123" spans="2:46" x14ac:dyDescent="0.2">
      <c r="B123" s="58" t="s">
        <v>33</v>
      </c>
      <c r="C123" s="24">
        <f>SUMIFS($P123:$AT123,$P$69:$AT$69,"&gt;"&amp;C$169,$P$69:$AT$69,"&lt;"&amp;C$170)</f>
        <v>0</v>
      </c>
      <c r="D123" s="24">
        <f>SUMIFS($P123:$AT123,$P$69:$AT$69,"&gt;"&amp;D$169,$P$69:$AT$69,"&lt;"&amp;D$170)</f>
        <v>1.5874999999999999</v>
      </c>
      <c r="E123" s="24"/>
      <c r="F123" s="24">
        <f>SUMIFS($P123:$AT123,$P$69:$AT$69,"&gt;"&amp;F$169,$P$69:$AT$69,"&lt;"&amp;F$170)</f>
        <v>0</v>
      </c>
      <c r="G123" s="24">
        <f>SUMIFS($P123:$AT123,$P$69:$AT$69,"&gt;"&amp;G$169,$P$69:$AT$69,"&lt;"&amp;G$170)</f>
        <v>30.515499999999999</v>
      </c>
      <c r="H123" s="24"/>
      <c r="I123" s="24">
        <f>SUMIFS($P123:$AT123,$P$69:$AT$69,"&gt;"&amp;I$169,$P$69:$AT$69,"&lt;"&amp;I$170)</f>
        <v>0</v>
      </c>
      <c r="J123" s="24">
        <f>SUMIFS($P123:$AT123,$P$69:$AT$69,"&gt;"&amp;J$169,$P$69:$AT$69,"&lt;"&amp;J$170)</f>
        <v>32.103000000000002</v>
      </c>
      <c r="K123" s="66">
        <f>+C44</f>
        <v>0</v>
      </c>
      <c r="L123" s="66"/>
      <c r="M123" s="24">
        <f>+J123-K123</f>
        <v>32.103000000000002</v>
      </c>
      <c r="N123" s="67">
        <f t="shared" ref="N123" si="81">IFERROR(K123/J123-1,0)</f>
        <v>-1</v>
      </c>
      <c r="O123" s="53"/>
      <c r="P123" s="54">
        <f>SUMIFS('Combined P&amp;L'!N:N,'Combined P&amp;L'!$C:$C,'P&amp;L Forecast'!$B123)</f>
        <v>0</v>
      </c>
      <c r="Q123" s="54">
        <f>SUMIFS('Combined P&amp;L'!O:O,'Combined P&amp;L'!$C:$C,'P&amp;L Forecast'!$B123)</f>
        <v>0</v>
      </c>
      <c r="R123" s="54">
        <f>SUMIFS('Combined P&amp;L'!P:P,'Combined P&amp;L'!$C:$C,'P&amp;L Forecast'!$B123)</f>
        <v>0</v>
      </c>
      <c r="S123" s="54">
        <f>SUMIFS('Combined P&amp;L'!Q:Q,'Combined P&amp;L'!$C:$C,'P&amp;L Forecast'!$B123)</f>
        <v>0</v>
      </c>
      <c r="T123" s="54">
        <f>SUMIFS('Combined P&amp;L'!R:R,'Combined P&amp;L'!$C:$C,'P&amp;L Forecast'!$B123)</f>
        <v>0</v>
      </c>
      <c r="U123" s="54">
        <f>SUMIFS('Combined P&amp;L'!S:S,'Combined P&amp;L'!$C:$C,'P&amp;L Forecast'!$B123)</f>
        <v>0</v>
      </c>
      <c r="V123" s="54">
        <f>SUMIFS('Combined P&amp;L'!T:T,'Combined P&amp;L'!$C:$C,'P&amp;L Forecast'!$B123)</f>
        <v>0</v>
      </c>
      <c r="W123" s="54">
        <f>SUMIFS('Combined P&amp;L'!U:U,'Combined P&amp;L'!$C:$C,'P&amp;L Forecast'!$B123)</f>
        <v>0</v>
      </c>
      <c r="X123" s="54">
        <f>SUMIFS('Combined P&amp;L'!V:V,'Combined P&amp;L'!$C:$C,'P&amp;L Forecast'!$B123)</f>
        <v>0</v>
      </c>
      <c r="Y123" s="54">
        <f>SUMIFS('Combined P&amp;L'!W:W,'Combined P&amp;L'!$C:$C,'P&amp;L Forecast'!$B123)</f>
        <v>0</v>
      </c>
      <c r="Z123" s="54">
        <f>SUMIFS('Combined P&amp;L'!X:X,'Combined P&amp;L'!$C:$C,'P&amp;L Forecast'!$B123)</f>
        <v>0</v>
      </c>
      <c r="AA123" s="54">
        <f>SUMIFS('Combined P&amp;L'!Y:Y,'Combined P&amp;L'!$C:$C,'P&amp;L Forecast'!$B123)</f>
        <v>0</v>
      </c>
      <c r="AB123" s="54">
        <f>SUMIFS('Combined P&amp;L'!Z:Z,'Combined P&amp;L'!$C:$C,'P&amp;L Forecast'!$B123)</f>
        <v>0</v>
      </c>
      <c r="AC123" s="54">
        <f>SUMIFS('Combined P&amp;L'!AA:AA,'Combined P&amp;L'!$C:$C,'P&amp;L Forecast'!$B123)</f>
        <v>0</v>
      </c>
      <c r="AD123" s="54">
        <f>SUMIFS('Combined P&amp;L'!AB:AB,'Combined P&amp;L'!$C:$C,'P&amp;L Forecast'!$B123)</f>
        <v>0</v>
      </c>
      <c r="AE123" s="54">
        <f>SUMIFS('Combined P&amp;L'!AC:AC,'Combined P&amp;L'!$C:$C,'P&amp;L Forecast'!$B123)</f>
        <v>0</v>
      </c>
      <c r="AF123" s="54">
        <f>SUMIFS('Combined P&amp;L'!AD:AD,'Combined P&amp;L'!$C:$C,'P&amp;L Forecast'!$B123)</f>
        <v>0</v>
      </c>
      <c r="AG123" s="54">
        <f>SUMIFS('Combined P&amp;L'!AE:AE,'Combined P&amp;L'!$C:$C,'P&amp;L Forecast'!$B123)</f>
        <v>0</v>
      </c>
      <c r="AH123" s="54">
        <f>SUMIFS('Combined P&amp;L'!AF:AF,'Combined P&amp;L'!$C:$C,'P&amp;L Forecast'!$B123)</f>
        <v>0</v>
      </c>
      <c r="AI123" s="54">
        <f>SUMIFS('Combined P&amp;L'!AG:AG,'Combined P&amp;L'!$C:$C,'P&amp;L Forecast'!$B123)</f>
        <v>0</v>
      </c>
      <c r="AJ123" s="54">
        <f>SUMIFS('Combined P&amp;L'!AH:AH,'Combined P&amp;L'!$C:$C,'P&amp;L Forecast'!$B123)</f>
        <v>0</v>
      </c>
      <c r="AK123" s="54">
        <f>SUMIFS('Combined P&amp;L'!AI:AI,'Combined P&amp;L'!$C:$C,'P&amp;L Forecast'!$B123)</f>
        <v>1.1499999999999999</v>
      </c>
      <c r="AL123" s="54">
        <f>SUMIFS('Combined P&amp;L'!AJ:AJ,'Combined P&amp;L'!$C:$C,'P&amp;L Forecast'!$B123)</f>
        <v>0.4375</v>
      </c>
      <c r="AM123" s="54">
        <f>SUMIFS('Combined P&amp;L'!AK:AK,'Combined P&amp;L'!$C:$C,'P&amp;L Forecast'!$B123)</f>
        <v>0</v>
      </c>
      <c r="AN123" s="54">
        <f>SUMIFS('Combined P&amp;L'!AL:AL,'Combined P&amp;L'!$C:$C,'P&amp;L Forecast'!$B123)</f>
        <v>0</v>
      </c>
      <c r="AO123" s="54">
        <f>SUMIFS('Combined P&amp;L'!AM:AM,'Combined P&amp;L'!$C:$C,'P&amp;L Forecast'!$B123)</f>
        <v>3</v>
      </c>
      <c r="AP123" s="54">
        <f>SUMIFS('Combined P&amp;L'!AN:AN,'Combined P&amp;L'!$C:$C,'P&amp;L Forecast'!$B123)</f>
        <v>16.265499999999999</v>
      </c>
      <c r="AQ123" s="54">
        <f>SUMIFS('Combined P&amp;L'!AO:AO,'Combined P&amp;L'!$C:$C,'P&amp;L Forecast'!$B123)</f>
        <v>2.8</v>
      </c>
      <c r="AR123" s="54">
        <f>SUMIFS('Combined P&amp;L'!AP:AP,'Combined P&amp;L'!$C:$C,'P&amp;L Forecast'!$B123)</f>
        <v>0</v>
      </c>
      <c r="AS123" s="54">
        <f>SUMIFS('Combined P&amp;L'!AQ:AQ,'Combined P&amp;L'!$C:$C,'P&amp;L Forecast'!$B123)</f>
        <v>8.4499999999999993</v>
      </c>
      <c r="AT123" s="54">
        <f>SUMIFS('Combined P&amp;L'!AR:AR,'Combined P&amp;L'!$C:$C,'P&amp;L Forecast'!$B123)</f>
        <v>0</v>
      </c>
    </row>
    <row r="124" spans="2:46" x14ac:dyDescent="0.2">
      <c r="B124" s="103" t="s">
        <v>104</v>
      </c>
      <c r="C124" s="24">
        <f>SUMIFS($P124:$AT124,$P$69:$AT$69,"&gt;"&amp;C$169,$P$69:$AT$69,"&lt;"&amp;C$170)</f>
        <v>-2.7359999999999999E-2</v>
      </c>
      <c r="D124" s="24">
        <f>SUMIFS($P124:$AT124,$P$69:$AT$69,"&gt;"&amp;D$169,$P$69:$AT$69,"&lt;"&amp;D$170)</f>
        <v>-0.21722</v>
      </c>
      <c r="E124" s="24"/>
      <c r="F124" s="24">
        <f>SUMIFS($P124:$AT124,$P$69:$AT$69,"&gt;"&amp;F$169,$P$69:$AT$69,"&lt;"&amp;F$170)</f>
        <v>-0.11732999999999999</v>
      </c>
      <c r="G124" s="24">
        <f>SUMIFS($P124:$AT124,$P$69:$AT$69,"&gt;"&amp;G$169,$P$69:$AT$69,"&lt;"&amp;G$170)</f>
        <v>-0.15586999999999998</v>
      </c>
      <c r="H124" s="24"/>
      <c r="I124" s="24">
        <f>SUMIFS($P124:$AT124,$P$69:$AT$69,"&gt;"&amp;I$169,$P$69:$AT$69,"&lt;"&amp;I$170)</f>
        <v>-0.11261999999999998</v>
      </c>
      <c r="J124" s="24">
        <f>SUMIFS($P124:$AT124,$P$69:$AT$69,"&gt;"&amp;J$169,$P$69:$AT$69,"&lt;"&amp;J$170)</f>
        <v>-0.27642000000000005</v>
      </c>
      <c r="K124" s="66">
        <f>+C60</f>
        <v>-0.27642000000000005</v>
      </c>
      <c r="L124" s="66"/>
      <c r="M124" s="24">
        <f t="shared" ref="M124" si="82">+J124-K124</f>
        <v>0</v>
      </c>
      <c r="N124" s="67">
        <f t="shared" ref="N124" si="83">IFERROR(K124/J124-1,0)</f>
        <v>0</v>
      </c>
      <c r="O124" s="53"/>
      <c r="P124" s="54">
        <f>-SUMIFS('Combined P&amp;L'!N:N,'Combined P&amp;L'!$C:$C,'P&amp;L Forecast'!$B124)</f>
        <v>0</v>
      </c>
      <c r="Q124" s="54">
        <f>-SUMIFS('Combined P&amp;L'!O:O,'Combined P&amp;L'!$C:$C,'P&amp;L Forecast'!$B124)</f>
        <v>0</v>
      </c>
      <c r="R124" s="54">
        <f>-SUMIFS('Combined P&amp;L'!P:P,'Combined P&amp;L'!$C:$C,'P&amp;L Forecast'!$B124)</f>
        <v>0</v>
      </c>
      <c r="S124" s="54">
        <f>-SUMIFS('Combined P&amp;L'!Q:Q,'Combined P&amp;L'!$C:$C,'P&amp;L Forecast'!$B124)</f>
        <v>0</v>
      </c>
      <c r="T124" s="54">
        <f>-SUMIFS('Combined P&amp;L'!R:R,'Combined P&amp;L'!$C:$C,'P&amp;L Forecast'!$B124)</f>
        <v>0</v>
      </c>
      <c r="U124" s="54">
        <f>-SUMIFS('Combined P&amp;L'!S:S,'Combined P&amp;L'!$C:$C,'P&amp;L Forecast'!$B124)</f>
        <v>0</v>
      </c>
      <c r="V124" s="54">
        <f>-SUMIFS('Combined P&amp;L'!T:T,'Combined P&amp;L'!$C:$C,'P&amp;L Forecast'!$B124)</f>
        <v>0</v>
      </c>
      <c r="W124" s="54">
        <f>-SUMIFS('Combined P&amp;L'!U:U,'Combined P&amp;L'!$C:$C,'P&amp;L Forecast'!$B124)</f>
        <v>0</v>
      </c>
      <c r="X124" s="54">
        <f>-SUMIFS('Combined P&amp;L'!V:V,'Combined P&amp;L'!$C:$C,'P&amp;L Forecast'!$B124)</f>
        <v>0</v>
      </c>
      <c r="Y124" s="54">
        <f>-SUMIFS('Combined P&amp;L'!W:W,'Combined P&amp;L'!$C:$C,'P&amp;L Forecast'!$B124)</f>
        <v>0</v>
      </c>
      <c r="Z124" s="54">
        <f>-SUMIFS('Combined P&amp;L'!X:X,'Combined P&amp;L'!$C:$C,'P&amp;L Forecast'!$B124)</f>
        <v>0</v>
      </c>
      <c r="AA124" s="54">
        <f>-SUMIFS('Combined P&amp;L'!Y:Y,'Combined P&amp;L'!$C:$C,'P&amp;L Forecast'!$B124)</f>
        <v>-2.7359999999999999E-2</v>
      </c>
      <c r="AB124" s="54">
        <f>-SUMIFS('Combined P&amp;L'!Z:Z,'Combined P&amp;L'!$C:$C,'P&amp;L Forecast'!$B124)</f>
        <v>0</v>
      </c>
      <c r="AC124" s="54">
        <f>-SUMIFS('Combined P&amp;L'!AA:AA,'Combined P&amp;L'!$C:$C,'P&amp;L Forecast'!$B124)</f>
        <v>-1.993E-2</v>
      </c>
      <c r="AD124" s="54">
        <f>-SUMIFS('Combined P&amp;L'!AB:AB,'Combined P&amp;L'!$C:$C,'P&amp;L Forecast'!$B124)</f>
        <v>-1.2930000000000001E-2</v>
      </c>
      <c r="AE124" s="54">
        <f>-SUMIFS('Combined P&amp;L'!AC:AC,'Combined P&amp;L'!$C:$C,'P&amp;L Forecast'!$B124)</f>
        <v>-1.9629999999999998E-2</v>
      </c>
      <c r="AF124" s="54">
        <f>-SUMIFS('Combined P&amp;L'!AD:AD,'Combined P&amp;L'!$C:$C,'P&amp;L Forecast'!$B124)</f>
        <v>-2.3149999999999997E-2</v>
      </c>
      <c r="AG124" s="54">
        <f>-SUMIFS('Combined P&amp;L'!AE:AE,'Combined P&amp;L'!$C:$C,'P&amp;L Forecast'!$B124)</f>
        <v>-9.6200000000000001E-3</v>
      </c>
      <c r="AH124" s="54">
        <f>-SUMIFS('Combined P&amp;L'!AF:AF,'Combined P&amp;L'!$C:$C,'P&amp;L Forecast'!$B124)</f>
        <v>-3.2070000000000001E-2</v>
      </c>
      <c r="AI124" s="54">
        <f>-SUMIFS('Combined P&amp;L'!AG:AG,'Combined P&amp;L'!$C:$C,'P&amp;L Forecast'!$B124)</f>
        <v>-1.634E-2</v>
      </c>
      <c r="AJ124" s="54">
        <f>-SUMIFS('Combined P&amp;L'!AH:AH,'Combined P&amp;L'!$C:$C,'P&amp;L Forecast'!$B124)</f>
        <v>-1.584E-2</v>
      </c>
      <c r="AK124" s="54">
        <f>-SUMIFS('Combined P&amp;L'!AI:AI,'Combined P&amp;L'!$C:$C,'P&amp;L Forecast'!$B124)</f>
        <v>-2.3960000000000002E-2</v>
      </c>
      <c r="AL124" s="54">
        <f>-SUMIFS('Combined P&amp;L'!AJ:AJ,'Combined P&amp;L'!$C:$C,'P&amp;L Forecast'!$B124)</f>
        <v>-2.513E-2</v>
      </c>
      <c r="AM124" s="54">
        <f>-SUMIFS('Combined P&amp;L'!AK:AK,'Combined P&amp;L'!$C:$C,'P&amp;L Forecast'!$B124)</f>
        <v>-1.8620000000000001E-2</v>
      </c>
      <c r="AN124" s="54">
        <f>-SUMIFS('Combined P&amp;L'!AL:AL,'Combined P&amp;L'!$C:$C,'P&amp;L Forecast'!$B124)</f>
        <v>-1.03E-2</v>
      </c>
      <c r="AO124" s="54">
        <f>-SUMIFS('Combined P&amp;L'!AM:AM,'Combined P&amp;L'!$C:$C,'P&amp;L Forecast'!$B124)</f>
        <v>-1.3800000000000002E-2</v>
      </c>
      <c r="AP124" s="54">
        <f>-SUMIFS('Combined P&amp;L'!AN:AN,'Combined P&amp;L'!$C:$C,'P&amp;L Forecast'!$B124)</f>
        <v>-9.2499999999999995E-3</v>
      </c>
      <c r="AQ124" s="54">
        <f>-SUMIFS('Combined P&amp;L'!AO:AO,'Combined P&amp;L'!$C:$C,'P&amp;L Forecast'!$B124)</f>
        <v>-6.1810000000000004E-2</v>
      </c>
      <c r="AR124" s="54">
        <f>-SUMIFS('Combined P&amp;L'!AP:AP,'Combined P&amp;L'!$C:$C,'P&amp;L Forecast'!$B124)</f>
        <v>-3.3159999999999995E-2</v>
      </c>
      <c r="AS124" s="54">
        <f>-SUMIFS('Combined P&amp;L'!AQ:AQ,'Combined P&amp;L'!$C:$C,'P&amp;L Forecast'!$B124)</f>
        <v>-1.6140000000000002E-2</v>
      </c>
      <c r="AT124" s="54">
        <f>-SUMIFS('Combined P&amp;L'!AR:AR,'Combined P&amp;L'!$C:$C,'P&amp;L Forecast'!$B124)</f>
        <v>-1.141E-2</v>
      </c>
    </row>
    <row r="125" spans="2:46" x14ac:dyDescent="0.2">
      <c r="B125" s="58" t="s">
        <v>108</v>
      </c>
      <c r="C125" s="24">
        <f>SUMIFS($P125:$AT125,$P$69:$AT$69,"&gt;"&amp;C$169,$P$69:$AT$69,"&lt;"&amp;C$170)</f>
        <v>15.899579999999998</v>
      </c>
      <c r="D125" s="24">
        <f>SUMIFS($P125:$AT125,$P$69:$AT$69,"&gt;"&amp;D$169,$P$69:$AT$69,"&lt;"&amp;D$170)</f>
        <v>19.378</v>
      </c>
      <c r="E125" s="24"/>
      <c r="F125" s="24">
        <f>SUMIFS($P125:$AT125,$P$69:$AT$69,"&gt;"&amp;F$169,$P$69:$AT$69,"&lt;"&amp;F$170)</f>
        <v>12.74039</v>
      </c>
      <c r="G125" s="24">
        <f>SUMIFS($P125:$AT125,$P$69:$AT$69,"&gt;"&amp;G$169,$P$69:$AT$69,"&lt;"&amp;G$170)</f>
        <v>11.77191</v>
      </c>
      <c r="H125" s="24"/>
      <c r="I125" s="24">
        <f>SUMIFS($P125:$AT125,$P$69:$AT$69,"&gt;"&amp;I$169,$P$69:$AT$69,"&lt;"&amp;I$170)</f>
        <v>15.450569999999999</v>
      </c>
      <c r="J125" s="24">
        <f>SUMIFS($P125:$AT125,$P$69:$AT$69,"&gt;"&amp;J$169,$P$69:$AT$69,"&lt;"&amp;J$170)</f>
        <v>17.956009999999999</v>
      </c>
      <c r="K125" s="66">
        <f>+C61</f>
        <v>17.956009999999999</v>
      </c>
      <c r="L125" s="66"/>
      <c r="M125" s="24">
        <f t="shared" ref="M125" si="84">+J125-K125</f>
        <v>0</v>
      </c>
      <c r="N125" s="67">
        <f t="shared" ref="N125" si="85">IFERROR(K125/J125-1,0)</f>
        <v>0</v>
      </c>
      <c r="O125" s="53"/>
      <c r="P125" s="54">
        <f>SUMIFS('Combined P&amp;L'!N:N,'Combined P&amp;L'!$C:$C,'P&amp;L Forecast'!$B125)</f>
        <v>1.19783</v>
      </c>
      <c r="Q125" s="54">
        <f>SUMIFS('Combined P&amp;L'!O:O,'Combined P&amp;L'!$C:$C,'P&amp;L Forecast'!$B125)</f>
        <v>1.34599</v>
      </c>
      <c r="R125" s="54">
        <f>SUMIFS('Combined P&amp;L'!P:P,'Combined P&amp;L'!$C:$C,'P&amp;L Forecast'!$B125)</f>
        <v>3.9837499999999997</v>
      </c>
      <c r="S125" s="54">
        <f>SUMIFS('Combined P&amp;L'!Q:Q,'Combined P&amp;L'!$C:$C,'P&amp;L Forecast'!$B125)</f>
        <v>4.0654399999999997</v>
      </c>
      <c r="T125" s="54">
        <f>SUMIFS('Combined P&amp;L'!R:R,'Combined P&amp;L'!$C:$C,'P&amp;L Forecast'!$B125)</f>
        <v>1.0669900000000001</v>
      </c>
      <c r="U125" s="54">
        <f>SUMIFS('Combined P&amp;L'!S:S,'Combined P&amp;L'!$C:$C,'P&amp;L Forecast'!$B125)</f>
        <v>1.0122</v>
      </c>
      <c r="V125" s="54">
        <f>SUMIFS('Combined P&amp;L'!T:T,'Combined P&amp;L'!$C:$C,'P&amp;L Forecast'!$B125)</f>
        <v>5.6299999999999996E-3</v>
      </c>
      <c r="W125" s="54">
        <f>SUMIFS('Combined P&amp;L'!U:U,'Combined P&amp;L'!$C:$C,'P&amp;L Forecast'!$B125)</f>
        <v>0.17100000000000001</v>
      </c>
      <c r="X125" s="54">
        <f>SUMIFS('Combined P&amp;L'!V:V,'Combined P&amp;L'!$C:$C,'P&amp;L Forecast'!$B125)</f>
        <v>1.1635</v>
      </c>
      <c r="Y125" s="54">
        <f>SUMIFS('Combined P&amp;L'!W:W,'Combined P&amp;L'!$C:$C,'P&amp;L Forecast'!$B125)</f>
        <v>0.52825</v>
      </c>
      <c r="Z125" s="54">
        <f>SUMIFS('Combined P&amp;L'!X:X,'Combined P&amp;L'!$C:$C,'P&amp;L Forecast'!$B125)</f>
        <v>0.20442000000000002</v>
      </c>
      <c r="AA125" s="54">
        <f>SUMIFS('Combined P&amp;L'!Y:Y,'Combined P&amp;L'!$C:$C,'P&amp;L Forecast'!$B125)</f>
        <v>1.1545799999999999</v>
      </c>
      <c r="AB125" s="54">
        <f>SUMIFS('Combined P&amp;L'!Z:Z,'Combined P&amp;L'!$C:$C,'P&amp;L Forecast'!$B125)</f>
        <v>0.61331000000000002</v>
      </c>
      <c r="AC125" s="54">
        <f>SUMIFS('Combined P&amp;L'!AA:AA,'Combined P&amp;L'!$C:$C,'P&amp;L Forecast'!$B125)</f>
        <v>0.63213000000000008</v>
      </c>
      <c r="AD125" s="54">
        <f>SUMIFS('Combined P&amp;L'!AB:AB,'Combined P&amp;L'!$C:$C,'P&amp;L Forecast'!$B125)</f>
        <v>5.3820199999999989</v>
      </c>
      <c r="AE125" s="54">
        <f>SUMIFS('Combined P&amp;L'!AC:AC,'Combined P&amp;L'!$C:$C,'P&amp;L Forecast'!$B125)</f>
        <v>4.3278199999999991</v>
      </c>
      <c r="AF125" s="54">
        <f>SUMIFS('Combined P&amp;L'!AD:AD,'Combined P&amp;L'!$C:$C,'P&amp;L Forecast'!$B125)</f>
        <v>0.93786000000000003</v>
      </c>
      <c r="AG125" s="54">
        <f>SUMIFS('Combined P&amp;L'!AE:AE,'Combined P&amp;L'!$C:$C,'P&amp;L Forecast'!$B125)</f>
        <v>0.33005000000000001</v>
      </c>
      <c r="AH125" s="54">
        <f>SUMIFS('Combined P&amp;L'!AF:AF,'Combined P&amp;L'!$C:$C,'P&amp;L Forecast'!$B125)</f>
        <v>0.51719999999999999</v>
      </c>
      <c r="AI125" s="54">
        <f>SUMIFS('Combined P&amp;L'!AG:AG,'Combined P&amp;L'!$C:$C,'P&amp;L Forecast'!$B125)</f>
        <v>0.67979000000000001</v>
      </c>
      <c r="AJ125" s="54">
        <f>SUMIFS('Combined P&amp;L'!AH:AH,'Combined P&amp;L'!$C:$C,'P&amp;L Forecast'!$B125)</f>
        <v>0.73354999999999992</v>
      </c>
      <c r="AK125" s="54">
        <f>SUMIFS('Combined P&amp;L'!AI:AI,'Combined P&amp;L'!$C:$C,'P&amp;L Forecast'!$B125)</f>
        <v>1.5191300000000001</v>
      </c>
      <c r="AL125" s="54">
        <f>SUMIFS('Combined P&amp;L'!AJ:AJ,'Combined P&amp;L'!$C:$C,'P&amp;L Forecast'!$B125)</f>
        <v>0.34955000000000003</v>
      </c>
      <c r="AM125" s="54">
        <f>SUMIFS('Combined P&amp;L'!AK:AK,'Combined P&amp;L'!$C:$C,'P&amp;L Forecast'!$B125)</f>
        <v>3.3555900000000003</v>
      </c>
      <c r="AN125" s="54">
        <f>SUMIFS('Combined P&amp;L'!AL:AL,'Combined P&amp;L'!$C:$C,'P&amp;L Forecast'!$B125)</f>
        <v>1.40831</v>
      </c>
      <c r="AO125" s="54">
        <f>SUMIFS('Combined P&amp;L'!AM:AM,'Combined P&amp;L'!$C:$C,'P&amp;L Forecast'!$B125)</f>
        <v>3.7292999999999998</v>
      </c>
      <c r="AP125" s="54">
        <f>SUMIFS('Combined P&amp;L'!AN:AN,'Combined P&amp;L'!$C:$C,'P&amp;L Forecast'!$B125)</f>
        <v>3.4081999999999995</v>
      </c>
      <c r="AQ125" s="54">
        <f>SUMIFS('Combined P&amp;L'!AO:AO,'Combined P&amp;L'!$C:$C,'P&amp;L Forecast'!$B125)</f>
        <v>0.67764000000000002</v>
      </c>
      <c r="AR125" s="54">
        <f>SUMIFS('Combined P&amp;L'!AP:AP,'Combined P&amp;L'!$C:$C,'P&amp;L Forecast'!$B125)</f>
        <v>0.92959999999999998</v>
      </c>
      <c r="AS125" s="54">
        <f>SUMIFS('Combined P&amp;L'!AQ:AQ,'Combined P&amp;L'!$C:$C,'P&amp;L Forecast'!$B125)</f>
        <v>0.64815</v>
      </c>
      <c r="AT125" s="54">
        <f>SUMIFS('Combined P&amp;L'!AR:AR,'Combined P&amp;L'!$C:$C,'P&amp;L Forecast'!$B125)</f>
        <v>0.97070999999999996</v>
      </c>
    </row>
    <row r="126" spans="2:46" x14ac:dyDescent="0.2">
      <c r="B126" s="97" t="s">
        <v>302</v>
      </c>
      <c r="C126" s="60">
        <f>SUM(C108:C125)</f>
        <v>113.94989999999999</v>
      </c>
      <c r="D126" s="60">
        <f>SUM(D108:D125)</f>
        <v>205.54162000000002</v>
      </c>
      <c r="F126" s="60">
        <f>SUM(F108:F125)</f>
        <v>121.59989000000002</v>
      </c>
      <c r="G126" s="60">
        <f>SUM(G108:G125)</f>
        <v>189.30078999999998</v>
      </c>
      <c r="I126" s="60">
        <f>SUM(I108:I125)</f>
        <v>164.35516000000004</v>
      </c>
      <c r="J126" s="60">
        <f>SUM(J108:J125)</f>
        <v>242.57616000000002</v>
      </c>
      <c r="K126" s="60">
        <f>SUM(K108:K125)</f>
        <v>208.46251000000001</v>
      </c>
      <c r="L126" s="72"/>
      <c r="M126" s="60">
        <f>SUM(M108:M125)</f>
        <v>34.11365</v>
      </c>
      <c r="N126" s="95">
        <f t="shared" ref="N126:N128" si="86">IFERROR(K126/J126-1,0)</f>
        <v>-0.14063067862893042</v>
      </c>
      <c r="P126" s="60">
        <f>SUM(P108:P125)</f>
        <v>6.3498899999999994</v>
      </c>
      <c r="Q126" s="60">
        <f>SUM(Q108:Q125)</f>
        <v>9.3383300000000009</v>
      </c>
      <c r="R126" s="60">
        <f>SUM(R108:R125)</f>
        <v>10.572559999999999</v>
      </c>
      <c r="S126" s="60">
        <f>SUM(S108:S125)</f>
        <v>17.246530000000003</v>
      </c>
      <c r="T126" s="60">
        <f>SUM(T108:T125)</f>
        <v>5.7650100000000002</v>
      </c>
      <c r="U126" s="60">
        <f>SUM(U108:U125)</f>
        <v>12.701700000000001</v>
      </c>
      <c r="V126" s="60">
        <f>SUM(V108:V125)</f>
        <v>6.1308299999999996</v>
      </c>
      <c r="W126" s="60">
        <f>SUM(W108:W125)</f>
        <v>6.3450800000000012</v>
      </c>
      <c r="X126" s="60">
        <f>SUM(X108:X125)</f>
        <v>12.34346</v>
      </c>
      <c r="Y126" s="60">
        <f>SUM(Y108:Y125)</f>
        <v>6.8983999999999996</v>
      </c>
      <c r="Z126" s="60">
        <f>SUM(Z108:Z125)</f>
        <v>7.9963599999999984</v>
      </c>
      <c r="AA126" s="60">
        <f>SUM(AA108:AA125)</f>
        <v>12.261750000000001</v>
      </c>
      <c r="AB126" s="60">
        <f>SUM(AB108:AB125)</f>
        <v>12.998240000000001</v>
      </c>
      <c r="AC126" s="60">
        <f>SUM(AC108:AC125)</f>
        <v>29.570220000000003</v>
      </c>
      <c r="AD126" s="60">
        <f>SUM(AD108:AD125)</f>
        <v>15.127749999999995</v>
      </c>
      <c r="AE126" s="60">
        <f>SUM(AE108:AE125)</f>
        <v>26.672890000000002</v>
      </c>
      <c r="AF126" s="60">
        <f>SUM(AF108:AF125)</f>
        <v>16.811419999999995</v>
      </c>
      <c r="AG126" s="60">
        <f>SUM(AG108:AG125)</f>
        <v>11.19876</v>
      </c>
      <c r="AH126" s="60">
        <f>SUM(AH108:AH125)</f>
        <v>9.2206100000000024</v>
      </c>
      <c r="AI126" s="60">
        <f>SUM(AI108:AI125)</f>
        <v>14.376060000000001</v>
      </c>
      <c r="AJ126" s="60">
        <f>SUM(AJ108:AJ125)</f>
        <v>15.38611</v>
      </c>
      <c r="AK126" s="60">
        <f>SUM(AK108:AK125)</f>
        <v>12.7422</v>
      </c>
      <c r="AL126" s="60">
        <f>SUM(AL108:AL125)</f>
        <v>14.61088</v>
      </c>
      <c r="AM126" s="60">
        <f>SUM(AM108:AM125)</f>
        <v>26.826480000000007</v>
      </c>
      <c r="AN126" s="60">
        <f>SUM(AN108:AN125)</f>
        <v>10.238199999999999</v>
      </c>
      <c r="AO126" s="60">
        <f>SUM(AO108:AO125)</f>
        <v>17.660679999999999</v>
      </c>
      <c r="AP126" s="60">
        <f>SUM(AP108:AP125)</f>
        <v>37.953969999999998</v>
      </c>
      <c r="AQ126" s="60">
        <f>SUM(AQ108:AQ125)</f>
        <v>30.732040000000001</v>
      </c>
      <c r="AR126" s="60">
        <f>SUM(AR108:AR125)</f>
        <v>36.065340000000006</v>
      </c>
      <c r="AS126" s="60">
        <f>SUM(AS108:AS125)</f>
        <v>16.763590000000001</v>
      </c>
      <c r="AT126" s="60">
        <f>SUM(AT108:AT125)</f>
        <v>39.886970000000005</v>
      </c>
    </row>
    <row r="127" spans="2:46" ht="3.95" customHeight="1" x14ac:dyDescent="0.2"/>
    <row r="128" spans="2:46" s="125" customFormat="1" x14ac:dyDescent="0.2">
      <c r="B128" s="128" t="s">
        <v>115</v>
      </c>
      <c r="C128" s="129">
        <f>+C88-C100-C106-C126</f>
        <v>145.4718500000001</v>
      </c>
      <c r="D128" s="130">
        <f>+D88-D100-D106-D126</f>
        <v>130.98029999999983</v>
      </c>
      <c r="F128" s="134">
        <f>+F88-F100-F106-F126</f>
        <v>103.83597999999984</v>
      </c>
      <c r="G128" s="130">
        <f>+G88-G100-G106-G126</f>
        <v>76.14350000000033</v>
      </c>
      <c r="I128" s="134">
        <f>+I88-I100-I106-I126</f>
        <v>145.36932999999985</v>
      </c>
      <c r="J128" s="129">
        <f>+J88-J100-J106-J126</f>
        <v>135.16143000000045</v>
      </c>
      <c r="K128" s="130">
        <f>+K88-K100-K106-K126</f>
        <v>36.316810000000089</v>
      </c>
      <c r="L128" s="126"/>
      <c r="M128" s="134">
        <f>+M88+M100+M106+M126</f>
        <v>-98.844620000000276</v>
      </c>
      <c r="N128" s="136">
        <f t="shared" si="86"/>
        <v>-0.73130788864841123</v>
      </c>
      <c r="P128" s="134">
        <f>+P88-P100-P106-P126</f>
        <v>32.29054</v>
      </c>
      <c r="Q128" s="129">
        <f>+Q88-Q100-Q106-Q126</f>
        <v>23.655570000000012</v>
      </c>
      <c r="R128" s="129">
        <f>+R88-R100-R106-R126</f>
        <v>18.009040000000002</v>
      </c>
      <c r="S128" s="129">
        <f>+S88-S100-S106-S126</f>
        <v>3.3036999999999814</v>
      </c>
      <c r="T128" s="129">
        <f>+T88-T100-T106-T126</f>
        <v>0.97158000000002254</v>
      </c>
      <c r="U128" s="129">
        <f>+U88-U100-U106-U126</f>
        <v>10.027299999999999</v>
      </c>
      <c r="V128" s="129">
        <f>+V88-V100-V106-V126</f>
        <v>26.037100000000013</v>
      </c>
      <c r="W128" s="129">
        <f>+W88-W100-W106-W126</f>
        <v>28.863819999999997</v>
      </c>
      <c r="X128" s="129">
        <f>+X88-X100-X106-X126</f>
        <v>10.835770000000004</v>
      </c>
      <c r="Y128" s="129">
        <f>+Y88-Y100-Y106-Y126</f>
        <v>11.887049999999981</v>
      </c>
      <c r="Z128" s="129">
        <f>+Z88-Z100-Z106-Z126</f>
        <v>-11.563829999999996</v>
      </c>
      <c r="AA128" s="129">
        <f>+AA88-AA100-AA106-AA126</f>
        <v>-8.8457899999999778</v>
      </c>
      <c r="AB128" s="129">
        <f>+AB88-AB100-AB106-AB126</f>
        <v>20.371919999999967</v>
      </c>
      <c r="AC128" s="129">
        <f>+AC88-AC100-AC106-AC126</f>
        <v>7.5049699999999966</v>
      </c>
      <c r="AD128" s="129">
        <f>+AD88-AD100-AD106-AD126</f>
        <v>20.557870000000005</v>
      </c>
      <c r="AE128" s="129">
        <f>+AE88-AE100-AE106-AE126</f>
        <v>-3.217779999999987</v>
      </c>
      <c r="AF128" s="129">
        <f>+AF88-AF100-AF106-AF126</f>
        <v>17.914550000000009</v>
      </c>
      <c r="AG128" s="129">
        <f>+AG88-AG100-AG106-AG126</f>
        <v>25.023679999999977</v>
      </c>
      <c r="AH128" s="129">
        <f>+AH88-AH100-AH106-AH126</f>
        <v>15.680769999999987</v>
      </c>
      <c r="AI128" s="129">
        <f>+AI88-AI100-AI106-AI126</f>
        <v>18.057059999999971</v>
      </c>
      <c r="AJ128" s="129">
        <f>+AJ88-AJ100-AJ106-AJ126</f>
        <v>2.7743600000000104</v>
      </c>
      <c r="AK128" s="129">
        <f>+AK88-AK100-AK106-AK126</f>
        <v>2.5894700000000057</v>
      </c>
      <c r="AL128" s="129">
        <f>+AL88-AL100-AL106-AL126</f>
        <v>13.519970000000038</v>
      </c>
      <c r="AM128" s="129">
        <f>+AM88-AM100-AM106-AM126</f>
        <v>-9.7965400000000109</v>
      </c>
      <c r="AN128" s="129">
        <f>+AN88-AN100-AN106-AN126</f>
        <v>31.645769999999978</v>
      </c>
      <c r="AO128" s="129">
        <f>+AO88-AO100-AO106-AO126</f>
        <v>70.339949999999973</v>
      </c>
      <c r="AP128" s="129">
        <f>+AP88-AP100-AP106-AP126</f>
        <v>-13.787130000000019</v>
      </c>
      <c r="AQ128" s="129">
        <f>+AQ88-AQ100-AQ106-AQ126</f>
        <v>-4.524490000000025</v>
      </c>
      <c r="AR128" s="129">
        <f>+AR88-AR100-AR106-AR126</f>
        <v>-0.17472000000000065</v>
      </c>
      <c r="AS128" s="129">
        <f>+AS88-AS100-AS106-AS126</f>
        <v>8.8369600000000688</v>
      </c>
      <c r="AT128" s="130">
        <f>+AT88-AT100-AT106-AT126</f>
        <v>-16.192839999999997</v>
      </c>
    </row>
    <row r="129" spans="1:46" s="112" customFormat="1" x14ac:dyDescent="0.2">
      <c r="B129" s="131" t="s">
        <v>310</v>
      </c>
      <c r="C129" s="132">
        <f>C128/C$88</f>
        <v>0.12817288731638937</v>
      </c>
      <c r="D129" s="133">
        <f>D128/D$88</f>
        <v>6.9693240249527957E-2</v>
      </c>
      <c r="F129" s="135">
        <f>F128/F$88</f>
        <v>0.1040572994702431</v>
      </c>
      <c r="G129" s="133">
        <f>G128/G$88</f>
        <v>4.5567046067398989E-2</v>
      </c>
      <c r="I129" s="135">
        <f>I128/I$88</f>
        <v>9.8641619184297466E-2</v>
      </c>
      <c r="J129" s="132">
        <f>J128/J$88</f>
        <v>5.5022263996797945E-2</v>
      </c>
      <c r="K129" s="133">
        <f>K128/K$88</f>
        <v>1.1855509309494626E-2</v>
      </c>
      <c r="L129" s="127"/>
      <c r="M129" s="135">
        <v>0</v>
      </c>
      <c r="N129" s="137">
        <v>0</v>
      </c>
      <c r="P129" s="135">
        <f t="shared" ref="P129:AT129" si="87">P128/P$88</f>
        <v>0.39907678731874074</v>
      </c>
      <c r="Q129" s="132">
        <f t="shared" si="87"/>
        <v>0.29112505338087064</v>
      </c>
      <c r="R129" s="132">
        <f t="shared" si="87"/>
        <v>0.23055348588312713</v>
      </c>
      <c r="S129" s="132">
        <f t="shared" si="87"/>
        <v>3.9634903477126664E-2</v>
      </c>
      <c r="T129" s="132">
        <f t="shared" si="87"/>
        <v>1.0771856670157455E-2</v>
      </c>
      <c r="U129" s="132">
        <f t="shared" si="87"/>
        <v>0.11151877645530595</v>
      </c>
      <c r="V129" s="132">
        <f t="shared" si="87"/>
        <v>0.24872554559258261</v>
      </c>
      <c r="W129" s="132">
        <f t="shared" si="87"/>
        <v>0.27722551846845006</v>
      </c>
      <c r="X129" s="132">
        <f t="shared" si="87"/>
        <v>0.11015011779176656</v>
      </c>
      <c r="Y129" s="132">
        <f t="shared" si="87"/>
        <v>0.11999981828992633</v>
      </c>
      <c r="Z129" s="132">
        <f t="shared" si="87"/>
        <v>-0.10585972007729956</v>
      </c>
      <c r="AA129" s="132">
        <f t="shared" si="87"/>
        <v>-7.6420290474838865E-2</v>
      </c>
      <c r="AB129" s="132">
        <f t="shared" si="87"/>
        <v>0.14691724622113159</v>
      </c>
      <c r="AC129" s="132">
        <f t="shared" si="87"/>
        <v>5.8723140217804622E-2</v>
      </c>
      <c r="AD129" s="132">
        <f t="shared" si="87"/>
        <v>0.15264751707122823</v>
      </c>
      <c r="AE129" s="132">
        <f t="shared" si="87"/>
        <v>-2.3664392729283685E-2</v>
      </c>
      <c r="AF129" s="132">
        <f t="shared" si="87"/>
        <v>0.11781925710247981</v>
      </c>
      <c r="AG129" s="132">
        <f t="shared" si="87"/>
        <v>0.16320676168834009</v>
      </c>
      <c r="AH129" s="132">
        <f t="shared" si="87"/>
        <v>0.10091833751896462</v>
      </c>
      <c r="AI129" s="132">
        <f t="shared" si="87"/>
        <v>0.11294605003511514</v>
      </c>
      <c r="AJ129" s="132">
        <f t="shared" si="87"/>
        <v>1.6916910758289692E-2</v>
      </c>
      <c r="AK129" s="132">
        <f t="shared" si="87"/>
        <v>1.4446600906115619E-2</v>
      </c>
      <c r="AL129" s="132">
        <f t="shared" si="87"/>
        <v>7.4412058126513955E-2</v>
      </c>
      <c r="AM129" s="132">
        <f t="shared" si="87"/>
        <v>-4.9803795250781595E-2</v>
      </c>
      <c r="AN129" s="132">
        <f t="shared" si="87"/>
        <v>0.14914164930768281</v>
      </c>
      <c r="AO129" s="132">
        <f t="shared" si="87"/>
        <v>0.29078545945995543</v>
      </c>
      <c r="AP129" s="132">
        <f t="shared" si="87"/>
        <v>-5.9556833430995562E-2</v>
      </c>
      <c r="AQ129" s="132">
        <f t="shared" si="87"/>
        <v>-1.8826980602112783E-2</v>
      </c>
      <c r="AR129" s="132">
        <f t="shared" si="87"/>
        <v>-7.0967025231840307E-4</v>
      </c>
      <c r="AS129" s="132">
        <f t="shared" si="87"/>
        <v>3.5704989872698906E-2</v>
      </c>
      <c r="AT129" s="133">
        <f t="shared" si="87"/>
        <v>-6.4404038009615944E-2</v>
      </c>
    </row>
    <row r="130" spans="1:46" ht="3.95" customHeight="1" x14ac:dyDescent="0.2"/>
    <row r="131" spans="1:46" s="112" customFormat="1" ht="12" customHeight="1" x14ac:dyDescent="0.2">
      <c r="A131" s="112" t="s">
        <v>297</v>
      </c>
      <c r="B131" s="112" t="s">
        <v>308</v>
      </c>
      <c r="C131" s="123">
        <f>C128-'Combined P&amp;L'!E114</f>
        <v>0</v>
      </c>
      <c r="D131" s="123">
        <f>D128-'Combined P&amp;L'!F114</f>
        <v>0</v>
      </c>
      <c r="E131" s="123"/>
      <c r="F131" s="123">
        <f>F128-'Combined P&amp;L'!H114</f>
        <v>-1.1368683772161603E-13</v>
      </c>
      <c r="G131" s="123">
        <f>G128-'Combined P&amp;L'!I114</f>
        <v>3.2684965844964609E-13</v>
      </c>
      <c r="H131" s="123"/>
      <c r="I131" s="123">
        <f>I128-'Combined P&amp;L'!K114</f>
        <v>0</v>
      </c>
      <c r="J131" s="123">
        <f>J128-'Combined P&amp;L'!L114</f>
        <v>4.2632564145606011E-13</v>
      </c>
      <c r="K131" s="123"/>
      <c r="L131" s="124"/>
      <c r="M131" s="124"/>
      <c r="N131" s="124"/>
      <c r="O131" s="124"/>
      <c r="P131" s="123">
        <f>P128-'Combined P&amp;L'!N114</f>
        <v>0</v>
      </c>
      <c r="Q131" s="123">
        <f>Q128-'Combined P&amp;L'!O114</f>
        <v>0</v>
      </c>
      <c r="R131" s="123">
        <f>R128-'Combined P&amp;L'!P114</f>
        <v>0</v>
      </c>
      <c r="S131" s="123">
        <f>S128-'Combined P&amp;L'!Q114</f>
        <v>-8.8817841970012523E-15</v>
      </c>
      <c r="T131" s="123">
        <f>T128-'Combined P&amp;L'!R114</f>
        <v>1.5987211554602254E-14</v>
      </c>
      <c r="U131" s="123">
        <f>U128-'Combined P&amp;L'!S114</f>
        <v>0</v>
      </c>
      <c r="V131" s="123">
        <f>V128-'Combined P&amp;L'!T114</f>
        <v>0</v>
      </c>
      <c r="W131" s="123">
        <f>W128-'Combined P&amp;L'!U114</f>
        <v>0</v>
      </c>
      <c r="X131" s="123">
        <f>X128-'Combined P&amp;L'!V114</f>
        <v>0</v>
      </c>
      <c r="Y131" s="123">
        <f>Y128-'Combined P&amp;L'!W114</f>
        <v>-1.4210854715202004E-14</v>
      </c>
      <c r="Z131" s="123">
        <f>Z128-'Combined P&amp;L'!X114</f>
        <v>-1.4210854715202004E-14</v>
      </c>
      <c r="AA131" s="123">
        <f>AA128-'Combined P&amp;L'!Y114</f>
        <v>2.3092638912203256E-14</v>
      </c>
      <c r="AB131" s="123">
        <f>AB128-'Combined P&amp;L'!Z114</f>
        <v>0</v>
      </c>
      <c r="AC131" s="123">
        <f>AC128-'Combined P&amp;L'!AA114</f>
        <v>0</v>
      </c>
      <c r="AD131" s="123">
        <f>AD128-'Combined P&amp;L'!AB114</f>
        <v>0</v>
      </c>
      <c r="AE131" s="123">
        <f>AE128-'Combined P&amp;L'!AC114</f>
        <v>3.0642155479654321E-14</v>
      </c>
      <c r="AF131" s="123">
        <f>AF128-'Combined P&amp;L'!AD114</f>
        <v>0</v>
      </c>
      <c r="AG131" s="123">
        <f>AG128-'Combined P&amp;L'!AE114</f>
        <v>0</v>
      </c>
      <c r="AH131" s="123">
        <f>AH128-'Combined P&amp;L'!AF114</f>
        <v>0</v>
      </c>
      <c r="AI131" s="123">
        <f>AI128-'Combined P&amp;L'!AG114</f>
        <v>-3.5527136788005009E-14</v>
      </c>
      <c r="AJ131" s="123">
        <f>AJ128-'Combined P&amp;L'!AH114</f>
        <v>2.1316282072803006E-14</v>
      </c>
      <c r="AK131" s="123">
        <f>AK128-'Combined P&amp;L'!AI114</f>
        <v>4.5741188614556449E-14</v>
      </c>
      <c r="AL131" s="123">
        <f>AL128-'Combined P&amp;L'!AJ114</f>
        <v>-1.7763568394002505E-14</v>
      </c>
      <c r="AM131" s="123">
        <f>AM128-'Combined P&amp;L'!AK114</f>
        <v>-3.0198066269804258E-14</v>
      </c>
      <c r="AN131" s="123">
        <f>AN128-'Combined P&amp;L'!AL114</f>
        <v>0</v>
      </c>
      <c r="AO131" s="123">
        <f>AO128-'Combined P&amp;L'!AM114</f>
        <v>0</v>
      </c>
      <c r="AP131" s="123">
        <f>AP128-'Combined P&amp;L'!AN114</f>
        <v>-3.5527136788005009E-14</v>
      </c>
      <c r="AQ131" s="123">
        <f>AQ128-'Combined P&amp;L'!AO114</f>
        <v>0</v>
      </c>
      <c r="AR131" s="123">
        <f>AR128-'Combined P&amp;L'!AP114</f>
        <v>-7.9936057773011271E-15</v>
      </c>
      <c r="AS131" s="123">
        <f>AS128-'Combined P&amp;L'!AQ114</f>
        <v>5.1514348342607263E-14</v>
      </c>
      <c r="AT131" s="123">
        <f>AT128-'Combined P&amp;L'!AR114</f>
        <v>0</v>
      </c>
    </row>
    <row r="132" spans="1:46" ht="3.95" customHeight="1" x14ac:dyDescent="0.2"/>
    <row r="133" spans="1:46" x14ac:dyDescent="0.2">
      <c r="B133" s="43" t="s">
        <v>300</v>
      </c>
      <c r="C133" s="44"/>
      <c r="D133" s="44"/>
      <c r="E133" s="6"/>
      <c r="F133" s="44"/>
      <c r="G133" s="44"/>
      <c r="H133" s="6"/>
      <c r="I133" s="44"/>
      <c r="J133" s="44"/>
      <c r="K133" s="44"/>
      <c r="L133" s="6"/>
      <c r="M133" s="44"/>
      <c r="N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</row>
    <row r="134" spans="1:46" s="109" customFormat="1" x14ac:dyDescent="0.2">
      <c r="B134" s="111" t="str">
        <f>+B128</f>
        <v>Net Income</v>
      </c>
      <c r="C134" s="66">
        <f>+C128</f>
        <v>145.4718500000001</v>
      </c>
      <c r="D134" s="66">
        <f>+D128</f>
        <v>130.98029999999983</v>
      </c>
      <c r="E134" s="108"/>
      <c r="F134" s="66">
        <f>+F128</f>
        <v>103.83597999999984</v>
      </c>
      <c r="G134" s="66">
        <f>+G128</f>
        <v>76.14350000000033</v>
      </c>
      <c r="H134" s="108"/>
      <c r="I134" s="66">
        <f>+I128</f>
        <v>145.36932999999985</v>
      </c>
      <c r="J134" s="66">
        <f>+J128</f>
        <v>135.16143000000045</v>
      </c>
      <c r="K134" s="66">
        <f>+K128</f>
        <v>36.316810000000089</v>
      </c>
      <c r="L134" s="108"/>
      <c r="M134" s="66">
        <f>+M128</f>
        <v>-98.844620000000276</v>
      </c>
      <c r="N134" s="67">
        <f t="shared" ref="N134:N138" si="88">IFERROR(K134/J134-1,0)</f>
        <v>-0.73130788864841123</v>
      </c>
      <c r="P134" s="66">
        <f t="shared" ref="P134:AT134" si="89">+P128</f>
        <v>32.29054</v>
      </c>
      <c r="Q134" s="66">
        <f t="shared" si="89"/>
        <v>23.655570000000012</v>
      </c>
      <c r="R134" s="66">
        <f t="shared" si="89"/>
        <v>18.009040000000002</v>
      </c>
      <c r="S134" s="66">
        <f t="shared" si="89"/>
        <v>3.3036999999999814</v>
      </c>
      <c r="T134" s="66">
        <f t="shared" si="89"/>
        <v>0.97158000000002254</v>
      </c>
      <c r="U134" s="66">
        <f t="shared" si="89"/>
        <v>10.027299999999999</v>
      </c>
      <c r="V134" s="66">
        <f t="shared" si="89"/>
        <v>26.037100000000013</v>
      </c>
      <c r="W134" s="66">
        <f t="shared" si="89"/>
        <v>28.863819999999997</v>
      </c>
      <c r="X134" s="66">
        <f t="shared" si="89"/>
        <v>10.835770000000004</v>
      </c>
      <c r="Y134" s="66">
        <f t="shared" si="89"/>
        <v>11.887049999999981</v>
      </c>
      <c r="Z134" s="66">
        <f t="shared" si="89"/>
        <v>-11.563829999999996</v>
      </c>
      <c r="AA134" s="66">
        <f t="shared" si="89"/>
        <v>-8.8457899999999778</v>
      </c>
      <c r="AB134" s="66">
        <f t="shared" si="89"/>
        <v>20.371919999999967</v>
      </c>
      <c r="AC134" s="66">
        <f t="shared" si="89"/>
        <v>7.5049699999999966</v>
      </c>
      <c r="AD134" s="66">
        <f t="shared" si="89"/>
        <v>20.557870000000005</v>
      </c>
      <c r="AE134" s="66">
        <f t="shared" si="89"/>
        <v>-3.217779999999987</v>
      </c>
      <c r="AF134" s="66">
        <f t="shared" si="89"/>
        <v>17.914550000000009</v>
      </c>
      <c r="AG134" s="66">
        <f t="shared" si="89"/>
        <v>25.023679999999977</v>
      </c>
      <c r="AH134" s="66">
        <f t="shared" si="89"/>
        <v>15.680769999999987</v>
      </c>
      <c r="AI134" s="66">
        <f t="shared" si="89"/>
        <v>18.057059999999971</v>
      </c>
      <c r="AJ134" s="66">
        <f t="shared" si="89"/>
        <v>2.7743600000000104</v>
      </c>
      <c r="AK134" s="66">
        <f t="shared" si="89"/>
        <v>2.5894700000000057</v>
      </c>
      <c r="AL134" s="66">
        <f t="shared" si="89"/>
        <v>13.519970000000038</v>
      </c>
      <c r="AM134" s="66">
        <f t="shared" si="89"/>
        <v>-9.7965400000000109</v>
      </c>
      <c r="AN134" s="66">
        <f t="shared" si="89"/>
        <v>31.645769999999978</v>
      </c>
      <c r="AO134" s="66">
        <f t="shared" si="89"/>
        <v>70.339949999999973</v>
      </c>
      <c r="AP134" s="66">
        <f t="shared" si="89"/>
        <v>-13.787130000000019</v>
      </c>
      <c r="AQ134" s="66">
        <f t="shared" si="89"/>
        <v>-4.524490000000025</v>
      </c>
      <c r="AR134" s="66">
        <f t="shared" si="89"/>
        <v>-0.17472000000000065</v>
      </c>
      <c r="AS134" s="66">
        <f t="shared" si="89"/>
        <v>8.8369600000000688</v>
      </c>
      <c r="AT134" s="66">
        <f t="shared" si="89"/>
        <v>-16.192839999999997</v>
      </c>
    </row>
    <row r="135" spans="1:46" x14ac:dyDescent="0.2">
      <c r="B135" s="103" t="s">
        <v>304</v>
      </c>
      <c r="C135" s="66">
        <f>+C115</f>
        <v>6.673</v>
      </c>
      <c r="D135" s="66">
        <f>+D115</f>
        <v>6.673</v>
      </c>
      <c r="E135" s="24"/>
      <c r="F135" s="66">
        <f>+F115</f>
        <v>0</v>
      </c>
      <c r="G135" s="66">
        <f>+G115</f>
        <v>0</v>
      </c>
      <c r="H135" s="24"/>
      <c r="I135" s="66">
        <f>+I115</f>
        <v>6.673</v>
      </c>
      <c r="J135" s="66">
        <f>+J115</f>
        <v>6.673</v>
      </c>
      <c r="K135" s="66">
        <f>+K115</f>
        <v>6.673</v>
      </c>
      <c r="L135" s="66"/>
      <c r="M135" s="66">
        <f>+M115</f>
        <v>0</v>
      </c>
      <c r="N135" s="67">
        <f t="shared" si="88"/>
        <v>0</v>
      </c>
      <c r="O135" s="53"/>
      <c r="P135" s="66">
        <f>+P115</f>
        <v>0</v>
      </c>
      <c r="Q135" s="66">
        <f>+Q115</f>
        <v>0</v>
      </c>
      <c r="R135" s="66">
        <f>+R115</f>
        <v>0</v>
      </c>
      <c r="S135" s="66">
        <f>+S115</f>
        <v>0</v>
      </c>
      <c r="T135" s="66">
        <f>+T115</f>
        <v>0</v>
      </c>
      <c r="U135" s="66">
        <f>+U115</f>
        <v>0</v>
      </c>
      <c r="V135" s="66">
        <f>+V115</f>
        <v>0</v>
      </c>
      <c r="W135" s="66">
        <f>+W115</f>
        <v>0</v>
      </c>
      <c r="X135" s="66">
        <f>+X115</f>
        <v>0</v>
      </c>
      <c r="Y135" s="66">
        <f>+Y115</f>
        <v>0</v>
      </c>
      <c r="Z135" s="66">
        <f>+Z115</f>
        <v>0</v>
      </c>
      <c r="AA135" s="66">
        <f>+AA115</f>
        <v>6.673</v>
      </c>
      <c r="AB135" s="66">
        <f>+AB115</f>
        <v>0</v>
      </c>
      <c r="AC135" s="66">
        <f>+AC115</f>
        <v>0</v>
      </c>
      <c r="AD135" s="66">
        <f>+AD115</f>
        <v>0</v>
      </c>
      <c r="AE135" s="66">
        <f>+AE115</f>
        <v>0</v>
      </c>
      <c r="AF135" s="66">
        <f>+AF115</f>
        <v>0</v>
      </c>
      <c r="AG135" s="66">
        <f>+AG115</f>
        <v>0</v>
      </c>
      <c r="AH135" s="66">
        <f>+AH115</f>
        <v>0</v>
      </c>
      <c r="AI135" s="66">
        <f>+AI115</f>
        <v>0</v>
      </c>
      <c r="AJ135" s="66">
        <f>+AJ115</f>
        <v>0</v>
      </c>
      <c r="AK135" s="66">
        <f>+AK115</f>
        <v>0</v>
      </c>
      <c r="AL135" s="66">
        <f>+AL115</f>
        <v>0</v>
      </c>
      <c r="AM135" s="66">
        <f>+AM115</f>
        <v>6.673</v>
      </c>
      <c r="AN135" s="66">
        <f>+AN115</f>
        <v>0</v>
      </c>
      <c r="AO135" s="66">
        <f>+AO115</f>
        <v>0</v>
      </c>
      <c r="AP135" s="66">
        <f>+AP115</f>
        <v>0</v>
      </c>
      <c r="AQ135" s="66">
        <f>+AQ115</f>
        <v>0</v>
      </c>
      <c r="AR135" s="66">
        <f>+AR115</f>
        <v>0</v>
      </c>
      <c r="AS135" s="66">
        <f>+AS115</f>
        <v>0</v>
      </c>
      <c r="AT135" s="66">
        <f>+AT115</f>
        <v>0</v>
      </c>
    </row>
    <row r="136" spans="1:46" x14ac:dyDescent="0.2">
      <c r="B136" s="103" t="s">
        <v>306</v>
      </c>
      <c r="C136" s="66">
        <f>+C117</f>
        <v>7.4969999999999999</v>
      </c>
      <c r="D136" s="66">
        <f>+D117</f>
        <v>9.984</v>
      </c>
      <c r="E136" s="24"/>
      <c r="F136" s="66">
        <f>+F117</f>
        <v>5.8940000000000001</v>
      </c>
      <c r="G136" s="66">
        <f>+G117</f>
        <v>1.1719999999999997</v>
      </c>
      <c r="H136" s="24"/>
      <c r="I136" s="66">
        <f>+I117</f>
        <v>4.673</v>
      </c>
      <c r="J136" s="66">
        <f>+J117</f>
        <v>5.2619999999999996</v>
      </c>
      <c r="K136" s="66">
        <f>+K117</f>
        <v>5.2619999999999996</v>
      </c>
      <c r="L136" s="66"/>
      <c r="M136" s="66">
        <f>+M117</f>
        <v>0</v>
      </c>
      <c r="N136" s="67">
        <f t="shared" si="88"/>
        <v>0</v>
      </c>
      <c r="O136" s="53"/>
      <c r="P136" s="66">
        <f>+P117</f>
        <v>0</v>
      </c>
      <c r="Q136" s="66">
        <f>+Q117</f>
        <v>0</v>
      </c>
      <c r="R136" s="66">
        <f>+R117</f>
        <v>0</v>
      </c>
      <c r="S136" s="66">
        <f>+S117</f>
        <v>6.2460000000000004</v>
      </c>
      <c r="T136" s="66">
        <f>+T117</f>
        <v>0</v>
      </c>
      <c r="U136" s="66">
        <f>+U117</f>
        <v>2.472</v>
      </c>
      <c r="V136" s="66">
        <f>+V117</f>
        <v>0</v>
      </c>
      <c r="W136" s="66">
        <f>+W117</f>
        <v>0</v>
      </c>
      <c r="X136" s="66">
        <f>+X117</f>
        <v>2.472</v>
      </c>
      <c r="Y136" s="66">
        <f>+Y117</f>
        <v>0</v>
      </c>
      <c r="Z136" s="66">
        <f>+Z117</f>
        <v>0</v>
      </c>
      <c r="AA136" s="66">
        <f>+AA117</f>
        <v>-3.6930000000000001</v>
      </c>
      <c r="AB136" s="66">
        <f>+AB117</f>
        <v>2.472</v>
      </c>
      <c r="AC136" s="66">
        <f>+AC117</f>
        <v>0</v>
      </c>
      <c r="AD136" s="66">
        <f>+AD117</f>
        <v>0</v>
      </c>
      <c r="AE136" s="66">
        <f>+AE117</f>
        <v>3.649</v>
      </c>
      <c r="AF136" s="66">
        <f>+AF117</f>
        <v>-2.2719999999999998</v>
      </c>
      <c r="AG136" s="66">
        <f>+AG117</f>
        <v>2.0449999999999999</v>
      </c>
      <c r="AH136" s="66">
        <f>+AH117</f>
        <v>0</v>
      </c>
      <c r="AI136" s="66">
        <f>+AI117</f>
        <v>0</v>
      </c>
      <c r="AJ136" s="66">
        <f>+AJ117</f>
        <v>2.0449999999999999</v>
      </c>
      <c r="AK136" s="66">
        <f>+AK117</f>
        <v>0</v>
      </c>
      <c r="AL136" s="66">
        <f>+AL117</f>
        <v>0</v>
      </c>
      <c r="AM136" s="66">
        <f>+AM117</f>
        <v>2.0449999999999999</v>
      </c>
      <c r="AN136" s="66">
        <f>+AN117</f>
        <v>0</v>
      </c>
      <c r="AO136" s="66">
        <f>+AO117</f>
        <v>0</v>
      </c>
      <c r="AP136" s="66">
        <f>+AP117</f>
        <v>5.0359999999999996</v>
      </c>
      <c r="AQ136" s="66">
        <f>+AQ117</f>
        <v>-4.8639999999999999</v>
      </c>
      <c r="AR136" s="66">
        <f>+AR117</f>
        <v>0</v>
      </c>
      <c r="AS136" s="66">
        <f>+AS117</f>
        <v>1</v>
      </c>
      <c r="AT136" s="66">
        <f>+AT117</f>
        <v>0</v>
      </c>
    </row>
    <row r="137" spans="1:46" x14ac:dyDescent="0.2">
      <c r="B137" s="103" t="s">
        <v>305</v>
      </c>
      <c r="C137" s="66">
        <f>+C121</f>
        <v>7.9639999999999989E-2</v>
      </c>
      <c r="D137" s="66">
        <f>+D121</f>
        <v>1.4224800000000002</v>
      </c>
      <c r="E137" s="24"/>
      <c r="F137" s="66">
        <f>+F121</f>
        <v>1.07704</v>
      </c>
      <c r="G137" s="66">
        <f>+G121</f>
        <v>0.81103000000000003</v>
      </c>
      <c r="H137" s="24"/>
      <c r="I137" s="66">
        <f>+I121</f>
        <v>0.81467999999999996</v>
      </c>
      <c r="J137" s="66">
        <f>+J121</f>
        <v>1.49847</v>
      </c>
      <c r="K137" s="66">
        <f>+K121</f>
        <v>1.49847</v>
      </c>
      <c r="L137" s="66"/>
      <c r="M137" s="66">
        <f>+M121</f>
        <v>0</v>
      </c>
      <c r="N137" s="67">
        <f t="shared" si="88"/>
        <v>0</v>
      </c>
      <c r="O137" s="53"/>
      <c r="P137" s="66">
        <f>+P121</f>
        <v>0</v>
      </c>
      <c r="Q137" s="66">
        <f>+Q121</f>
        <v>0</v>
      </c>
      <c r="R137" s="66">
        <f>+R121</f>
        <v>0</v>
      </c>
      <c r="S137" s="66">
        <f>+S121</f>
        <v>0</v>
      </c>
      <c r="T137" s="66">
        <f>+T121</f>
        <v>0</v>
      </c>
      <c r="U137" s="66">
        <f>+U121</f>
        <v>0</v>
      </c>
      <c r="V137" s="66">
        <f>+V121</f>
        <v>0</v>
      </c>
      <c r="W137" s="66">
        <f>+W121</f>
        <v>0</v>
      </c>
      <c r="X137" s="66">
        <f>+X121</f>
        <v>0</v>
      </c>
      <c r="Y137" s="66">
        <f>+Y121</f>
        <v>0</v>
      </c>
      <c r="Z137" s="66">
        <f>+Z121</f>
        <v>7.1499999999999994E-2</v>
      </c>
      <c r="AA137" s="66">
        <f>+AA121</f>
        <v>8.1400000000000014E-3</v>
      </c>
      <c r="AB137" s="66">
        <f>+AB121</f>
        <v>0.11752</v>
      </c>
      <c r="AC137" s="66">
        <f>+AC121</f>
        <v>0.20646</v>
      </c>
      <c r="AD137" s="66">
        <f>+AD121</f>
        <v>1.174E-2</v>
      </c>
      <c r="AE137" s="66">
        <f>+AE121</f>
        <v>3.6600000000000001E-2</v>
      </c>
      <c r="AF137" s="66">
        <f>+AF121</f>
        <v>0.11484</v>
      </c>
      <c r="AG137" s="66">
        <f>+AG121</f>
        <v>0.24787999999999999</v>
      </c>
      <c r="AH137" s="66">
        <f>+AH121</f>
        <v>0.34200000000000003</v>
      </c>
      <c r="AI137" s="66">
        <f>+AI121</f>
        <v>0.25108999999999998</v>
      </c>
      <c r="AJ137" s="66">
        <f>+AJ121</f>
        <v>6.5290000000000001E-2</v>
      </c>
      <c r="AK137" s="66">
        <f>+AK121</f>
        <v>1.916E-2</v>
      </c>
      <c r="AL137" s="66">
        <f>+AL121</f>
        <v>9.9000000000000008E-3</v>
      </c>
      <c r="AM137" s="66">
        <f>+AM121</f>
        <v>0</v>
      </c>
      <c r="AN137" s="66">
        <f>+AN121</f>
        <v>0.28870000000000001</v>
      </c>
      <c r="AO137" s="66">
        <f>+AO121</f>
        <v>0.14452999999999999</v>
      </c>
      <c r="AP137" s="66">
        <f>+AP121</f>
        <v>0</v>
      </c>
      <c r="AQ137" s="66">
        <f>+AQ121</f>
        <v>0.15</v>
      </c>
      <c r="AR137" s="66">
        <f>+AR121</f>
        <v>0.11769</v>
      </c>
      <c r="AS137" s="66">
        <f>+AS121</f>
        <v>0.11011</v>
      </c>
      <c r="AT137" s="66">
        <f>+AT121</f>
        <v>0</v>
      </c>
    </row>
    <row r="138" spans="1:46" x14ac:dyDescent="0.2">
      <c r="B138" s="97" t="s">
        <v>303</v>
      </c>
      <c r="C138" s="60">
        <f>SUM(C134:C137)</f>
        <v>159.7214900000001</v>
      </c>
      <c r="D138" s="60">
        <f>SUM(D134:D137)</f>
        <v>149.05977999999985</v>
      </c>
      <c r="F138" s="60">
        <f>SUM(F134:F137)</f>
        <v>110.80701999999984</v>
      </c>
      <c r="G138" s="60">
        <f>SUM(G134:G137)</f>
        <v>78.126530000000329</v>
      </c>
      <c r="I138" s="60">
        <f>SUM(I134:I137)</f>
        <v>157.53000999999986</v>
      </c>
      <c r="J138" s="60">
        <f>SUM(J134:J137)</f>
        <v>148.59490000000045</v>
      </c>
      <c r="K138" s="60">
        <f>SUM(K134:K137)</f>
        <v>49.750280000000089</v>
      </c>
      <c r="L138" s="72"/>
      <c r="M138" s="60">
        <f>SUM(M134:M137)</f>
        <v>-98.844620000000276</v>
      </c>
      <c r="N138" s="95">
        <f t="shared" si="88"/>
        <v>-0.66519523886755239</v>
      </c>
      <c r="P138" s="60">
        <f t="shared" ref="P138:AT138" si="90">SUM(P134:P137)</f>
        <v>32.29054</v>
      </c>
      <c r="Q138" s="60">
        <f t="shared" si="90"/>
        <v>23.655570000000012</v>
      </c>
      <c r="R138" s="60">
        <f t="shared" si="90"/>
        <v>18.009040000000002</v>
      </c>
      <c r="S138" s="60">
        <f t="shared" si="90"/>
        <v>9.5496999999999819</v>
      </c>
      <c r="T138" s="60">
        <f t="shared" si="90"/>
        <v>0.97158000000002254</v>
      </c>
      <c r="U138" s="60">
        <f t="shared" si="90"/>
        <v>12.499299999999998</v>
      </c>
      <c r="V138" s="60">
        <f t="shared" si="90"/>
        <v>26.037100000000013</v>
      </c>
      <c r="W138" s="60">
        <f t="shared" si="90"/>
        <v>28.863819999999997</v>
      </c>
      <c r="X138" s="60">
        <f t="shared" si="90"/>
        <v>13.307770000000003</v>
      </c>
      <c r="Y138" s="60">
        <f t="shared" si="90"/>
        <v>11.887049999999981</v>
      </c>
      <c r="Z138" s="60">
        <f t="shared" si="90"/>
        <v>-11.492329999999995</v>
      </c>
      <c r="AA138" s="60">
        <f t="shared" si="90"/>
        <v>-5.8576499999999774</v>
      </c>
      <c r="AB138" s="60">
        <f t="shared" si="90"/>
        <v>22.961439999999968</v>
      </c>
      <c r="AC138" s="60">
        <f t="shared" si="90"/>
        <v>7.7114299999999965</v>
      </c>
      <c r="AD138" s="60">
        <f t="shared" si="90"/>
        <v>20.569610000000004</v>
      </c>
      <c r="AE138" s="60">
        <f t="shared" si="90"/>
        <v>0.46782000000001306</v>
      </c>
      <c r="AF138" s="60">
        <f t="shared" si="90"/>
        <v>15.757390000000008</v>
      </c>
      <c r="AG138" s="60">
        <f t="shared" si="90"/>
        <v>27.316559999999978</v>
      </c>
      <c r="AH138" s="60">
        <f t="shared" si="90"/>
        <v>16.022769999999987</v>
      </c>
      <c r="AI138" s="60">
        <f t="shared" si="90"/>
        <v>18.308149999999973</v>
      </c>
      <c r="AJ138" s="60">
        <f t="shared" si="90"/>
        <v>4.8846500000000104</v>
      </c>
      <c r="AK138" s="60">
        <f t="shared" si="90"/>
        <v>2.6086300000000056</v>
      </c>
      <c r="AL138" s="60">
        <f t="shared" si="90"/>
        <v>13.529870000000038</v>
      </c>
      <c r="AM138" s="60">
        <f t="shared" si="90"/>
        <v>-1.0785400000000109</v>
      </c>
      <c r="AN138" s="60">
        <f t="shared" si="90"/>
        <v>31.934469999999976</v>
      </c>
      <c r="AO138" s="60">
        <f t="shared" si="90"/>
        <v>70.484479999999976</v>
      </c>
      <c r="AP138" s="60">
        <f t="shared" si="90"/>
        <v>-8.7511300000000194</v>
      </c>
      <c r="AQ138" s="60">
        <f t="shared" si="90"/>
        <v>-9.2384900000000254</v>
      </c>
      <c r="AR138" s="60">
        <f t="shared" si="90"/>
        <v>-5.703000000000065E-2</v>
      </c>
      <c r="AS138" s="60">
        <f t="shared" si="90"/>
        <v>9.9470700000000694</v>
      </c>
      <c r="AT138" s="60">
        <f t="shared" si="90"/>
        <v>-16.192839999999997</v>
      </c>
    </row>
    <row r="139" spans="1:46" ht="3.95" customHeight="1" x14ac:dyDescent="0.2"/>
    <row r="140" spans="1:46" x14ac:dyDescent="0.2">
      <c r="B140" s="43" t="s">
        <v>311</v>
      </c>
      <c r="C140" s="44"/>
      <c r="D140" s="44"/>
      <c r="E140" s="6"/>
      <c r="F140" s="44"/>
      <c r="G140" s="44"/>
      <c r="H140" s="6"/>
      <c r="I140" s="44"/>
      <c r="J140" s="44"/>
      <c r="K140" s="44"/>
      <c r="L140" s="6"/>
      <c r="M140" s="44"/>
      <c r="N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</row>
    <row r="141" spans="1:46" x14ac:dyDescent="0.2">
      <c r="B141" s="58" t="s">
        <v>315</v>
      </c>
      <c r="C141" s="24">
        <f>SUMIFS($P141:$AT141,$P$69:$AT$69,"&gt;"&amp;C$169,$P$69:$AT$69,"&lt;"&amp;C$170)</f>
        <v>0</v>
      </c>
      <c r="D141" s="24">
        <f>SUMIFS($P141:$AT141,$P$69:$AT$69,"&gt;"&amp;D$169,$P$69:$AT$69,"&lt;"&amp;D$170)</f>
        <v>29.761219999999998</v>
      </c>
      <c r="E141" s="24"/>
      <c r="F141" s="24">
        <f>SUMIFS($P141:$AT141,$P$69:$AT$69,"&gt;"&amp;F$169,$P$69:$AT$69,"&lt;"&amp;F$170)</f>
        <v>22.295579999999998</v>
      </c>
      <c r="G141" s="24">
        <f>SUMIFS($P141:$AT141,$P$69:$AT$69,"&gt;"&amp;G$169,$P$69:$AT$69,"&lt;"&amp;G$170)</f>
        <v>20.685420000000001</v>
      </c>
      <c r="H141" s="24"/>
      <c r="I141" s="24">
        <f>SUMIFS($P141:$AT141,$P$69:$AT$69,"&gt;"&amp;I$169,$P$69:$AT$69,"&lt;"&amp;I$170)</f>
        <v>22.197919999999996</v>
      </c>
      <c r="J141" s="24">
        <f>SUMIFS($P141:$AT141,$P$69:$AT$69,"&gt;"&amp;J$169,$P$69:$AT$69,"&lt;"&amp;J$170)</f>
        <v>28.23873</v>
      </c>
      <c r="K141" s="66">
        <f>+C46</f>
        <v>28.23873</v>
      </c>
      <c r="L141" s="66"/>
      <c r="M141" s="24">
        <f t="shared" ref="M141" si="91">+J141-K141</f>
        <v>0</v>
      </c>
      <c r="N141" s="67">
        <f t="shared" ref="N141" si="92">IFERROR(K141/J141-1,0)</f>
        <v>0</v>
      </c>
      <c r="O141" s="53"/>
      <c r="P141" s="54">
        <f>SUMIFS('Combined P&amp;L'!N:N,'Combined P&amp;L'!$D:$D,'P&amp;L Forecast'!$B141)</f>
        <v>0</v>
      </c>
      <c r="Q141" s="54">
        <f>SUMIFS('Combined P&amp;L'!O:O,'Combined P&amp;L'!$D:$D,'P&amp;L Forecast'!$B141)</f>
        <v>0</v>
      </c>
      <c r="R141" s="54">
        <f>SUMIFS('Combined P&amp;L'!P:P,'Combined P&amp;L'!$D:$D,'P&amp;L Forecast'!$B141)</f>
        <v>0</v>
      </c>
      <c r="S141" s="54">
        <f>SUMIFS('Combined P&amp;L'!Q:Q,'Combined P&amp;L'!$D:$D,'P&amp;L Forecast'!$B141)</f>
        <v>0</v>
      </c>
      <c r="T141" s="54">
        <f>SUMIFS('Combined P&amp;L'!R:R,'Combined P&amp;L'!$D:$D,'P&amp;L Forecast'!$B141)</f>
        <v>0</v>
      </c>
      <c r="U141" s="54">
        <f>SUMIFS('Combined P&amp;L'!S:S,'Combined P&amp;L'!$D:$D,'P&amp;L Forecast'!$B141)</f>
        <v>0</v>
      </c>
      <c r="V141" s="54">
        <f>SUMIFS('Combined P&amp;L'!T:T,'Combined P&amp;L'!$D:$D,'P&amp;L Forecast'!$B141)</f>
        <v>0</v>
      </c>
      <c r="W141" s="54">
        <f>SUMIFS('Combined P&amp;L'!U:U,'Combined P&amp;L'!$D:$D,'P&amp;L Forecast'!$B141)</f>
        <v>0</v>
      </c>
      <c r="X141" s="54">
        <f>SUMIFS('Combined P&amp;L'!V:V,'Combined P&amp;L'!$D:$D,'P&amp;L Forecast'!$B141)</f>
        <v>0</v>
      </c>
      <c r="Y141" s="54">
        <f>SUMIFS('Combined P&amp;L'!W:W,'Combined P&amp;L'!$D:$D,'P&amp;L Forecast'!$B141)</f>
        <v>0</v>
      </c>
      <c r="Z141" s="54">
        <f>SUMIFS('Combined P&amp;L'!X:X,'Combined P&amp;L'!$D:$D,'P&amp;L Forecast'!$B141)</f>
        <v>0</v>
      </c>
      <c r="AA141" s="54">
        <f>SUMIFS('Combined P&amp;L'!Y:Y,'Combined P&amp;L'!$D:$D,'P&amp;L Forecast'!$B141)</f>
        <v>0</v>
      </c>
      <c r="AB141" s="54">
        <f>SUMIFS('Combined P&amp;L'!Z:Z,'Combined P&amp;L'!$D:$D,'P&amp;L Forecast'!$B141)</f>
        <v>6.9100000000000003E-3</v>
      </c>
      <c r="AC141" s="54">
        <f>SUMIFS('Combined P&amp;L'!AA:AA,'Combined P&amp;L'!$D:$D,'P&amp;L Forecast'!$B141)</f>
        <v>0</v>
      </c>
      <c r="AD141" s="54">
        <f>SUMIFS('Combined P&amp;L'!AB:AB,'Combined P&amp;L'!$D:$D,'P&amp;L Forecast'!$B141)</f>
        <v>0</v>
      </c>
      <c r="AE141" s="54">
        <f>SUMIFS('Combined P&amp;L'!AC:AC,'Combined P&amp;L'!$D:$D,'P&amp;L Forecast'!$B141)</f>
        <v>11.40629</v>
      </c>
      <c r="AF141" s="54">
        <f>SUMIFS('Combined P&amp;L'!AD:AD,'Combined P&amp;L'!$D:$D,'P&amp;L Forecast'!$B141)</f>
        <v>10.784719999999997</v>
      </c>
      <c r="AG141" s="54">
        <f>SUMIFS('Combined P&amp;L'!AE:AE,'Combined P&amp;L'!$D:$D,'P&amp;L Forecast'!$B141)</f>
        <v>0</v>
      </c>
      <c r="AH141" s="54">
        <f>SUMIFS('Combined P&amp;L'!AF:AF,'Combined P&amp;L'!$D:$D,'P&amp;L Forecast'!$B141)</f>
        <v>9.7659999999999997E-2</v>
      </c>
      <c r="AI141" s="54">
        <f>SUMIFS('Combined P&amp;L'!AG:AG,'Combined P&amp;L'!$D:$D,'P&amp;L Forecast'!$B141)</f>
        <v>0.92152000000000001</v>
      </c>
      <c r="AJ141" s="54">
        <f>SUMIFS('Combined P&amp;L'!AH:AH,'Combined P&amp;L'!$D:$D,'P&amp;L Forecast'!$B141)</f>
        <v>2.9642300000000006</v>
      </c>
      <c r="AK141" s="54">
        <f>SUMIFS('Combined P&amp;L'!AI:AI,'Combined P&amp;L'!$D:$D,'P&amp;L Forecast'!$B141)</f>
        <v>1.0367900000000001</v>
      </c>
      <c r="AL141" s="54">
        <f>SUMIFS('Combined P&amp;L'!AJ:AJ,'Combined P&amp;L'!$D:$D,'P&amp;L Forecast'!$B141)</f>
        <v>2.11036</v>
      </c>
      <c r="AM141" s="54">
        <f>SUMIFS('Combined P&amp;L'!AK:AK,'Combined P&amp;L'!$D:$D,'P&amp;L Forecast'!$B141)</f>
        <v>0.43274000000000001</v>
      </c>
      <c r="AN141" s="54">
        <f>SUMIFS('Combined P&amp;L'!AL:AL,'Combined P&amp;L'!$D:$D,'P&amp;L Forecast'!$B141)</f>
        <v>0</v>
      </c>
      <c r="AO141" s="54">
        <f>SUMIFS('Combined P&amp;L'!AM:AM,'Combined P&amp;L'!$D:$D,'P&amp;L Forecast'!$B141)</f>
        <v>0</v>
      </c>
      <c r="AP141" s="54">
        <f>SUMIFS('Combined P&amp;L'!AN:AN,'Combined P&amp;L'!$D:$D,'P&amp;L Forecast'!$B141)</f>
        <v>0</v>
      </c>
      <c r="AQ141" s="54">
        <f>SUMIFS('Combined P&amp;L'!AO:AO,'Combined P&amp;L'!$D:$D,'P&amp;L Forecast'!$B141)</f>
        <v>9.7651000000000003</v>
      </c>
      <c r="AR141" s="54">
        <f>SUMIFS('Combined P&amp;L'!AP:AP,'Combined P&amp;L'!$D:$D,'P&amp;L Forecast'!$B141)</f>
        <v>10.254430000000001</v>
      </c>
      <c r="AS141" s="54">
        <f>SUMIFS('Combined P&amp;L'!AQ:AQ,'Combined P&amp;L'!$D:$D,'P&amp;L Forecast'!$B141)</f>
        <v>0.65590000000000004</v>
      </c>
      <c r="AT141" s="54">
        <f>SUMIFS('Combined P&amp;L'!AR:AR,'Combined P&amp;L'!$D:$D,'P&amp;L Forecast'!$B141)</f>
        <v>9.9900000000000006E-3</v>
      </c>
    </row>
    <row r="142" spans="1:46" x14ac:dyDescent="0.2">
      <c r="B142" s="58" t="s">
        <v>110</v>
      </c>
      <c r="C142" s="24">
        <f>SUMIFS($P142:$AT142,$P$69:$AT$69,"&gt;"&amp;C$169,$P$69:$AT$69,"&lt;"&amp;C$170)</f>
        <v>0</v>
      </c>
      <c r="D142" s="24">
        <f>SUMIFS($P142:$AT142,$P$69:$AT$69,"&gt;"&amp;D$169,$P$69:$AT$69,"&lt;"&amp;D$170)</f>
        <v>2.7040000000000002</v>
      </c>
      <c r="E142" s="24"/>
      <c r="F142" s="24">
        <f>SUMIFS($P142:$AT142,$P$69:$AT$69,"&gt;"&amp;F$169,$P$69:$AT$69,"&lt;"&amp;F$170)</f>
        <v>0</v>
      </c>
      <c r="G142" s="24">
        <f>SUMIFS($P142:$AT142,$P$69:$AT$69,"&gt;"&amp;G$169,$P$69:$AT$69,"&lt;"&amp;G$170)</f>
        <v>0</v>
      </c>
      <c r="H142" s="24"/>
      <c r="I142" s="24">
        <f>SUMIFS($P142:$AT142,$P$69:$AT$69,"&gt;"&amp;I$169,$P$69:$AT$69,"&lt;"&amp;I$170)</f>
        <v>0</v>
      </c>
      <c r="J142" s="24">
        <f>SUMIFS($P142:$AT142,$P$69:$AT$69,"&gt;"&amp;J$169,$P$69:$AT$69,"&lt;"&amp;J$170)</f>
        <v>2.7040000000000002</v>
      </c>
      <c r="K142" s="66">
        <f>J142</f>
        <v>2.7040000000000002</v>
      </c>
      <c r="L142" s="66"/>
      <c r="M142" s="24">
        <f t="shared" ref="M142" si="93">+J142-K142</f>
        <v>0</v>
      </c>
      <c r="N142" s="67">
        <f t="shared" ref="N142:N143" si="94">IFERROR(K142/J142-1,0)</f>
        <v>0</v>
      </c>
      <c r="O142" s="53"/>
      <c r="P142" s="54">
        <f>SUMIFS('Combined P&amp;L'!N:N,'Combined P&amp;L'!$D:$D,'P&amp;L Forecast'!$B142)</f>
        <v>0</v>
      </c>
      <c r="Q142" s="54">
        <f>SUMIFS('Combined P&amp;L'!O:O,'Combined P&amp;L'!$D:$D,'P&amp;L Forecast'!$B142)</f>
        <v>0</v>
      </c>
      <c r="R142" s="54">
        <f>SUMIFS('Combined P&amp;L'!P:P,'Combined P&amp;L'!$D:$D,'P&amp;L Forecast'!$B142)</f>
        <v>0</v>
      </c>
      <c r="S142" s="54">
        <f>SUMIFS('Combined P&amp;L'!Q:Q,'Combined P&amp;L'!$D:$D,'P&amp;L Forecast'!$B142)</f>
        <v>0</v>
      </c>
      <c r="T142" s="54">
        <f>SUMIFS('Combined P&amp;L'!R:R,'Combined P&amp;L'!$D:$D,'P&amp;L Forecast'!$B142)</f>
        <v>0</v>
      </c>
      <c r="U142" s="54">
        <f>SUMIFS('Combined P&amp;L'!S:S,'Combined P&amp;L'!$D:$D,'P&amp;L Forecast'!$B142)</f>
        <v>0</v>
      </c>
      <c r="V142" s="54">
        <f>SUMIFS('Combined P&amp;L'!T:T,'Combined P&amp;L'!$D:$D,'P&amp;L Forecast'!$B142)</f>
        <v>0</v>
      </c>
      <c r="W142" s="54">
        <f>SUMIFS('Combined P&amp;L'!U:U,'Combined P&amp;L'!$D:$D,'P&amp;L Forecast'!$B142)</f>
        <v>0</v>
      </c>
      <c r="X142" s="54">
        <f>SUMIFS('Combined P&amp;L'!V:V,'Combined P&amp;L'!$D:$D,'P&amp;L Forecast'!$B142)</f>
        <v>0</v>
      </c>
      <c r="Y142" s="54">
        <f>SUMIFS('Combined P&amp;L'!W:W,'Combined P&amp;L'!$D:$D,'P&amp;L Forecast'!$B142)</f>
        <v>0</v>
      </c>
      <c r="Z142" s="54">
        <f>SUMIFS('Combined P&amp;L'!X:X,'Combined P&amp;L'!$D:$D,'P&amp;L Forecast'!$B142)</f>
        <v>0</v>
      </c>
      <c r="AA142" s="54">
        <f>SUMIFS('Combined P&amp;L'!Y:Y,'Combined P&amp;L'!$D:$D,'P&amp;L Forecast'!$B142)</f>
        <v>0</v>
      </c>
      <c r="AB142" s="54">
        <f>SUMIFS('Combined P&amp;L'!Z:Z,'Combined P&amp;L'!$D:$D,'P&amp;L Forecast'!$B142)</f>
        <v>0</v>
      </c>
      <c r="AC142" s="54">
        <f>SUMIFS('Combined P&amp;L'!AA:AA,'Combined P&amp;L'!$D:$D,'P&amp;L Forecast'!$B142)</f>
        <v>0</v>
      </c>
      <c r="AD142" s="54">
        <f>SUMIFS('Combined P&amp;L'!AB:AB,'Combined P&amp;L'!$D:$D,'P&amp;L Forecast'!$B142)</f>
        <v>0</v>
      </c>
      <c r="AE142" s="54">
        <f>SUMIFS('Combined P&amp;L'!AC:AC,'Combined P&amp;L'!$D:$D,'P&amp;L Forecast'!$B142)</f>
        <v>0</v>
      </c>
      <c r="AF142" s="54">
        <f>SUMIFS('Combined P&amp;L'!AD:AD,'Combined P&amp;L'!$D:$D,'P&amp;L Forecast'!$B142)</f>
        <v>0</v>
      </c>
      <c r="AG142" s="54">
        <f>SUMIFS('Combined P&amp;L'!AE:AE,'Combined P&amp;L'!$D:$D,'P&amp;L Forecast'!$B142)</f>
        <v>0</v>
      </c>
      <c r="AH142" s="54">
        <f>SUMIFS('Combined P&amp;L'!AF:AF,'Combined P&amp;L'!$D:$D,'P&amp;L Forecast'!$B142)</f>
        <v>0</v>
      </c>
      <c r="AI142" s="54">
        <f>SUMIFS('Combined P&amp;L'!AG:AG,'Combined P&amp;L'!$D:$D,'P&amp;L Forecast'!$B142)</f>
        <v>0</v>
      </c>
      <c r="AJ142" s="54">
        <f>SUMIFS('Combined P&amp;L'!AH:AH,'Combined P&amp;L'!$D:$D,'P&amp;L Forecast'!$B142)</f>
        <v>0</v>
      </c>
      <c r="AK142" s="54">
        <f>SUMIFS('Combined P&amp;L'!AI:AI,'Combined P&amp;L'!$D:$D,'P&amp;L Forecast'!$B142)</f>
        <v>0</v>
      </c>
      <c r="AL142" s="54">
        <f>SUMIFS('Combined P&amp;L'!AJ:AJ,'Combined P&amp;L'!$D:$D,'P&amp;L Forecast'!$B142)</f>
        <v>0</v>
      </c>
      <c r="AM142" s="54">
        <f>SUMIFS('Combined P&amp;L'!AK:AK,'Combined P&amp;L'!$D:$D,'P&amp;L Forecast'!$B142)</f>
        <v>2.7040000000000002</v>
      </c>
      <c r="AN142" s="54">
        <f>SUMIFS('Combined P&amp;L'!AL:AL,'Combined P&amp;L'!$D:$D,'P&amp;L Forecast'!$B142)</f>
        <v>0</v>
      </c>
      <c r="AO142" s="54">
        <f>SUMIFS('Combined P&amp;L'!AM:AM,'Combined P&amp;L'!$D:$D,'P&amp;L Forecast'!$B142)</f>
        <v>0</v>
      </c>
      <c r="AP142" s="54">
        <f>SUMIFS('Combined P&amp;L'!AN:AN,'Combined P&amp;L'!$D:$D,'P&amp;L Forecast'!$B142)</f>
        <v>0</v>
      </c>
      <c r="AQ142" s="54">
        <f>SUMIFS('Combined P&amp;L'!AO:AO,'Combined P&amp;L'!$D:$D,'P&amp;L Forecast'!$B142)</f>
        <v>0</v>
      </c>
      <c r="AR142" s="54">
        <f>SUMIFS('Combined P&amp;L'!AP:AP,'Combined P&amp;L'!$D:$D,'P&amp;L Forecast'!$B142)</f>
        <v>0</v>
      </c>
      <c r="AS142" s="54">
        <f>SUMIFS('Combined P&amp;L'!AQ:AQ,'Combined P&amp;L'!$D:$D,'P&amp;L Forecast'!$B142)</f>
        <v>0</v>
      </c>
      <c r="AT142" s="54">
        <f>SUMIFS('Combined P&amp;L'!AR:AR,'Combined P&amp;L'!$D:$D,'P&amp;L Forecast'!$B142)</f>
        <v>0</v>
      </c>
    </row>
    <row r="143" spans="1:46" s="125" customFormat="1" x14ac:dyDescent="0.2">
      <c r="B143" s="128" t="s">
        <v>316</v>
      </c>
      <c r="C143" s="129">
        <f>+C138+C141+C142</f>
        <v>159.7214900000001</v>
      </c>
      <c r="D143" s="130">
        <f t="shared" ref="D143" si="95">+D138+D141+D142</f>
        <v>181.52499999999986</v>
      </c>
      <c r="F143" s="134">
        <f t="shared" ref="F143:G143" si="96">+F138+F141+F142</f>
        <v>133.10259999999982</v>
      </c>
      <c r="G143" s="130">
        <f t="shared" si="96"/>
        <v>98.811950000000337</v>
      </c>
      <c r="I143" s="134">
        <f t="shared" ref="I143:K143" si="97">+I138+I141+I142</f>
        <v>179.72792999999984</v>
      </c>
      <c r="J143" s="129">
        <f t="shared" si="97"/>
        <v>179.53763000000046</v>
      </c>
      <c r="K143" s="130">
        <f t="shared" si="97"/>
        <v>80.693010000000086</v>
      </c>
      <c r="L143" s="126"/>
      <c r="M143" s="134">
        <f>+M138+M141+M142</f>
        <v>-98.844620000000276</v>
      </c>
      <c r="N143" s="136">
        <f t="shared" si="94"/>
        <v>-0.55055099034113419</v>
      </c>
      <c r="P143" s="134">
        <f t="shared" ref="P143" si="98">+P138+P141+P142</f>
        <v>32.29054</v>
      </c>
      <c r="Q143" s="129">
        <f t="shared" ref="Q143" si="99">+Q138+Q141+Q142</f>
        <v>23.655570000000012</v>
      </c>
      <c r="R143" s="129">
        <f t="shared" ref="R143" si="100">+R138+R141+R142</f>
        <v>18.009040000000002</v>
      </c>
      <c r="S143" s="129">
        <f t="shared" ref="S143" si="101">+S138+S141+S142</f>
        <v>9.5496999999999819</v>
      </c>
      <c r="T143" s="129">
        <f t="shared" ref="T143" si="102">+T138+T141+T142</f>
        <v>0.97158000000002254</v>
      </c>
      <c r="U143" s="129">
        <f t="shared" ref="U143" si="103">+U138+U141+U142</f>
        <v>12.499299999999998</v>
      </c>
      <c r="V143" s="129">
        <f t="shared" ref="V143" si="104">+V138+V141+V142</f>
        <v>26.037100000000013</v>
      </c>
      <c r="W143" s="129">
        <f t="shared" ref="W143" si="105">+W138+W141+W142</f>
        <v>28.863819999999997</v>
      </c>
      <c r="X143" s="129">
        <f t="shared" ref="X143" si="106">+X138+X141+X142</f>
        <v>13.307770000000003</v>
      </c>
      <c r="Y143" s="129">
        <f t="shared" ref="Y143" si="107">+Y138+Y141+Y142</f>
        <v>11.887049999999981</v>
      </c>
      <c r="Z143" s="129">
        <f t="shared" ref="Z143" si="108">+Z138+Z141+Z142</f>
        <v>-11.492329999999995</v>
      </c>
      <c r="AA143" s="129">
        <f t="shared" ref="AA143" si="109">+AA138+AA141+AA142</f>
        <v>-5.8576499999999774</v>
      </c>
      <c r="AB143" s="129">
        <f t="shared" ref="AB143" si="110">+AB138+AB141+AB142</f>
        <v>22.968349999999969</v>
      </c>
      <c r="AC143" s="129">
        <f t="shared" ref="AC143" si="111">+AC138+AC141+AC142</f>
        <v>7.7114299999999965</v>
      </c>
      <c r="AD143" s="129">
        <f t="shared" ref="AD143" si="112">+AD138+AD141+AD142</f>
        <v>20.569610000000004</v>
      </c>
      <c r="AE143" s="129">
        <f t="shared" ref="AE143" si="113">+AE138+AE141+AE142</f>
        <v>11.874110000000014</v>
      </c>
      <c r="AF143" s="129">
        <f t="shared" ref="AF143" si="114">+AF138+AF141+AF142</f>
        <v>26.542110000000005</v>
      </c>
      <c r="AG143" s="129">
        <f t="shared" ref="AG143" si="115">+AG138+AG141+AG142</f>
        <v>27.316559999999978</v>
      </c>
      <c r="AH143" s="129">
        <f t="shared" ref="AH143" si="116">+AH138+AH141+AH142</f>
        <v>16.120429999999988</v>
      </c>
      <c r="AI143" s="129">
        <f t="shared" ref="AI143" si="117">+AI138+AI141+AI142</f>
        <v>19.229669999999974</v>
      </c>
      <c r="AJ143" s="129">
        <f t="shared" ref="AJ143" si="118">+AJ138+AJ141+AJ142</f>
        <v>7.848880000000011</v>
      </c>
      <c r="AK143" s="129">
        <f t="shared" ref="AK143" si="119">+AK138+AK141+AK142</f>
        <v>3.6454200000000059</v>
      </c>
      <c r="AL143" s="129">
        <f t="shared" ref="AL143" si="120">+AL138+AL141+AL142</f>
        <v>15.640230000000038</v>
      </c>
      <c r="AM143" s="129">
        <f t="shared" ref="AM143" si="121">+AM138+AM141+AM142</f>
        <v>2.0581999999999891</v>
      </c>
      <c r="AN143" s="129">
        <f t="shared" ref="AN143" si="122">+AN138+AN141+AN142</f>
        <v>31.934469999999976</v>
      </c>
      <c r="AO143" s="129">
        <f t="shared" ref="AO143" si="123">+AO138+AO141+AO142</f>
        <v>70.484479999999976</v>
      </c>
      <c r="AP143" s="129">
        <f t="shared" ref="AP143" si="124">+AP138+AP141+AP142</f>
        <v>-8.7511300000000194</v>
      </c>
      <c r="AQ143" s="129">
        <f t="shared" ref="AQ143" si="125">+AQ138+AQ141+AQ142</f>
        <v>0.52660999999997493</v>
      </c>
      <c r="AR143" s="129">
        <f t="shared" ref="AR143" si="126">+AR138+AR141+AR142</f>
        <v>10.1974</v>
      </c>
      <c r="AS143" s="129">
        <f t="shared" ref="AS143" si="127">+AS138+AS141+AS142</f>
        <v>10.60297000000007</v>
      </c>
      <c r="AT143" s="130">
        <f t="shared" ref="AT143" si="128">+AT138+AT141+AT142</f>
        <v>-16.182849999999998</v>
      </c>
    </row>
    <row r="144" spans="1:46" s="112" customFormat="1" x14ac:dyDescent="0.2">
      <c r="B144" s="131" t="s">
        <v>310</v>
      </c>
      <c r="C144" s="132">
        <f>C143/C$88</f>
        <v>0.14072801397504611</v>
      </c>
      <c r="D144" s="133">
        <f>D143/D$88</f>
        <v>9.6587543594689962E-2</v>
      </c>
      <c r="F144" s="135">
        <f>F143/F$88</f>
        <v>0.1333862993200236</v>
      </c>
      <c r="G144" s="133">
        <f>G143/G$88</f>
        <v>5.9132672882905579E-2</v>
      </c>
      <c r="I144" s="135">
        <f>I143/I$88</f>
        <v>0.12195594509407229</v>
      </c>
      <c r="J144" s="132">
        <f>J143/J$88</f>
        <v>7.308717342824371E-2</v>
      </c>
      <c r="K144" s="133">
        <f>K143/K$88</f>
        <v>2.634198133773703E-2</v>
      </c>
      <c r="L144" s="127"/>
      <c r="M144" s="135">
        <v>0</v>
      </c>
      <c r="N144" s="137">
        <v>0</v>
      </c>
      <c r="P144" s="135">
        <f t="shared" ref="P144" si="129">P143/P$88</f>
        <v>0.39907678731874074</v>
      </c>
      <c r="Q144" s="132">
        <f t="shared" ref="Q144" si="130">Q143/Q$88</f>
        <v>0.29112505338087064</v>
      </c>
      <c r="R144" s="132">
        <f t="shared" ref="R144" si="131">R143/R$88</f>
        <v>0.23055348588312713</v>
      </c>
      <c r="S144" s="132">
        <f t="shared" ref="S144" si="132">S143/S$88</f>
        <v>0.11456894927975236</v>
      </c>
      <c r="T144" s="132">
        <f t="shared" ref="T144" si="133">T143/T$88</f>
        <v>1.0771856670157455E-2</v>
      </c>
      <c r="U144" s="132">
        <f t="shared" ref="U144" si="134">U143/U$88</f>
        <v>0.13901116377766753</v>
      </c>
      <c r="V144" s="132">
        <f t="shared" ref="V144" si="135">V143/V$88</f>
        <v>0.24872554559258261</v>
      </c>
      <c r="W144" s="132">
        <f t="shared" ref="W144" si="136">W143/W$88</f>
        <v>0.27722551846845006</v>
      </c>
      <c r="X144" s="132">
        <f t="shared" ref="X144" si="137">X143/X$88</f>
        <v>0.13527902798285099</v>
      </c>
      <c r="Y144" s="132">
        <f t="shared" ref="Y144" si="138">Y143/Y$88</f>
        <v>0.11999981828992633</v>
      </c>
      <c r="Z144" s="132">
        <f t="shared" ref="Z144" si="139">Z143/Z$88</f>
        <v>-0.10520518174652793</v>
      </c>
      <c r="AA144" s="132">
        <f t="shared" ref="AA144" si="140">AA143/AA$88</f>
        <v>-5.0605238706767766E-2</v>
      </c>
      <c r="AB144" s="132">
        <f t="shared" ref="AB144" si="141">AB143/AB$88</f>
        <v>0.16564205692164158</v>
      </c>
      <c r="AC144" s="132">
        <f t="shared" ref="AC144" si="142">AC143/AC$88</f>
        <v>6.0338600310165809E-2</v>
      </c>
      <c r="AD144" s="132">
        <f t="shared" ref="AD144" si="143">AD143/AD$88</f>
        <v>0.15273468961636139</v>
      </c>
      <c r="AE144" s="132">
        <f t="shared" ref="AE144" si="144">AE143/AE$88</f>
        <v>8.7325299539035034E-2</v>
      </c>
      <c r="AF144" s="132">
        <f t="shared" ref="AF144" si="145">AF143/AF$88</f>
        <v>0.17456043730555884</v>
      </c>
      <c r="AG144" s="132">
        <f t="shared" ref="AG144" si="146">AG143/AG$88</f>
        <v>0.17816113769298694</v>
      </c>
      <c r="AH144" s="132">
        <f t="shared" ref="AH144" si="147">AH143/AH$88</f>
        <v>0.10374790241109608</v>
      </c>
      <c r="AI144" s="132">
        <f t="shared" ref="AI144" si="148">AI143/AI$88</f>
        <v>0.12028066972025087</v>
      </c>
      <c r="AJ144" s="132">
        <f t="shared" ref="AJ144" si="149">AJ143/AJ$88</f>
        <v>4.7859254931776868E-2</v>
      </c>
      <c r="AK144" s="132">
        <f t="shared" ref="AK144" si="150">AK143/AK$88</f>
        <v>2.0337724659938893E-2</v>
      </c>
      <c r="AL144" s="132">
        <f t="shared" ref="AL144" si="151">AL143/AL$88</f>
        <v>8.6081677982425039E-2</v>
      </c>
      <c r="AM144" s="132">
        <f t="shared" ref="AM144" si="152">AM143/AM$88</f>
        <v>1.0463507665477609E-2</v>
      </c>
      <c r="AN144" s="132">
        <f t="shared" ref="AN144" si="153">AN143/AN$88</f>
        <v>0.15050224802767376</v>
      </c>
      <c r="AO144" s="132">
        <f t="shared" ref="AO144" si="154">AO143/AO$88</f>
        <v>0.29138294669808606</v>
      </c>
      <c r="AP144" s="132">
        <f t="shared" ref="AP144" si="155">AP143/AP$88</f>
        <v>-3.7802616769624181E-2</v>
      </c>
      <c r="AQ144" s="132">
        <f t="shared" ref="AQ144" si="156">AQ143/AQ$88</f>
        <v>2.1912914505011804E-3</v>
      </c>
      <c r="AR144" s="132">
        <f t="shared" ref="AR144" si="157">AR143/AR$88</f>
        <v>4.1419364875181185E-2</v>
      </c>
      <c r="AS144" s="132">
        <f t="shared" ref="AS144" si="158">AS143/AS$88</f>
        <v>4.2840403993062083E-2</v>
      </c>
      <c r="AT144" s="133">
        <f t="shared" ref="AT144" si="159">AT143/AT$88</f>
        <v>-6.4364304625001756E-2</v>
      </c>
    </row>
    <row r="146" spans="2:46" x14ac:dyDescent="0.2">
      <c r="B146" s="43" t="s">
        <v>329</v>
      </c>
    </row>
    <row r="148" spans="2:46" ht="12" customHeight="1" x14ac:dyDescent="0.2">
      <c r="B148" s="139" t="s">
        <v>322</v>
      </c>
      <c r="C148" s="140">
        <v>0</v>
      </c>
      <c r="D148" s="140">
        <v>0</v>
      </c>
      <c r="F148" s="140">
        <v>0</v>
      </c>
      <c r="G148" s="140">
        <v>0</v>
      </c>
      <c r="I148" s="140">
        <v>0</v>
      </c>
      <c r="J148" s="85">
        <f>+$C$64</f>
        <v>100</v>
      </c>
      <c r="K148" s="85">
        <f>+$C$64</f>
        <v>100</v>
      </c>
      <c r="M148" s="24">
        <f>K148-J148</f>
        <v>0</v>
      </c>
      <c r="N148" s="67">
        <f t="shared" ref="N148" si="160">IFERROR(K148/J148-1,0)</f>
        <v>0</v>
      </c>
      <c r="P148" s="140">
        <v>0</v>
      </c>
      <c r="Q148" s="140">
        <v>0</v>
      </c>
      <c r="R148" s="140">
        <v>0</v>
      </c>
      <c r="S148" s="140">
        <v>0</v>
      </c>
      <c r="T148" s="140">
        <v>0</v>
      </c>
      <c r="U148" s="140">
        <v>0</v>
      </c>
      <c r="V148" s="140">
        <v>0</v>
      </c>
      <c r="W148" s="140">
        <v>0</v>
      </c>
      <c r="X148" s="140">
        <v>0</v>
      </c>
      <c r="Y148" s="140">
        <v>0</v>
      </c>
      <c r="Z148" s="140">
        <v>0</v>
      </c>
      <c r="AA148" s="140">
        <v>0</v>
      </c>
      <c r="AB148" s="140">
        <v>0</v>
      </c>
      <c r="AC148" s="140">
        <v>0</v>
      </c>
      <c r="AD148" s="140">
        <v>0</v>
      </c>
      <c r="AE148" s="140">
        <v>0</v>
      </c>
      <c r="AF148" s="140">
        <v>0</v>
      </c>
      <c r="AG148" s="140">
        <v>0</v>
      </c>
      <c r="AH148" s="140">
        <v>0</v>
      </c>
      <c r="AI148" s="140">
        <v>0</v>
      </c>
      <c r="AJ148" s="140">
        <v>0</v>
      </c>
      <c r="AK148" s="140">
        <v>0</v>
      </c>
      <c r="AL148" s="140">
        <v>0</v>
      </c>
      <c r="AM148" s="140">
        <v>0</v>
      </c>
      <c r="AN148" s="140">
        <v>0</v>
      </c>
      <c r="AO148" s="140">
        <v>0</v>
      </c>
      <c r="AP148" s="140">
        <v>0</v>
      </c>
      <c r="AQ148" s="140">
        <v>0</v>
      </c>
      <c r="AR148" s="140">
        <v>0</v>
      </c>
      <c r="AS148" s="140">
        <v>0</v>
      </c>
      <c r="AT148" s="140">
        <v>0</v>
      </c>
    </row>
    <row r="156" spans="2:46" x14ac:dyDescent="0.2">
      <c r="B156" s="43" t="s">
        <v>314</v>
      </c>
      <c r="C156" s="44"/>
      <c r="D156" s="44"/>
      <c r="E156" s="6"/>
      <c r="F156" s="44"/>
      <c r="G156" s="44"/>
      <c r="H156" s="6"/>
      <c r="I156" s="44"/>
      <c r="J156" s="44"/>
      <c r="K156" s="44"/>
      <c r="L156" s="6"/>
      <c r="M156" s="44"/>
      <c r="N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</row>
    <row r="157" spans="2:46" x14ac:dyDescent="0.2">
      <c r="B157" s="103" t="s">
        <v>318</v>
      </c>
      <c r="C157" s="66">
        <f>-C74</f>
        <v>-44.058500000000002</v>
      </c>
      <c r="D157" s="66">
        <f>-D74</f>
        <v>-74.519299999999987</v>
      </c>
      <c r="E157" s="24"/>
      <c r="F157" s="66">
        <f>-F74</f>
        <v>-42.254049999999999</v>
      </c>
      <c r="G157" s="66">
        <f>-G74</f>
        <v>-59.055000000000007</v>
      </c>
      <c r="H157" s="24"/>
      <c r="I157" s="66">
        <f>-I74</f>
        <v>-55.660549999999994</v>
      </c>
      <c r="J157" s="66">
        <f>-J74</f>
        <v>-91.655749999999998</v>
      </c>
      <c r="K157" s="66">
        <f>-K74</f>
        <v>-103.5675</v>
      </c>
      <c r="L157" s="66"/>
      <c r="M157" s="24">
        <f t="shared" ref="M157:M162" si="161">K157-J157</f>
        <v>-11.911749999999998</v>
      </c>
      <c r="N157" s="67">
        <f t="shared" ref="N157" si="162">IFERROR(K157/J157-1,0)</f>
        <v>0.12996184091014484</v>
      </c>
      <c r="P157" s="85">
        <f t="shared" ref="P157:AT157" si="163">-P74</f>
        <v>-5.4649999999999999</v>
      </c>
      <c r="Q157" s="85">
        <f t="shared" si="163"/>
        <v>-3.9</v>
      </c>
      <c r="R157" s="85">
        <f t="shared" si="163"/>
        <v>-2.7549999999999999</v>
      </c>
      <c r="S157" s="85">
        <f t="shared" si="163"/>
        <v>-3.5019999999999998</v>
      </c>
      <c r="T157" s="85">
        <f t="shared" si="163"/>
        <v>-4.6589999999999998</v>
      </c>
      <c r="U157" s="85">
        <f t="shared" si="163"/>
        <v>-3.9369999999999998</v>
      </c>
      <c r="V157" s="85">
        <f t="shared" si="163"/>
        <v>-4.6020000000000003</v>
      </c>
      <c r="W157" s="85">
        <f t="shared" si="163"/>
        <v>-4.7380000000000004</v>
      </c>
      <c r="X157" s="85">
        <f t="shared" si="163"/>
        <v>-2.1190000000000002</v>
      </c>
      <c r="Y157" s="85">
        <f t="shared" si="163"/>
        <v>-2.0640000000000001</v>
      </c>
      <c r="Z157" s="85">
        <f t="shared" si="163"/>
        <v>-3.0125000000000002</v>
      </c>
      <c r="AA157" s="85">
        <f t="shared" si="163"/>
        <v>-3.3050000000000002</v>
      </c>
      <c r="AB157" s="85">
        <f t="shared" si="163"/>
        <v>-3.0790000000000002</v>
      </c>
      <c r="AC157" s="85">
        <f t="shared" si="163"/>
        <v>-0.7</v>
      </c>
      <c r="AD157" s="85">
        <f t="shared" si="163"/>
        <v>-10.438549999999999</v>
      </c>
      <c r="AE157" s="85">
        <f t="shared" si="163"/>
        <v>-4.3</v>
      </c>
      <c r="AF157" s="85">
        <f t="shared" si="163"/>
        <v>-11.14</v>
      </c>
      <c r="AG157" s="85">
        <f t="shared" si="163"/>
        <v>-6.1624999999999996</v>
      </c>
      <c r="AH157" s="85">
        <f t="shared" si="163"/>
        <v>-6.4340000000000002</v>
      </c>
      <c r="AI157" s="85">
        <f t="shared" si="163"/>
        <v>-3.9649999999999999</v>
      </c>
      <c r="AJ157" s="85">
        <f t="shared" si="163"/>
        <v>-3.92</v>
      </c>
      <c r="AK157" s="85">
        <f t="shared" si="163"/>
        <v>-9.1364999999999998</v>
      </c>
      <c r="AL157" s="85">
        <f t="shared" si="163"/>
        <v>-5.2537500000000001</v>
      </c>
      <c r="AM157" s="85">
        <f t="shared" si="163"/>
        <v>-9.99</v>
      </c>
      <c r="AN157" s="85">
        <f t="shared" si="163"/>
        <v>-10.2105</v>
      </c>
      <c r="AO157" s="85">
        <f t="shared" si="163"/>
        <v>-6.6749999999999998</v>
      </c>
      <c r="AP157" s="85">
        <f t="shared" si="163"/>
        <v>-9.0990000000000002</v>
      </c>
      <c r="AQ157" s="85">
        <f t="shared" si="163"/>
        <v>-8.9544999999999995</v>
      </c>
      <c r="AR157" s="85">
        <f t="shared" si="163"/>
        <v>-12.606</v>
      </c>
      <c r="AS157" s="85">
        <f t="shared" si="163"/>
        <v>-5.4115000000000002</v>
      </c>
      <c r="AT157" s="85">
        <f t="shared" si="163"/>
        <v>-6.0984999999999996</v>
      </c>
    </row>
    <row r="158" spans="2:46" x14ac:dyDescent="0.2">
      <c r="B158" s="103" t="s">
        <v>319</v>
      </c>
      <c r="C158" s="85">
        <f>+C95</f>
        <v>122.81254999999999</v>
      </c>
      <c r="D158" s="85">
        <f>+D95</f>
        <v>152.16972000000001</v>
      </c>
      <c r="F158" s="85">
        <f t="shared" ref="F158:G158" si="164">+F95</f>
        <v>73.949619999999996</v>
      </c>
      <c r="G158" s="85">
        <f t="shared" si="164"/>
        <v>111.27999</v>
      </c>
      <c r="I158" s="85">
        <f t="shared" ref="I158:K158" si="165">+I95</f>
        <v>115.8168</v>
      </c>
      <c r="J158" s="85">
        <f t="shared" si="165"/>
        <v>186.54353999999998</v>
      </c>
      <c r="K158" s="85">
        <f t="shared" si="165"/>
        <v>197.14943999999997</v>
      </c>
      <c r="M158" s="24">
        <f t="shared" si="161"/>
        <v>10.605899999999991</v>
      </c>
      <c r="N158" s="67">
        <f t="shared" ref="N158" si="166">IFERROR(K158/J158-1,0)</f>
        <v>5.6854823276110134E-2</v>
      </c>
      <c r="P158" s="85">
        <f t="shared" ref="P158:AT158" si="167">+P95</f>
        <v>9.1372800000000005</v>
      </c>
      <c r="Q158" s="85">
        <f t="shared" si="167"/>
        <v>8.9629599999999989</v>
      </c>
      <c r="R158" s="85">
        <f t="shared" si="167"/>
        <v>10.19584</v>
      </c>
      <c r="S158" s="85">
        <f t="shared" si="167"/>
        <v>15.04429</v>
      </c>
      <c r="T158" s="85">
        <f t="shared" si="167"/>
        <v>16.637439999999998</v>
      </c>
      <c r="U158" s="85">
        <f t="shared" si="167"/>
        <v>7.4949899999999996</v>
      </c>
      <c r="V158" s="85">
        <f t="shared" si="167"/>
        <v>7.9820200000000003</v>
      </c>
      <c r="W158" s="85">
        <f t="shared" si="167"/>
        <v>5.9027399999999997</v>
      </c>
      <c r="X158" s="85">
        <f t="shared" si="167"/>
        <v>7.7676300000000005</v>
      </c>
      <c r="Y158" s="85">
        <f t="shared" si="167"/>
        <v>8.2141699999999993</v>
      </c>
      <c r="Z158" s="85">
        <f t="shared" si="167"/>
        <v>12.622719999999999</v>
      </c>
      <c r="AA158" s="85">
        <f t="shared" si="167"/>
        <v>12.85047</v>
      </c>
      <c r="AB158" s="85">
        <f t="shared" si="167"/>
        <v>10.345559999999999</v>
      </c>
      <c r="AC158" s="85">
        <f t="shared" si="167"/>
        <v>8.0879799999999999</v>
      </c>
      <c r="AD158" s="85">
        <f t="shared" si="167"/>
        <v>9.7528700000000015</v>
      </c>
      <c r="AE158" s="85">
        <f t="shared" si="167"/>
        <v>10.28</v>
      </c>
      <c r="AF158" s="85">
        <f t="shared" si="167"/>
        <v>11.13632</v>
      </c>
      <c r="AG158" s="85">
        <f t="shared" si="167"/>
        <v>10.874319999999999</v>
      </c>
      <c r="AH158" s="85">
        <f t="shared" si="167"/>
        <v>13.472569999999999</v>
      </c>
      <c r="AI158" s="85">
        <f t="shared" si="167"/>
        <v>12.70407</v>
      </c>
      <c r="AJ158" s="85">
        <f t="shared" si="167"/>
        <v>14.698840000000001</v>
      </c>
      <c r="AK158" s="85">
        <f t="shared" si="167"/>
        <v>15.543059999999999</v>
      </c>
      <c r="AL158" s="85">
        <f t="shared" si="167"/>
        <v>14.34361</v>
      </c>
      <c r="AM158" s="85">
        <f t="shared" si="167"/>
        <v>20.930520000000001</v>
      </c>
      <c r="AN158" s="85">
        <f t="shared" si="167"/>
        <v>16.553939999999997</v>
      </c>
      <c r="AO158" s="85">
        <f t="shared" si="167"/>
        <v>11.52661</v>
      </c>
      <c r="AP158" s="85">
        <f t="shared" si="167"/>
        <v>14.938829999999999</v>
      </c>
      <c r="AQ158" s="85">
        <f t="shared" si="167"/>
        <v>15.58352</v>
      </c>
      <c r="AR158" s="85">
        <f t="shared" si="167"/>
        <v>19.603400000000001</v>
      </c>
      <c r="AS158" s="85">
        <f t="shared" si="167"/>
        <v>16.644569999999998</v>
      </c>
      <c r="AT158" s="85">
        <f t="shared" si="167"/>
        <v>16.429119999999998</v>
      </c>
    </row>
    <row r="160" spans="2:46" x14ac:dyDescent="0.2">
      <c r="B160" s="103" t="s">
        <v>320</v>
      </c>
      <c r="C160" s="85">
        <f>+C96</f>
        <v>0</v>
      </c>
      <c r="D160" s="85">
        <f>+D96</f>
        <v>19.149630000000002</v>
      </c>
      <c r="F160" s="85">
        <f t="shared" ref="F160:G160" si="168">+F96</f>
        <v>3.09945</v>
      </c>
      <c r="G160" s="85">
        <f t="shared" si="168"/>
        <v>51.941310000000001</v>
      </c>
      <c r="I160" s="85">
        <f t="shared" ref="I160:K160" si="169">+I96</f>
        <v>1.4667999999999999</v>
      </c>
      <c r="J160" s="85">
        <f t="shared" si="169"/>
        <v>61.428380000000004</v>
      </c>
      <c r="K160" s="85">
        <f t="shared" si="169"/>
        <v>98.349119999999999</v>
      </c>
      <c r="M160" s="24">
        <f t="shared" si="161"/>
        <v>36.920739999999995</v>
      </c>
      <c r="N160" s="67">
        <f t="shared" ref="N160" si="170">IFERROR(K160/J160-1,0)</f>
        <v>0.60103717532515089</v>
      </c>
      <c r="P160" s="85">
        <f t="shared" ref="P160:AT160" si="171">+P96</f>
        <v>0</v>
      </c>
      <c r="Q160" s="85">
        <f t="shared" si="171"/>
        <v>0</v>
      </c>
      <c r="R160" s="85">
        <f t="shared" si="171"/>
        <v>0</v>
      </c>
      <c r="S160" s="85">
        <f t="shared" si="171"/>
        <v>0</v>
      </c>
      <c r="T160" s="85">
        <f t="shared" si="171"/>
        <v>0</v>
      </c>
      <c r="U160" s="85">
        <f t="shared" si="171"/>
        <v>0</v>
      </c>
      <c r="V160" s="85">
        <f t="shared" si="171"/>
        <v>0</v>
      </c>
      <c r="W160" s="85">
        <f t="shared" si="171"/>
        <v>0</v>
      </c>
      <c r="X160" s="85">
        <f t="shared" si="171"/>
        <v>0</v>
      </c>
      <c r="Y160" s="85">
        <f t="shared" si="171"/>
        <v>0</v>
      </c>
      <c r="Z160" s="85">
        <f t="shared" si="171"/>
        <v>0</v>
      </c>
      <c r="AA160" s="85">
        <f t="shared" si="171"/>
        <v>0</v>
      </c>
      <c r="AB160" s="85">
        <f t="shared" si="171"/>
        <v>0</v>
      </c>
      <c r="AC160" s="85">
        <f t="shared" si="171"/>
        <v>0</v>
      </c>
      <c r="AD160" s="85">
        <f t="shared" si="171"/>
        <v>0</v>
      </c>
      <c r="AE160" s="85">
        <f t="shared" si="171"/>
        <v>0</v>
      </c>
      <c r="AF160" s="85">
        <f t="shared" si="171"/>
        <v>0</v>
      </c>
      <c r="AG160" s="85">
        <f t="shared" si="171"/>
        <v>1.4667999999999999</v>
      </c>
      <c r="AH160" s="85">
        <f t="shared" si="171"/>
        <v>1.6326500000000002</v>
      </c>
      <c r="AI160" s="85">
        <f t="shared" si="171"/>
        <v>1.7180499999999999</v>
      </c>
      <c r="AJ160" s="85">
        <f t="shared" si="171"/>
        <v>1.9145999999999999</v>
      </c>
      <c r="AK160" s="85">
        <f t="shared" si="171"/>
        <v>2.3529</v>
      </c>
      <c r="AL160" s="85">
        <f t="shared" si="171"/>
        <v>2.2452399999999999</v>
      </c>
      <c r="AM160" s="85">
        <f t="shared" si="171"/>
        <v>7.8193900000000003</v>
      </c>
      <c r="AN160" s="85">
        <f t="shared" si="171"/>
        <v>5.6533999999999995</v>
      </c>
      <c r="AO160" s="85">
        <f t="shared" si="171"/>
        <v>5.9568900000000005</v>
      </c>
      <c r="AP160" s="85">
        <f t="shared" si="171"/>
        <v>7.7827999999999999</v>
      </c>
      <c r="AQ160" s="85">
        <f t="shared" si="171"/>
        <v>8.1370100000000001</v>
      </c>
      <c r="AR160" s="85">
        <f t="shared" si="171"/>
        <v>7.8082500000000001</v>
      </c>
      <c r="AS160" s="85">
        <f t="shared" si="171"/>
        <v>8.4072000000000013</v>
      </c>
      <c r="AT160" s="85">
        <f t="shared" si="171"/>
        <v>8.1957599999999999</v>
      </c>
    </row>
    <row r="161" spans="2:46" x14ac:dyDescent="0.2">
      <c r="B161" s="103" t="s">
        <v>326</v>
      </c>
      <c r="C161" s="85">
        <f>+C109</f>
        <v>24.819999999999997</v>
      </c>
      <c r="D161" s="85">
        <f>+D109</f>
        <v>27.153739999999999</v>
      </c>
      <c r="F161" s="85">
        <f>+F109</f>
        <v>17.089500000000001</v>
      </c>
      <c r="G161" s="85">
        <f>+G109</f>
        <v>20.62969</v>
      </c>
      <c r="I161" s="85">
        <f>+I109</f>
        <v>23.719750000000001</v>
      </c>
      <c r="J161" s="85">
        <f>+J109</f>
        <v>30.69416</v>
      </c>
      <c r="K161" s="85">
        <f>+K109</f>
        <v>30.69416</v>
      </c>
      <c r="M161" s="24">
        <f t="shared" si="161"/>
        <v>0</v>
      </c>
      <c r="N161" s="67">
        <f t="shared" ref="N161:N162" si="172">IFERROR(K161/J161-1,0)</f>
        <v>0</v>
      </c>
      <c r="P161" s="85">
        <f>+P109</f>
        <v>2.21</v>
      </c>
      <c r="Q161" s="85">
        <f>+Q109</f>
        <v>2.7349999999999999</v>
      </c>
      <c r="R161" s="85">
        <f>+R109</f>
        <v>2.7149999999999999</v>
      </c>
      <c r="S161" s="85">
        <f>+S109</f>
        <v>2.7349999999999999</v>
      </c>
      <c r="T161" s="85">
        <f>+T109</f>
        <v>0.78</v>
      </c>
      <c r="U161" s="85">
        <f>+U109</f>
        <v>3.2450000000000001</v>
      </c>
      <c r="V161" s="85">
        <f>+V109</f>
        <v>1.28</v>
      </c>
      <c r="W161" s="85">
        <f>+W109</f>
        <v>1.3</v>
      </c>
      <c r="X161" s="85">
        <f>+X109</f>
        <v>1.81</v>
      </c>
      <c r="Y161" s="85">
        <f>+Y109</f>
        <v>1.82</v>
      </c>
      <c r="Z161" s="85">
        <f>+Z109</f>
        <v>1.835</v>
      </c>
      <c r="AA161" s="85">
        <f>+AA109</f>
        <v>2.355</v>
      </c>
      <c r="AB161" s="85">
        <f>+AB109</f>
        <v>1.4702500000000001</v>
      </c>
      <c r="AC161" s="85">
        <f>+AC109</f>
        <v>1.665</v>
      </c>
      <c r="AD161" s="85">
        <f>+AD109</f>
        <v>2.6277499999999998</v>
      </c>
      <c r="AE161" s="85">
        <f>+AE109</f>
        <v>1.24875</v>
      </c>
      <c r="AF161" s="85">
        <f>+AF109</f>
        <v>2.1539999999999999</v>
      </c>
      <c r="AG161" s="85">
        <f>+AG109</f>
        <v>4.1539999999999999</v>
      </c>
      <c r="AH161" s="85">
        <f>+AH109</f>
        <v>3.7697500000000002</v>
      </c>
      <c r="AI161" s="85">
        <f>+AI109</f>
        <v>1.696</v>
      </c>
      <c r="AJ161" s="85">
        <f>+AJ109</f>
        <v>2.2275</v>
      </c>
      <c r="AK161" s="85">
        <f>+AK109</f>
        <v>1.6645000000000001</v>
      </c>
      <c r="AL161" s="85">
        <f>+AL109</f>
        <v>1.71879</v>
      </c>
      <c r="AM161" s="85">
        <f>+AM109</f>
        <v>2.75745</v>
      </c>
      <c r="AN161" s="85">
        <f>+AN109</f>
        <v>1.8688</v>
      </c>
      <c r="AO161" s="85">
        <f>+AO109</f>
        <v>4.4399100000000002</v>
      </c>
      <c r="AP161" s="85">
        <f>+AP109</f>
        <v>2.3936100000000002</v>
      </c>
      <c r="AQ161" s="85">
        <f>+AQ109</f>
        <v>3.6578600000000003</v>
      </c>
      <c r="AR161" s="85">
        <f>+AR109</f>
        <v>2.9337900000000001</v>
      </c>
      <c r="AS161" s="85">
        <f>+AS109</f>
        <v>1.5662</v>
      </c>
      <c r="AT161" s="85">
        <f>+AT109</f>
        <v>3.76952</v>
      </c>
    </row>
    <row r="162" spans="2:46" x14ac:dyDescent="0.2">
      <c r="B162" s="103" t="s">
        <v>321</v>
      </c>
      <c r="C162" s="85">
        <f>+C113</f>
        <v>0</v>
      </c>
      <c r="D162" s="85">
        <f>+D113</f>
        <v>11.4983</v>
      </c>
      <c r="F162" s="85">
        <f t="shared" ref="F162:G162" si="173">+F113</f>
        <v>0</v>
      </c>
      <c r="G162" s="85">
        <f t="shared" si="173"/>
        <v>11.84548</v>
      </c>
      <c r="I162" s="85">
        <f t="shared" ref="I162:K162" si="174">+I113</f>
        <v>0</v>
      </c>
      <c r="J162" s="85">
        <f t="shared" si="174"/>
        <v>11.648780000000002</v>
      </c>
      <c r="K162" s="85">
        <f t="shared" si="174"/>
        <v>11.648780000000002</v>
      </c>
      <c r="M162" s="24">
        <f t="shared" si="161"/>
        <v>0</v>
      </c>
      <c r="N162" s="67">
        <f t="shared" ref="N162:N163" si="175">IFERROR(K162/J162-1,0)</f>
        <v>0</v>
      </c>
      <c r="P162" s="85">
        <f t="shared" ref="P162:AT162" si="176">+P113</f>
        <v>0</v>
      </c>
      <c r="Q162" s="85">
        <f t="shared" si="176"/>
        <v>0</v>
      </c>
      <c r="R162" s="85">
        <f t="shared" si="176"/>
        <v>0</v>
      </c>
      <c r="S162" s="85">
        <f t="shared" si="176"/>
        <v>0</v>
      </c>
      <c r="T162" s="85">
        <f t="shared" si="176"/>
        <v>0</v>
      </c>
      <c r="U162" s="85">
        <f t="shared" si="176"/>
        <v>0</v>
      </c>
      <c r="V162" s="85">
        <f t="shared" si="176"/>
        <v>0</v>
      </c>
      <c r="W162" s="85">
        <f t="shared" si="176"/>
        <v>0</v>
      </c>
      <c r="X162" s="85">
        <f t="shared" si="176"/>
        <v>0</v>
      </c>
      <c r="Y162" s="85">
        <f t="shared" si="176"/>
        <v>0</v>
      </c>
      <c r="Z162" s="85">
        <f t="shared" si="176"/>
        <v>0</v>
      </c>
      <c r="AA162" s="85">
        <f t="shared" si="176"/>
        <v>0</v>
      </c>
      <c r="AB162" s="85">
        <f t="shared" si="176"/>
        <v>0</v>
      </c>
      <c r="AC162" s="85">
        <f t="shared" si="176"/>
        <v>0</v>
      </c>
      <c r="AD162" s="85">
        <f t="shared" si="176"/>
        <v>0</v>
      </c>
      <c r="AE162" s="85">
        <f t="shared" si="176"/>
        <v>0</v>
      </c>
      <c r="AF162" s="85">
        <f t="shared" si="176"/>
        <v>0</v>
      </c>
      <c r="AG162" s="85">
        <f t="shared" si="176"/>
        <v>0</v>
      </c>
      <c r="AH162" s="85">
        <f t="shared" si="176"/>
        <v>0</v>
      </c>
      <c r="AI162" s="85">
        <f t="shared" si="176"/>
        <v>7.17</v>
      </c>
      <c r="AJ162" s="85">
        <f t="shared" si="176"/>
        <v>1.6495</v>
      </c>
      <c r="AK162" s="85">
        <f t="shared" si="176"/>
        <v>2.6788000000000003</v>
      </c>
      <c r="AL162" s="85">
        <f t="shared" si="176"/>
        <v>0</v>
      </c>
      <c r="AM162" s="85">
        <f t="shared" si="176"/>
        <v>0</v>
      </c>
      <c r="AN162" s="85">
        <f t="shared" si="176"/>
        <v>0.05</v>
      </c>
      <c r="AO162" s="85">
        <f t="shared" si="176"/>
        <v>0</v>
      </c>
      <c r="AP162" s="85">
        <f t="shared" si="176"/>
        <v>0</v>
      </c>
      <c r="AQ162" s="85">
        <f t="shared" si="176"/>
        <v>0</v>
      </c>
      <c r="AR162" s="85">
        <f t="shared" si="176"/>
        <v>9.8049999999999998E-2</v>
      </c>
      <c r="AS162" s="85">
        <f t="shared" si="176"/>
        <v>2.4300000000000003E-3</v>
      </c>
      <c r="AT162" s="85">
        <f t="shared" si="176"/>
        <v>11.695</v>
      </c>
    </row>
    <row r="163" spans="2:46" x14ac:dyDescent="0.2">
      <c r="B163" s="97" t="s">
        <v>327</v>
      </c>
      <c r="C163" s="60">
        <f>SUM(C157:C162)</f>
        <v>103.57404999999997</v>
      </c>
      <c r="D163" s="60">
        <f>SUM(D157:D162)</f>
        <v>135.45209000000003</v>
      </c>
      <c r="F163" s="60">
        <f>SUM(F157:F162)</f>
        <v>51.884519999999995</v>
      </c>
      <c r="G163" s="60">
        <f>SUM(G157:G162)</f>
        <v>136.64147</v>
      </c>
      <c r="I163" s="60">
        <f>SUM(I157:I162)</f>
        <v>85.342800000000011</v>
      </c>
      <c r="J163" s="60">
        <f>SUM(J157:J162)</f>
        <v>198.65911</v>
      </c>
      <c r="K163" s="60">
        <f>SUM(K157:K162)</f>
        <v>234.274</v>
      </c>
      <c r="L163" s="72"/>
      <c r="M163" s="60">
        <f>SUM(M157:M162)</f>
        <v>35.614889999999988</v>
      </c>
      <c r="N163" s="95">
        <f t="shared" si="175"/>
        <v>0.17927639965768494</v>
      </c>
      <c r="P163" s="60">
        <f>SUM(P157:P162)</f>
        <v>5.8822800000000006</v>
      </c>
      <c r="Q163" s="60">
        <f>SUM(Q157:Q162)</f>
        <v>7.797959999999998</v>
      </c>
      <c r="R163" s="60">
        <f>SUM(R157:R162)</f>
        <v>10.155840000000001</v>
      </c>
      <c r="S163" s="60">
        <f>SUM(S157:S162)</f>
        <v>14.277290000000001</v>
      </c>
      <c r="T163" s="60">
        <f>SUM(T157:T162)</f>
        <v>12.758439999999998</v>
      </c>
      <c r="U163" s="60">
        <f>SUM(U157:U162)</f>
        <v>6.8029899999999994</v>
      </c>
      <c r="V163" s="60">
        <f>SUM(V157:V162)</f>
        <v>4.6600200000000003</v>
      </c>
      <c r="W163" s="60">
        <f>SUM(W157:W162)</f>
        <v>2.464739999999999</v>
      </c>
      <c r="X163" s="60">
        <f>SUM(X157:X162)</f>
        <v>7.4586300000000012</v>
      </c>
      <c r="Y163" s="60">
        <f>SUM(Y157:Y162)</f>
        <v>7.9701699999999995</v>
      </c>
      <c r="Z163" s="60">
        <f>SUM(Z157:Z162)</f>
        <v>11.445219999999999</v>
      </c>
      <c r="AA163" s="60">
        <f>SUM(AA157:AA162)</f>
        <v>11.90047</v>
      </c>
      <c r="AB163" s="60">
        <f>SUM(AB157:AB162)</f>
        <v>8.7368099999999984</v>
      </c>
      <c r="AC163" s="60">
        <f>SUM(AC157:AC162)</f>
        <v>9.0529799999999998</v>
      </c>
      <c r="AD163" s="60">
        <f>SUM(AD157:AD162)</f>
        <v>1.942070000000002</v>
      </c>
      <c r="AE163" s="60">
        <f>SUM(AE157:AE162)</f>
        <v>7.2287499999999998</v>
      </c>
      <c r="AF163" s="60">
        <f>SUM(AF157:AF162)</f>
        <v>2.1503199999999989</v>
      </c>
      <c r="AG163" s="60">
        <f>SUM(AG157:AG162)</f>
        <v>10.332619999999999</v>
      </c>
      <c r="AH163" s="60">
        <f>SUM(AH157:AH162)</f>
        <v>12.44097</v>
      </c>
      <c r="AI163" s="60">
        <f>SUM(AI157:AI162)</f>
        <v>19.323119999999999</v>
      </c>
      <c r="AJ163" s="60">
        <f>SUM(AJ157:AJ162)</f>
        <v>16.570440000000001</v>
      </c>
      <c r="AK163" s="60">
        <f>SUM(AK157:AK162)</f>
        <v>13.10276</v>
      </c>
      <c r="AL163" s="60">
        <f>SUM(AL157:AL162)</f>
        <v>13.053890000000001</v>
      </c>
      <c r="AM163" s="60">
        <f>SUM(AM157:AM162)</f>
        <v>21.51736</v>
      </c>
      <c r="AN163" s="60">
        <f>SUM(AN157:AN162)</f>
        <v>13.915639999999998</v>
      </c>
      <c r="AO163" s="60">
        <f>SUM(AO157:AO162)</f>
        <v>15.24841</v>
      </c>
      <c r="AP163" s="60">
        <f>SUM(AP157:AP162)</f>
        <v>16.01624</v>
      </c>
      <c r="AQ163" s="60">
        <f>SUM(AQ157:AQ162)</f>
        <v>18.42389</v>
      </c>
      <c r="AR163" s="60">
        <f>SUM(AR157:AR162)</f>
        <v>17.837490000000003</v>
      </c>
      <c r="AS163" s="60">
        <f>SUM(AS157:AS162)</f>
        <v>21.2089</v>
      </c>
      <c r="AT163" s="60">
        <f>SUM(AT157:AT162)</f>
        <v>33.990899999999996</v>
      </c>
    </row>
    <row r="164" spans="2:46" ht="3.95" customHeight="1" x14ac:dyDescent="0.2"/>
    <row r="165" spans="2:46" s="125" customFormat="1" x14ac:dyDescent="0.2">
      <c r="B165" s="128" t="s">
        <v>328</v>
      </c>
      <c r="C165" s="129">
        <f>+C143+C163</f>
        <v>263.29554000000007</v>
      </c>
      <c r="D165" s="130">
        <f>+D143+D163</f>
        <v>316.97708999999986</v>
      </c>
      <c r="F165" s="134">
        <f t="shared" ref="F165:G165" si="177">+F143+F163</f>
        <v>184.98711999999983</v>
      </c>
      <c r="G165" s="130">
        <f t="shared" si="177"/>
        <v>235.45342000000034</v>
      </c>
      <c r="I165" s="134">
        <f t="shared" ref="I165:K165" si="178">+I143+I163</f>
        <v>265.07072999999986</v>
      </c>
      <c r="J165" s="129">
        <f t="shared" si="178"/>
        <v>378.19674000000043</v>
      </c>
      <c r="K165" s="130">
        <f t="shared" si="178"/>
        <v>314.96701000000007</v>
      </c>
      <c r="L165" s="126"/>
      <c r="M165" s="134">
        <f>+M143+M163</f>
        <v>-63.229730000000288</v>
      </c>
      <c r="N165" s="136">
        <f t="shared" ref="N165:N166" si="179">IFERROR(K165/J165-1,0)</f>
        <v>-0.1671874009278882</v>
      </c>
      <c r="P165" s="134">
        <f t="shared" ref="P165:AT165" si="180">+P143+P163</f>
        <v>38.172820000000002</v>
      </c>
      <c r="Q165" s="129">
        <f t="shared" si="180"/>
        <v>31.453530000000008</v>
      </c>
      <c r="R165" s="129">
        <f t="shared" si="180"/>
        <v>28.164880000000004</v>
      </c>
      <c r="S165" s="129">
        <f t="shared" si="180"/>
        <v>23.826989999999981</v>
      </c>
      <c r="T165" s="129">
        <f t="shared" si="180"/>
        <v>13.730020000000021</v>
      </c>
      <c r="U165" s="129">
        <f t="shared" si="180"/>
        <v>19.302289999999999</v>
      </c>
      <c r="V165" s="129">
        <f t="shared" si="180"/>
        <v>30.697120000000012</v>
      </c>
      <c r="W165" s="129">
        <f t="shared" si="180"/>
        <v>31.328559999999996</v>
      </c>
      <c r="X165" s="129">
        <f t="shared" si="180"/>
        <v>20.766400000000004</v>
      </c>
      <c r="Y165" s="129">
        <f t="shared" si="180"/>
        <v>19.85721999999998</v>
      </c>
      <c r="Z165" s="129">
        <f t="shared" si="180"/>
        <v>-4.7109999999996433E-2</v>
      </c>
      <c r="AA165" s="129">
        <f t="shared" si="180"/>
        <v>6.042820000000023</v>
      </c>
      <c r="AB165" s="129">
        <f t="shared" si="180"/>
        <v>31.705159999999967</v>
      </c>
      <c r="AC165" s="129">
        <f t="shared" si="180"/>
        <v>16.764409999999998</v>
      </c>
      <c r="AD165" s="129">
        <f t="shared" si="180"/>
        <v>22.511680000000005</v>
      </c>
      <c r="AE165" s="129">
        <f t="shared" si="180"/>
        <v>19.102860000000014</v>
      </c>
      <c r="AF165" s="129">
        <f t="shared" si="180"/>
        <v>28.692430000000002</v>
      </c>
      <c r="AG165" s="129">
        <f t="shared" si="180"/>
        <v>37.649179999999973</v>
      </c>
      <c r="AH165" s="129">
        <f t="shared" si="180"/>
        <v>28.561399999999988</v>
      </c>
      <c r="AI165" s="129">
        <f t="shared" si="180"/>
        <v>38.552789999999973</v>
      </c>
      <c r="AJ165" s="129">
        <f t="shared" si="180"/>
        <v>24.419320000000013</v>
      </c>
      <c r="AK165" s="129">
        <f t="shared" si="180"/>
        <v>16.748180000000005</v>
      </c>
      <c r="AL165" s="129">
        <f t="shared" si="180"/>
        <v>28.694120000000041</v>
      </c>
      <c r="AM165" s="129">
        <f t="shared" si="180"/>
        <v>23.575559999999989</v>
      </c>
      <c r="AN165" s="129">
        <f t="shared" si="180"/>
        <v>45.850109999999972</v>
      </c>
      <c r="AO165" s="129">
        <f t="shared" si="180"/>
        <v>85.732889999999969</v>
      </c>
      <c r="AP165" s="129">
        <f t="shared" si="180"/>
        <v>7.2651099999999804</v>
      </c>
      <c r="AQ165" s="129">
        <f t="shared" si="180"/>
        <v>18.950499999999977</v>
      </c>
      <c r="AR165" s="129">
        <f t="shared" si="180"/>
        <v>28.034890000000004</v>
      </c>
      <c r="AS165" s="129">
        <f t="shared" si="180"/>
        <v>31.81187000000007</v>
      </c>
      <c r="AT165" s="130">
        <f t="shared" si="180"/>
        <v>17.808049999999998</v>
      </c>
    </row>
    <row r="166" spans="2:46" s="112" customFormat="1" x14ac:dyDescent="0.2">
      <c r="B166" s="131" t="s">
        <v>310</v>
      </c>
      <c r="C166" s="132">
        <f>C165/C$88</f>
        <v>0.23198542934133223</v>
      </c>
      <c r="D166" s="133">
        <f>D165/D$88</f>
        <v>0.16866017627815988</v>
      </c>
      <c r="F166" s="135">
        <f>F165/F$88</f>
        <v>0.18538140771607117</v>
      </c>
      <c r="G166" s="133">
        <f>G165/G$88</f>
        <v>0.14090390953747345</v>
      </c>
      <c r="I166" s="135">
        <f>I165/I$88</f>
        <v>0.17986604193308001</v>
      </c>
      <c r="J166" s="132">
        <f>J165/J$88</f>
        <v>0.15395842490722617</v>
      </c>
      <c r="K166" s="133">
        <f>K165/K$88</f>
        <v>0.1028199976605511</v>
      </c>
      <c r="L166" s="127"/>
      <c r="M166" s="135">
        <v>0</v>
      </c>
      <c r="N166" s="137">
        <v>0</v>
      </c>
      <c r="P166" s="135">
        <f t="shared" ref="P166" si="181">P165/P$88</f>
        <v>0.47177552213424034</v>
      </c>
      <c r="Q166" s="132">
        <f t="shared" ref="Q166" si="182">Q165/Q$88</f>
        <v>0.38709321315304657</v>
      </c>
      <c r="R166" s="132">
        <f t="shared" ref="R166" si="183">R165/R$88</f>
        <v>0.36056953971338668</v>
      </c>
      <c r="S166" s="132">
        <f t="shared" ref="S166" si="184">S165/S$88</f>
        <v>0.28585538904878371</v>
      </c>
      <c r="T166" s="132">
        <f t="shared" ref="T166" si="185">T165/T$88</f>
        <v>0.152224013996163</v>
      </c>
      <c r="U166" s="132">
        <f t="shared" ref="U166" si="186">U165/U$88</f>
        <v>0.21467072527853834</v>
      </c>
      <c r="V166" s="132">
        <f t="shared" ref="V166" si="187">V165/V$88</f>
        <v>0.29324148695979885</v>
      </c>
      <c r="W166" s="132">
        <f t="shared" ref="W166" si="188">W165/W$88</f>
        <v>0.30089836649722546</v>
      </c>
      <c r="X166" s="132">
        <f t="shared" ref="X166" si="189">X165/X$88</f>
        <v>0.21109911027189954</v>
      </c>
      <c r="Y166" s="132">
        <f t="shared" ref="Y166" si="190">Y165/Y$88</f>
        <v>0.20045871698555087</v>
      </c>
      <c r="Z166" s="132">
        <f t="shared" ref="Z166" si="191">Z165/Z$88</f>
        <v>-4.3126294772936012E-4</v>
      </c>
      <c r="AA166" s="132">
        <f t="shared" ref="AA166" si="192">AA165/AA$88</f>
        <v>5.2204953959699325E-2</v>
      </c>
      <c r="AB166" s="132">
        <f t="shared" ref="AB166" si="193">AB165/AB$88</f>
        <v>0.22864976880924209</v>
      </c>
      <c r="AC166" s="132">
        <f t="shared" ref="AC166" si="194">AC165/AC$88</f>
        <v>0.13117424841122166</v>
      </c>
      <c r="AD166" s="132">
        <f t="shared" ref="AD166" si="195">AD165/AD$88</f>
        <v>0.16715506310245309</v>
      </c>
      <c r="AE166" s="132">
        <f t="shared" ref="AE166" si="196">AE165/AE$88</f>
        <v>0.1404874109766753</v>
      </c>
      <c r="AF166" s="132">
        <f t="shared" ref="AF166" si="197">AF165/AF$88</f>
        <v>0.18870252320403824</v>
      </c>
      <c r="AG166" s="132">
        <f t="shared" ref="AG166" si="198">AG165/AG$88</f>
        <v>0.2455514435934851</v>
      </c>
      <c r="AH166" s="132">
        <f t="shared" ref="AH166" si="199">AH165/AH$88</f>
        <v>0.18381552724860817</v>
      </c>
      <c r="AI166" s="132">
        <f t="shared" ref="AI166" si="200">AI165/AI$88</f>
        <v>0.24114586473840649</v>
      </c>
      <c r="AJ166" s="132">
        <f t="shared" ref="AJ166" si="201">AJ165/AJ$88</f>
        <v>0.14889900994035285</v>
      </c>
      <c r="AK166" s="132">
        <f t="shared" ref="AK166" si="202">AK165/AK$88</f>
        <v>9.3437758446240748E-2</v>
      </c>
      <c r="AL166" s="132">
        <f t="shared" ref="AL166" si="203">AL165/AL$88</f>
        <v>0.15792849579763593</v>
      </c>
      <c r="AM166" s="132">
        <f t="shared" ref="AM166" si="204">AM165/AM$88</f>
        <v>0.11985378135163176</v>
      </c>
      <c r="AN166" s="132">
        <f t="shared" ref="AN166" si="205">AN165/AN$88</f>
        <v>0.21608452018512053</v>
      </c>
      <c r="AO166" s="132">
        <f t="shared" ref="AO166" si="206">AO165/AO$88</f>
        <v>0.35441989665161577</v>
      </c>
      <c r="AP166" s="132">
        <f t="shared" ref="AP166" si="207">AP165/AP$88</f>
        <v>3.138339495804119E-2</v>
      </c>
      <c r="AQ166" s="132">
        <f t="shared" ref="AQ166" si="208">AQ165/AQ$88</f>
        <v>7.8855450205511754E-2</v>
      </c>
      <c r="AR166" s="132">
        <f t="shared" ref="AR166" si="209">AR165/AR$88</f>
        <v>0.11387092181787205</v>
      </c>
      <c r="AS166" s="132">
        <f t="shared" ref="AS166" si="210">AS165/AS$88</f>
        <v>0.12853317160897049</v>
      </c>
      <c r="AT166" s="133">
        <f t="shared" ref="AT166" si="211">AT165/AT$88</f>
        <v>7.0828238226101237E-2</v>
      </c>
    </row>
    <row r="169" spans="2:46" x14ac:dyDescent="0.2">
      <c r="C169" s="34">
        <v>45291</v>
      </c>
      <c r="D169" s="36">
        <f>C170</f>
        <v>45657</v>
      </c>
      <c r="E169" s="36"/>
      <c r="F169" s="34">
        <v>45657</v>
      </c>
      <c r="G169" s="34">
        <v>46022</v>
      </c>
      <c r="H169" s="34"/>
      <c r="I169" s="34">
        <v>45473</v>
      </c>
      <c r="J169" s="36">
        <f>I170</f>
        <v>45838</v>
      </c>
    </row>
    <row r="170" spans="2:46" x14ac:dyDescent="0.2">
      <c r="C170" s="35">
        <f>EOMONTH(C169,12)</f>
        <v>45657</v>
      </c>
      <c r="D170" s="35">
        <f>EOMONTH(D169,12)</f>
        <v>46022</v>
      </c>
      <c r="E170" s="35"/>
      <c r="F170" s="35">
        <v>45869</v>
      </c>
      <c r="G170" s="35">
        <f>EOMONTH(G169,12)</f>
        <v>46387</v>
      </c>
      <c r="H170" s="35"/>
      <c r="I170" s="35">
        <f>EOMONTH(I169,12)</f>
        <v>45838</v>
      </c>
      <c r="J170" s="35">
        <f>EOMONTH(J169,12)</f>
        <v>46203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30"/>
  <sheetViews>
    <sheetView showGridLines="0" topLeftCell="I1" zoomScale="130" zoomScaleNormal="130" workbookViewId="0">
      <pane ySplit="5" topLeftCell="A90" activePane="bottomLeft" state="frozen"/>
      <selection pane="bottomLeft" activeCell="A6" sqref="A6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6" width="13" style="6" customWidth="1"/>
    <col min="7" max="7" width="0.85546875" style="113" customWidth="1"/>
    <col min="8" max="9" width="13" style="6" customWidth="1"/>
    <col min="10" max="10" width="0.85546875" style="113" customWidth="1"/>
    <col min="11" max="11" width="13.7109375" style="6" customWidth="1"/>
    <col min="12" max="12" width="13" style="6" customWidth="1"/>
    <col min="13" max="13" width="0.85546875" style="6" customWidth="1"/>
    <col min="14" max="44" width="10.5703125" style="6" customWidth="1"/>
    <col min="45" max="16384" width="8.7109375" style="6"/>
  </cols>
  <sheetData>
    <row r="2" spans="2:44" ht="16.5" x14ac:dyDescent="0.25">
      <c r="B2" s="5" t="s">
        <v>1</v>
      </c>
      <c r="C2" s="5"/>
      <c r="D2" s="5"/>
    </row>
    <row r="3" spans="2:44" x14ac:dyDescent="0.2">
      <c r="B3" s="7" t="s">
        <v>2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3</v>
      </c>
      <c r="C5" s="9" t="s">
        <v>260</v>
      </c>
      <c r="D5" s="9" t="s">
        <v>312</v>
      </c>
      <c r="E5" s="10" t="s">
        <v>4</v>
      </c>
      <c r="F5" s="10" t="s">
        <v>5</v>
      </c>
      <c r="G5" s="114"/>
      <c r="H5" s="10" t="s">
        <v>257</v>
      </c>
      <c r="I5" s="10" t="s">
        <v>6</v>
      </c>
      <c r="J5" s="114"/>
      <c r="K5" s="10" t="s">
        <v>255</v>
      </c>
      <c r="L5" s="10" t="s">
        <v>256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259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6" t="s">
        <v>8</v>
      </c>
      <c r="C7" s="14"/>
      <c r="D7" s="14"/>
      <c r="E7" s="15"/>
      <c r="F7" s="15"/>
      <c r="G7" s="115"/>
      <c r="H7" s="15"/>
      <c r="I7" s="15"/>
      <c r="J7" s="1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7" t="s">
        <v>9</v>
      </c>
      <c r="C8" s="14" t="s">
        <v>262</v>
      </c>
      <c r="D8" s="14"/>
      <c r="E8" s="15">
        <f>SUMIFS($N8:$AR8,$N$5:$AR$5,"&gt;"&amp;E$116,$N$5:$AR$5,"&lt;"&amp;E$117)</f>
        <v>0</v>
      </c>
      <c r="F8" s="15">
        <f>SUMIFS($N8:$AR8,$N$5:$AR$5,"&gt;"&amp;F$116,$N$5:$AR$5,"&lt;"&amp;F$117)</f>
        <v>1.75</v>
      </c>
      <c r="G8" s="115"/>
      <c r="H8" s="15">
        <f>SUMIFS($N8:$AR8,$N$5:$AR$5,"&gt;"&amp;H$116,$N$5:$AR$5,"&lt;"&amp;H$117)</f>
        <v>0</v>
      </c>
      <c r="I8" s="15">
        <f>SUMIFS($N8:$AR8,$N$5:$AR$5,"&gt;"&amp;I$116,$N$5:$AR$5,"&lt;"&amp;I$117)</f>
        <v>21.59</v>
      </c>
      <c r="J8" s="115"/>
      <c r="K8" s="15">
        <f>SUMIFS($N8:$AR8,$N$5:$AR$5,"&gt;"&amp;K$116,$N$5:$AR$5,"&lt;"&amp;K$117)</f>
        <v>0</v>
      </c>
      <c r="L8" s="15">
        <f>SUMIFS($N8:$AR8,$N$5:$AR$5,"&gt;"&amp;L$116,$N$5:$AR$5,"&lt;"&amp;L$117)</f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7" t="s">
        <v>10</v>
      </c>
      <c r="C9" s="14" t="s">
        <v>262</v>
      </c>
      <c r="D9" s="14"/>
      <c r="E9" s="15">
        <f>SUMIFS($N9:$AR9,$N$5:$AR$5,"&gt;"&amp;E$116,$N$5:$AR$5,"&lt;"&amp;E$117)</f>
        <v>0</v>
      </c>
      <c r="F9" s="15">
        <f>SUMIFS($N9:$AR9,$N$5:$AR$5,"&gt;"&amp;F$116,$N$5:$AR$5,"&lt;"&amp;F$117)</f>
        <v>1.65</v>
      </c>
      <c r="G9" s="115"/>
      <c r="H9" s="15">
        <f>SUMIFS($N9:$AR9,$N$5:$AR$5,"&gt;"&amp;H$116,$N$5:$AR$5,"&lt;"&amp;H$117)</f>
        <v>0</v>
      </c>
      <c r="I9" s="15">
        <f>SUMIFS($N9:$AR9,$N$5:$AR$5,"&gt;"&amp;I$116,$N$5:$AR$5,"&lt;"&amp;I$117)</f>
        <v>2.3250000000000002</v>
      </c>
      <c r="J9" s="115"/>
      <c r="K9" s="15">
        <f>SUMIFS($N9:$AR9,$N$5:$AR$5,"&gt;"&amp;K$116,$N$5:$AR$5,"&lt;"&amp;K$117)</f>
        <v>0</v>
      </c>
      <c r="L9" s="15">
        <f>SUMIFS($N9:$AR9,$N$5:$AR$5,"&gt;"&amp;L$116,$N$5:$AR$5,"&lt;"&amp;L$117)</f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11</v>
      </c>
      <c r="C10" s="17"/>
      <c r="D10" s="17"/>
      <c r="E10" s="18">
        <f>SUMIFS($N10:$AR10,$N$5:$AR$5,"&gt;"&amp;E$116,$N$5:$AR$5,"&lt;"&amp;E$117)</f>
        <v>0</v>
      </c>
      <c r="F10" s="18">
        <f>SUMIFS($N10:$AR10,$N$5:$AR$5,"&gt;"&amp;F$116,$N$5:$AR$5,"&lt;"&amp;F$117)</f>
        <v>3.4</v>
      </c>
      <c r="G10" s="116"/>
      <c r="H10" s="18">
        <f>SUMIFS($N10:$AR10,$N$5:$AR$5,"&gt;"&amp;H$116,$N$5:$AR$5,"&lt;"&amp;H$117)</f>
        <v>0</v>
      </c>
      <c r="I10" s="18">
        <f>SUMIFS($N10:$AR10,$N$5:$AR$5,"&gt;"&amp;I$116,$N$5:$AR$5,"&lt;"&amp;I$117)</f>
        <v>23.914999999999999</v>
      </c>
      <c r="J10" s="116"/>
      <c r="K10" s="18">
        <f>SUMIFS($N10:$AR10,$N$5:$AR$5,"&gt;"&amp;K$116,$N$5:$AR$5,"&lt;"&amp;K$117)</f>
        <v>0</v>
      </c>
      <c r="L10" s="18">
        <f>SUMIFS($N10:$AR10,$N$5:$AR$5,"&gt;"&amp;L$116,$N$5:$AR$5,"&lt;"&amp;L$117)</f>
        <v>27.315000000000001</v>
      </c>
      <c r="M10" s="16"/>
      <c r="N10" s="18">
        <f t="shared" ref="N10:AR10" si="0">SUM(N7,N8,N9)</f>
        <v>0</v>
      </c>
      <c r="O10" s="18">
        <f t="shared" si="0"/>
        <v>0</v>
      </c>
      <c r="P10" s="18">
        <f t="shared" si="0"/>
        <v>0</v>
      </c>
      <c r="Q10" s="18">
        <f t="shared" si="0"/>
        <v>0</v>
      </c>
      <c r="R10" s="18">
        <f t="shared" si="0"/>
        <v>0</v>
      </c>
      <c r="S10" s="18">
        <f t="shared" si="0"/>
        <v>0</v>
      </c>
      <c r="T10" s="18">
        <f t="shared" si="0"/>
        <v>0</v>
      </c>
      <c r="U10" s="18">
        <f t="shared" si="0"/>
        <v>0</v>
      </c>
      <c r="V10" s="18">
        <f t="shared" si="0"/>
        <v>0</v>
      </c>
      <c r="W10" s="18">
        <f t="shared" si="0"/>
        <v>0</v>
      </c>
      <c r="X10" s="18">
        <f t="shared" si="0"/>
        <v>0</v>
      </c>
      <c r="Y10" s="18">
        <f t="shared" si="0"/>
        <v>0</v>
      </c>
      <c r="Z10" s="18">
        <f t="shared" si="0"/>
        <v>0</v>
      </c>
      <c r="AA10" s="18">
        <f t="shared" si="0"/>
        <v>0</v>
      </c>
      <c r="AB10" s="18">
        <f t="shared" si="0"/>
        <v>0</v>
      </c>
      <c r="AC10" s="18">
        <f t="shared" si="0"/>
        <v>0</v>
      </c>
      <c r="AD10" s="18">
        <f t="shared" si="0"/>
        <v>0</v>
      </c>
      <c r="AE10" s="18">
        <f t="shared" si="0"/>
        <v>0</v>
      </c>
      <c r="AF10" s="18">
        <f t="shared" si="0"/>
        <v>0</v>
      </c>
      <c r="AG10" s="18">
        <f t="shared" si="0"/>
        <v>0</v>
      </c>
      <c r="AH10" s="18">
        <f t="shared" si="0"/>
        <v>0.875</v>
      </c>
      <c r="AI10" s="18">
        <f t="shared" si="0"/>
        <v>1.65</v>
      </c>
      <c r="AJ10" s="18">
        <f t="shared" si="0"/>
        <v>0</v>
      </c>
      <c r="AK10" s="18">
        <f t="shared" si="0"/>
        <v>0.875</v>
      </c>
      <c r="AL10" s="18">
        <f t="shared" si="0"/>
        <v>0</v>
      </c>
      <c r="AM10" s="18">
        <f t="shared" si="0"/>
        <v>0</v>
      </c>
      <c r="AN10" s="18">
        <f t="shared" si="0"/>
        <v>14.19</v>
      </c>
      <c r="AO10" s="18">
        <f t="shared" si="0"/>
        <v>6.625</v>
      </c>
      <c r="AP10" s="18">
        <f t="shared" si="0"/>
        <v>0</v>
      </c>
      <c r="AQ10" s="18">
        <f t="shared" si="0"/>
        <v>3.1</v>
      </c>
      <c r="AR10" s="18">
        <f t="shared" si="0"/>
        <v>0</v>
      </c>
    </row>
    <row r="11" spans="2:44" x14ac:dyDescent="0.2">
      <c r="B11" s="56" t="s">
        <v>12</v>
      </c>
      <c r="C11" s="14"/>
      <c r="D11" s="14"/>
      <c r="E11" s="15"/>
      <c r="F11" s="15"/>
      <c r="G11" s="115"/>
      <c r="H11" s="15"/>
      <c r="I11" s="15"/>
      <c r="J11" s="1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7" t="s">
        <v>13</v>
      </c>
      <c r="C12" s="14" t="s">
        <v>13</v>
      </c>
      <c r="D12" s="14"/>
      <c r="E12" s="15">
        <f>SUMIFS($N12:$AR12,$N$5:$AR$5,"&gt;"&amp;E$116,$N$5:$AR$5,"&lt;"&amp;E$117)</f>
        <v>10.475000000000001</v>
      </c>
      <c r="F12" s="15">
        <f>SUMIFS($N12:$AR12,$N$5:$AR$5,"&gt;"&amp;F$116,$N$5:$AR$5,"&lt;"&amp;F$117)</f>
        <v>23.55</v>
      </c>
      <c r="G12" s="115"/>
      <c r="H12" s="15">
        <f>SUMIFS($N12:$AR12,$N$5:$AR$5,"&gt;"&amp;H$116,$N$5:$AR$5,"&lt;"&amp;H$117)</f>
        <v>23.49</v>
      </c>
      <c r="I12" s="15">
        <f>SUMIFS($N12:$AR12,$N$5:$AR$5,"&gt;"&amp;I$116,$N$5:$AR$5,"&lt;"&amp;I$117)</f>
        <v>38.701499999999996</v>
      </c>
      <c r="J12" s="115"/>
      <c r="K12" s="15">
        <f>SUMIFS($N12:$AR12,$N$5:$AR$5,"&gt;"&amp;K$116,$N$5:$AR$5,"&lt;"&amp;K$117)</f>
        <v>23.52</v>
      </c>
      <c r="L12" s="15">
        <f>SUMIFS($N12:$AR12,$N$5:$AR$5,"&gt;"&amp;L$116,$N$5:$AR$5,"&lt;"&amp;L$117)</f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7" t="s">
        <v>14</v>
      </c>
      <c r="C13" s="14" t="s">
        <v>14</v>
      </c>
      <c r="D13" s="14"/>
      <c r="E13" s="15">
        <f>SUMIFS($N13:$AR13,$N$5:$AR$5,"&gt;"&amp;E$116,$N$5:$AR$5,"&lt;"&amp;E$117)</f>
        <v>0.37469999999999998</v>
      </c>
      <c r="F13" s="15">
        <f>SUMIFS($N13:$AR13,$N$5:$AR$5,"&gt;"&amp;F$116,$N$5:$AR$5,"&lt;"&amp;F$117)</f>
        <v>1.1219399999999999</v>
      </c>
      <c r="G13" s="115"/>
      <c r="H13" s="15">
        <f>SUMIFS($N13:$AR13,$N$5:$AR$5,"&gt;"&amp;H$116,$N$5:$AR$5,"&lt;"&amp;H$117)</f>
        <v>0.78725000000000001</v>
      </c>
      <c r="I13" s="15">
        <f>SUMIFS($N13:$AR13,$N$5:$AR$5,"&gt;"&amp;I$116,$N$5:$AR$5,"&lt;"&amp;I$117)</f>
        <v>0.25783</v>
      </c>
      <c r="J13" s="115"/>
      <c r="K13" s="15">
        <f>SUMIFS($N13:$AR13,$N$5:$AR$5,"&gt;"&amp;K$116,$N$5:$AR$5,"&lt;"&amp;K$117)</f>
        <v>0.79723999999999995</v>
      </c>
      <c r="L13" s="15">
        <f>SUMIFS($N13:$AR13,$N$5:$AR$5,"&gt;"&amp;L$116,$N$5:$AR$5,"&lt;"&amp;L$117)</f>
        <v>0.88222999999999985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7" t="s">
        <v>15</v>
      </c>
      <c r="C14" s="14" t="s">
        <v>15</v>
      </c>
      <c r="D14" s="14"/>
      <c r="E14" s="15">
        <f>SUMIFS($N14:$AR14,$N$5:$AR$5,"&gt;"&amp;E$116,$N$5:$AR$5,"&lt;"&amp;E$117)</f>
        <v>23.599999999999998</v>
      </c>
      <c r="F14" s="15">
        <f>SUMIFS($N14:$AR14,$N$5:$AR$5,"&gt;"&amp;F$116,$N$5:$AR$5,"&lt;"&amp;F$117)</f>
        <v>0.2</v>
      </c>
      <c r="G14" s="115"/>
      <c r="H14" s="15">
        <f>SUMIFS($N14:$AR14,$N$5:$AR$5,"&gt;"&amp;H$116,$N$5:$AR$5,"&lt;"&amp;H$117)</f>
        <v>0.2</v>
      </c>
      <c r="I14" s="15">
        <f>SUMIFS($N14:$AR14,$N$5:$AR$5,"&gt;"&amp;I$116,$N$5:$AR$5,"&lt;"&amp;I$117)</f>
        <v>0</v>
      </c>
      <c r="J14" s="115"/>
      <c r="K14" s="15">
        <f>SUMIFS($N14:$AR14,$N$5:$AR$5,"&gt;"&amp;K$116,$N$5:$AR$5,"&lt;"&amp;K$117)</f>
        <v>16.735000000000003</v>
      </c>
      <c r="L14" s="15">
        <f>SUMIFS($N14:$AR14,$N$5:$AR$5,"&gt;"&amp;L$116,$N$5:$AR$5,"&lt;"&amp;L$117)</f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7" t="s">
        <v>16</v>
      </c>
      <c r="C15" s="14" t="s">
        <v>16</v>
      </c>
      <c r="D15" s="14"/>
      <c r="E15" s="15">
        <f>SUMIFS($N15:$AR15,$N$5:$AR$5,"&gt;"&amp;E$116,$N$5:$AR$5,"&lt;"&amp;E$117)</f>
        <v>6.2004000000000001</v>
      </c>
      <c r="F15" s="15">
        <f>SUMIFS($N15:$AR15,$N$5:$AR$5,"&gt;"&amp;F$116,$N$5:$AR$5,"&lt;"&amp;F$117)</f>
        <v>23.261789999999998</v>
      </c>
      <c r="G15" s="115"/>
      <c r="H15" s="15">
        <f>SUMIFS($N15:$AR15,$N$5:$AR$5,"&gt;"&amp;H$116,$N$5:$AR$5,"&lt;"&amp;H$117)</f>
        <v>14.504949999999999</v>
      </c>
      <c r="I15" s="15">
        <f>SUMIFS($N15:$AR15,$N$5:$AR$5,"&gt;"&amp;I$116,$N$5:$AR$5,"&lt;"&amp;I$117)</f>
        <v>8.0793799999999987</v>
      </c>
      <c r="J15" s="115"/>
      <c r="K15" s="15">
        <f>SUMIFS($N15:$AR15,$N$5:$AR$5,"&gt;"&amp;K$116,$N$5:$AR$5,"&lt;"&amp;K$117)</f>
        <v>17.947879999999998</v>
      </c>
      <c r="L15" s="15">
        <f>SUMIFS($N15:$AR15,$N$5:$AR$5,"&gt;"&amp;L$116,$N$5:$AR$5,"&lt;"&amp;L$117)</f>
        <v>17.796090000000003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17</v>
      </c>
      <c r="C16" s="17"/>
      <c r="D16" s="17"/>
      <c r="E16" s="18">
        <f>SUMIFS($N16:$AR16,$N$5:$AR$5,"&gt;"&amp;E$116,$N$5:$AR$5,"&lt;"&amp;E$117)</f>
        <v>40.650099999999995</v>
      </c>
      <c r="F16" s="18">
        <f>SUMIFS($N16:$AR16,$N$5:$AR$5,"&gt;"&amp;F$116,$N$5:$AR$5,"&lt;"&amp;F$117)</f>
        <v>48.133729999999986</v>
      </c>
      <c r="G16" s="116"/>
      <c r="H16" s="18">
        <f>SUMIFS($N16:$AR16,$N$5:$AR$5,"&gt;"&amp;H$116,$N$5:$AR$5,"&lt;"&amp;H$117)</f>
        <v>38.982199999999992</v>
      </c>
      <c r="I16" s="18">
        <f>SUMIFS($N16:$AR16,$N$5:$AR$5,"&gt;"&amp;I$116,$N$5:$AR$5,"&lt;"&amp;I$117)</f>
        <v>47.038710000000009</v>
      </c>
      <c r="J16" s="116"/>
      <c r="K16" s="18">
        <f>SUMIFS($N16:$AR16,$N$5:$AR$5,"&gt;"&amp;K$116,$N$5:$AR$5,"&lt;"&amp;K$117)</f>
        <v>59.000119999999995</v>
      </c>
      <c r="L16" s="18">
        <f>SUMIFS($N16:$AR16,$N$5:$AR$5,"&gt;"&amp;L$116,$N$5:$AR$5,"&lt;"&amp;L$117)</f>
        <v>57.439820000000005</v>
      </c>
      <c r="M16" s="16"/>
      <c r="N16" s="18">
        <f t="shared" ref="N16:AR16" si="1">SUM(N11,N12,N13,N14,N15)</f>
        <v>7.5636000000000001</v>
      </c>
      <c r="O16" s="18">
        <f t="shared" si="1"/>
        <v>6.5111999999999997</v>
      </c>
      <c r="P16" s="18">
        <f t="shared" si="1"/>
        <v>0.1162</v>
      </c>
      <c r="Q16" s="18">
        <f t="shared" si="1"/>
        <v>0.1406</v>
      </c>
      <c r="R16" s="18">
        <f t="shared" si="1"/>
        <v>3.5920000000000001</v>
      </c>
      <c r="S16" s="18">
        <f t="shared" si="1"/>
        <v>1.3717999999999999</v>
      </c>
      <c r="T16" s="18">
        <f t="shared" si="1"/>
        <v>11.465299999999999</v>
      </c>
      <c r="U16" s="18">
        <f t="shared" si="1"/>
        <v>7.3414000000000001</v>
      </c>
      <c r="V16" s="18">
        <f t="shared" si="1"/>
        <v>1.8808</v>
      </c>
      <c r="W16" s="18">
        <f t="shared" si="1"/>
        <v>-0.10460000000000003</v>
      </c>
      <c r="X16" s="18">
        <f t="shared" si="1"/>
        <v>0.52500000000000002</v>
      </c>
      <c r="Y16" s="18">
        <f t="shared" si="1"/>
        <v>0.24680000000000002</v>
      </c>
      <c r="Z16" s="18">
        <f t="shared" si="1"/>
        <v>20.968399999999999</v>
      </c>
      <c r="AA16" s="18">
        <f t="shared" si="1"/>
        <v>11.607949999999999</v>
      </c>
      <c r="AB16" s="18">
        <f t="shared" si="1"/>
        <v>1.1283300000000001</v>
      </c>
      <c r="AC16" s="18">
        <f t="shared" si="1"/>
        <v>1.1956</v>
      </c>
      <c r="AD16" s="18">
        <f t="shared" si="1"/>
        <v>1.0338699999999998</v>
      </c>
      <c r="AE16" s="18">
        <f t="shared" si="1"/>
        <v>1.7112700000000001</v>
      </c>
      <c r="AF16" s="18">
        <f t="shared" si="1"/>
        <v>1.3367799999999999</v>
      </c>
      <c r="AG16" s="18">
        <f t="shared" si="1"/>
        <v>2.3805700000000001</v>
      </c>
      <c r="AH16" s="18">
        <f t="shared" si="1"/>
        <v>1.16621</v>
      </c>
      <c r="AI16" s="18">
        <f t="shared" si="1"/>
        <v>2.01424</v>
      </c>
      <c r="AJ16" s="18">
        <f t="shared" si="1"/>
        <v>1.29758</v>
      </c>
      <c r="AK16" s="18">
        <f t="shared" si="1"/>
        <v>2.2929299999999997</v>
      </c>
      <c r="AL16" s="18">
        <f t="shared" si="1"/>
        <v>8.9426800000000011</v>
      </c>
      <c r="AM16" s="18">
        <f t="shared" si="1"/>
        <v>33.510510000000004</v>
      </c>
      <c r="AN16" s="18">
        <f t="shared" si="1"/>
        <v>1.5626</v>
      </c>
      <c r="AO16" s="18">
        <f t="shared" si="1"/>
        <v>1.6583599999999998</v>
      </c>
      <c r="AP16" s="18">
        <f t="shared" si="1"/>
        <v>0.66824000000000006</v>
      </c>
      <c r="AQ16" s="18">
        <f t="shared" si="1"/>
        <v>0.60911999999999999</v>
      </c>
      <c r="AR16" s="18">
        <f t="shared" si="1"/>
        <v>8.72E-2</v>
      </c>
    </row>
    <row r="17" spans="2:44" x14ac:dyDescent="0.2">
      <c r="B17" s="56" t="s">
        <v>18</v>
      </c>
      <c r="C17" s="14"/>
      <c r="D17" s="14"/>
      <c r="E17" s="15"/>
      <c r="F17" s="15"/>
      <c r="G17" s="115"/>
      <c r="H17" s="15"/>
      <c r="I17" s="15"/>
      <c r="J17" s="1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7" t="s">
        <v>19</v>
      </c>
      <c r="C18" s="14" t="s">
        <v>19</v>
      </c>
      <c r="D18" s="14"/>
      <c r="E18" s="15">
        <f>SUMIFS($N18:$AR18,$N$5:$AR$5,"&gt;"&amp;E$116,$N$5:$AR$5,"&lt;"&amp;E$117)</f>
        <v>17.624000000000002</v>
      </c>
      <c r="F18" s="15">
        <f>SUMIFS($N18:$AR18,$N$5:$AR$5,"&gt;"&amp;F$116,$N$5:$AR$5,"&lt;"&amp;F$117)</f>
        <v>5.0337500000000004</v>
      </c>
      <c r="G18" s="115"/>
      <c r="H18" s="15">
        <f>SUMIFS($N18:$AR18,$N$5:$AR$5,"&gt;"&amp;H$116,$N$5:$AR$5,"&lt;"&amp;H$117)</f>
        <v>4.4387500000000006</v>
      </c>
      <c r="I18" s="15">
        <f>SUMIFS($N18:$AR18,$N$5:$AR$5,"&gt;"&amp;I$116,$N$5:$AR$5,"&lt;"&amp;I$117)</f>
        <v>0</v>
      </c>
      <c r="J18" s="115"/>
      <c r="K18" s="15">
        <f>SUMIFS($N18:$AR18,$N$5:$AR$5,"&gt;"&amp;K$116,$N$5:$AR$5,"&lt;"&amp;K$117)</f>
        <v>14.305250000000001</v>
      </c>
      <c r="L18" s="15">
        <f>SUMIFS($N18:$AR18,$N$5:$AR$5,"&gt;"&amp;L$116,$N$5:$AR$5,"&lt;"&amp;L$117)</f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7" t="s">
        <v>20</v>
      </c>
      <c r="C19" s="14" t="s">
        <v>20</v>
      </c>
      <c r="D19" s="14"/>
      <c r="E19" s="15">
        <f>SUMIFS($N19:$AR19,$N$5:$AR$5,"&gt;"&amp;E$116,$N$5:$AR$5,"&lt;"&amp;E$117)</f>
        <v>44.058500000000002</v>
      </c>
      <c r="F19" s="15">
        <f>SUMIFS($N19:$AR19,$N$5:$AR$5,"&gt;"&amp;F$116,$N$5:$AR$5,"&lt;"&amp;F$117)</f>
        <v>74.519299999999987</v>
      </c>
      <c r="G19" s="115"/>
      <c r="H19" s="15">
        <f>SUMIFS($N19:$AR19,$N$5:$AR$5,"&gt;"&amp;H$116,$N$5:$AR$5,"&lt;"&amp;H$117)</f>
        <v>42.254049999999999</v>
      </c>
      <c r="I19" s="15">
        <f>SUMIFS($N19:$AR19,$N$5:$AR$5,"&gt;"&amp;I$116,$N$5:$AR$5,"&lt;"&amp;I$117)</f>
        <v>59.055000000000007</v>
      </c>
      <c r="J19" s="115"/>
      <c r="K19" s="15">
        <f>SUMIFS($N19:$AR19,$N$5:$AR$5,"&gt;"&amp;K$116,$N$5:$AR$5,"&lt;"&amp;K$117)</f>
        <v>55.660549999999994</v>
      </c>
      <c r="L19" s="15">
        <f>SUMIFS($N19:$AR19,$N$5:$AR$5,"&gt;"&amp;L$116,$N$5:$AR$5,"&lt;"&amp;L$117)</f>
        <v>91.655749999999998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21</v>
      </c>
      <c r="C20" s="17"/>
      <c r="D20" s="17"/>
      <c r="E20" s="18">
        <f>SUMIFS($N20:$AR20,$N$5:$AR$5,"&gt;"&amp;E$116,$N$5:$AR$5,"&lt;"&amp;E$117)</f>
        <v>61.682499999999997</v>
      </c>
      <c r="F20" s="18">
        <f>SUMIFS($N20:$AR20,$N$5:$AR$5,"&gt;"&amp;F$116,$N$5:$AR$5,"&lt;"&amp;F$117)</f>
        <v>79.553049999999985</v>
      </c>
      <c r="G20" s="116"/>
      <c r="H20" s="18">
        <f>SUMIFS($N20:$AR20,$N$5:$AR$5,"&gt;"&amp;H$116,$N$5:$AR$5,"&lt;"&amp;H$117)</f>
        <v>46.692799999999998</v>
      </c>
      <c r="I20" s="18">
        <f>SUMIFS($N20:$AR20,$N$5:$AR$5,"&gt;"&amp;I$116,$N$5:$AR$5,"&lt;"&amp;I$117)</f>
        <v>59.055000000000007</v>
      </c>
      <c r="J20" s="116"/>
      <c r="K20" s="18">
        <f>SUMIFS($N20:$AR20,$N$5:$AR$5,"&gt;"&amp;K$116,$N$5:$AR$5,"&lt;"&amp;K$117)</f>
        <v>69.965800000000002</v>
      </c>
      <c r="L20" s="18">
        <f>SUMIFS($N20:$AR20,$N$5:$AR$5,"&gt;"&amp;L$116,$N$5:$AR$5,"&lt;"&amp;L$117)</f>
        <v>92.250749999999996</v>
      </c>
      <c r="M20" s="16"/>
      <c r="N20" s="18">
        <f t="shared" ref="N20:AR20" si="2">SUM(N17,N18,N19)</f>
        <v>6.665</v>
      </c>
      <c r="O20" s="18">
        <f t="shared" si="2"/>
        <v>5.6624999999999996</v>
      </c>
      <c r="P20" s="18">
        <f t="shared" si="2"/>
        <v>3.415</v>
      </c>
      <c r="Q20" s="18">
        <f t="shared" si="2"/>
        <v>3.8969999999999998</v>
      </c>
      <c r="R20" s="18">
        <f t="shared" si="2"/>
        <v>7.1239999999999997</v>
      </c>
      <c r="S20" s="18">
        <f t="shared" si="2"/>
        <v>5.2119999999999997</v>
      </c>
      <c r="T20" s="18">
        <f t="shared" si="2"/>
        <v>6.0645000000000007</v>
      </c>
      <c r="U20" s="18">
        <f t="shared" si="2"/>
        <v>4.7380000000000004</v>
      </c>
      <c r="V20" s="18">
        <f t="shared" si="2"/>
        <v>3.2642500000000005</v>
      </c>
      <c r="W20" s="18">
        <f t="shared" si="2"/>
        <v>3.4192499999999999</v>
      </c>
      <c r="X20" s="18">
        <f t="shared" si="2"/>
        <v>4.9160000000000004</v>
      </c>
      <c r="Y20" s="18">
        <f t="shared" si="2"/>
        <v>7.3049999999999997</v>
      </c>
      <c r="Z20" s="18">
        <f t="shared" si="2"/>
        <v>4.16275</v>
      </c>
      <c r="AA20" s="18">
        <f t="shared" si="2"/>
        <v>2.7</v>
      </c>
      <c r="AB20" s="18">
        <f t="shared" si="2"/>
        <v>11.79355</v>
      </c>
      <c r="AC20" s="18">
        <f t="shared" si="2"/>
        <v>4.3</v>
      </c>
      <c r="AD20" s="18">
        <f t="shared" si="2"/>
        <v>11.14</v>
      </c>
      <c r="AE20" s="18">
        <f t="shared" si="2"/>
        <v>6.1624999999999996</v>
      </c>
      <c r="AF20" s="18">
        <f t="shared" si="2"/>
        <v>6.4340000000000002</v>
      </c>
      <c r="AG20" s="18">
        <f t="shared" si="2"/>
        <v>3.9649999999999999</v>
      </c>
      <c r="AH20" s="18">
        <f t="shared" si="2"/>
        <v>3.92</v>
      </c>
      <c r="AI20" s="18">
        <f t="shared" si="2"/>
        <v>9.7315000000000005</v>
      </c>
      <c r="AJ20" s="18">
        <f t="shared" si="2"/>
        <v>5.2537500000000001</v>
      </c>
      <c r="AK20" s="18">
        <f t="shared" si="2"/>
        <v>9.99</v>
      </c>
      <c r="AL20" s="18">
        <f t="shared" si="2"/>
        <v>10.2105</v>
      </c>
      <c r="AM20" s="18">
        <f t="shared" si="2"/>
        <v>6.6749999999999998</v>
      </c>
      <c r="AN20" s="18">
        <f t="shared" si="2"/>
        <v>9.0990000000000002</v>
      </c>
      <c r="AO20" s="18">
        <f t="shared" si="2"/>
        <v>8.9544999999999995</v>
      </c>
      <c r="AP20" s="18">
        <f t="shared" si="2"/>
        <v>12.606</v>
      </c>
      <c r="AQ20" s="18">
        <f t="shared" si="2"/>
        <v>5.4115000000000002</v>
      </c>
      <c r="AR20" s="18">
        <f t="shared" si="2"/>
        <v>6.0984999999999996</v>
      </c>
    </row>
    <row r="21" spans="2:44" x14ac:dyDescent="0.2">
      <c r="B21" s="57" t="s">
        <v>22</v>
      </c>
      <c r="C21" s="14" t="s">
        <v>275</v>
      </c>
      <c r="D21" s="14"/>
      <c r="E21" s="15">
        <f>SUMIFS($N21:$AR21,$N$5:$AR$5,"&gt;"&amp;E$116,$N$5:$AR$5,"&lt;"&amp;E$117)</f>
        <v>224.79100000000003</v>
      </c>
      <c r="F21" s="15">
        <f>SUMIFS($N21:$AR21,$N$5:$AR$5,"&gt;"&amp;F$116,$N$5:$AR$5,"&lt;"&amp;F$117)</f>
        <v>149.76999999999998</v>
      </c>
      <c r="G21" s="115"/>
      <c r="H21" s="15">
        <f>SUMIFS($N21:$AR21,$N$5:$AR$5,"&gt;"&amp;H$116,$N$5:$AR$5,"&lt;"&amp;H$117)</f>
        <v>90.452500000000001</v>
      </c>
      <c r="I21" s="15">
        <f>SUMIFS($N21:$AR21,$N$5:$AR$5,"&gt;"&amp;I$116,$N$5:$AR$5,"&lt;"&amp;I$117)</f>
        <v>73.418499999999995</v>
      </c>
      <c r="J21" s="115"/>
      <c r="K21" s="15">
        <f>SUMIFS($N21:$AR21,$N$5:$AR$5,"&gt;"&amp;K$116,$N$5:$AR$5,"&lt;"&amp;K$117)</f>
        <v>174.62999999999997</v>
      </c>
      <c r="L21" s="15">
        <f>SUMIFS($N21:$AR21,$N$5:$AR$5,"&gt;"&amp;L$116,$N$5:$AR$5,"&lt;"&amp;L$117)</f>
        <v>135.298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5" t="s">
        <v>23</v>
      </c>
      <c r="C22" s="19"/>
      <c r="D22" s="19"/>
      <c r="E22" s="15"/>
      <c r="F22" s="15"/>
      <c r="G22" s="115"/>
      <c r="H22" s="15"/>
      <c r="I22" s="15"/>
      <c r="J22" s="1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7" t="s">
        <v>24</v>
      </c>
      <c r="C23" s="14" t="s">
        <v>24</v>
      </c>
      <c r="D23" s="14"/>
      <c r="E23" s="15">
        <f>SUMIFS($N23:$AR23,$N$5:$AR$5,"&gt;"&amp;E$116,$N$5:$AR$5,"&lt;"&amp;E$117)</f>
        <v>13.75</v>
      </c>
      <c r="F23" s="15">
        <f>SUMIFS($N23:$AR23,$N$5:$AR$5,"&gt;"&amp;F$116,$N$5:$AR$5,"&lt;"&amp;F$117)</f>
        <v>46.400000000000006</v>
      </c>
      <c r="G23" s="115"/>
      <c r="H23" s="15">
        <f>SUMIFS($N23:$AR23,$N$5:$AR$5,"&gt;"&amp;H$116,$N$5:$AR$5,"&lt;"&amp;H$117)</f>
        <v>31.5</v>
      </c>
      <c r="I23" s="15">
        <f>SUMIFS($N23:$AR23,$N$5:$AR$5,"&gt;"&amp;I$116,$N$5:$AR$5,"&lt;"&amp;I$117)</f>
        <v>24.25</v>
      </c>
      <c r="J23" s="115"/>
      <c r="K23" s="15">
        <f>SUMIFS($N23:$AR23,$N$5:$AR$5,"&gt;"&amp;K$116,$N$5:$AR$5,"&lt;"&amp;K$117)</f>
        <v>41.25</v>
      </c>
      <c r="L23" s="15">
        <f>SUMIFS($N23:$AR23,$N$5:$AR$5,"&gt;"&amp;L$116,$N$5:$AR$5,"&lt;"&amp;L$117)</f>
        <v>39.65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7" t="s">
        <v>25</v>
      </c>
      <c r="C24" s="14" t="s">
        <v>25</v>
      </c>
      <c r="D24" s="14"/>
      <c r="E24" s="15">
        <f>SUMIFS($N24:$AR24,$N$5:$AR$5,"&gt;"&amp;E$116,$N$5:$AR$5,"&lt;"&amp;E$117)</f>
        <v>0.55999999999999994</v>
      </c>
      <c r="F24" s="15">
        <f>SUMIFS($N24:$AR24,$N$5:$AR$5,"&gt;"&amp;F$116,$N$5:$AR$5,"&lt;"&amp;F$117)</f>
        <v>55.080500000000008</v>
      </c>
      <c r="G24" s="115"/>
      <c r="H24" s="15">
        <f>SUMIFS($N24:$AR24,$N$5:$AR$5,"&gt;"&amp;H$116,$N$5:$AR$5,"&lt;"&amp;H$117)</f>
        <v>23.225500000000004</v>
      </c>
      <c r="I24" s="15">
        <f>SUMIFS($N24:$AR24,$N$5:$AR$5,"&gt;"&amp;I$116,$N$5:$AR$5,"&lt;"&amp;I$117)</f>
        <v>91.651139999999998</v>
      </c>
      <c r="J24" s="115"/>
      <c r="K24" s="15">
        <f>SUMIFS($N24:$AR24,$N$5:$AR$5,"&gt;"&amp;K$116,$N$5:$AR$5,"&lt;"&amp;K$117)</f>
        <v>18.727000000000004</v>
      </c>
      <c r="L24" s="15">
        <f>SUMIFS($N24:$AR24,$N$5:$AR$5,"&gt;"&amp;L$116,$N$5:$AR$5,"&lt;"&amp;L$117)</f>
        <v>112.49548999999999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7" t="s">
        <v>26</v>
      </c>
      <c r="C25" s="19" t="s">
        <v>26</v>
      </c>
      <c r="D25" s="19"/>
      <c r="E25" s="15">
        <f>SUMIFS($N25:$AR25,$N$5:$AR$5,"&gt;"&amp;E$116,$N$5:$AR$5,"&lt;"&amp;E$117)</f>
        <v>0.06</v>
      </c>
      <c r="F25" s="15">
        <f>SUMIFS($N25:$AR25,$N$5:$AR$5,"&gt;"&amp;F$116,$N$5:$AR$5,"&lt;"&amp;F$117)</f>
        <v>36.606499999999997</v>
      </c>
      <c r="G25" s="115"/>
      <c r="H25" s="15">
        <f>SUMIFS($N25:$AR25,$N$5:$AR$5,"&gt;"&amp;H$116,$N$5:$AR$5,"&lt;"&amp;H$117)</f>
        <v>15.4915</v>
      </c>
      <c r="I25" s="15">
        <f>SUMIFS($N25:$AR25,$N$5:$AR$5,"&gt;"&amp;I$116,$N$5:$AR$5,"&lt;"&amp;I$117)</f>
        <v>45.129999999999995</v>
      </c>
      <c r="J25" s="115"/>
      <c r="K25" s="15">
        <f>SUMIFS($N25:$AR25,$N$5:$AR$5,"&gt;"&amp;K$116,$N$5:$AR$5,"&lt;"&amp;K$117)</f>
        <v>11.631500000000001</v>
      </c>
      <c r="L25" s="15">
        <f>SUMIFS($N25:$AR25,$N$5:$AR$5,"&gt;"&amp;L$116,$N$5:$AR$5,"&lt;"&amp;L$117)</f>
        <v>63.209999999999994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7" t="s">
        <v>27</v>
      </c>
      <c r="C26" s="14" t="s">
        <v>276</v>
      </c>
      <c r="D26" s="14"/>
      <c r="E26" s="15">
        <f>SUMIFS($N26:$AR26,$N$5:$AR$5,"&gt;"&amp;E$116,$N$5:$AR$5,"&lt;"&amp;E$117)</f>
        <v>793.47225000000003</v>
      </c>
      <c r="F26" s="15">
        <f>SUMIFS($N26:$AR26,$N$5:$AR$5,"&gt;"&amp;F$116,$N$5:$AR$5,"&lt;"&amp;F$117)</f>
        <v>1450.4923499999998</v>
      </c>
      <c r="G26" s="115"/>
      <c r="H26" s="15">
        <f>SUMIFS($N26:$AR26,$N$5:$AR$5,"&gt;"&amp;H$116,$N$5:$AR$5,"&lt;"&amp;H$117)</f>
        <v>751.52859999999987</v>
      </c>
      <c r="I26" s="15">
        <f>SUMIFS($N26:$AR26,$N$5:$AR$5,"&gt;"&amp;I$116,$N$5:$AR$5,"&lt;"&amp;I$117)</f>
        <v>1261.47685</v>
      </c>
      <c r="J26" s="115"/>
      <c r="K26" s="15">
        <f>SUMIFS($N26:$AR26,$N$5:$AR$5,"&gt;"&amp;K$116,$N$5:$AR$5,"&lt;"&amp;K$117)</f>
        <v>1098.5075000000002</v>
      </c>
      <c r="L26" s="15">
        <f>SUMIFS($N26:$AR26,$N$5:$AR$5,"&gt;"&amp;L$116,$N$5:$AR$5,"&lt;"&amp;L$117)</f>
        <v>1881.6971000000001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7" t="s">
        <v>28</v>
      </c>
      <c r="C27" s="14" t="s">
        <v>28</v>
      </c>
      <c r="D27" s="14"/>
      <c r="E27" s="15">
        <f>SUMIFS($N27:$AR27,$N$5:$AR$5,"&gt;"&amp;E$116,$N$5:$AR$5,"&lt;"&amp;E$117)</f>
        <v>0</v>
      </c>
      <c r="F27" s="15">
        <f>SUMIFS($N27:$AR27,$N$5:$AR$5,"&gt;"&amp;F$116,$N$5:$AR$5,"&lt;"&amp;F$117)</f>
        <v>9.947000000000001</v>
      </c>
      <c r="G27" s="115"/>
      <c r="H27" s="15">
        <f>SUMIFS($N27:$AR27,$N$5:$AR$5,"&gt;"&amp;H$116,$N$5:$AR$5,"&lt;"&amp;H$117)</f>
        <v>0</v>
      </c>
      <c r="I27" s="15">
        <f>SUMIFS($N27:$AR27,$N$5:$AR$5,"&gt;"&amp;I$116,$N$5:$AR$5,"&lt;"&amp;I$117)</f>
        <v>45.085999999999991</v>
      </c>
      <c r="J27" s="115"/>
      <c r="K27" s="15">
        <f>SUMIFS($N27:$AR27,$N$5:$AR$5,"&gt;"&amp;K$116,$N$5:$AR$5,"&lt;"&amp;K$117)</f>
        <v>0</v>
      </c>
      <c r="L27" s="15">
        <f>SUMIFS($N27:$AR27,$N$5:$AR$5,"&gt;"&amp;L$116,$N$5:$AR$5,"&lt;"&amp;L$117)</f>
        <v>47.129999999999995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29</v>
      </c>
      <c r="C28" s="17"/>
      <c r="D28" s="17"/>
      <c r="E28" s="18">
        <f>SUMIFS($N28:$AR28,$N$5:$AR$5,"&gt;"&amp;E$116,$N$5:$AR$5,"&lt;"&amp;E$117)</f>
        <v>807.84225000000004</v>
      </c>
      <c r="F28" s="18">
        <f>SUMIFS($N28:$AR28,$N$5:$AR$5,"&gt;"&amp;F$116,$N$5:$AR$5,"&lt;"&amp;F$117)</f>
        <v>1598.5263500000001</v>
      </c>
      <c r="G28" s="116"/>
      <c r="H28" s="18">
        <f>SUMIFS($N28:$AR28,$N$5:$AR$5,"&gt;"&amp;H$116,$N$5:$AR$5,"&lt;"&amp;H$117)</f>
        <v>821.74559999999997</v>
      </c>
      <c r="I28" s="18">
        <f>SUMIFS($N28:$AR28,$N$5:$AR$5,"&gt;"&amp;I$116,$N$5:$AR$5,"&lt;"&amp;I$117)</f>
        <v>1467.5939900000001</v>
      </c>
      <c r="J28" s="116"/>
      <c r="K28" s="18">
        <f>SUMIFS($N28:$AR28,$N$5:$AR$5,"&gt;"&amp;K$116,$N$5:$AR$5,"&lt;"&amp;K$117)</f>
        <v>1170.116</v>
      </c>
      <c r="L28" s="18">
        <f>SUMIFS($N28:$AR28,$N$5:$AR$5,"&gt;"&amp;L$116,$N$5:$AR$5,"&lt;"&amp;L$117)</f>
        <v>2144.1825900000003</v>
      </c>
      <c r="M28" s="16"/>
      <c r="N28" s="18">
        <f t="shared" ref="N28:AR28" si="3">SUM(N22,N23,N24,N25,N26,N27)</f>
        <v>44.683500000000002</v>
      </c>
      <c r="O28" s="18">
        <f t="shared" si="3"/>
        <v>47.045999999999999</v>
      </c>
      <c r="P28" s="18">
        <f t="shared" si="3"/>
        <v>52.47</v>
      </c>
      <c r="Q28" s="18">
        <f t="shared" si="3"/>
        <v>57.169699999999999</v>
      </c>
      <c r="R28" s="18">
        <f t="shared" si="3"/>
        <v>57.514150000000001</v>
      </c>
      <c r="S28" s="18">
        <f t="shared" si="3"/>
        <v>65.516000000000005</v>
      </c>
      <c r="T28" s="18">
        <f t="shared" si="3"/>
        <v>69.53125</v>
      </c>
      <c r="U28" s="18">
        <f t="shared" si="3"/>
        <v>74.501350000000002</v>
      </c>
      <c r="V28" s="18">
        <f t="shared" si="3"/>
        <v>76.801699999999997</v>
      </c>
      <c r="W28" s="18">
        <f t="shared" si="3"/>
        <v>80.363249999999994</v>
      </c>
      <c r="X28" s="18">
        <f t="shared" si="3"/>
        <v>89.120800000000003</v>
      </c>
      <c r="Y28" s="18">
        <f t="shared" si="3"/>
        <v>93.124550000000013</v>
      </c>
      <c r="Z28" s="18">
        <f t="shared" si="3"/>
        <v>98.968899999999991</v>
      </c>
      <c r="AA28" s="18">
        <f t="shared" si="3"/>
        <v>100.69215</v>
      </c>
      <c r="AB28" s="18">
        <f t="shared" si="3"/>
        <v>109.35105</v>
      </c>
      <c r="AC28" s="18">
        <f t="shared" si="3"/>
        <v>117.8775</v>
      </c>
      <c r="AD28" s="18">
        <f t="shared" si="3"/>
        <v>127.12475000000001</v>
      </c>
      <c r="AE28" s="18">
        <f t="shared" si="3"/>
        <v>132.65875</v>
      </c>
      <c r="AF28" s="18">
        <f t="shared" si="3"/>
        <v>135.07249999999999</v>
      </c>
      <c r="AG28" s="18">
        <f t="shared" si="3"/>
        <v>141.67025000000001</v>
      </c>
      <c r="AH28" s="18">
        <f t="shared" si="3"/>
        <v>145.7355</v>
      </c>
      <c r="AI28" s="18">
        <f t="shared" si="3"/>
        <v>154.15600000000001</v>
      </c>
      <c r="AJ28" s="18">
        <f t="shared" si="3"/>
        <v>163.42175000000003</v>
      </c>
      <c r="AK28" s="18">
        <f t="shared" si="3"/>
        <v>171.79725000000002</v>
      </c>
      <c r="AL28" s="18">
        <f t="shared" si="3"/>
        <v>181.75231999999997</v>
      </c>
      <c r="AM28" s="18">
        <f t="shared" si="3"/>
        <v>190.78037</v>
      </c>
      <c r="AN28" s="18">
        <f t="shared" si="3"/>
        <v>196.01824999999999</v>
      </c>
      <c r="AO28" s="18">
        <f t="shared" si="3"/>
        <v>212.76611</v>
      </c>
      <c r="AP28" s="18">
        <f t="shared" si="3"/>
        <v>222.60911000000002</v>
      </c>
      <c r="AQ28" s="18">
        <f t="shared" si="3"/>
        <v>228.40317999999999</v>
      </c>
      <c r="AR28" s="18">
        <f t="shared" si="3"/>
        <v>235.26464999999999</v>
      </c>
    </row>
    <row r="29" spans="2:44" x14ac:dyDescent="0.2">
      <c r="B29" s="17" t="s">
        <v>30</v>
      </c>
      <c r="C29" s="17"/>
      <c r="D29" s="17"/>
      <c r="E29" s="18">
        <f>SUMIFS($N29:$AR29,$N$5:$AR$5,"&gt;"&amp;E$116,$N$5:$AR$5,"&lt;"&amp;E$117)</f>
        <v>1134.96585</v>
      </c>
      <c r="F29" s="18">
        <f>SUMIFS($N29:$AR29,$N$5:$AR$5,"&gt;"&amp;F$116,$N$5:$AR$5,"&lt;"&amp;F$117)</f>
        <v>1879.3831299999999</v>
      </c>
      <c r="G29" s="116"/>
      <c r="H29" s="18">
        <f>SUMIFS($N29:$AR29,$N$5:$AR$5,"&gt;"&amp;H$116,$N$5:$AR$5,"&lt;"&amp;H$117)</f>
        <v>997.87309999999991</v>
      </c>
      <c r="I29" s="18">
        <f>SUMIFS($N29:$AR29,$N$5:$AR$5,"&gt;"&amp;I$116,$N$5:$AR$5,"&lt;"&amp;I$117)</f>
        <v>1671.0212000000001</v>
      </c>
      <c r="J29" s="116"/>
      <c r="K29" s="18">
        <f>SUMIFS($N29:$AR29,$N$5:$AR$5,"&gt;"&amp;K$116,$N$5:$AR$5,"&lt;"&amp;K$117)</f>
        <v>1473.7119200000002</v>
      </c>
      <c r="L29" s="18">
        <f>SUMIFS($N29:$AR29,$N$5:$AR$5,"&gt;"&amp;L$116,$N$5:$AR$5,"&lt;"&amp;L$117)</f>
        <v>2456.4861599999999</v>
      </c>
      <c r="M29" s="16"/>
      <c r="N29" s="18">
        <f t="shared" ref="N29:AR29" si="4">SUM(N10,N16,N20,N21,N28)</f>
        <v>80.913100000000014</v>
      </c>
      <c r="O29" s="18">
        <f t="shared" si="4"/>
        <v>81.25569999999999</v>
      </c>
      <c r="P29" s="18">
        <f t="shared" si="4"/>
        <v>78.112200000000001</v>
      </c>
      <c r="Q29" s="18">
        <f t="shared" si="4"/>
        <v>83.35329999999999</v>
      </c>
      <c r="R29" s="18">
        <f t="shared" si="4"/>
        <v>90.196150000000003</v>
      </c>
      <c r="S29" s="18">
        <f t="shared" si="4"/>
        <v>89.915800000000004</v>
      </c>
      <c r="T29" s="18">
        <f t="shared" si="4"/>
        <v>104.68205</v>
      </c>
      <c r="U29" s="18">
        <f t="shared" si="4"/>
        <v>104.11675</v>
      </c>
      <c r="V29" s="18">
        <f t="shared" si="4"/>
        <v>98.372749999999996</v>
      </c>
      <c r="W29" s="18">
        <f t="shared" si="4"/>
        <v>99.058899999999994</v>
      </c>
      <c r="X29" s="18">
        <f t="shared" si="4"/>
        <v>109.2373</v>
      </c>
      <c r="Y29" s="18">
        <f t="shared" si="4"/>
        <v>115.75185000000002</v>
      </c>
      <c r="Z29" s="18">
        <f t="shared" si="4"/>
        <v>138.66254999999998</v>
      </c>
      <c r="AA29" s="18">
        <f t="shared" si="4"/>
        <v>127.8026</v>
      </c>
      <c r="AB29" s="18">
        <f t="shared" si="4"/>
        <v>134.67543000000001</v>
      </c>
      <c r="AC29" s="18">
        <f t="shared" si="4"/>
        <v>135.97559999999999</v>
      </c>
      <c r="AD29" s="18">
        <f t="shared" si="4"/>
        <v>152.05112</v>
      </c>
      <c r="AE29" s="18">
        <f t="shared" si="4"/>
        <v>153.32501999999999</v>
      </c>
      <c r="AF29" s="18">
        <f t="shared" si="4"/>
        <v>155.38077999999999</v>
      </c>
      <c r="AG29" s="18">
        <f t="shared" si="4"/>
        <v>159.87332000000001</v>
      </c>
      <c r="AH29" s="18">
        <f t="shared" si="4"/>
        <v>163.99921000000001</v>
      </c>
      <c r="AI29" s="18">
        <f t="shared" si="4"/>
        <v>179.24423999999999</v>
      </c>
      <c r="AJ29" s="18">
        <f t="shared" si="4"/>
        <v>181.69058000000004</v>
      </c>
      <c r="AK29" s="18">
        <f t="shared" si="4"/>
        <v>196.70268000000002</v>
      </c>
      <c r="AL29" s="18">
        <f t="shared" si="4"/>
        <v>212.18599999999998</v>
      </c>
      <c r="AM29" s="18">
        <f t="shared" si="4"/>
        <v>241.89638000000002</v>
      </c>
      <c r="AN29" s="18">
        <f t="shared" si="4"/>
        <v>231.49535</v>
      </c>
      <c r="AO29" s="18">
        <f t="shared" si="4"/>
        <v>240.31947</v>
      </c>
      <c r="AP29" s="18">
        <f t="shared" si="4"/>
        <v>246.19885000000002</v>
      </c>
      <c r="AQ29" s="18">
        <f t="shared" si="4"/>
        <v>247.49930000000001</v>
      </c>
      <c r="AR29" s="18">
        <f t="shared" si="4"/>
        <v>251.42585</v>
      </c>
    </row>
    <row r="30" spans="2:44" x14ac:dyDescent="0.2">
      <c r="B30" s="12" t="s">
        <v>31</v>
      </c>
      <c r="C30" s="12"/>
      <c r="D30" s="12"/>
      <c r="E30" s="20"/>
      <c r="F30" s="20"/>
      <c r="G30" s="117"/>
      <c r="H30" s="20"/>
      <c r="I30" s="20"/>
      <c r="J30" s="117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7" t="s">
        <v>32</v>
      </c>
      <c r="C31" s="14" t="s">
        <v>32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7" t="s">
        <v>33</v>
      </c>
      <c r="C32" s="14" t="s">
        <v>33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6" t="s">
        <v>34</v>
      </c>
      <c r="C33" s="14"/>
      <c r="D33" s="14"/>
      <c r="E33" s="15"/>
      <c r="F33" s="15"/>
      <c r="G33" s="115"/>
      <c r="H33" s="15"/>
      <c r="I33" s="15"/>
      <c r="J33" s="1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7" t="s">
        <v>35</v>
      </c>
      <c r="C34" s="14" t="s">
        <v>35</v>
      </c>
      <c r="D34" s="14"/>
      <c r="E34" s="15">
        <f>SUMIFS($N34:$AR34,$N$5:$AR$5,"&gt;"&amp;E$116,$N$5:$AR$5,"&lt;"&amp;E$117)</f>
        <v>183.36902999999998</v>
      </c>
      <c r="F34" s="15">
        <f>SUMIFS($N34:$AR34,$N$5:$AR$5,"&gt;"&amp;F$116,$N$5:$AR$5,"&lt;"&amp;F$117)</f>
        <v>316.18462</v>
      </c>
      <c r="G34" s="115"/>
      <c r="H34" s="15">
        <f>SUMIFS($N34:$AR34,$N$5:$AR$5,"&gt;"&amp;H$116,$N$5:$AR$5,"&lt;"&amp;H$117)</f>
        <v>147.26813000000001</v>
      </c>
      <c r="I34" s="15">
        <f>SUMIFS($N34:$AR34,$N$5:$AR$5,"&gt;"&amp;I$116,$N$5:$AR$5,"&lt;"&amp;I$117)</f>
        <v>267.75739999999996</v>
      </c>
      <c r="J34" s="115"/>
      <c r="K34" s="15">
        <f>SUMIFS($N34:$AR34,$N$5:$AR$5,"&gt;"&amp;K$116,$N$5:$AR$5,"&lt;"&amp;K$117)</f>
        <v>226.32031000000001</v>
      </c>
      <c r="L34" s="15">
        <f>SUMIFS($N34:$AR34,$N$5:$AR$5,"&gt;"&amp;L$116,$N$5:$AR$5,"&lt;"&amp;L$117)</f>
        <v>420.09519999999998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7" t="s">
        <v>36</v>
      </c>
      <c r="C35" s="14" t="s">
        <v>36</v>
      </c>
      <c r="D35" s="14"/>
      <c r="E35" s="15">
        <f>SUMIFS($N35:$AR35,$N$5:$AR$5,"&gt;"&amp;E$116,$N$5:$AR$5,"&lt;"&amp;E$117)</f>
        <v>286.16129000000001</v>
      </c>
      <c r="F35" s="15">
        <f>SUMIFS($N35:$AR35,$N$5:$AR$5,"&gt;"&amp;F$116,$N$5:$AR$5,"&lt;"&amp;F$117)</f>
        <v>352.95844</v>
      </c>
      <c r="G35" s="115"/>
      <c r="H35" s="15">
        <f>SUMIFS($N35:$AR35,$N$5:$AR$5,"&gt;"&amp;H$116,$N$5:$AR$5,"&lt;"&amp;H$117)</f>
        <v>201.27983</v>
      </c>
      <c r="I35" s="15">
        <f>SUMIFS($N35:$AR35,$N$5:$AR$5,"&gt;"&amp;I$116,$N$5:$AR$5,"&lt;"&amp;I$117)</f>
        <v>202.05309</v>
      </c>
      <c r="J35" s="115"/>
      <c r="K35" s="15">
        <f>SUMIFS($N35:$AR35,$N$5:$AR$5,"&gt;"&amp;K$116,$N$5:$AR$5,"&lt;"&amp;K$117)</f>
        <v>351.95998999999995</v>
      </c>
      <c r="L35" s="15">
        <f>SUMIFS($N35:$AR35,$N$5:$AR$5,"&gt;"&amp;L$116,$N$5:$AR$5,"&lt;"&amp;L$117)</f>
        <v>350.46762000000001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7" t="s">
        <v>37</v>
      </c>
      <c r="C36" s="14" t="s">
        <v>37</v>
      </c>
      <c r="D36" s="14"/>
      <c r="E36" s="15">
        <f>SUMIFS($N36:$AR36,$N$5:$AR$5,"&gt;"&amp;E$116,$N$5:$AR$5,"&lt;"&amp;E$117)</f>
        <v>1.1133499999999998</v>
      </c>
      <c r="F36" s="15">
        <f>SUMIFS($N36:$AR36,$N$5:$AR$5,"&gt;"&amp;F$116,$N$5:$AR$5,"&lt;"&amp;F$117)</f>
        <v>29.564150000000001</v>
      </c>
      <c r="G36" s="115"/>
      <c r="H36" s="15">
        <f>SUMIFS($N36:$AR36,$N$5:$AR$5,"&gt;"&amp;H$116,$N$5:$AR$5,"&lt;"&amp;H$117)</f>
        <v>14.275850000000002</v>
      </c>
      <c r="I36" s="15">
        <f>SUMIFS($N36:$AR36,$N$5:$AR$5,"&gt;"&amp;I$116,$N$5:$AR$5,"&lt;"&amp;I$117)</f>
        <v>42.085049999999995</v>
      </c>
      <c r="J36" s="115"/>
      <c r="K36" s="15">
        <f>SUMIFS($N36:$AR36,$N$5:$AR$5,"&gt;"&amp;K$116,$N$5:$AR$5,"&lt;"&amp;K$117)</f>
        <v>13.21003</v>
      </c>
      <c r="L36" s="15">
        <f>SUMIFS($N36:$AR36,$N$5:$AR$5,"&gt;"&amp;L$116,$N$5:$AR$5,"&lt;"&amp;L$117)</f>
        <v>53.876419999999996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7" t="s">
        <v>38</v>
      </c>
      <c r="C37" s="14" t="s">
        <v>38</v>
      </c>
      <c r="D37" s="14"/>
      <c r="E37" s="15">
        <f>SUMIFS($N37:$AR37,$N$5:$AR$5,"&gt;"&amp;E$116,$N$5:$AR$5,"&lt;"&amp;E$117)</f>
        <v>122.81254999999999</v>
      </c>
      <c r="F37" s="15">
        <f>SUMIFS($N37:$AR37,$N$5:$AR$5,"&gt;"&amp;F$116,$N$5:$AR$5,"&lt;"&amp;F$117)</f>
        <v>152.16972000000001</v>
      </c>
      <c r="G37" s="115"/>
      <c r="H37" s="15">
        <f>SUMIFS($N37:$AR37,$N$5:$AR$5,"&gt;"&amp;H$116,$N$5:$AR$5,"&lt;"&amp;H$117)</f>
        <v>73.949619999999996</v>
      </c>
      <c r="I37" s="15">
        <f>SUMIFS($N37:$AR37,$N$5:$AR$5,"&gt;"&amp;I$116,$N$5:$AR$5,"&lt;"&amp;I$117)</f>
        <v>111.27999</v>
      </c>
      <c r="J37" s="115"/>
      <c r="K37" s="15">
        <f>SUMIFS($N37:$AR37,$N$5:$AR$5,"&gt;"&amp;K$116,$N$5:$AR$5,"&lt;"&amp;K$117)</f>
        <v>115.8168</v>
      </c>
      <c r="L37" s="15">
        <f>SUMIFS($N37:$AR37,$N$5:$AR$5,"&gt;"&amp;L$116,$N$5:$AR$5,"&lt;"&amp;L$117)</f>
        <v>186.54353999999998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7" t="s">
        <v>39</v>
      </c>
      <c r="C38" s="14" t="s">
        <v>39</v>
      </c>
      <c r="D38" s="14"/>
      <c r="E38" s="15">
        <f>SUMIFS($N38:$AR38,$N$5:$AR$5,"&gt;"&amp;E$116,$N$5:$AR$5,"&lt;"&amp;E$117)</f>
        <v>0</v>
      </c>
      <c r="F38" s="15">
        <f>SUMIFS($N38:$AR38,$N$5:$AR$5,"&gt;"&amp;F$116,$N$5:$AR$5,"&lt;"&amp;F$117)</f>
        <v>0</v>
      </c>
      <c r="G38" s="115"/>
      <c r="H38" s="15">
        <f>SUMIFS($N38:$AR38,$N$5:$AR$5,"&gt;"&amp;H$116,$N$5:$AR$5,"&lt;"&amp;H$117)</f>
        <v>0</v>
      </c>
      <c r="I38" s="15">
        <f>SUMIFS($N38:$AR38,$N$5:$AR$5,"&gt;"&amp;I$116,$N$5:$AR$5,"&lt;"&amp;I$117)</f>
        <v>7.9949999999999992</v>
      </c>
      <c r="J38" s="115"/>
      <c r="K38" s="15">
        <f>SUMIFS($N38:$AR38,$N$5:$AR$5,"&gt;"&amp;K$116,$N$5:$AR$5,"&lt;"&amp;K$117)</f>
        <v>0</v>
      </c>
      <c r="L38" s="15">
        <f>SUMIFS($N38:$AR38,$N$5:$AR$5,"&gt;"&amp;L$116,$N$5:$AR$5,"&lt;"&amp;L$117)</f>
        <v>5.2382299999999997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40</v>
      </c>
      <c r="C39" s="17"/>
      <c r="D39" s="17"/>
      <c r="E39" s="18">
        <f>SUMIFS($N39:$AR39,$N$5:$AR$5,"&gt;"&amp;E$116,$N$5:$AR$5,"&lt;"&amp;E$117)</f>
        <v>593.45621999999992</v>
      </c>
      <c r="F39" s="18">
        <f>SUMIFS($N39:$AR39,$N$5:$AR$5,"&gt;"&amp;F$116,$N$5:$AR$5,"&lt;"&amp;F$117)</f>
        <v>850.87693000000002</v>
      </c>
      <c r="G39" s="116"/>
      <c r="H39" s="18">
        <f>SUMIFS($N39:$AR39,$N$5:$AR$5,"&gt;"&amp;H$116,$N$5:$AR$5,"&lt;"&amp;H$117)</f>
        <v>436.77343000000002</v>
      </c>
      <c r="I39" s="18">
        <f>SUMIFS($N39:$AR39,$N$5:$AR$5,"&gt;"&amp;I$116,$N$5:$AR$5,"&lt;"&amp;I$117)</f>
        <v>631.17052999999999</v>
      </c>
      <c r="J39" s="116"/>
      <c r="K39" s="18">
        <f>SUMIFS($N39:$AR39,$N$5:$AR$5,"&gt;"&amp;K$116,$N$5:$AR$5,"&lt;"&amp;K$117)</f>
        <v>707.30712999999992</v>
      </c>
      <c r="L39" s="18">
        <f>SUMIFS($N39:$AR39,$N$5:$AR$5,"&gt;"&amp;L$116,$N$5:$AR$5,"&lt;"&amp;L$117)</f>
        <v>1016.22101</v>
      </c>
      <c r="M39" s="16"/>
      <c r="N39" s="18">
        <f t="shared" ref="N39:AR39" si="5">SUM(N33,N34,N35,N36,N37,N38)</f>
        <v>28.653359999999999</v>
      </c>
      <c r="O39" s="18">
        <f t="shared" si="5"/>
        <v>32.368219999999994</v>
      </c>
      <c r="P39" s="18">
        <f t="shared" si="5"/>
        <v>33.383580000000002</v>
      </c>
      <c r="Q39" s="18">
        <f t="shared" si="5"/>
        <v>44.615409999999997</v>
      </c>
      <c r="R39" s="18">
        <f t="shared" si="5"/>
        <v>62.932869999999994</v>
      </c>
      <c r="S39" s="18">
        <f t="shared" si="5"/>
        <v>47.928800000000003</v>
      </c>
      <c r="T39" s="18">
        <f t="shared" si="5"/>
        <v>50.341450000000002</v>
      </c>
      <c r="U39" s="18">
        <f t="shared" si="5"/>
        <v>47.481110000000001</v>
      </c>
      <c r="V39" s="18">
        <f t="shared" si="5"/>
        <v>53.304949999999991</v>
      </c>
      <c r="W39" s="18">
        <f t="shared" si="5"/>
        <v>55.717979999999997</v>
      </c>
      <c r="X39" s="18">
        <f t="shared" si="5"/>
        <v>68.261129999999994</v>
      </c>
      <c r="Y39" s="18">
        <f t="shared" si="5"/>
        <v>68.467359999999999</v>
      </c>
      <c r="Z39" s="18">
        <f t="shared" si="5"/>
        <v>64.707819999999998</v>
      </c>
      <c r="AA39" s="18">
        <f t="shared" si="5"/>
        <v>49.675390000000007</v>
      </c>
      <c r="AB39" s="18">
        <f t="shared" si="5"/>
        <v>58.215500000000006</v>
      </c>
      <c r="AC39" s="18">
        <f t="shared" si="5"/>
        <v>63.309310000000004</v>
      </c>
      <c r="AD39" s="18">
        <f t="shared" si="5"/>
        <v>64.648740000000004</v>
      </c>
      <c r="AE39" s="18">
        <f t="shared" si="5"/>
        <v>63.176389999999998</v>
      </c>
      <c r="AF39" s="18">
        <f t="shared" si="5"/>
        <v>73.040279999999996</v>
      </c>
      <c r="AG39" s="18">
        <f t="shared" si="5"/>
        <v>71.204639999999998</v>
      </c>
      <c r="AH39" s="18">
        <f t="shared" si="5"/>
        <v>81.03586</v>
      </c>
      <c r="AI39" s="18">
        <f t="shared" si="5"/>
        <v>89.508120000000005</v>
      </c>
      <c r="AJ39" s="18">
        <f t="shared" si="5"/>
        <v>81.539739999999995</v>
      </c>
      <c r="AK39" s="18">
        <f t="shared" si="5"/>
        <v>90.81514</v>
      </c>
      <c r="AL39" s="18">
        <f t="shared" si="5"/>
        <v>82.738879999999995</v>
      </c>
      <c r="AM39" s="18">
        <f t="shared" si="5"/>
        <v>68.682820000000007</v>
      </c>
      <c r="AN39" s="18">
        <f t="shared" si="5"/>
        <v>90.319669999999988</v>
      </c>
      <c r="AO39" s="18">
        <f t="shared" si="5"/>
        <v>94.138900000000007</v>
      </c>
      <c r="AP39" s="18">
        <f t="shared" si="5"/>
        <v>96.398499999999999</v>
      </c>
      <c r="AQ39" s="18">
        <f t="shared" si="5"/>
        <v>96.798459999999992</v>
      </c>
      <c r="AR39" s="18">
        <f t="shared" si="5"/>
        <v>102.09330000000001</v>
      </c>
    </row>
    <row r="40" spans="2:44" x14ac:dyDescent="0.2">
      <c r="B40" s="57" t="s">
        <v>41</v>
      </c>
      <c r="C40" s="14" t="s">
        <v>41</v>
      </c>
      <c r="D40" s="14"/>
      <c r="E40" s="15">
        <f>SUMIFS($N40:$AR40,$N$5:$AR$5,"&gt;"&amp;E$116,$N$5:$AR$5,"&lt;"&amp;E$117)</f>
        <v>0</v>
      </c>
      <c r="F40" s="15">
        <f>SUMIFS($N40:$AR40,$N$5:$AR$5,"&gt;"&amp;F$116,$N$5:$AR$5,"&lt;"&amp;F$117)</f>
        <v>1.7559100000000001</v>
      </c>
      <c r="G40" s="115"/>
      <c r="H40" s="15">
        <f>SUMIFS($N40:$AR40,$N$5:$AR$5,"&gt;"&amp;H$116,$N$5:$AR$5,"&lt;"&amp;H$117)</f>
        <v>0.53894999999999993</v>
      </c>
      <c r="I40" s="15">
        <f>SUMIFS($N40:$AR40,$N$5:$AR$5,"&gt;"&amp;I$116,$N$5:$AR$5,"&lt;"&amp;I$117)</f>
        <v>1.5394899999999998</v>
      </c>
      <c r="J40" s="115"/>
      <c r="K40" s="15">
        <f>SUMIFS($N40:$AR40,$N$5:$AR$5,"&gt;"&amp;K$116,$N$5:$AR$5,"&lt;"&amp;K$117)</f>
        <v>0.37924999999999998</v>
      </c>
      <c r="L40" s="15">
        <f>SUMIFS($N40:$AR40,$N$5:$AR$5,"&gt;"&amp;L$116,$N$5:$AR$5,"&lt;"&amp;L$117)</f>
        <v>2.2085900000000001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7" t="s">
        <v>42</v>
      </c>
      <c r="C41" s="14" t="s">
        <v>42</v>
      </c>
      <c r="D41" s="14"/>
      <c r="E41" s="15">
        <f>SUMIFS($N41:$AR41,$N$5:$AR$5,"&gt;"&amp;E$116,$N$5:$AR$5,"&lt;"&amp;E$117)</f>
        <v>8.670989999999998</v>
      </c>
      <c r="F41" s="15">
        <f>SUMIFS($N41:$AR41,$N$5:$AR$5,"&gt;"&amp;F$116,$N$5:$AR$5,"&lt;"&amp;F$117)</f>
        <v>13.35153</v>
      </c>
      <c r="G41" s="115"/>
      <c r="H41" s="15">
        <f>SUMIFS($N41:$AR41,$N$5:$AR$5,"&gt;"&amp;H$116,$N$5:$AR$5,"&lt;"&amp;H$117)</f>
        <v>6.8044500000000001</v>
      </c>
      <c r="I41" s="15">
        <f>SUMIFS($N41:$AR41,$N$5:$AR$5,"&gt;"&amp;I$116,$N$5:$AR$5,"&lt;"&amp;I$117)</f>
        <v>9.02684</v>
      </c>
      <c r="J41" s="115"/>
      <c r="K41" s="15">
        <f>SUMIFS($N41:$AR41,$N$5:$AR$5,"&gt;"&amp;K$116,$N$5:$AR$5,"&lt;"&amp;K$117)</f>
        <v>9.9746000000000006</v>
      </c>
      <c r="L41" s="15">
        <f>SUMIFS($N41:$AR41,$N$5:$AR$5,"&gt;"&amp;L$116,$N$5:$AR$5,"&lt;"&amp;L$117)</f>
        <v>15.652799999999997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7" t="s">
        <v>43</v>
      </c>
      <c r="C42" s="14" t="s">
        <v>43</v>
      </c>
      <c r="D42" s="14"/>
      <c r="E42" s="15">
        <f>SUMIFS($N42:$AR42,$N$5:$AR$5,"&gt;"&amp;E$116,$N$5:$AR$5,"&lt;"&amp;E$117)</f>
        <v>24.819999999999997</v>
      </c>
      <c r="F42" s="15">
        <f>SUMIFS($N42:$AR42,$N$5:$AR$5,"&gt;"&amp;F$116,$N$5:$AR$5,"&lt;"&amp;F$117)</f>
        <v>27.153739999999999</v>
      </c>
      <c r="G42" s="115"/>
      <c r="H42" s="15">
        <f>SUMIFS($N42:$AR42,$N$5:$AR$5,"&gt;"&amp;H$116,$N$5:$AR$5,"&lt;"&amp;H$117)</f>
        <v>17.089500000000001</v>
      </c>
      <c r="I42" s="15">
        <f>SUMIFS($N42:$AR42,$N$5:$AR$5,"&gt;"&amp;I$116,$N$5:$AR$5,"&lt;"&amp;I$117)</f>
        <v>20.62969</v>
      </c>
      <c r="J42" s="115"/>
      <c r="K42" s="15">
        <f>SUMIFS($N42:$AR42,$N$5:$AR$5,"&gt;"&amp;K$116,$N$5:$AR$5,"&lt;"&amp;K$117)</f>
        <v>23.719750000000001</v>
      </c>
      <c r="L42" s="15">
        <f>SUMIFS($N42:$AR42,$N$5:$AR$5,"&gt;"&amp;L$116,$N$5:$AR$5,"&lt;"&amp;L$117)</f>
        <v>30.69416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7" t="s">
        <v>44</v>
      </c>
      <c r="C43" s="14" t="s">
        <v>108</v>
      </c>
      <c r="D43" s="14"/>
      <c r="E43" s="15">
        <f>SUMIFS($N43:$AR43,$N$5:$AR$5,"&gt;"&amp;E$116,$N$5:$AR$5,"&lt;"&amp;E$117)</f>
        <v>0</v>
      </c>
      <c r="F43" s="15">
        <f>SUMIFS($N43:$AR43,$N$5:$AR$5,"&gt;"&amp;F$116,$N$5:$AR$5,"&lt;"&amp;F$117)</f>
        <v>4.6399999999999997</v>
      </c>
      <c r="G43" s="115"/>
      <c r="H43" s="15">
        <f>SUMIFS($N43:$AR43,$N$5:$AR$5,"&gt;"&amp;H$116,$N$5:$AR$5,"&lt;"&amp;H$117)</f>
        <v>4.6399999999999997</v>
      </c>
      <c r="I43" s="15">
        <f>SUMIFS($N43:$AR43,$N$5:$AR$5,"&gt;"&amp;I$116,$N$5:$AR$5,"&lt;"&amp;I$117)</f>
        <v>0</v>
      </c>
      <c r="J43" s="115"/>
      <c r="K43" s="15">
        <f>SUMIFS($N43:$AR43,$N$5:$AR$5,"&gt;"&amp;K$116,$N$5:$AR$5,"&lt;"&amp;K$117)</f>
        <v>4.6399999999999997</v>
      </c>
      <c r="L43" s="15">
        <f>SUMIFS($N43:$AR43,$N$5:$AR$5,"&gt;"&amp;L$116,$N$5:$AR$5,"&lt;"&amp;L$117)</f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7" t="s">
        <v>45</v>
      </c>
      <c r="C44" s="14" t="s">
        <v>45</v>
      </c>
      <c r="D44" s="14"/>
      <c r="E44" s="15">
        <f>SUMIFS($N44:$AR44,$N$5:$AR$5,"&gt;"&amp;E$116,$N$5:$AR$5,"&lt;"&amp;E$117)</f>
        <v>114.42268999999999</v>
      </c>
      <c r="F44" s="15">
        <f>SUMIFS($N44:$AR44,$N$5:$AR$5,"&gt;"&amp;F$116,$N$5:$AR$5,"&lt;"&amp;F$117)</f>
        <v>157.49471000000003</v>
      </c>
      <c r="G44" s="115"/>
      <c r="H44" s="15">
        <f>SUMIFS($N44:$AR44,$N$5:$AR$5,"&gt;"&amp;H$116,$N$5:$AR$5,"&lt;"&amp;H$117)</f>
        <v>84.968590000000006</v>
      </c>
      <c r="I44" s="15">
        <f>SUMIFS($N44:$AR44,$N$5:$AR$5,"&gt;"&amp;I$116,$N$5:$AR$5,"&lt;"&amp;I$117)</f>
        <v>152.28157000000002</v>
      </c>
      <c r="J44" s="115"/>
      <c r="K44" s="15">
        <f>SUMIFS($N44:$AR44,$N$5:$AR$5,"&gt;"&amp;K$116,$N$5:$AR$5,"&lt;"&amp;K$117)</f>
        <v>139.99467999999999</v>
      </c>
      <c r="L44" s="15">
        <f>SUMIFS($N44:$AR44,$N$5:$AR$5,"&gt;"&amp;L$116,$N$5:$AR$5,"&lt;"&amp;L$117)</f>
        <v>209.96746000000002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7" t="s">
        <v>46</v>
      </c>
      <c r="C45" s="14" t="s">
        <v>108</v>
      </c>
      <c r="D45" s="14"/>
      <c r="E45" s="15">
        <f>SUMIFS($N45:$AR45,$N$5:$AR$5,"&gt;"&amp;E$116,$N$5:$AR$5,"&lt;"&amp;E$117)</f>
        <v>0</v>
      </c>
      <c r="F45" s="15">
        <f>SUMIFS($N45:$AR45,$N$5:$AR$5,"&gt;"&amp;F$116,$N$5:$AR$5,"&lt;"&amp;F$117)</f>
        <v>0.39694999999999997</v>
      </c>
      <c r="G45" s="115"/>
      <c r="H45" s="15">
        <f>SUMIFS($N45:$AR45,$N$5:$AR$5,"&gt;"&amp;H$116,$N$5:$AR$5,"&lt;"&amp;H$117)</f>
        <v>0</v>
      </c>
      <c r="I45" s="15">
        <f>SUMIFS($N45:$AR45,$N$5:$AR$5,"&gt;"&amp;I$116,$N$5:$AR$5,"&lt;"&amp;I$117)</f>
        <v>3.7883500000000003</v>
      </c>
      <c r="J45" s="115"/>
      <c r="K45" s="15">
        <f>SUMIFS($N45:$AR45,$N$5:$AR$5,"&gt;"&amp;K$116,$N$5:$AR$5,"&lt;"&amp;K$117)</f>
        <v>0</v>
      </c>
      <c r="L45" s="15">
        <f>SUMIFS($N45:$AR45,$N$5:$AR$5,"&gt;"&amp;L$116,$N$5:$AR$5,"&lt;"&amp;L$117)</f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7" t="s">
        <v>47</v>
      </c>
      <c r="C46" s="19" t="s">
        <v>47</v>
      </c>
      <c r="D46" s="14"/>
      <c r="E46" s="15">
        <f>SUMIFS($N46:$AR46,$N$5:$AR$5,"&gt;"&amp;E$116,$N$5:$AR$5,"&lt;"&amp;E$117)</f>
        <v>0</v>
      </c>
      <c r="F46" s="15">
        <f>SUMIFS($N46:$AR46,$N$5:$AR$5,"&gt;"&amp;F$116,$N$5:$AR$5,"&lt;"&amp;F$117)</f>
        <v>7.1412499999999994</v>
      </c>
      <c r="G46" s="115"/>
      <c r="H46" s="15">
        <f>SUMIFS($N46:$AR46,$N$5:$AR$5,"&gt;"&amp;H$116,$N$5:$AR$5,"&lt;"&amp;H$117)</f>
        <v>0</v>
      </c>
      <c r="I46" s="15">
        <f>SUMIFS($N46:$AR46,$N$5:$AR$5,"&gt;"&amp;I$116,$N$5:$AR$5,"&lt;"&amp;I$117)</f>
        <v>28.827750000000002</v>
      </c>
      <c r="J46" s="115"/>
      <c r="K46" s="15">
        <f>SUMIFS($N46:$AR46,$N$5:$AR$5,"&gt;"&amp;K$116,$N$5:$AR$5,"&lt;"&amp;K$117)</f>
        <v>0</v>
      </c>
      <c r="L46" s="15">
        <f>SUMIFS($N46:$AR46,$N$5:$AR$5,"&gt;"&amp;L$116,$N$5:$AR$5,"&lt;"&amp;L$117)</f>
        <v>30.899000000000001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48</v>
      </c>
      <c r="C47" s="17"/>
      <c r="D47" s="17"/>
      <c r="E47" s="18">
        <f>SUMIFS($N47:$AR47,$N$5:$AR$5,"&gt;"&amp;E$116,$N$5:$AR$5,"&lt;"&amp;E$117)</f>
        <v>742.71582999999987</v>
      </c>
      <c r="F47" s="18">
        <f>SUMIFS($N47:$AR47,$N$5:$AR$5,"&gt;"&amp;F$116,$N$5:$AR$5,"&lt;"&amp;F$117)</f>
        <v>1066.89285</v>
      </c>
      <c r="G47" s="116"/>
      <c r="H47" s="18">
        <f>SUMIFS($N47:$AR47,$N$5:$AR$5,"&gt;"&amp;H$116,$N$5:$AR$5,"&lt;"&amp;H$117)</f>
        <v>553.19579999999996</v>
      </c>
      <c r="I47" s="18">
        <f>SUMIFS($N47:$AR47,$N$5:$AR$5,"&gt;"&amp;I$116,$N$5:$AR$5,"&lt;"&amp;I$117)</f>
        <v>880.98433</v>
      </c>
      <c r="J47" s="116"/>
      <c r="K47" s="18">
        <f>SUMIFS($N47:$AR47,$N$5:$AR$5,"&gt;"&amp;K$116,$N$5:$AR$5,"&lt;"&amp;K$117)</f>
        <v>888.3982299999999</v>
      </c>
      <c r="L47" s="18">
        <f>SUMIFS($N47:$AR47,$N$5:$AR$5,"&gt;"&amp;L$116,$N$5:$AR$5,"&lt;"&amp;L$117)</f>
        <v>1345.24938</v>
      </c>
      <c r="M47" s="16"/>
      <c r="N47" s="18">
        <f t="shared" ref="N47:AR47" si="6">SUM(N31,N32,N39,N40,N41,N42,N43,N44,N45,N46)</f>
        <v>39.8536</v>
      </c>
      <c r="O47" s="18">
        <f t="shared" si="6"/>
        <v>42.988919999999993</v>
      </c>
      <c r="P47" s="18">
        <f t="shared" si="6"/>
        <v>44.516449999999992</v>
      </c>
      <c r="Q47" s="18">
        <f t="shared" si="6"/>
        <v>55.797350000000002</v>
      </c>
      <c r="R47" s="18">
        <f t="shared" si="6"/>
        <v>72.153239999999997</v>
      </c>
      <c r="S47" s="18">
        <f t="shared" si="6"/>
        <v>60.873909999999995</v>
      </c>
      <c r="T47" s="18">
        <f t="shared" si="6"/>
        <v>63.123750000000001</v>
      </c>
      <c r="U47" s="18">
        <f t="shared" si="6"/>
        <v>60.713099999999997</v>
      </c>
      <c r="V47" s="18">
        <f t="shared" si="6"/>
        <v>66.840079999999986</v>
      </c>
      <c r="W47" s="18">
        <f t="shared" si="6"/>
        <v>69.984319999999997</v>
      </c>
      <c r="X47" s="18">
        <f t="shared" si="6"/>
        <v>82.280989999999989</v>
      </c>
      <c r="Y47" s="18">
        <f t="shared" si="6"/>
        <v>83.590120000000013</v>
      </c>
      <c r="Z47" s="18">
        <f t="shared" si="6"/>
        <v>79.188609999999997</v>
      </c>
      <c r="AA47" s="18">
        <f t="shared" si="6"/>
        <v>64.607439999999997</v>
      </c>
      <c r="AB47" s="18">
        <f t="shared" si="6"/>
        <v>79.079940000000008</v>
      </c>
      <c r="AC47" s="18">
        <f t="shared" si="6"/>
        <v>77.42428000000001</v>
      </c>
      <c r="AD47" s="18">
        <f t="shared" si="6"/>
        <v>80.299689999999998</v>
      </c>
      <c r="AE47" s="18">
        <f t="shared" si="6"/>
        <v>81.265909999999991</v>
      </c>
      <c r="AF47" s="18">
        <f t="shared" si="6"/>
        <v>91.329930000000004</v>
      </c>
      <c r="AG47" s="18">
        <f t="shared" si="6"/>
        <v>88.57302</v>
      </c>
      <c r="AH47" s="18">
        <f t="shared" si="6"/>
        <v>99.957420000000013</v>
      </c>
      <c r="AI47" s="18">
        <f t="shared" si="6"/>
        <v>107.91084000000002</v>
      </c>
      <c r="AJ47" s="18">
        <f t="shared" si="6"/>
        <v>102.70961999999999</v>
      </c>
      <c r="AK47" s="18">
        <f t="shared" si="6"/>
        <v>114.54615</v>
      </c>
      <c r="AL47" s="18">
        <f t="shared" si="6"/>
        <v>109.97966999999998</v>
      </c>
      <c r="AM47" s="18">
        <f t="shared" si="6"/>
        <v>101.50492000000001</v>
      </c>
      <c r="AN47" s="18">
        <f t="shared" si="6"/>
        <v>134.20296999999999</v>
      </c>
      <c r="AO47" s="18">
        <f t="shared" si="6"/>
        <v>128.21621000000002</v>
      </c>
      <c r="AP47" s="18">
        <f t="shared" si="6"/>
        <v>128.30340000000001</v>
      </c>
      <c r="AQ47" s="18">
        <f t="shared" si="6"/>
        <v>138.01522999999997</v>
      </c>
      <c r="AR47" s="18">
        <f t="shared" si="6"/>
        <v>140.76193000000001</v>
      </c>
    </row>
    <row r="48" spans="2:44" x14ac:dyDescent="0.2">
      <c r="B48" s="17" t="s">
        <v>49</v>
      </c>
      <c r="C48" s="17"/>
      <c r="D48" s="17"/>
      <c r="E48" s="18">
        <f>SUMIFS($N48:$AR48,$N$5:$AR$5,"&gt;"&amp;E$116,$N$5:$AR$5,"&lt;"&amp;E$117)</f>
        <v>392.25002000000006</v>
      </c>
      <c r="F48" s="18">
        <f>SUMIFS($N48:$AR48,$N$5:$AR$5,"&gt;"&amp;F$116,$N$5:$AR$5,"&lt;"&amp;F$117)</f>
        <v>812.49027999999998</v>
      </c>
      <c r="G48" s="116"/>
      <c r="H48" s="18">
        <f>SUMIFS($N48:$AR48,$N$5:$AR$5,"&gt;"&amp;H$116,$N$5:$AR$5,"&lt;"&amp;H$117)</f>
        <v>444.67729999999995</v>
      </c>
      <c r="I48" s="18">
        <f>SUMIFS($N48:$AR48,$N$5:$AR$5,"&gt;"&amp;I$116,$N$5:$AR$5,"&lt;"&amp;I$117)</f>
        <v>790.03686999999991</v>
      </c>
      <c r="J48" s="116"/>
      <c r="K48" s="18">
        <f>SUMIFS($N48:$AR48,$N$5:$AR$5,"&gt;"&amp;K$116,$N$5:$AR$5,"&lt;"&amp;K$117)</f>
        <v>585.31369000000007</v>
      </c>
      <c r="L48" s="18">
        <f>SUMIFS($N48:$AR48,$N$5:$AR$5,"&gt;"&amp;L$116,$N$5:$AR$5,"&lt;"&amp;L$117)</f>
        <v>1111.23678</v>
      </c>
      <c r="M48" s="16"/>
      <c r="N48" s="18">
        <f t="shared" ref="N48:AR48" si="7">N29-N47</f>
        <v>41.059500000000014</v>
      </c>
      <c r="O48" s="18">
        <f t="shared" si="7"/>
        <v>38.266779999999997</v>
      </c>
      <c r="P48" s="18">
        <f t="shared" si="7"/>
        <v>33.59575000000001</v>
      </c>
      <c r="Q48" s="18">
        <f t="shared" si="7"/>
        <v>27.555949999999989</v>
      </c>
      <c r="R48" s="18">
        <f t="shared" si="7"/>
        <v>18.042910000000006</v>
      </c>
      <c r="S48" s="18">
        <f t="shared" si="7"/>
        <v>29.041890000000009</v>
      </c>
      <c r="T48" s="18">
        <f t="shared" si="7"/>
        <v>41.558300000000003</v>
      </c>
      <c r="U48" s="18">
        <f t="shared" si="7"/>
        <v>43.403649999999999</v>
      </c>
      <c r="V48" s="18">
        <f t="shared" si="7"/>
        <v>31.53267000000001</v>
      </c>
      <c r="W48" s="18">
        <f t="shared" si="7"/>
        <v>29.074579999999997</v>
      </c>
      <c r="X48" s="18">
        <f t="shared" si="7"/>
        <v>26.956310000000016</v>
      </c>
      <c r="Y48" s="18">
        <f t="shared" si="7"/>
        <v>32.161730000000006</v>
      </c>
      <c r="Z48" s="18">
        <f t="shared" si="7"/>
        <v>59.473939999999985</v>
      </c>
      <c r="AA48" s="18">
        <f t="shared" si="7"/>
        <v>63.195160000000001</v>
      </c>
      <c r="AB48" s="18">
        <f t="shared" si="7"/>
        <v>55.595489999999998</v>
      </c>
      <c r="AC48" s="18">
        <f t="shared" si="7"/>
        <v>58.551319999999976</v>
      </c>
      <c r="AD48" s="18">
        <f t="shared" si="7"/>
        <v>71.751429999999999</v>
      </c>
      <c r="AE48" s="18">
        <f t="shared" si="7"/>
        <v>72.059110000000004</v>
      </c>
      <c r="AF48" s="18">
        <f t="shared" si="7"/>
        <v>64.050849999999983</v>
      </c>
      <c r="AG48" s="18">
        <f t="shared" si="7"/>
        <v>71.300300000000007</v>
      </c>
      <c r="AH48" s="18">
        <f t="shared" si="7"/>
        <v>64.041789999999992</v>
      </c>
      <c r="AI48" s="18">
        <f t="shared" si="7"/>
        <v>71.333399999999969</v>
      </c>
      <c r="AJ48" s="18">
        <f t="shared" si="7"/>
        <v>78.980960000000053</v>
      </c>
      <c r="AK48" s="18">
        <f t="shared" si="7"/>
        <v>82.156530000000018</v>
      </c>
      <c r="AL48" s="18">
        <f t="shared" si="7"/>
        <v>102.20632999999999</v>
      </c>
      <c r="AM48" s="18">
        <f t="shared" si="7"/>
        <v>140.39146</v>
      </c>
      <c r="AN48" s="18">
        <f t="shared" si="7"/>
        <v>97.292380000000009</v>
      </c>
      <c r="AO48" s="18">
        <f t="shared" si="7"/>
        <v>112.10325999999998</v>
      </c>
      <c r="AP48" s="18">
        <f t="shared" si="7"/>
        <v>117.89545000000001</v>
      </c>
      <c r="AQ48" s="18">
        <f t="shared" si="7"/>
        <v>109.48407000000003</v>
      </c>
      <c r="AR48" s="18">
        <f t="shared" si="7"/>
        <v>110.66391999999999</v>
      </c>
    </row>
    <row r="49" spans="2:44" x14ac:dyDescent="0.2">
      <c r="B49" s="12" t="s">
        <v>50</v>
      </c>
      <c r="C49" s="12"/>
      <c r="D49" s="12"/>
      <c r="E49" s="20"/>
      <c r="F49" s="20"/>
      <c r="G49" s="117"/>
      <c r="H49" s="20"/>
      <c r="I49" s="20"/>
      <c r="J49" s="117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2" t="s">
        <v>51</v>
      </c>
      <c r="C50" s="14"/>
      <c r="D50" s="14"/>
      <c r="E50" s="15"/>
      <c r="F50" s="15"/>
      <c r="G50" s="115"/>
      <c r="H50" s="15"/>
      <c r="I50" s="15"/>
      <c r="J50" s="1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3" t="s">
        <v>52</v>
      </c>
      <c r="C51" s="14" t="s">
        <v>108</v>
      </c>
      <c r="D51" s="14"/>
      <c r="E51" s="15">
        <f>SUMIFS($N51:$AR51,$N$5:$AR$5,"&gt;"&amp;E$116,$N$5:$AR$5,"&lt;"&amp;E$117)</f>
        <v>0.14789000000000002</v>
      </c>
      <c r="F51" s="15">
        <f>SUMIFS($N51:$AR51,$N$5:$AR$5,"&gt;"&amp;F$116,$N$5:$AR$5,"&lt;"&amp;F$117)</f>
        <v>1.8349799999999998</v>
      </c>
      <c r="G51" s="115"/>
      <c r="H51" s="15">
        <f>SUMIFS($N51:$AR51,$N$5:$AR$5,"&gt;"&amp;H$116,$N$5:$AR$5,"&lt;"&amp;H$117)</f>
        <v>1.0201799999999999</v>
      </c>
      <c r="I51" s="15">
        <f>SUMIFS($N51:$AR51,$N$5:$AR$5,"&gt;"&amp;I$116,$N$5:$AR$5,"&lt;"&amp;I$117)</f>
        <v>1.4402499999999998</v>
      </c>
      <c r="J51" s="115"/>
      <c r="K51" s="15">
        <f>SUMIFS($N51:$AR51,$N$5:$AR$5,"&gt;"&amp;K$116,$N$5:$AR$5,"&lt;"&amp;K$117)</f>
        <v>0.91886999999999996</v>
      </c>
      <c r="L51" s="15">
        <f>SUMIFS($N51:$AR51,$N$5:$AR$5,"&gt;"&amp;L$116,$N$5:$AR$5,"&lt;"&amp;L$117)</f>
        <v>2.0991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3" t="s">
        <v>53</v>
      </c>
      <c r="C52" s="14" t="s">
        <v>108</v>
      </c>
      <c r="D52" s="14"/>
      <c r="E52" s="15">
        <f>SUMIFS($N52:$AR52,$N$5:$AR$5,"&gt;"&amp;E$116,$N$5:$AR$5,"&lt;"&amp;E$117)</f>
        <v>0</v>
      </c>
      <c r="F52" s="15">
        <f>SUMIFS($N52:$AR52,$N$5:$AR$5,"&gt;"&amp;F$116,$N$5:$AR$5,"&lt;"&amp;F$117)</f>
        <v>0</v>
      </c>
      <c r="G52" s="115"/>
      <c r="H52" s="15">
        <f>SUMIFS($N52:$AR52,$N$5:$AR$5,"&gt;"&amp;H$116,$N$5:$AR$5,"&lt;"&amp;H$117)</f>
        <v>0</v>
      </c>
      <c r="I52" s="15">
        <f>SUMIFS($N52:$AR52,$N$5:$AR$5,"&gt;"&amp;I$116,$N$5:$AR$5,"&lt;"&amp;I$117)</f>
        <v>1.984E-2</v>
      </c>
      <c r="J52" s="115"/>
      <c r="K52" s="15">
        <f>SUMIFS($N52:$AR52,$N$5:$AR$5,"&gt;"&amp;K$116,$N$5:$AR$5,"&lt;"&amp;K$117)</f>
        <v>0</v>
      </c>
      <c r="L52" s="15">
        <f>SUMIFS($N52:$AR52,$N$5:$AR$5,"&gt;"&amp;L$116,$N$5:$AR$5,"&lt;"&amp;L$117)</f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3" t="s">
        <v>54</v>
      </c>
      <c r="C53" s="14" t="s">
        <v>108</v>
      </c>
      <c r="D53" s="14"/>
      <c r="E53" s="15">
        <f>SUMIFS($N53:$AR53,$N$5:$AR$5,"&gt;"&amp;E$116,$N$5:$AR$5,"&lt;"&amp;E$117)</f>
        <v>0</v>
      </c>
      <c r="F53" s="15">
        <f>SUMIFS($N53:$AR53,$N$5:$AR$5,"&gt;"&amp;F$116,$N$5:$AR$5,"&lt;"&amp;F$117)</f>
        <v>2.6310700000000002</v>
      </c>
      <c r="G53" s="115"/>
      <c r="H53" s="15">
        <f>SUMIFS($N53:$AR53,$N$5:$AR$5,"&gt;"&amp;H$116,$N$5:$AR$5,"&lt;"&amp;H$117)</f>
        <v>1.84999</v>
      </c>
      <c r="I53" s="15">
        <f>SUMIFS($N53:$AR53,$N$5:$AR$5,"&gt;"&amp;I$116,$N$5:$AR$5,"&lt;"&amp;I$117)</f>
        <v>1.66852</v>
      </c>
      <c r="J53" s="115"/>
      <c r="K53" s="15">
        <f>SUMIFS($N53:$AR53,$N$5:$AR$5,"&gt;"&amp;K$116,$N$5:$AR$5,"&lt;"&amp;K$117)</f>
        <v>1.84999</v>
      </c>
      <c r="L53" s="15">
        <f>SUMIFS($N53:$AR53,$N$5:$AR$5,"&gt;"&amp;L$116,$N$5:$AR$5,"&lt;"&amp;L$117)</f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6" t="s">
        <v>55</v>
      </c>
      <c r="C54" s="14"/>
      <c r="D54" s="14"/>
      <c r="E54" s="15"/>
      <c r="F54" s="15"/>
      <c r="G54" s="115"/>
      <c r="H54" s="15"/>
      <c r="I54" s="15"/>
      <c r="J54" s="1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7" t="s">
        <v>56</v>
      </c>
      <c r="C55" s="14" t="s">
        <v>55</v>
      </c>
      <c r="D55" s="14"/>
      <c r="E55" s="15">
        <f>SUMIFS($N55:$AR55,$N$5:$AR$5,"&gt;"&amp;E$116,$N$5:$AR$5,"&lt;"&amp;E$117)</f>
        <v>0</v>
      </c>
      <c r="F55" s="15">
        <f>SUMIFS($N55:$AR55,$N$5:$AR$5,"&gt;"&amp;F$116,$N$5:$AR$5,"&lt;"&amp;F$117)</f>
        <v>0.33599999999999997</v>
      </c>
      <c r="G55" s="115"/>
      <c r="H55" s="15">
        <f>SUMIFS($N55:$AR55,$N$5:$AR$5,"&gt;"&amp;H$116,$N$5:$AR$5,"&lt;"&amp;H$117)</f>
        <v>0.33599999999999997</v>
      </c>
      <c r="I55" s="15">
        <f>SUMIFS($N55:$AR55,$N$5:$AR$5,"&gt;"&amp;I$116,$N$5:$AR$5,"&lt;"&amp;I$117)</f>
        <v>1.6199999999999999E-2</v>
      </c>
      <c r="J55" s="115"/>
      <c r="K55" s="15">
        <f>SUMIFS($N55:$AR55,$N$5:$AR$5,"&gt;"&amp;K$116,$N$5:$AR$5,"&lt;"&amp;K$117)</f>
        <v>0.33599999999999997</v>
      </c>
      <c r="L55" s="15">
        <f>SUMIFS($N55:$AR55,$N$5:$AR$5,"&gt;"&amp;L$116,$N$5:$AR$5,"&lt;"&amp;L$117)</f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7" t="s">
        <v>57</v>
      </c>
      <c r="C56" s="14" t="s">
        <v>55</v>
      </c>
      <c r="D56" s="14"/>
      <c r="E56" s="15">
        <f>SUMIFS($N56:$AR56,$N$5:$AR$5,"&gt;"&amp;E$116,$N$5:$AR$5,"&lt;"&amp;E$117)</f>
        <v>1.6062599999999998</v>
      </c>
      <c r="F56" s="15">
        <f>SUMIFS($N56:$AR56,$N$5:$AR$5,"&gt;"&amp;F$116,$N$5:$AR$5,"&lt;"&amp;F$117)</f>
        <v>6.12</v>
      </c>
      <c r="G56" s="115"/>
      <c r="H56" s="15">
        <f>SUMIFS($N56:$AR56,$N$5:$AR$5,"&gt;"&amp;H$116,$N$5:$AR$5,"&lt;"&amp;H$117)</f>
        <v>3.6189999999999998</v>
      </c>
      <c r="I56" s="15">
        <f>SUMIFS($N56:$AR56,$N$5:$AR$5,"&gt;"&amp;I$116,$N$5:$AR$5,"&lt;"&amp;I$117)</f>
        <v>4.1059999999999999</v>
      </c>
      <c r="J56" s="115"/>
      <c r="K56" s="15">
        <f>SUMIFS($N56:$AR56,$N$5:$AR$5,"&gt;"&amp;K$116,$N$5:$AR$5,"&lt;"&amp;K$117)</f>
        <v>4.4422600000000001</v>
      </c>
      <c r="L56" s="15">
        <f>SUMIFS($N56:$AR56,$N$5:$AR$5,"&gt;"&amp;L$116,$N$5:$AR$5,"&lt;"&amp;L$117)</f>
        <v>6.87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7" t="s">
        <v>58</v>
      </c>
      <c r="C57" s="14" t="s">
        <v>55</v>
      </c>
      <c r="D57" s="14"/>
      <c r="E57" s="15">
        <f>SUMIFS($N57:$AR57,$N$5:$AR$5,"&gt;"&amp;E$116,$N$5:$AR$5,"&lt;"&amp;E$117)</f>
        <v>0.4103</v>
      </c>
      <c r="F57" s="15">
        <f>SUMIFS($N57:$AR57,$N$5:$AR$5,"&gt;"&amp;F$116,$N$5:$AR$5,"&lt;"&amp;F$117)</f>
        <v>2.3864000000000001</v>
      </c>
      <c r="G57" s="115"/>
      <c r="H57" s="15">
        <f>SUMIFS($N57:$AR57,$N$5:$AR$5,"&gt;"&amp;H$116,$N$5:$AR$5,"&lt;"&amp;H$117)</f>
        <v>1.1894</v>
      </c>
      <c r="I57" s="15">
        <f>SUMIFS($N57:$AR57,$N$5:$AR$5,"&gt;"&amp;I$116,$N$5:$AR$5,"&lt;"&amp;I$117)</f>
        <v>2.3970000000000002</v>
      </c>
      <c r="J57" s="115"/>
      <c r="K57" s="15">
        <f>SUMIFS($N57:$AR57,$N$5:$AR$5,"&gt;"&amp;K$116,$N$5:$AR$5,"&lt;"&amp;K$117)</f>
        <v>1.4386999999999999</v>
      </c>
      <c r="L57" s="15">
        <f>SUMIFS($N57:$AR57,$N$5:$AR$5,"&gt;"&amp;L$116,$N$5:$AR$5,"&lt;"&amp;L$117)</f>
        <v>3.3850000000000002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7" t="s">
        <v>59</v>
      </c>
      <c r="C58" s="14" t="s">
        <v>55</v>
      </c>
      <c r="D58" s="14"/>
      <c r="E58" s="15">
        <f>SUMIFS($N58:$AR58,$N$5:$AR$5,"&gt;"&amp;E$116,$N$5:$AR$5,"&lt;"&amp;E$117)</f>
        <v>0</v>
      </c>
      <c r="F58" s="15">
        <f>SUMIFS($N58:$AR58,$N$5:$AR$5,"&gt;"&amp;F$116,$N$5:$AR$5,"&lt;"&amp;F$117)</f>
        <v>2.5190000000000001</v>
      </c>
      <c r="G58" s="115"/>
      <c r="H58" s="15">
        <f>SUMIFS($N58:$AR58,$N$5:$AR$5,"&gt;"&amp;H$116,$N$5:$AR$5,"&lt;"&amp;H$117)</f>
        <v>0</v>
      </c>
      <c r="I58" s="15">
        <f>SUMIFS($N58:$AR58,$N$5:$AR$5,"&gt;"&amp;I$116,$N$5:$AR$5,"&lt;"&amp;I$117)</f>
        <v>4.0999999999999996</v>
      </c>
      <c r="J58" s="115"/>
      <c r="K58" s="15">
        <f>SUMIFS($N58:$AR58,$N$5:$AR$5,"&gt;"&amp;K$116,$N$5:$AR$5,"&lt;"&amp;K$117)</f>
        <v>0</v>
      </c>
      <c r="L58" s="15">
        <f>SUMIFS($N58:$AR58,$N$5:$AR$5,"&gt;"&amp;L$116,$N$5:$AR$5,"&lt;"&amp;L$117)</f>
        <v>6.0979999999999999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7" t="s">
        <v>60</v>
      </c>
      <c r="C59" s="14" t="s">
        <v>55</v>
      </c>
      <c r="D59" s="14"/>
      <c r="E59" s="15">
        <f>SUMIFS($N59:$AR59,$N$5:$AR$5,"&gt;"&amp;E$116,$N$5:$AR$5,"&lt;"&amp;E$117)</f>
        <v>0.60000000000000009</v>
      </c>
      <c r="F59" s="15">
        <f>SUMIFS($N59:$AR59,$N$5:$AR$5,"&gt;"&amp;F$116,$N$5:$AR$5,"&lt;"&amp;F$117)</f>
        <v>3.1999999999999997</v>
      </c>
      <c r="G59" s="115"/>
      <c r="H59" s="15">
        <f>SUMIFS($N59:$AR59,$N$5:$AR$5,"&gt;"&amp;H$116,$N$5:$AR$5,"&lt;"&amp;H$117)</f>
        <v>1.6</v>
      </c>
      <c r="I59" s="15">
        <f>SUMIFS($N59:$AR59,$N$5:$AR$5,"&gt;"&amp;I$116,$N$5:$AR$5,"&lt;"&amp;I$117)</f>
        <v>2.806</v>
      </c>
      <c r="J59" s="115"/>
      <c r="K59" s="15">
        <f>SUMIFS($N59:$AR59,$N$5:$AR$5,"&gt;"&amp;K$116,$N$5:$AR$5,"&lt;"&amp;K$117)</f>
        <v>1.9999999999999998</v>
      </c>
      <c r="L59" s="15">
        <f>SUMIFS($N59:$AR59,$N$5:$AR$5,"&gt;"&amp;L$116,$N$5:$AR$5,"&lt;"&amp;L$117)</f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7" t="s">
        <v>61</v>
      </c>
      <c r="C60" s="14" t="s">
        <v>55</v>
      </c>
      <c r="D60" s="14"/>
      <c r="E60" s="15">
        <f>SUMIFS($N60:$AR60,$N$5:$AR$5,"&gt;"&amp;E$116,$N$5:$AR$5,"&lt;"&amp;E$117)</f>
        <v>0.26145000000000002</v>
      </c>
      <c r="F60" s="15">
        <f>SUMIFS($N60:$AR60,$N$5:$AR$5,"&gt;"&amp;F$116,$N$5:$AR$5,"&lt;"&amp;F$117)</f>
        <v>1.8979800000000002</v>
      </c>
      <c r="G60" s="115"/>
      <c r="H60" s="15">
        <f>SUMIFS($N60:$AR60,$N$5:$AR$5,"&gt;"&amp;H$116,$N$5:$AR$5,"&lt;"&amp;H$117)</f>
        <v>0.40683999999999998</v>
      </c>
      <c r="I60" s="15">
        <f>SUMIFS($N60:$AR60,$N$5:$AR$5,"&gt;"&amp;I$116,$N$5:$AR$5,"&lt;"&amp;I$117)</f>
        <v>2.6736</v>
      </c>
      <c r="J60" s="115"/>
      <c r="K60" s="15">
        <f>SUMIFS($N60:$AR60,$N$5:$AR$5,"&gt;"&amp;K$116,$N$5:$AR$5,"&lt;"&amp;K$117)</f>
        <v>0.37054000000000004</v>
      </c>
      <c r="L60" s="15">
        <f>SUMIFS($N60:$AR60,$N$5:$AR$5,"&gt;"&amp;L$116,$N$5:$AR$5,"&lt;"&amp;L$117)</f>
        <v>3.5110400000000004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7" t="s">
        <v>62</v>
      </c>
      <c r="C61" s="14" t="s">
        <v>55</v>
      </c>
      <c r="D61" s="14"/>
      <c r="E61" s="15">
        <f>SUMIFS($N61:$AR61,$N$5:$AR$5,"&gt;"&amp;E$116,$N$5:$AR$5,"&lt;"&amp;E$117)</f>
        <v>2.4960400000000003</v>
      </c>
      <c r="F61" s="15">
        <f>SUMIFS($N61:$AR61,$N$5:$AR$5,"&gt;"&amp;F$116,$N$5:$AR$5,"&lt;"&amp;F$117)</f>
        <v>2.7730700000000006</v>
      </c>
      <c r="G61" s="115"/>
      <c r="H61" s="15">
        <f>SUMIFS($N61:$AR61,$N$5:$AR$5,"&gt;"&amp;H$116,$N$5:$AR$5,"&lt;"&amp;H$117)</f>
        <v>1.8704200000000004</v>
      </c>
      <c r="I61" s="15">
        <f>SUMIFS($N61:$AR61,$N$5:$AR$5,"&gt;"&amp;I$116,$N$5:$AR$5,"&lt;"&amp;I$117)</f>
        <v>1.2637100000000001</v>
      </c>
      <c r="J61" s="115"/>
      <c r="K61" s="15">
        <f>SUMIFS($N61:$AR61,$N$5:$AR$5,"&gt;"&amp;K$116,$N$5:$AR$5,"&lt;"&amp;K$117)</f>
        <v>2.8804300000000005</v>
      </c>
      <c r="L61" s="15">
        <f>SUMIFS($N61:$AR61,$N$5:$AR$5,"&gt;"&amp;L$116,$N$5:$AR$5,"&lt;"&amp;L$117)</f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63</v>
      </c>
      <c r="C62" s="14"/>
      <c r="D62" s="17"/>
      <c r="E62" s="18">
        <f>SUMIFS($N62:$AR62,$N$5:$AR$5,"&gt;"&amp;E$116,$N$5:$AR$5,"&lt;"&amp;E$117)</f>
        <v>5.3740499999999995</v>
      </c>
      <c r="F62" s="18">
        <f>SUMIFS($N62:$AR62,$N$5:$AR$5,"&gt;"&amp;F$116,$N$5:$AR$5,"&lt;"&amp;F$117)</f>
        <v>19.23245</v>
      </c>
      <c r="G62" s="116"/>
      <c r="H62" s="18">
        <f>SUMIFS($N62:$AR62,$N$5:$AR$5,"&gt;"&amp;H$116,$N$5:$AR$5,"&lt;"&amp;H$117)</f>
        <v>9.0216600000000007</v>
      </c>
      <c r="I62" s="18">
        <f>SUMIFS($N62:$AR62,$N$5:$AR$5,"&gt;"&amp;I$116,$N$5:$AR$5,"&lt;"&amp;I$117)</f>
        <v>17.36251</v>
      </c>
      <c r="J62" s="116"/>
      <c r="K62" s="18">
        <f>SUMIFS($N62:$AR62,$N$5:$AR$5,"&gt;"&amp;K$116,$N$5:$AR$5,"&lt;"&amp;K$117)</f>
        <v>11.467930000000001</v>
      </c>
      <c r="L62" s="18">
        <f>SUMIFS($N62:$AR62,$N$5:$AR$5,"&gt;"&amp;L$116,$N$5:$AR$5,"&lt;"&amp;L$117)</f>
        <v>26.4526</v>
      </c>
      <c r="M62" s="16"/>
      <c r="N62" s="18">
        <f t="shared" ref="N62:AR62" si="8">SUM(N54,N55,N56,N57,N58,N59,N60,N61)</f>
        <v>0</v>
      </c>
      <c r="O62" s="18">
        <f t="shared" si="8"/>
        <v>0.62770000000000004</v>
      </c>
      <c r="P62" s="18">
        <f t="shared" si="8"/>
        <v>0</v>
      </c>
      <c r="Q62" s="18">
        <f t="shared" si="8"/>
        <v>0.33889999999999998</v>
      </c>
      <c r="R62" s="18">
        <f t="shared" si="8"/>
        <v>0.33889999999999998</v>
      </c>
      <c r="S62" s="18">
        <f t="shared" si="8"/>
        <v>6.1450000000000005E-2</v>
      </c>
      <c r="T62" s="18">
        <f t="shared" si="8"/>
        <v>0.8619</v>
      </c>
      <c r="U62" s="18">
        <f t="shared" si="8"/>
        <v>0.35955999999999999</v>
      </c>
      <c r="V62" s="18">
        <f t="shared" si="8"/>
        <v>0.38744999999999996</v>
      </c>
      <c r="W62" s="18">
        <f t="shared" si="8"/>
        <v>0.69889999999999997</v>
      </c>
      <c r="X62" s="18">
        <f t="shared" si="8"/>
        <v>0.91699999999999993</v>
      </c>
      <c r="Y62" s="18">
        <f t="shared" si="8"/>
        <v>0.78229000000000004</v>
      </c>
      <c r="Z62" s="18">
        <f t="shared" si="8"/>
        <v>0.93724000000000007</v>
      </c>
      <c r="AA62" s="18">
        <f t="shared" si="8"/>
        <v>1.0310700000000002</v>
      </c>
      <c r="AB62" s="18">
        <f t="shared" si="8"/>
        <v>0.66153000000000006</v>
      </c>
      <c r="AC62" s="18">
        <f t="shared" si="8"/>
        <v>0.71452999999999989</v>
      </c>
      <c r="AD62" s="18">
        <f t="shared" si="8"/>
        <v>2.2549300000000003</v>
      </c>
      <c r="AE62" s="18">
        <f t="shared" si="8"/>
        <v>1.8615300000000001</v>
      </c>
      <c r="AF62" s="18">
        <f t="shared" si="8"/>
        <v>1.5608300000000002</v>
      </c>
      <c r="AG62" s="18">
        <f t="shared" si="8"/>
        <v>1.7476700000000003</v>
      </c>
      <c r="AH62" s="18">
        <f t="shared" si="8"/>
        <v>0.90752999999999995</v>
      </c>
      <c r="AI62" s="18">
        <f t="shared" si="8"/>
        <v>2.5135300000000003</v>
      </c>
      <c r="AJ62" s="18">
        <f t="shared" si="8"/>
        <v>1.0375300000000001</v>
      </c>
      <c r="AK62" s="18">
        <f t="shared" si="8"/>
        <v>4.0045299999999999</v>
      </c>
      <c r="AL62" s="18">
        <f t="shared" si="8"/>
        <v>1.5787300000000002</v>
      </c>
      <c r="AM62" s="18">
        <f t="shared" si="8"/>
        <v>1.1455300000000002</v>
      </c>
      <c r="AN62" s="18">
        <f t="shared" si="8"/>
        <v>5.1385300000000003</v>
      </c>
      <c r="AO62" s="18">
        <f t="shared" si="8"/>
        <v>1.92353</v>
      </c>
      <c r="AP62" s="18">
        <f t="shared" si="8"/>
        <v>1.46353</v>
      </c>
      <c r="AQ62" s="18">
        <f t="shared" si="8"/>
        <v>3.4311299999999996</v>
      </c>
      <c r="AR62" s="18">
        <f t="shared" si="8"/>
        <v>2.68153</v>
      </c>
    </row>
    <row r="63" spans="2:44" x14ac:dyDescent="0.2">
      <c r="B63" s="14" t="s">
        <v>64</v>
      </c>
      <c r="C63" s="14" t="s">
        <v>64</v>
      </c>
      <c r="D63" s="14"/>
      <c r="E63" s="15">
        <f>SUMIFS($N63:$AR63,$N$5:$AR$5,"&gt;"&amp;E$116,$N$5:$AR$5,"&lt;"&amp;E$117)</f>
        <v>101.37520000000001</v>
      </c>
      <c r="F63" s="15">
        <f>SUMIFS($N63:$AR63,$N$5:$AR$5,"&gt;"&amp;F$116,$N$5:$AR$5,"&lt;"&amp;F$117)</f>
        <v>281.24054000000001</v>
      </c>
      <c r="G63" s="115"/>
      <c r="H63" s="15">
        <f>SUMIFS($N63:$AR63,$N$5:$AR$5,"&gt;"&amp;H$116,$N$5:$AR$5,"&lt;"&amp;H$117)</f>
        <v>136.29648</v>
      </c>
      <c r="I63" s="15">
        <f>SUMIFS($N63:$AR63,$N$5:$AR$5,"&gt;"&amp;I$116,$N$5:$AR$5,"&lt;"&amp;I$117)</f>
        <v>357.27472</v>
      </c>
      <c r="J63" s="115"/>
      <c r="K63" s="15">
        <f>SUMIFS($N63:$AR63,$N$5:$AR$5,"&gt;"&amp;K$116,$N$5:$AR$5,"&lt;"&amp;K$117)</f>
        <v>184.76374000000001</v>
      </c>
      <c r="L63" s="15">
        <f>SUMIFS($N63:$AR63,$N$5:$AR$5,"&gt;"&amp;L$116,$N$5:$AR$5,"&lt;"&amp;L$117)</f>
        <v>466.92603999999994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65</v>
      </c>
      <c r="C64" s="14" t="s">
        <v>65</v>
      </c>
      <c r="D64" s="14"/>
      <c r="E64" s="15">
        <f>SUMIFS($N64:$AR64,$N$5:$AR$5,"&gt;"&amp;E$116,$N$5:$AR$5,"&lt;"&amp;E$117)</f>
        <v>2.0899399999999999</v>
      </c>
      <c r="F64" s="15">
        <f>SUMIFS($N64:$AR64,$N$5:$AR$5,"&gt;"&amp;F$116,$N$5:$AR$5,"&lt;"&amp;F$117)</f>
        <v>2.6198199999999998</v>
      </c>
      <c r="G64" s="115"/>
      <c r="H64" s="15">
        <f>SUMIFS($N64:$AR64,$N$5:$AR$5,"&gt;"&amp;H$116,$N$5:$AR$5,"&lt;"&amp;H$117)</f>
        <v>1.44049</v>
      </c>
      <c r="I64" s="15">
        <f>SUMIFS($N64:$AR64,$N$5:$AR$5,"&gt;"&amp;I$116,$N$5:$AR$5,"&lt;"&amp;I$117)</f>
        <v>3.7097100000000003</v>
      </c>
      <c r="J64" s="115"/>
      <c r="K64" s="15">
        <f>SUMIFS($N64:$AR64,$N$5:$AR$5,"&gt;"&amp;K$116,$N$5:$AR$5,"&lt;"&amp;K$117)</f>
        <v>2.28315</v>
      </c>
      <c r="L64" s="15">
        <f>SUMIFS($N64:$AR64,$N$5:$AR$5,"&gt;"&amp;L$116,$N$5:$AR$5,"&lt;"&amp;L$117)</f>
        <v>4.897689999999999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6" t="s">
        <v>66</v>
      </c>
      <c r="C65" s="14"/>
      <c r="D65" s="14"/>
      <c r="E65" s="15"/>
      <c r="F65" s="15"/>
      <c r="G65" s="115"/>
      <c r="H65" s="15"/>
      <c r="I65" s="15"/>
      <c r="J65" s="1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7" t="s">
        <v>67</v>
      </c>
      <c r="C66" s="14" t="s">
        <v>108</v>
      </c>
      <c r="D66" s="14"/>
      <c r="E66" s="15">
        <f>SUMIFS($N66:$AR66,$N$5:$AR$5,"&gt;"&amp;E$116,$N$5:$AR$5,"&lt;"&amp;E$117)</f>
        <v>3.4925000000000002</v>
      </c>
      <c r="F66" s="15">
        <f>SUMIFS($N66:$AR66,$N$5:$AR$5,"&gt;"&amp;F$116,$N$5:$AR$5,"&lt;"&amp;F$117)</f>
        <v>1.4</v>
      </c>
      <c r="G66" s="115"/>
      <c r="H66" s="15">
        <f>SUMIFS($N66:$AR66,$N$5:$AR$5,"&gt;"&amp;H$116,$N$5:$AR$5,"&lt;"&amp;H$117)</f>
        <v>1.4</v>
      </c>
      <c r="I66" s="15">
        <f>SUMIFS($N66:$AR66,$N$5:$AR$5,"&gt;"&amp;I$116,$N$5:$AR$5,"&lt;"&amp;I$117)</f>
        <v>0.95</v>
      </c>
      <c r="J66" s="115"/>
      <c r="K66" s="15">
        <f>SUMIFS($N66:$AR66,$N$5:$AR$5,"&gt;"&amp;K$116,$N$5:$AR$5,"&lt;"&amp;K$117)</f>
        <v>2.2925</v>
      </c>
      <c r="L66" s="15">
        <f>SUMIFS($N66:$AR66,$N$5:$AR$5,"&gt;"&amp;L$116,$N$5:$AR$5,"&lt;"&amp;L$117)</f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7" t="s">
        <v>68</v>
      </c>
      <c r="C67" s="14" t="s">
        <v>68</v>
      </c>
      <c r="D67" s="14"/>
      <c r="E67" s="15">
        <f>SUMIFS($N67:$AR67,$N$5:$AR$5,"&gt;"&amp;E$116,$N$5:$AR$5,"&lt;"&amp;E$117)</f>
        <v>18.234249999999999</v>
      </c>
      <c r="F67" s="15">
        <f>SUMIFS($N67:$AR67,$N$5:$AR$5,"&gt;"&amp;F$116,$N$5:$AR$5,"&lt;"&amp;F$117)</f>
        <v>27.040950000000002</v>
      </c>
      <c r="G67" s="115"/>
      <c r="H67" s="15">
        <f>SUMIFS($N67:$AR67,$N$5:$AR$5,"&gt;"&amp;H$116,$N$5:$AR$5,"&lt;"&amp;H$117)</f>
        <v>12.014000000000001</v>
      </c>
      <c r="I67" s="15">
        <f>SUMIFS($N67:$AR67,$N$5:$AR$5,"&gt;"&amp;I$116,$N$5:$AR$5,"&lt;"&amp;I$117)</f>
        <v>57.55</v>
      </c>
      <c r="J67" s="115"/>
      <c r="K67" s="15">
        <f>SUMIFS($N67:$AR67,$N$5:$AR$5,"&gt;"&amp;K$116,$N$5:$AR$5,"&lt;"&amp;K$117)</f>
        <v>22.915250000000004</v>
      </c>
      <c r="L67" s="15">
        <f>SUMIFS($N67:$AR67,$N$5:$AR$5,"&gt;"&amp;L$116,$N$5:$AR$5,"&lt;"&amp;L$117)</f>
        <v>53.626950000000001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7" t="s">
        <v>69</v>
      </c>
      <c r="C68" s="14" t="s">
        <v>69</v>
      </c>
      <c r="D68" s="14"/>
      <c r="E68" s="15">
        <f>SUMIFS($N68:$AR68,$N$5:$AR$5,"&gt;"&amp;E$116,$N$5:$AR$5,"&lt;"&amp;E$117)</f>
        <v>14.902050000000003</v>
      </c>
      <c r="F68" s="15">
        <f>SUMIFS($N68:$AR68,$N$5:$AR$5,"&gt;"&amp;F$116,$N$5:$AR$5,"&lt;"&amp;F$117)</f>
        <v>31.604100000000003</v>
      </c>
      <c r="G68" s="115"/>
      <c r="H68" s="15">
        <f>SUMIFS($N68:$AR68,$N$5:$AR$5,"&gt;"&amp;H$116,$N$5:$AR$5,"&lt;"&amp;H$117)</f>
        <v>28.299939999999999</v>
      </c>
      <c r="I68" s="15">
        <f>SUMIFS($N68:$AR68,$N$5:$AR$5,"&gt;"&amp;I$116,$N$5:$AR$5,"&lt;"&amp;I$117)</f>
        <v>5.5646000000000004</v>
      </c>
      <c r="J68" s="115"/>
      <c r="K68" s="15">
        <f>SUMIFS($N68:$AR68,$N$5:$AR$5,"&gt;"&amp;K$116,$N$5:$AR$5,"&lt;"&amp;K$117)</f>
        <v>36.582490000000007</v>
      </c>
      <c r="L68" s="15">
        <f>SUMIFS($N68:$AR68,$N$5:$AR$5,"&gt;"&amp;L$116,$N$5:$AR$5,"&lt;"&amp;L$117)</f>
        <v>8.8458499999999987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70</v>
      </c>
      <c r="C69" s="17"/>
      <c r="D69" s="17"/>
      <c r="E69" s="18">
        <f>SUMIFS($N69:$AR69,$N$5:$AR$5,"&gt;"&amp;E$116,$N$5:$AR$5,"&lt;"&amp;E$117)</f>
        <v>36.628799999999998</v>
      </c>
      <c r="F69" s="18">
        <f>SUMIFS($N69:$AR69,$N$5:$AR$5,"&gt;"&amp;F$116,$N$5:$AR$5,"&lt;"&amp;F$117)</f>
        <v>60.045050000000003</v>
      </c>
      <c r="G69" s="116"/>
      <c r="H69" s="18">
        <f>SUMIFS($N69:$AR69,$N$5:$AR$5,"&gt;"&amp;H$116,$N$5:$AR$5,"&lt;"&amp;H$117)</f>
        <v>41.713940000000001</v>
      </c>
      <c r="I69" s="18">
        <f>SUMIFS($N69:$AR69,$N$5:$AR$5,"&gt;"&amp;I$116,$N$5:$AR$5,"&lt;"&amp;I$117)</f>
        <v>64.064599999999999</v>
      </c>
      <c r="J69" s="116"/>
      <c r="K69" s="18">
        <f>SUMIFS($N69:$AR69,$N$5:$AR$5,"&gt;"&amp;K$116,$N$5:$AR$5,"&lt;"&amp;K$117)</f>
        <v>61.790239999999997</v>
      </c>
      <c r="L69" s="18">
        <f>SUMIFS($N69:$AR69,$N$5:$AR$5,"&gt;"&amp;L$116,$N$5:$AR$5,"&lt;"&amp;L$117)</f>
        <v>63.422799999999995</v>
      </c>
      <c r="M69" s="16"/>
      <c r="N69" s="18">
        <f t="shared" ref="N69:AR69" si="9">SUM(N65,N66,N67,N68)</f>
        <v>2.4920000000000001E-2</v>
      </c>
      <c r="O69" s="18">
        <f t="shared" si="9"/>
        <v>2.1914199999999999</v>
      </c>
      <c r="P69" s="18">
        <f t="shared" si="9"/>
        <v>4.7914200000000005</v>
      </c>
      <c r="Q69" s="18">
        <f t="shared" si="9"/>
        <v>2.3915899999999999</v>
      </c>
      <c r="R69" s="18">
        <f t="shared" si="9"/>
        <v>2.1915900000000001</v>
      </c>
      <c r="S69" s="18">
        <f t="shared" si="9"/>
        <v>4.1846800000000002</v>
      </c>
      <c r="T69" s="18">
        <f t="shared" si="9"/>
        <v>3.1799800000000005</v>
      </c>
      <c r="U69" s="18">
        <f t="shared" si="9"/>
        <v>2.7675700000000001</v>
      </c>
      <c r="V69" s="18">
        <f t="shared" si="9"/>
        <v>5.5501000000000005</v>
      </c>
      <c r="W69" s="18">
        <f t="shared" si="9"/>
        <v>2.2924899999999999</v>
      </c>
      <c r="X69" s="18">
        <f t="shared" si="9"/>
        <v>3.60866</v>
      </c>
      <c r="Y69" s="18">
        <f t="shared" si="9"/>
        <v>3.4543799999999996</v>
      </c>
      <c r="Z69" s="18">
        <f t="shared" si="9"/>
        <v>4.5796200000000002</v>
      </c>
      <c r="AA69" s="18">
        <f t="shared" si="9"/>
        <v>24.545970000000001</v>
      </c>
      <c r="AB69" s="18">
        <f t="shared" si="9"/>
        <v>2.89649</v>
      </c>
      <c r="AC69" s="18">
        <f t="shared" si="9"/>
        <v>4.75664</v>
      </c>
      <c r="AD69" s="18">
        <f t="shared" si="9"/>
        <v>2.4620100000000003</v>
      </c>
      <c r="AE69" s="18">
        <f t="shared" si="9"/>
        <v>1.6963300000000001</v>
      </c>
      <c r="AF69" s="18">
        <f t="shared" si="9"/>
        <v>0.77688000000000001</v>
      </c>
      <c r="AG69" s="18">
        <f t="shared" si="9"/>
        <v>0.41671000000000002</v>
      </c>
      <c r="AH69" s="18">
        <f t="shared" si="9"/>
        <v>2.07647</v>
      </c>
      <c r="AI69" s="18">
        <f t="shared" si="9"/>
        <v>0.92573000000000005</v>
      </c>
      <c r="AJ69" s="18">
        <f t="shared" si="9"/>
        <v>6.6604400000000004</v>
      </c>
      <c r="AK69" s="18">
        <f t="shared" si="9"/>
        <v>8.2517600000000009</v>
      </c>
      <c r="AL69" s="18">
        <f t="shared" si="9"/>
        <v>0.82029999999999992</v>
      </c>
      <c r="AM69" s="18">
        <f t="shared" si="9"/>
        <v>0.68046000000000006</v>
      </c>
      <c r="AN69" s="18">
        <f t="shared" si="9"/>
        <v>8.3223900000000004</v>
      </c>
      <c r="AO69" s="18">
        <f t="shared" si="9"/>
        <v>14.71608</v>
      </c>
      <c r="AP69" s="18">
        <f t="shared" si="9"/>
        <v>18.6402</v>
      </c>
      <c r="AQ69" s="18">
        <f t="shared" si="9"/>
        <v>1.1353800000000001</v>
      </c>
      <c r="AR69" s="18">
        <f t="shared" si="9"/>
        <v>19.749790000000001</v>
      </c>
    </row>
    <row r="70" spans="2:44" x14ac:dyDescent="0.2">
      <c r="B70" s="14" t="s">
        <v>71</v>
      </c>
      <c r="C70" s="14" t="s">
        <v>108</v>
      </c>
      <c r="D70" s="14"/>
      <c r="E70" s="15">
        <f>SUMIFS($N70:$AR70,$N$5:$AR$5,"&gt;"&amp;E$116,$N$5:$AR$5,"&lt;"&amp;E$117)</f>
        <v>3.1089799999999999</v>
      </c>
      <c r="F70" s="15">
        <f>SUMIFS($N70:$AR70,$N$5:$AR$5,"&gt;"&amp;F$116,$N$5:$AR$5,"&lt;"&amp;F$117)</f>
        <v>1.3864999999999998</v>
      </c>
      <c r="G70" s="115"/>
      <c r="H70" s="15">
        <f>SUMIFS($N70:$AR70,$N$5:$AR$5,"&gt;"&amp;H$116,$N$5:$AR$5,"&lt;"&amp;H$117)</f>
        <v>0.97361999999999993</v>
      </c>
      <c r="I70" s="15">
        <f>SUMIFS($N70:$AR70,$N$5:$AR$5,"&gt;"&amp;I$116,$N$5:$AR$5,"&lt;"&amp;I$117)</f>
        <v>0.71667999999999998</v>
      </c>
      <c r="J70" s="115"/>
      <c r="K70" s="15">
        <f>SUMIFS($N70:$AR70,$N$5:$AR$5,"&gt;"&amp;K$116,$N$5:$AR$5,"&lt;"&amp;K$117)</f>
        <v>1.9236200000000001</v>
      </c>
      <c r="L70" s="15">
        <f>SUMIFS($N70:$AR70,$N$5:$AR$5,"&gt;"&amp;L$116,$N$5:$AR$5,"&lt;"&amp;L$117)</f>
        <v>0.98841000000000012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72</v>
      </c>
      <c r="C71" s="14" t="s">
        <v>108</v>
      </c>
      <c r="D71" s="14"/>
      <c r="E71" s="15">
        <f>SUMIFS($N71:$AR71,$N$5:$AR$5,"&gt;"&amp;E$116,$N$5:$AR$5,"&lt;"&amp;E$117)</f>
        <v>6.4989999999999992E-2</v>
      </c>
      <c r="F71" s="15">
        <f>SUMIFS($N71:$AR71,$N$5:$AR$5,"&gt;"&amp;F$116,$N$5:$AR$5,"&lt;"&amp;F$117)</f>
        <v>0</v>
      </c>
      <c r="G71" s="115"/>
      <c r="H71" s="15">
        <f>SUMIFS($N71:$AR71,$N$5:$AR$5,"&gt;"&amp;H$116,$N$5:$AR$5,"&lt;"&amp;H$117)</f>
        <v>0</v>
      </c>
      <c r="I71" s="15">
        <f>SUMIFS($N71:$AR71,$N$5:$AR$5,"&gt;"&amp;I$116,$N$5:$AR$5,"&lt;"&amp;I$117)</f>
        <v>0</v>
      </c>
      <c r="J71" s="115"/>
      <c r="K71" s="15">
        <f>SUMIFS($N71:$AR71,$N$5:$AR$5,"&gt;"&amp;K$116,$N$5:$AR$5,"&lt;"&amp;K$117)</f>
        <v>0</v>
      </c>
      <c r="L71" s="15">
        <f>SUMIFS($N71:$AR71,$N$5:$AR$5,"&gt;"&amp;L$116,$N$5:$AR$5,"&lt;"&amp;L$117)</f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73</v>
      </c>
      <c r="C72" s="14" t="s">
        <v>108</v>
      </c>
      <c r="D72" s="14"/>
      <c r="E72" s="15">
        <f>SUMIFS($N72:$AR72,$N$5:$AR$5,"&gt;"&amp;E$116,$N$5:$AR$5,"&lt;"&amp;E$117)</f>
        <v>1.75</v>
      </c>
      <c r="F72" s="15">
        <f>SUMIFS($N72:$AR72,$N$5:$AR$5,"&gt;"&amp;F$116,$N$5:$AR$5,"&lt;"&amp;F$117)</f>
        <v>0</v>
      </c>
      <c r="G72" s="115"/>
      <c r="H72" s="15">
        <f>SUMIFS($N72:$AR72,$N$5:$AR$5,"&gt;"&amp;H$116,$N$5:$AR$5,"&lt;"&amp;H$117)</f>
        <v>0</v>
      </c>
      <c r="I72" s="15">
        <f>SUMIFS($N72:$AR72,$N$5:$AR$5,"&gt;"&amp;I$116,$N$5:$AR$5,"&lt;"&amp;I$117)</f>
        <v>0</v>
      </c>
      <c r="J72" s="115"/>
      <c r="K72" s="15">
        <f>SUMIFS($N72:$AR72,$N$5:$AR$5,"&gt;"&amp;K$116,$N$5:$AR$5,"&lt;"&amp;K$117)</f>
        <v>0</v>
      </c>
      <c r="L72" s="15">
        <f>SUMIFS($N72:$AR72,$N$5:$AR$5,"&gt;"&amp;L$116,$N$5:$AR$5,"&lt;"&amp;L$117)</f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74</v>
      </c>
      <c r="C73" s="14" t="s">
        <v>108</v>
      </c>
      <c r="D73" s="14"/>
      <c r="E73" s="15">
        <f>SUMIFS($N73:$AR73,$N$5:$AR$5,"&gt;"&amp;E$116,$N$5:$AR$5,"&lt;"&amp;E$117)</f>
        <v>0.48075999999999997</v>
      </c>
      <c r="F73" s="15">
        <f>SUMIFS($N73:$AR73,$N$5:$AR$5,"&gt;"&amp;F$116,$N$5:$AR$5,"&lt;"&amp;F$117)</f>
        <v>0.40106999999999998</v>
      </c>
      <c r="G73" s="115"/>
      <c r="H73" s="15">
        <f>SUMIFS($N73:$AR73,$N$5:$AR$5,"&gt;"&amp;H$116,$N$5:$AR$5,"&lt;"&amp;H$117)</f>
        <v>0.37617</v>
      </c>
      <c r="I73" s="15">
        <f>SUMIFS($N73:$AR73,$N$5:$AR$5,"&gt;"&amp;I$116,$N$5:$AR$5,"&lt;"&amp;I$117)</f>
        <v>0.39126999999999995</v>
      </c>
      <c r="J73" s="115"/>
      <c r="K73" s="15">
        <f>SUMIFS($N73:$AR73,$N$5:$AR$5,"&gt;"&amp;K$116,$N$5:$AR$5,"&lt;"&amp;K$117)</f>
        <v>0.41716000000000003</v>
      </c>
      <c r="L73" s="15">
        <f>SUMIFS($N73:$AR73,$N$5:$AR$5,"&gt;"&amp;L$116,$N$5:$AR$5,"&lt;"&amp;L$117)</f>
        <v>0.40476000000000001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75</v>
      </c>
      <c r="C74" s="14" t="s">
        <v>75</v>
      </c>
      <c r="D74" s="14"/>
      <c r="E74" s="15">
        <f>SUMIFS($N74:$AR74,$N$5:$AR$5,"&gt;"&amp;E$116,$N$5:$AR$5,"&lt;"&amp;E$117)</f>
        <v>5.4433199999999999</v>
      </c>
      <c r="F74" s="15">
        <f>SUMIFS($N74:$AR74,$N$5:$AR$5,"&gt;"&amp;F$116,$N$5:$AR$5,"&lt;"&amp;F$117)</f>
        <v>11.22296</v>
      </c>
      <c r="G74" s="115"/>
      <c r="H74" s="15">
        <f>SUMIFS($N74:$AR74,$N$5:$AR$5,"&gt;"&amp;H$116,$N$5:$AR$5,"&lt;"&amp;H$117)</f>
        <v>6.1909999999999989</v>
      </c>
      <c r="I74" s="15">
        <f>SUMIFS($N74:$AR74,$N$5:$AR$5,"&gt;"&amp;I$116,$N$5:$AR$5,"&lt;"&amp;I$117)</f>
        <v>6.5788099999999998</v>
      </c>
      <c r="J74" s="115"/>
      <c r="K74" s="15">
        <f>SUMIFS($N74:$AR74,$N$5:$AR$5,"&gt;"&amp;K$116,$N$5:$AR$5,"&lt;"&amp;K$117)</f>
        <v>8.3016599999999983</v>
      </c>
      <c r="L74" s="15">
        <f>SUMIFS($N74:$AR74,$N$5:$AR$5,"&gt;"&amp;L$116,$N$5:$AR$5,"&lt;"&amp;L$117)</f>
        <v>12.156920000000003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76</v>
      </c>
      <c r="C75" s="14" t="s">
        <v>76</v>
      </c>
      <c r="D75" s="14"/>
      <c r="E75" s="15">
        <f>SUMIFS($N75:$AR75,$N$5:$AR$5,"&gt;"&amp;E$116,$N$5:$AR$5,"&lt;"&amp;E$117)</f>
        <v>0</v>
      </c>
      <c r="F75" s="15">
        <f>SUMIFS($N75:$AR75,$N$5:$AR$5,"&gt;"&amp;F$116,$N$5:$AR$5,"&lt;"&amp;F$117)</f>
        <v>0</v>
      </c>
      <c r="G75" s="115"/>
      <c r="H75" s="15">
        <f>SUMIFS($N75:$AR75,$N$5:$AR$5,"&gt;"&amp;H$116,$N$5:$AR$5,"&lt;"&amp;H$117)</f>
        <v>0</v>
      </c>
      <c r="I75" s="15">
        <f>SUMIFS($N75:$AR75,$N$5:$AR$5,"&gt;"&amp;I$116,$N$5:$AR$5,"&lt;"&amp;I$117)</f>
        <v>6.52752</v>
      </c>
      <c r="J75" s="115"/>
      <c r="K75" s="15">
        <f>SUMIFS($N75:$AR75,$N$5:$AR$5,"&gt;"&amp;K$116,$N$5:$AR$5,"&lt;"&amp;K$117)</f>
        <v>0</v>
      </c>
      <c r="L75" s="15">
        <f>SUMIFS($N75:$AR75,$N$5:$AR$5,"&gt;"&amp;L$116,$N$5:$AR$5,"&lt;"&amp;L$117)</f>
        <v>5.2155399999999998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77</v>
      </c>
      <c r="C76" s="14" t="s">
        <v>77</v>
      </c>
      <c r="D76" s="14"/>
      <c r="E76" s="15">
        <f>SUMIFS($N76:$AR76,$N$5:$AR$5,"&gt;"&amp;E$116,$N$5:$AR$5,"&lt;"&amp;E$117)</f>
        <v>60.915939999999999</v>
      </c>
      <c r="F76" s="15">
        <f>SUMIFS($N76:$AR76,$N$5:$AR$5,"&gt;"&amp;F$116,$N$5:$AR$5,"&lt;"&amp;F$117)</f>
        <v>117.05866</v>
      </c>
      <c r="G76" s="115"/>
      <c r="H76" s="15">
        <f>SUMIFS($N76:$AR76,$N$5:$AR$5,"&gt;"&amp;H$116,$N$5:$AR$5,"&lt;"&amp;H$117)</f>
        <v>56.811500000000009</v>
      </c>
      <c r="I76" s="15">
        <f>SUMIFS($N76:$AR76,$N$5:$AR$5,"&gt;"&amp;I$116,$N$5:$AR$5,"&lt;"&amp;I$117)</f>
        <v>97.04798000000001</v>
      </c>
      <c r="J76" s="115"/>
      <c r="K76" s="15">
        <f>SUMIFS($N76:$AR76,$N$5:$AR$5,"&gt;"&amp;K$116,$N$5:$AR$5,"&lt;"&amp;K$117)</f>
        <v>83.043899999999994</v>
      </c>
      <c r="L76" s="15">
        <f>SUMIFS($N76:$AR76,$N$5:$AR$5,"&gt;"&amp;L$116,$N$5:$AR$5,"&lt;"&amp;L$117)</f>
        <v>153.2946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78</v>
      </c>
      <c r="C77" s="14" t="s">
        <v>108</v>
      </c>
      <c r="D77" s="14"/>
      <c r="E77" s="15">
        <f>SUMIFS($N77:$AR77,$N$5:$AR$5,"&gt;"&amp;E$116,$N$5:$AR$5,"&lt;"&amp;E$117)</f>
        <v>0.10199999999999999</v>
      </c>
      <c r="F77" s="15">
        <f>SUMIFS($N77:$AR77,$N$5:$AR$5,"&gt;"&amp;F$116,$N$5:$AR$5,"&lt;"&amp;F$117)</f>
        <v>0.5</v>
      </c>
      <c r="G77" s="115"/>
      <c r="H77" s="15">
        <f>SUMIFS($N77:$AR77,$N$5:$AR$5,"&gt;"&amp;H$116,$N$5:$AR$5,"&lt;"&amp;H$117)</f>
        <v>0.5</v>
      </c>
      <c r="I77" s="15">
        <f>SUMIFS($N77:$AR77,$N$5:$AR$5,"&gt;"&amp;I$116,$N$5:$AR$5,"&lt;"&amp;I$117)</f>
        <v>0.52300000000000002</v>
      </c>
      <c r="J77" s="115"/>
      <c r="K77" s="15">
        <f>SUMIFS($N77:$AR77,$N$5:$AR$5,"&gt;"&amp;K$116,$N$5:$AR$5,"&lt;"&amp;K$117)</f>
        <v>0.5</v>
      </c>
      <c r="L77" s="15">
        <f>SUMIFS($N77:$AR77,$N$5:$AR$5,"&gt;"&amp;L$116,$N$5:$AR$5,"&lt;"&amp;L$117)</f>
        <v>0.51800000000000002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79</v>
      </c>
      <c r="C78" s="14" t="s">
        <v>79</v>
      </c>
      <c r="D78" s="14"/>
      <c r="E78" s="15">
        <f>SUMIFS($N78:$AR78,$N$5:$AR$5,"&gt;"&amp;E$116,$N$5:$AR$5,"&lt;"&amp;E$117)</f>
        <v>1.0598299999999998</v>
      </c>
      <c r="F78" s="15">
        <f>SUMIFS($N78:$AR78,$N$5:$AR$5,"&gt;"&amp;F$116,$N$5:$AR$5,"&lt;"&amp;F$117)</f>
        <v>3.2913300000000008</v>
      </c>
      <c r="G78" s="115"/>
      <c r="H78" s="15">
        <f>SUMIFS($N78:$AR78,$N$5:$AR$5,"&gt;"&amp;H$116,$N$5:$AR$5,"&lt;"&amp;H$117)</f>
        <v>2.0263300000000002</v>
      </c>
      <c r="I78" s="15">
        <f>SUMIFS($N78:$AR78,$N$5:$AR$5,"&gt;"&amp;I$116,$N$5:$AR$5,"&lt;"&amp;I$117)</f>
        <v>1.9429999999999996</v>
      </c>
      <c r="J78" s="115"/>
      <c r="K78" s="15">
        <f>SUMIFS($N78:$AR78,$N$5:$AR$5,"&gt;"&amp;K$116,$N$5:$AR$5,"&lt;"&amp;K$117)</f>
        <v>2.2833300000000003</v>
      </c>
      <c r="L78" s="15">
        <f>SUMIFS($N78:$AR78,$N$5:$AR$5,"&gt;"&amp;L$116,$N$5:$AR$5,"&lt;"&amp;L$117)</f>
        <v>3.1680000000000001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80</v>
      </c>
      <c r="C79" s="17"/>
      <c r="D79" s="17"/>
      <c r="E79" s="18">
        <f>SUMIFS($N79:$AR79,$N$5:$AR$5,"&gt;"&amp;E$116,$N$5:$AR$5,"&lt;"&amp;E$117)</f>
        <v>218.54169999999999</v>
      </c>
      <c r="F79" s="18">
        <f>SUMIFS($N79:$AR79,$N$5:$AR$5,"&gt;"&amp;F$116,$N$5:$AR$5,"&lt;"&amp;F$117)</f>
        <v>501.46443000000005</v>
      </c>
      <c r="G79" s="116"/>
      <c r="H79" s="18">
        <f>SUMIFS($N79:$AR79,$N$5:$AR$5,"&gt;"&amp;H$116,$N$5:$AR$5,"&lt;"&amp;H$117)</f>
        <v>258.22136</v>
      </c>
      <c r="I79" s="18">
        <f>SUMIFS($N79:$AR79,$N$5:$AR$5,"&gt;"&amp;I$116,$N$5:$AR$5,"&lt;"&amp;I$117)</f>
        <v>559.2684099999999</v>
      </c>
      <c r="J79" s="116"/>
      <c r="K79" s="18">
        <f>SUMIFS($N79:$AR79,$N$5:$AR$5,"&gt;"&amp;K$116,$N$5:$AR$5,"&lt;"&amp;K$117)</f>
        <v>359.54359000000005</v>
      </c>
      <c r="L79" s="18">
        <f>SUMIFS($N79:$AR79,$N$5:$AR$5,"&gt;"&amp;L$116,$N$5:$AR$5,"&lt;"&amp;L$117)</f>
        <v>742.01390000000004</v>
      </c>
      <c r="M79" s="16"/>
      <c r="N79" s="18">
        <f t="shared" ref="N79:AR79" si="10">SUM(N50,N51,N52,N53,N62,N63,N64,N69,N70,N71,N72,N73,N74,N75,N76,N77,N78)</f>
        <v>7.1917</v>
      </c>
      <c r="O79" s="18">
        <f t="shared" si="10"/>
        <v>11.979450000000002</v>
      </c>
      <c r="P79" s="18">
        <f t="shared" si="10"/>
        <v>13.903029999999999</v>
      </c>
      <c r="Q79" s="18">
        <f t="shared" si="10"/>
        <v>17.461659999999998</v>
      </c>
      <c r="R79" s="18">
        <f t="shared" si="10"/>
        <v>15.587199999999999</v>
      </c>
      <c r="S79" s="18">
        <f t="shared" si="10"/>
        <v>15.058460000000002</v>
      </c>
      <c r="T79" s="18">
        <f t="shared" si="10"/>
        <v>15.027760000000001</v>
      </c>
      <c r="U79" s="18">
        <f t="shared" si="10"/>
        <v>13.526389999999999</v>
      </c>
      <c r="V79" s="18">
        <f t="shared" si="10"/>
        <v>17.461460000000002</v>
      </c>
      <c r="W79" s="18">
        <f t="shared" si="10"/>
        <v>16.176090000000002</v>
      </c>
      <c r="X79" s="18">
        <f t="shared" si="10"/>
        <v>37.785199999999996</v>
      </c>
      <c r="Y79" s="18">
        <f t="shared" si="10"/>
        <v>37.383300000000006</v>
      </c>
      <c r="Z79" s="18">
        <f t="shared" si="10"/>
        <v>35.660919999999997</v>
      </c>
      <c r="AA79" s="18">
        <f t="shared" si="10"/>
        <v>54.934660000000008</v>
      </c>
      <c r="AB79" s="18">
        <f t="shared" si="10"/>
        <v>25.416990000000002</v>
      </c>
      <c r="AC79" s="18">
        <f t="shared" si="10"/>
        <v>36.794609999999999</v>
      </c>
      <c r="AD79" s="18">
        <f t="shared" si="10"/>
        <v>35.454629999999995</v>
      </c>
      <c r="AE79" s="18">
        <f t="shared" si="10"/>
        <v>33.921579999999999</v>
      </c>
      <c r="AF79" s="18">
        <f t="shared" si="10"/>
        <v>36.037970000000001</v>
      </c>
      <c r="AG79" s="18">
        <f t="shared" si="10"/>
        <v>33.885109999999997</v>
      </c>
      <c r="AH79" s="18">
        <f t="shared" si="10"/>
        <v>42.916809999999998</v>
      </c>
      <c r="AI79" s="18">
        <f t="shared" si="10"/>
        <v>52.190370000000009</v>
      </c>
      <c r="AJ79" s="18">
        <f t="shared" si="10"/>
        <v>52.220860000000002</v>
      </c>
      <c r="AK79" s="18">
        <f t="shared" si="10"/>
        <v>62.029920000000004</v>
      </c>
      <c r="AL79" s="18">
        <f t="shared" si="10"/>
        <v>54.452359999999999</v>
      </c>
      <c r="AM79" s="18">
        <f t="shared" si="10"/>
        <v>54.972259999999999</v>
      </c>
      <c r="AN79" s="18">
        <f t="shared" si="10"/>
        <v>88.413749999999993</v>
      </c>
      <c r="AO79" s="18">
        <f t="shared" si="10"/>
        <v>93.723619999999997</v>
      </c>
      <c r="AP79" s="18">
        <f t="shared" si="10"/>
        <v>90.461100000000002</v>
      </c>
      <c r="AQ79" s="18">
        <f t="shared" si="10"/>
        <v>80.709770000000006</v>
      </c>
      <c r="AR79" s="18">
        <f t="shared" si="10"/>
        <v>96.535550000000001</v>
      </c>
    </row>
    <row r="80" spans="2:44" x14ac:dyDescent="0.2">
      <c r="B80" s="14" t="s">
        <v>81</v>
      </c>
      <c r="C80" s="14" t="s">
        <v>279</v>
      </c>
      <c r="D80" s="14"/>
      <c r="E80" s="15">
        <f>SUMIFS($N80:$AR80,$N$5:$AR$5,"&gt;"&amp;E$116,$N$5:$AR$5,"&lt;"&amp;E$117)</f>
        <v>0</v>
      </c>
      <c r="F80" s="15">
        <f>SUMIFS($N80:$AR80,$N$5:$AR$5,"&gt;"&amp;F$116,$N$5:$AR$5,"&lt;"&amp;F$117)</f>
        <v>90.66704</v>
      </c>
      <c r="G80" s="115"/>
      <c r="H80" s="15">
        <f>SUMIFS($N80:$AR80,$N$5:$AR$5,"&gt;"&amp;H$116,$N$5:$AR$5,"&lt;"&amp;H$117)</f>
        <v>45.466120000000004</v>
      </c>
      <c r="I80" s="15">
        <f>SUMIFS($N80:$AR80,$N$5:$AR$5,"&gt;"&amp;I$116,$N$5:$AR$5,"&lt;"&amp;I$117)</f>
        <v>63.143019999999993</v>
      </c>
      <c r="J80" s="115"/>
      <c r="K80" s="15">
        <f>SUMIFS($N80:$AR80,$N$5:$AR$5,"&gt;"&amp;K$116,$N$5:$AR$5,"&lt;"&amp;K$117)</f>
        <v>35.943250000000006</v>
      </c>
      <c r="L80" s="15">
        <f>SUMIFS($N80:$AR80,$N$5:$AR$5,"&gt;"&amp;L$116,$N$5:$AR$5,"&lt;"&amp;L$117)</f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6" t="s">
        <v>82</v>
      </c>
      <c r="C81" s="14"/>
      <c r="D81" s="14"/>
      <c r="E81" s="15"/>
      <c r="F81" s="15"/>
      <c r="G81" s="115"/>
      <c r="H81" s="15"/>
      <c r="I81" s="15"/>
      <c r="J81" s="1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7" t="s">
        <v>83</v>
      </c>
      <c r="C82" s="14" t="s">
        <v>108</v>
      </c>
      <c r="D82" s="14"/>
      <c r="E82" s="15">
        <f>SUMIFS($N82:$AR82,$N$5:$AR$5,"&gt;"&amp;E$116,$N$5:$AR$5,"&lt;"&amp;E$117)</f>
        <v>0.31046000000000001</v>
      </c>
      <c r="F82" s="15">
        <f>SUMIFS($N82:$AR82,$N$5:$AR$5,"&gt;"&amp;F$116,$N$5:$AR$5,"&lt;"&amp;F$117)</f>
        <v>0</v>
      </c>
      <c r="G82" s="115"/>
      <c r="H82" s="15">
        <f>SUMIFS($N82:$AR82,$N$5:$AR$5,"&gt;"&amp;H$116,$N$5:$AR$5,"&lt;"&amp;H$117)</f>
        <v>0</v>
      </c>
      <c r="I82" s="15">
        <f>SUMIFS($N82:$AR82,$N$5:$AR$5,"&gt;"&amp;I$116,$N$5:$AR$5,"&lt;"&amp;I$117)</f>
        <v>0</v>
      </c>
      <c r="J82" s="115"/>
      <c r="K82" s="15">
        <f>SUMIFS($N82:$AR82,$N$5:$AR$5,"&gt;"&amp;K$116,$N$5:$AR$5,"&lt;"&amp;K$117)</f>
        <v>0</v>
      </c>
      <c r="L82" s="15">
        <f>SUMIFS($N82:$AR82,$N$5:$AR$5,"&gt;"&amp;L$116,$N$5:$AR$5,"&lt;"&amp;L$117)</f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7" t="s">
        <v>84</v>
      </c>
      <c r="C83" s="14" t="s">
        <v>313</v>
      </c>
      <c r="D83" s="14"/>
      <c r="E83" s="15">
        <f>SUMIFS($N83:$AR83,$N$5:$AR$5,"&gt;"&amp;E$116,$N$5:$AR$5,"&lt;"&amp;E$117)</f>
        <v>0</v>
      </c>
      <c r="F83" s="15">
        <f>SUMIFS($N83:$AR83,$N$5:$AR$5,"&gt;"&amp;F$116,$N$5:$AR$5,"&lt;"&amp;F$117)</f>
        <v>8.8288000000000011</v>
      </c>
      <c r="G83" s="115"/>
      <c r="H83" s="15">
        <f>SUMIFS($N83:$AR83,$N$5:$AR$5,"&gt;"&amp;H$116,$N$5:$AR$5,"&lt;"&amp;H$117)</f>
        <v>0</v>
      </c>
      <c r="I83" s="15">
        <f>SUMIFS($N83:$AR83,$N$5:$AR$5,"&gt;"&amp;I$116,$N$5:$AR$5,"&lt;"&amp;I$117)</f>
        <v>11.695</v>
      </c>
      <c r="J83" s="115"/>
      <c r="K83" s="15">
        <f>SUMIFS($N83:$AR83,$N$5:$AR$5,"&gt;"&amp;K$116,$N$5:$AR$5,"&lt;"&amp;K$117)</f>
        <v>0</v>
      </c>
      <c r="L83" s="15">
        <f>SUMIFS($N83:$AR83,$N$5:$AR$5,"&gt;"&amp;L$116,$N$5:$AR$5,"&lt;"&amp;L$117)</f>
        <v>8.8288000000000011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7" t="s">
        <v>85</v>
      </c>
      <c r="C84" s="14" t="s">
        <v>313</v>
      </c>
      <c r="D84" s="14"/>
      <c r="E84" s="15">
        <f>SUMIFS($N84:$AR84,$N$5:$AR$5,"&gt;"&amp;E$116,$N$5:$AR$5,"&lt;"&amp;E$117)</f>
        <v>0</v>
      </c>
      <c r="F84" s="15">
        <f>SUMIFS($N84:$AR84,$N$5:$AR$5,"&gt;"&amp;F$116,$N$5:$AR$5,"&lt;"&amp;F$117)</f>
        <v>2.6695000000000002</v>
      </c>
      <c r="G84" s="115"/>
      <c r="H84" s="15">
        <f>SUMIFS($N84:$AR84,$N$5:$AR$5,"&gt;"&amp;H$116,$N$5:$AR$5,"&lt;"&amp;H$117)</f>
        <v>0</v>
      </c>
      <c r="I84" s="15">
        <f>SUMIFS($N84:$AR84,$N$5:$AR$5,"&gt;"&amp;I$116,$N$5:$AR$5,"&lt;"&amp;I$117)</f>
        <v>0.15048</v>
      </c>
      <c r="J84" s="115"/>
      <c r="K84" s="15">
        <f>SUMIFS($N84:$AR84,$N$5:$AR$5,"&gt;"&amp;K$116,$N$5:$AR$5,"&lt;"&amp;K$117)</f>
        <v>0</v>
      </c>
      <c r="L84" s="15">
        <f>SUMIFS($N84:$AR84,$N$5:$AR$5,"&gt;"&amp;L$116,$N$5:$AR$5,"&lt;"&amp;L$117)</f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86</v>
      </c>
      <c r="C85" s="17"/>
      <c r="D85" s="17"/>
      <c r="E85" s="18">
        <f>SUMIFS($N85:$AR85,$N$5:$AR$5,"&gt;"&amp;E$116,$N$5:$AR$5,"&lt;"&amp;E$117)</f>
        <v>0.31046000000000001</v>
      </c>
      <c r="F85" s="18">
        <f>SUMIFS($N85:$AR85,$N$5:$AR$5,"&gt;"&amp;F$116,$N$5:$AR$5,"&lt;"&amp;F$117)</f>
        <v>11.4983</v>
      </c>
      <c r="G85" s="116"/>
      <c r="H85" s="18">
        <f>SUMIFS($N85:$AR85,$N$5:$AR$5,"&gt;"&amp;H$116,$N$5:$AR$5,"&lt;"&amp;H$117)</f>
        <v>0</v>
      </c>
      <c r="I85" s="18">
        <f>SUMIFS($N85:$AR85,$N$5:$AR$5,"&gt;"&amp;I$116,$N$5:$AR$5,"&lt;"&amp;I$117)</f>
        <v>11.84548</v>
      </c>
      <c r="J85" s="116"/>
      <c r="K85" s="18">
        <f>SUMIFS($N85:$AR85,$N$5:$AR$5,"&gt;"&amp;K$116,$N$5:$AR$5,"&lt;"&amp;K$117)</f>
        <v>0</v>
      </c>
      <c r="L85" s="18">
        <f>SUMIFS($N85:$AR85,$N$5:$AR$5,"&gt;"&amp;L$116,$N$5:$AR$5,"&lt;"&amp;L$117)</f>
        <v>11.648780000000002</v>
      </c>
      <c r="M85" s="16"/>
      <c r="N85" s="18">
        <f t="shared" ref="N85:AR85" si="11">SUM(N82,N83,N84)</f>
        <v>0</v>
      </c>
      <c r="O85" s="18">
        <f t="shared" si="11"/>
        <v>0</v>
      </c>
      <c r="P85" s="18">
        <f t="shared" si="11"/>
        <v>0.25</v>
      </c>
      <c r="Q85" s="18">
        <f t="shared" si="11"/>
        <v>6.046E-2</v>
      </c>
      <c r="R85" s="18">
        <f t="shared" si="11"/>
        <v>0</v>
      </c>
      <c r="S85" s="18">
        <f t="shared" si="11"/>
        <v>0</v>
      </c>
      <c r="T85" s="18">
        <f t="shared" si="11"/>
        <v>0</v>
      </c>
      <c r="U85" s="18">
        <f t="shared" si="11"/>
        <v>0</v>
      </c>
      <c r="V85" s="18">
        <f t="shared" si="11"/>
        <v>0</v>
      </c>
      <c r="W85" s="18">
        <f t="shared" si="11"/>
        <v>0</v>
      </c>
      <c r="X85" s="18">
        <f t="shared" si="11"/>
        <v>0</v>
      </c>
      <c r="Y85" s="18">
        <f t="shared" si="11"/>
        <v>0</v>
      </c>
      <c r="Z85" s="18">
        <f t="shared" si="11"/>
        <v>0</v>
      </c>
      <c r="AA85" s="18">
        <f t="shared" si="11"/>
        <v>0</v>
      </c>
      <c r="AB85" s="18">
        <f t="shared" si="11"/>
        <v>0</v>
      </c>
      <c r="AC85" s="18">
        <f t="shared" si="11"/>
        <v>0</v>
      </c>
      <c r="AD85" s="18">
        <f t="shared" si="11"/>
        <v>0</v>
      </c>
      <c r="AE85" s="18">
        <f t="shared" si="11"/>
        <v>0</v>
      </c>
      <c r="AF85" s="18">
        <f t="shared" si="11"/>
        <v>0</v>
      </c>
      <c r="AG85" s="18">
        <f t="shared" si="11"/>
        <v>7.17</v>
      </c>
      <c r="AH85" s="18">
        <f t="shared" si="11"/>
        <v>1.6495</v>
      </c>
      <c r="AI85" s="18">
        <f t="shared" si="11"/>
        <v>2.6788000000000003</v>
      </c>
      <c r="AJ85" s="18">
        <f t="shared" si="11"/>
        <v>0</v>
      </c>
      <c r="AK85" s="18">
        <f t="shared" si="11"/>
        <v>0</v>
      </c>
      <c r="AL85" s="18">
        <f t="shared" si="11"/>
        <v>0.05</v>
      </c>
      <c r="AM85" s="18">
        <f t="shared" si="11"/>
        <v>0</v>
      </c>
      <c r="AN85" s="18">
        <f t="shared" si="11"/>
        <v>0</v>
      </c>
      <c r="AO85" s="18">
        <f t="shared" si="11"/>
        <v>0</v>
      </c>
      <c r="AP85" s="18">
        <f t="shared" si="11"/>
        <v>9.8049999999999998E-2</v>
      </c>
      <c r="AQ85" s="18">
        <f t="shared" si="11"/>
        <v>2.4300000000000003E-3</v>
      </c>
      <c r="AR85" s="18">
        <f t="shared" si="11"/>
        <v>11.695</v>
      </c>
    </row>
    <row r="86" spans="2:44" x14ac:dyDescent="0.2">
      <c r="B86" s="14" t="s">
        <v>87</v>
      </c>
      <c r="C86" s="14" t="s">
        <v>108</v>
      </c>
      <c r="D86" s="14"/>
      <c r="E86" s="15">
        <f>SUMIFS($N86:$AR86,$N$5:$AR$5,"&gt;"&amp;E$116,$N$5:$AR$5,"&lt;"&amp;E$117)</f>
        <v>0.1</v>
      </c>
      <c r="F86" s="15">
        <f>SUMIFS($N86:$AR86,$N$5:$AR$5,"&gt;"&amp;F$116,$N$5:$AR$5,"&lt;"&amp;F$117)</f>
        <v>0.1</v>
      </c>
      <c r="G86" s="115"/>
      <c r="H86" s="15">
        <f>SUMIFS($N86:$AR86,$N$5:$AR$5,"&gt;"&amp;H$116,$N$5:$AR$5,"&lt;"&amp;H$117)</f>
        <v>0.1</v>
      </c>
      <c r="I86" s="15">
        <f>SUMIFS($N86:$AR86,$N$5:$AR$5,"&gt;"&amp;I$116,$N$5:$AR$5,"&lt;"&amp;I$117)</f>
        <v>0</v>
      </c>
      <c r="J86" s="115"/>
      <c r="K86" s="15">
        <f>SUMIFS($N86:$AR86,$N$5:$AR$5,"&gt;"&amp;K$116,$N$5:$AR$5,"&lt;"&amp;K$117)</f>
        <v>0.1</v>
      </c>
      <c r="L86" s="15">
        <f>SUMIFS($N86:$AR86,$N$5:$AR$5,"&gt;"&amp;L$116,$N$5:$AR$5,"&lt;"&amp;L$117)</f>
        <v>0.1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88</v>
      </c>
      <c r="C87" s="14" t="s">
        <v>280</v>
      </c>
      <c r="D87" s="14"/>
      <c r="E87" s="15">
        <f>SUMIFS($N87:$AR87,$N$5:$AR$5,"&gt;"&amp;E$116,$N$5:$AR$5,"&lt;"&amp;E$117)</f>
        <v>0</v>
      </c>
      <c r="F87" s="15">
        <f>SUMIFS($N87:$AR87,$N$5:$AR$5,"&gt;"&amp;F$116,$N$5:$AR$5,"&lt;"&amp;F$117)</f>
        <v>19.149630000000002</v>
      </c>
      <c r="G87" s="115"/>
      <c r="H87" s="15">
        <f>SUMIFS($N87:$AR87,$N$5:$AR$5,"&gt;"&amp;H$116,$N$5:$AR$5,"&lt;"&amp;H$117)</f>
        <v>3.09945</v>
      </c>
      <c r="I87" s="15">
        <f>SUMIFS($N87:$AR87,$N$5:$AR$5,"&gt;"&amp;I$116,$N$5:$AR$5,"&lt;"&amp;I$117)</f>
        <v>51.941310000000001</v>
      </c>
      <c r="J87" s="115"/>
      <c r="K87" s="15">
        <f>SUMIFS($N87:$AR87,$N$5:$AR$5,"&gt;"&amp;K$116,$N$5:$AR$5,"&lt;"&amp;K$117)</f>
        <v>1.4667999999999999</v>
      </c>
      <c r="L87" s="15">
        <f>SUMIFS($N87:$AR87,$N$5:$AR$5,"&gt;"&amp;L$116,$N$5:$AR$5,"&lt;"&amp;L$117)</f>
        <v>61.428380000000004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89</v>
      </c>
      <c r="C88" s="14" t="s">
        <v>108</v>
      </c>
      <c r="D88" s="14"/>
      <c r="E88" s="15">
        <f>SUMIFS($N88:$AR88,$N$5:$AR$5,"&gt;"&amp;E$116,$N$5:$AR$5,"&lt;"&amp;E$117)</f>
        <v>5.1440000000000001</v>
      </c>
      <c r="F88" s="15">
        <f>SUMIFS($N88:$AR88,$N$5:$AR$5,"&gt;"&amp;F$116,$N$5:$AR$5,"&lt;"&amp;F$117)</f>
        <v>0.14399999999999999</v>
      </c>
      <c r="G88" s="115"/>
      <c r="H88" s="15">
        <f>SUMIFS($N88:$AR88,$N$5:$AR$5,"&gt;"&amp;H$116,$N$5:$AR$5,"&lt;"&amp;H$117)</f>
        <v>0.14399999999999999</v>
      </c>
      <c r="I88" s="15">
        <f>SUMIFS($N88:$AR88,$N$5:$AR$5,"&gt;"&amp;I$116,$N$5:$AR$5,"&lt;"&amp;I$117)</f>
        <v>0.14399999999999999</v>
      </c>
      <c r="J88" s="115"/>
      <c r="K88" s="15">
        <f>SUMIFS($N88:$AR88,$N$5:$AR$5,"&gt;"&amp;K$116,$N$5:$AR$5,"&lt;"&amp;K$117)</f>
        <v>0.14399999999999999</v>
      </c>
      <c r="L88" s="15">
        <f>SUMIFS($N88:$AR88,$N$5:$AR$5,"&gt;"&amp;L$116,$N$5:$AR$5,"&lt;"&amp;L$117)</f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90</v>
      </c>
      <c r="C89" s="14" t="s">
        <v>108</v>
      </c>
      <c r="D89" s="14"/>
      <c r="E89" s="15">
        <f>SUMIFS($N89:$AR89,$N$5:$AR$5,"&gt;"&amp;E$116,$N$5:$AR$5,"&lt;"&amp;E$117)</f>
        <v>1.198</v>
      </c>
      <c r="F89" s="15">
        <f>SUMIFS($N89:$AR89,$N$5:$AR$5,"&gt;"&amp;F$116,$N$5:$AR$5,"&lt;"&amp;F$117)</f>
        <v>3.2394300000000005</v>
      </c>
      <c r="G89" s="115"/>
      <c r="H89" s="15">
        <f>SUMIFS($N89:$AR89,$N$5:$AR$5,"&gt;"&amp;H$116,$N$5:$AR$5,"&lt;"&amp;H$117)</f>
        <v>1.7364300000000001</v>
      </c>
      <c r="I89" s="15">
        <f>SUMIFS($N89:$AR89,$N$5:$AR$5,"&gt;"&amp;I$116,$N$5:$AR$5,"&lt;"&amp;I$117)</f>
        <v>2.13</v>
      </c>
      <c r="J89" s="115"/>
      <c r="K89" s="15">
        <f>SUMIFS($N89:$AR89,$N$5:$AR$5,"&gt;"&amp;K$116,$N$5:$AR$5,"&lt;"&amp;K$117)</f>
        <v>2.6644299999999999</v>
      </c>
      <c r="L89" s="15">
        <f>SUMIFS($N89:$AR89,$N$5:$AR$5,"&gt;"&amp;L$116,$N$5:$AR$5,"&lt;"&amp;L$117)</f>
        <v>3.3930000000000002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6" t="s">
        <v>91</v>
      </c>
      <c r="C90" s="14"/>
      <c r="D90" s="14"/>
      <c r="E90" s="15"/>
      <c r="F90" s="15"/>
      <c r="G90" s="115"/>
      <c r="H90" s="15"/>
      <c r="I90" s="15"/>
      <c r="J90" s="1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7" t="s">
        <v>92</v>
      </c>
      <c r="C91" s="14" t="s">
        <v>91</v>
      </c>
      <c r="D91" s="14" t="s">
        <v>315</v>
      </c>
      <c r="E91" s="15">
        <f>SUMIFS($N91:$AR91,$N$5:$AR$5,"&gt;"&amp;E$116,$N$5:$AR$5,"&lt;"&amp;E$117)</f>
        <v>0</v>
      </c>
      <c r="F91" s="15">
        <f>SUMIFS($N91:$AR91,$N$5:$AR$5,"&gt;"&amp;F$116,$N$5:$AR$5,"&lt;"&amp;F$117)</f>
        <v>10.467269999999999</v>
      </c>
      <c r="G91" s="115"/>
      <c r="H91" s="15">
        <f>SUMIFS($N91:$AR91,$N$5:$AR$5,"&gt;"&amp;H$116,$N$5:$AR$5,"&lt;"&amp;H$117)</f>
        <v>7.1368299999999998</v>
      </c>
      <c r="I91" s="15">
        <f>SUMIFS($N91:$AR91,$N$5:$AR$5,"&gt;"&amp;I$116,$N$5:$AR$5,"&lt;"&amp;I$117)</f>
        <v>7.3721899999999998</v>
      </c>
      <c r="J91" s="115"/>
      <c r="K91" s="15">
        <f>SUMIFS($N91:$AR91,$N$5:$AR$5,"&gt;"&amp;K$116,$N$5:$AR$5,"&lt;"&amp;K$117)</f>
        <v>7.1368299999999998</v>
      </c>
      <c r="L91" s="15">
        <f>SUMIFS($N91:$AR91,$N$5:$AR$5,"&gt;"&amp;L$116,$N$5:$AR$5,"&lt;"&amp;L$117)</f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7" t="s">
        <v>93</v>
      </c>
      <c r="C92" s="14" t="s">
        <v>91</v>
      </c>
      <c r="D92" s="14" t="s">
        <v>315</v>
      </c>
      <c r="E92" s="15">
        <f>SUMIFS($N92:$AR92,$N$5:$AR$5,"&gt;"&amp;E$116,$N$5:$AR$5,"&lt;"&amp;E$117)</f>
        <v>0</v>
      </c>
      <c r="F92" s="15">
        <f>SUMIFS($N92:$AR92,$N$5:$AR$5,"&gt;"&amp;F$116,$N$5:$AR$5,"&lt;"&amp;F$117)</f>
        <v>11.971899999999998</v>
      </c>
      <c r="G92" s="115"/>
      <c r="H92" s="15">
        <f>SUMIFS($N92:$AR92,$N$5:$AR$5,"&gt;"&amp;H$116,$N$5:$AR$5,"&lt;"&amp;H$117)</f>
        <v>9.8966999999999992</v>
      </c>
      <c r="I92" s="15">
        <f>SUMIFS($N92:$AR92,$N$5:$AR$5,"&gt;"&amp;I$116,$N$5:$AR$5,"&lt;"&amp;I$117)</f>
        <v>6.4632299999999994</v>
      </c>
      <c r="J92" s="115"/>
      <c r="K92" s="15">
        <f>SUMIFS($N92:$AR92,$N$5:$AR$5,"&gt;"&amp;K$116,$N$5:$AR$5,"&lt;"&amp;K$117)</f>
        <v>9.8966999999999992</v>
      </c>
      <c r="L92" s="15">
        <f>SUMIFS($N92:$AR92,$N$5:$AR$5,"&gt;"&amp;L$116,$N$5:$AR$5,"&lt;"&amp;L$117)</f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7" t="s">
        <v>94</v>
      </c>
      <c r="C93" s="14" t="s">
        <v>91</v>
      </c>
      <c r="D93" s="14" t="s">
        <v>315</v>
      </c>
      <c r="E93" s="15">
        <f>SUMIFS($N93:$AR93,$N$5:$AR$5,"&gt;"&amp;E$116,$N$5:$AR$5,"&lt;"&amp;E$117)</f>
        <v>0</v>
      </c>
      <c r="F93" s="15">
        <f>SUMIFS($N93:$AR93,$N$5:$AR$5,"&gt;"&amp;F$116,$N$5:$AR$5,"&lt;"&amp;F$117)</f>
        <v>0</v>
      </c>
      <c r="G93" s="115"/>
      <c r="H93" s="15">
        <f>SUMIFS($N93:$AR93,$N$5:$AR$5,"&gt;"&amp;H$116,$N$5:$AR$5,"&lt;"&amp;H$117)</f>
        <v>0</v>
      </c>
      <c r="I93" s="15">
        <f>SUMIFS($N93:$AR93,$N$5:$AR$5,"&gt;"&amp;I$116,$N$5:$AR$5,"&lt;"&amp;I$117)</f>
        <v>1.5970299999999999</v>
      </c>
      <c r="J93" s="115"/>
      <c r="K93" s="15">
        <f>SUMIFS($N93:$AR93,$N$5:$AR$5,"&gt;"&amp;K$116,$N$5:$AR$5,"&lt;"&amp;K$117)</f>
        <v>0</v>
      </c>
      <c r="L93" s="15">
        <f>SUMIFS($N93:$AR93,$N$5:$AR$5,"&gt;"&amp;L$116,$N$5:$AR$5,"&lt;"&amp;L$117)</f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7" t="s">
        <v>95</v>
      </c>
      <c r="C94" s="14" t="s">
        <v>91</v>
      </c>
      <c r="D94" s="14" t="s">
        <v>315</v>
      </c>
      <c r="E94" s="15">
        <f>SUMIFS($N94:$AR94,$N$5:$AR$5,"&gt;"&amp;E$116,$N$5:$AR$5,"&lt;"&amp;E$117)</f>
        <v>0</v>
      </c>
      <c r="F94" s="15">
        <f>SUMIFS($N94:$AR94,$N$5:$AR$5,"&gt;"&amp;F$116,$N$5:$AR$5,"&lt;"&amp;F$117)</f>
        <v>4.6601799999999987</v>
      </c>
      <c r="G94" s="115"/>
      <c r="H94" s="15">
        <f>SUMIFS($N94:$AR94,$N$5:$AR$5,"&gt;"&amp;H$116,$N$5:$AR$5,"&lt;"&amp;H$117)</f>
        <v>3.5227499999999994</v>
      </c>
      <c r="I94" s="15">
        <f>SUMIFS($N94:$AR94,$N$5:$AR$5,"&gt;"&amp;I$116,$N$5:$AR$5,"&lt;"&amp;I$117)</f>
        <v>4.2244400000000004</v>
      </c>
      <c r="J94" s="115"/>
      <c r="K94" s="15">
        <f>SUMIFS($N94:$AR94,$N$5:$AR$5,"&gt;"&amp;K$116,$N$5:$AR$5,"&lt;"&amp;K$117)</f>
        <v>3.4250899999999995</v>
      </c>
      <c r="L94" s="15">
        <f>SUMIFS($N94:$AR94,$N$5:$AR$5,"&gt;"&amp;L$116,$N$5:$AR$5,"&lt;"&amp;L$117)</f>
        <v>5.45953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7" t="s">
        <v>96</v>
      </c>
      <c r="C95" s="14" t="s">
        <v>91</v>
      </c>
      <c r="D95" s="14" t="s">
        <v>315</v>
      </c>
      <c r="E95" s="15">
        <f>SUMIFS($N95:$AR95,$N$5:$AR$5,"&gt;"&amp;E$116,$N$5:$AR$5,"&lt;"&amp;E$117)</f>
        <v>0</v>
      </c>
      <c r="F95" s="15">
        <f>SUMIFS($N95:$AR95,$N$5:$AR$5,"&gt;"&amp;F$116,$N$5:$AR$5,"&lt;"&amp;F$117)</f>
        <v>0.71548999999999996</v>
      </c>
      <c r="G95" s="115"/>
      <c r="H95" s="15">
        <f>SUMIFS($N95:$AR95,$N$5:$AR$5,"&gt;"&amp;H$116,$N$5:$AR$5,"&lt;"&amp;H$117)</f>
        <v>0.71548999999999996</v>
      </c>
      <c r="I95" s="15">
        <f>SUMIFS($N95:$AR95,$N$5:$AR$5,"&gt;"&amp;I$116,$N$5:$AR$5,"&lt;"&amp;I$117)</f>
        <v>0</v>
      </c>
      <c r="J95" s="115"/>
      <c r="K95" s="15">
        <f>SUMIFS($N95:$AR95,$N$5:$AR$5,"&gt;"&amp;K$116,$N$5:$AR$5,"&lt;"&amp;K$117)</f>
        <v>0.71548999999999996</v>
      </c>
      <c r="L95" s="15">
        <f>SUMIFS($N95:$AR95,$N$5:$AR$5,"&gt;"&amp;L$116,$N$5:$AR$5,"&lt;"&amp;L$117)</f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7" t="s">
        <v>97</v>
      </c>
      <c r="C96" s="14" t="s">
        <v>91</v>
      </c>
      <c r="D96" s="14" t="s">
        <v>315</v>
      </c>
      <c r="E96" s="15">
        <f>SUMIFS($N96:$AR96,$N$5:$AR$5,"&gt;"&amp;E$116,$N$5:$AR$5,"&lt;"&amp;E$117)</f>
        <v>0</v>
      </c>
      <c r="F96" s="15">
        <f>SUMIFS($N96:$AR96,$N$5:$AR$5,"&gt;"&amp;F$116,$N$5:$AR$5,"&lt;"&amp;F$117)</f>
        <v>0.23499999999999999</v>
      </c>
      <c r="G96" s="115"/>
      <c r="H96" s="15">
        <f>SUMIFS($N96:$AR96,$N$5:$AR$5,"&gt;"&amp;H$116,$N$5:$AR$5,"&lt;"&amp;H$117)</f>
        <v>0</v>
      </c>
      <c r="I96" s="15">
        <f>SUMIFS($N96:$AR96,$N$5:$AR$5,"&gt;"&amp;I$116,$N$5:$AR$5,"&lt;"&amp;I$117)</f>
        <v>0</v>
      </c>
      <c r="J96" s="115"/>
      <c r="K96" s="15">
        <f>SUMIFS($N96:$AR96,$N$5:$AR$5,"&gt;"&amp;K$116,$N$5:$AR$5,"&lt;"&amp;K$117)</f>
        <v>0</v>
      </c>
      <c r="L96" s="15">
        <f>SUMIFS($N96:$AR96,$N$5:$AR$5,"&gt;"&amp;L$116,$N$5:$AR$5,"&lt;"&amp;L$117)</f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7" t="s">
        <v>98</v>
      </c>
      <c r="C97" s="14" t="s">
        <v>91</v>
      </c>
      <c r="D97" s="14" t="s">
        <v>315</v>
      </c>
      <c r="E97" s="15">
        <f>SUMIFS($N97:$AR97,$N$5:$AR$5,"&gt;"&amp;E$116,$N$5:$AR$5,"&lt;"&amp;E$117)</f>
        <v>0</v>
      </c>
      <c r="F97" s="15">
        <f>SUMIFS($N97:$AR97,$N$5:$AR$5,"&gt;"&amp;F$116,$N$5:$AR$5,"&lt;"&amp;F$117)</f>
        <v>1.7113799999999999</v>
      </c>
      <c r="G97" s="115"/>
      <c r="H97" s="15">
        <f>SUMIFS($N97:$AR97,$N$5:$AR$5,"&gt;"&amp;H$116,$N$5:$AR$5,"&lt;"&amp;H$117)</f>
        <v>1.0238099999999999</v>
      </c>
      <c r="I97" s="15">
        <f>SUMIFS($N97:$AR97,$N$5:$AR$5,"&gt;"&amp;I$116,$N$5:$AR$5,"&lt;"&amp;I$117)</f>
        <v>1.0285300000000002</v>
      </c>
      <c r="J97" s="115"/>
      <c r="K97" s="15">
        <f>SUMIFS($N97:$AR97,$N$5:$AR$5,"&gt;"&amp;K$116,$N$5:$AR$5,"&lt;"&amp;K$117)</f>
        <v>1.0238099999999999</v>
      </c>
      <c r="L97" s="15">
        <f>SUMIFS($N97:$AR97,$N$5:$AR$5,"&gt;"&amp;L$116,$N$5:$AR$5,"&lt;"&amp;L$117)</f>
        <v>1.7061100000000002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99</v>
      </c>
      <c r="C98" s="17"/>
      <c r="D98" s="17"/>
      <c r="E98" s="18">
        <f>SUMIFS($N98:$AR98,$N$5:$AR$5,"&gt;"&amp;E$116,$N$5:$AR$5,"&lt;"&amp;E$117)</f>
        <v>0</v>
      </c>
      <c r="F98" s="18">
        <f>SUMIFS($N98:$AR98,$N$5:$AR$5,"&gt;"&amp;F$116,$N$5:$AR$5,"&lt;"&amp;F$117)</f>
        <v>29.761219999999998</v>
      </c>
      <c r="G98" s="116"/>
      <c r="H98" s="18">
        <f>SUMIFS($N98:$AR98,$N$5:$AR$5,"&gt;"&amp;H$116,$N$5:$AR$5,"&lt;"&amp;H$117)</f>
        <v>22.295579999999998</v>
      </c>
      <c r="I98" s="18">
        <f>SUMIFS($N98:$AR98,$N$5:$AR$5,"&gt;"&amp;I$116,$N$5:$AR$5,"&lt;"&amp;I$117)</f>
        <v>20.685420000000001</v>
      </c>
      <c r="J98" s="116"/>
      <c r="K98" s="18">
        <f>SUMIFS($N98:$AR98,$N$5:$AR$5,"&gt;"&amp;K$116,$N$5:$AR$5,"&lt;"&amp;K$117)</f>
        <v>22.197919999999996</v>
      </c>
      <c r="L98" s="18">
        <f>SUMIFS($N98:$AR98,$N$5:$AR$5,"&gt;"&amp;L$116,$N$5:$AR$5,"&lt;"&amp;L$117)</f>
        <v>28.23873</v>
      </c>
      <c r="M98" s="16"/>
      <c r="N98" s="18">
        <f t="shared" ref="N98:AR98" si="12">SUM(N90,N91,N92,N93,N94,N95,N96,N97)</f>
        <v>0</v>
      </c>
      <c r="O98" s="18">
        <f t="shared" si="12"/>
        <v>0</v>
      </c>
      <c r="P98" s="18">
        <f t="shared" si="12"/>
        <v>0</v>
      </c>
      <c r="Q98" s="18">
        <f t="shared" si="12"/>
        <v>0</v>
      </c>
      <c r="R98" s="18">
        <f t="shared" si="12"/>
        <v>0</v>
      </c>
      <c r="S98" s="18">
        <f t="shared" si="12"/>
        <v>0</v>
      </c>
      <c r="T98" s="18">
        <f t="shared" si="12"/>
        <v>0</v>
      </c>
      <c r="U98" s="18">
        <f t="shared" si="12"/>
        <v>0</v>
      </c>
      <c r="V98" s="18">
        <f t="shared" si="12"/>
        <v>0</v>
      </c>
      <c r="W98" s="18">
        <f t="shared" si="12"/>
        <v>0</v>
      </c>
      <c r="X98" s="18">
        <f t="shared" si="12"/>
        <v>0</v>
      </c>
      <c r="Y98" s="18">
        <f t="shared" si="12"/>
        <v>0</v>
      </c>
      <c r="Z98" s="18">
        <f t="shared" si="12"/>
        <v>6.9100000000000003E-3</v>
      </c>
      <c r="AA98" s="18">
        <f t="shared" si="12"/>
        <v>0</v>
      </c>
      <c r="AB98" s="18">
        <f t="shared" si="12"/>
        <v>0</v>
      </c>
      <c r="AC98" s="18">
        <f t="shared" si="12"/>
        <v>11.40629</v>
      </c>
      <c r="AD98" s="18">
        <f t="shared" si="12"/>
        <v>10.784719999999997</v>
      </c>
      <c r="AE98" s="18">
        <f t="shared" si="12"/>
        <v>0</v>
      </c>
      <c r="AF98" s="18">
        <f t="shared" si="12"/>
        <v>9.7659999999999997E-2</v>
      </c>
      <c r="AG98" s="18">
        <f t="shared" si="12"/>
        <v>0.92152000000000001</v>
      </c>
      <c r="AH98" s="18">
        <f t="shared" si="12"/>
        <v>2.9642300000000006</v>
      </c>
      <c r="AI98" s="18">
        <f t="shared" si="12"/>
        <v>1.0367900000000001</v>
      </c>
      <c r="AJ98" s="18">
        <f t="shared" si="12"/>
        <v>2.11036</v>
      </c>
      <c r="AK98" s="18">
        <f t="shared" si="12"/>
        <v>0.43274000000000001</v>
      </c>
      <c r="AL98" s="18">
        <f t="shared" si="12"/>
        <v>0</v>
      </c>
      <c r="AM98" s="18">
        <f t="shared" si="12"/>
        <v>0</v>
      </c>
      <c r="AN98" s="18">
        <f t="shared" si="12"/>
        <v>0</v>
      </c>
      <c r="AO98" s="18">
        <f t="shared" si="12"/>
        <v>9.7651000000000003</v>
      </c>
      <c r="AP98" s="18">
        <f t="shared" si="12"/>
        <v>10.254430000000001</v>
      </c>
      <c r="AQ98" s="18">
        <f t="shared" si="12"/>
        <v>0.65590000000000004</v>
      </c>
      <c r="AR98" s="18">
        <f t="shared" si="12"/>
        <v>9.9900000000000006E-3</v>
      </c>
    </row>
    <row r="99" spans="2:44" x14ac:dyDescent="0.2">
      <c r="B99" s="14" t="s">
        <v>100</v>
      </c>
      <c r="C99" s="14" t="s">
        <v>100</v>
      </c>
      <c r="D99" s="14"/>
      <c r="E99" s="15">
        <f>SUMIFS($N99:$AR99,$N$5:$AR$5,"&gt;"&amp;E$116,$N$5:$AR$5,"&lt;"&amp;E$117)</f>
        <v>7.2617299999999982</v>
      </c>
      <c r="F99" s="15">
        <f>SUMIFS($N99:$AR99,$N$5:$AR$5,"&gt;"&amp;F$116,$N$5:$AR$5,"&lt;"&amp;F$117)</f>
        <v>4.91967</v>
      </c>
      <c r="G99" s="115"/>
      <c r="H99" s="15">
        <f>SUMIFS($N99:$AR99,$N$5:$AR$5,"&gt;"&amp;H$116,$N$5:$AR$5,"&lt;"&amp;H$117)</f>
        <v>2.9246699999999999</v>
      </c>
      <c r="I99" s="15">
        <f>SUMIFS($N99:$AR99,$N$5:$AR$5,"&gt;"&amp;I$116,$N$5:$AR$5,"&lt;"&amp;I$117)</f>
        <v>2.9085700000000001</v>
      </c>
      <c r="J99" s="115"/>
      <c r="K99" s="15">
        <f>SUMIFS($N99:$AR99,$N$5:$AR$5,"&gt;"&amp;K$116,$N$5:$AR$5,"&lt;"&amp;K$117)</f>
        <v>5.8363100000000001</v>
      </c>
      <c r="L99" s="15">
        <f>SUMIFS($N99:$AR99,$N$5:$AR$5,"&gt;"&amp;L$116,$N$5:$AR$5,"&lt;"&amp;L$117)</f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101</v>
      </c>
      <c r="C100" s="17"/>
      <c r="D100" s="17"/>
      <c r="E100" s="18">
        <f>SUMIFS($N100:$AR100,$N$5:$AR$5,"&gt;"&amp;E$116,$N$5:$AR$5,"&lt;"&amp;E$117)</f>
        <v>14.014189999999999</v>
      </c>
      <c r="F100" s="18">
        <f>SUMIFS($N100:$AR100,$N$5:$AR$5,"&gt;"&amp;F$116,$N$5:$AR$5,"&lt;"&amp;F$117)</f>
        <v>68.812250000000006</v>
      </c>
      <c r="G100" s="116"/>
      <c r="H100" s="18">
        <f>SUMIFS($N100:$AR100,$N$5:$AR$5,"&gt;"&amp;H$116,$N$5:$AR$5,"&lt;"&amp;H$117)</f>
        <v>30.300129999999999</v>
      </c>
      <c r="I100" s="18">
        <f>SUMIFS($N100:$AR100,$N$5:$AR$5,"&gt;"&amp;I$116,$N$5:$AR$5,"&lt;"&amp;I$117)</f>
        <v>89.654780000000017</v>
      </c>
      <c r="J100" s="116"/>
      <c r="K100" s="18">
        <f>SUMIFS($N100:$AR100,$N$5:$AR$5,"&gt;"&amp;K$116,$N$5:$AR$5,"&lt;"&amp;K$117)</f>
        <v>32.409459999999996</v>
      </c>
      <c r="L100" s="18">
        <f>SUMIFS($N100:$AR100,$N$5:$AR$5,"&gt;"&amp;L$116,$N$5:$AR$5,"&lt;"&amp;L$117)</f>
        <v>109.85646000000001</v>
      </c>
      <c r="M100" s="16"/>
      <c r="N100" s="18">
        <f t="shared" ref="N100:AR100" si="13">SUM(N81,N85,N86,N87,N88,N89,N98,N99)</f>
        <v>1.5772599999999999</v>
      </c>
      <c r="O100" s="18">
        <f t="shared" si="13"/>
        <v>2.6317599999999999</v>
      </c>
      <c r="P100" s="18">
        <f t="shared" si="13"/>
        <v>1.6836800000000001</v>
      </c>
      <c r="Q100" s="18">
        <f t="shared" si="13"/>
        <v>0.54459000000000002</v>
      </c>
      <c r="R100" s="18">
        <f t="shared" si="13"/>
        <v>1.4841299999999999</v>
      </c>
      <c r="S100" s="18">
        <f t="shared" si="13"/>
        <v>1.4841299999999999</v>
      </c>
      <c r="T100" s="18">
        <f t="shared" si="13"/>
        <v>0.49343999999999999</v>
      </c>
      <c r="U100" s="18">
        <f t="shared" si="13"/>
        <v>1.0134400000000001</v>
      </c>
      <c r="V100" s="18">
        <f t="shared" si="13"/>
        <v>0.76344000000000001</v>
      </c>
      <c r="W100" s="18">
        <f t="shared" si="13"/>
        <v>1.0114399999999999</v>
      </c>
      <c r="X100" s="18">
        <f t="shared" si="13"/>
        <v>0.66344000000000003</v>
      </c>
      <c r="Y100" s="18">
        <f t="shared" si="13"/>
        <v>0.66344000000000003</v>
      </c>
      <c r="Z100" s="18">
        <f t="shared" si="13"/>
        <v>0.85158</v>
      </c>
      <c r="AA100" s="18">
        <f t="shared" si="13"/>
        <v>0.56900000000000006</v>
      </c>
      <c r="AB100" s="18">
        <f t="shared" si="13"/>
        <v>0.71543000000000001</v>
      </c>
      <c r="AC100" s="18">
        <f t="shared" si="13"/>
        <v>12.075289999999999</v>
      </c>
      <c r="AD100" s="18">
        <f t="shared" si="13"/>
        <v>11.453719999999997</v>
      </c>
      <c r="AE100" s="18">
        <f t="shared" si="13"/>
        <v>2.1357999999999997</v>
      </c>
      <c r="AF100" s="18">
        <f t="shared" si="13"/>
        <v>2.4993099999999999</v>
      </c>
      <c r="AG100" s="18">
        <f t="shared" si="13"/>
        <v>10.428570000000001</v>
      </c>
      <c r="AH100" s="18">
        <f t="shared" si="13"/>
        <v>7.1473300000000011</v>
      </c>
      <c r="AI100" s="18">
        <f t="shared" si="13"/>
        <v>7.0354900000000002</v>
      </c>
      <c r="AJ100" s="18">
        <f t="shared" si="13"/>
        <v>4.9745999999999997</v>
      </c>
      <c r="AK100" s="18">
        <f t="shared" si="13"/>
        <v>8.9261300000000006</v>
      </c>
      <c r="AL100" s="18">
        <f t="shared" si="13"/>
        <v>6.5535899999999998</v>
      </c>
      <c r="AM100" s="18">
        <f t="shared" si="13"/>
        <v>6.6258900000000009</v>
      </c>
      <c r="AN100" s="18">
        <f t="shared" si="13"/>
        <v>8.5301799999999997</v>
      </c>
      <c r="AO100" s="18">
        <f t="shared" si="13"/>
        <v>18.571110000000001</v>
      </c>
      <c r="AP100" s="18">
        <f t="shared" si="13"/>
        <v>18.829730000000001</v>
      </c>
      <c r="AQ100" s="18">
        <f t="shared" si="13"/>
        <v>9.734530000000003</v>
      </c>
      <c r="AR100" s="18">
        <f t="shared" si="13"/>
        <v>20.809750000000001</v>
      </c>
    </row>
    <row r="101" spans="2:44" x14ac:dyDescent="0.2">
      <c r="B101" s="17" t="s">
        <v>102</v>
      </c>
      <c r="C101" s="17"/>
      <c r="D101" s="17"/>
      <c r="E101" s="18">
        <f>SUMIFS($N101:$AR101,$N$5:$AR$5,"&gt;"&amp;E$116,$N$5:$AR$5,"&lt;"&amp;E$117)</f>
        <v>232.55588999999998</v>
      </c>
      <c r="F101" s="18">
        <f>SUMIFS($N101:$AR101,$N$5:$AR$5,"&gt;"&amp;F$116,$N$5:$AR$5,"&lt;"&amp;F$117)</f>
        <v>660.94371999999998</v>
      </c>
      <c r="G101" s="116"/>
      <c r="H101" s="18">
        <f>SUMIFS($N101:$AR101,$N$5:$AR$5,"&gt;"&amp;H$116,$N$5:$AR$5,"&lt;"&amp;H$117)</f>
        <v>333.98761000000002</v>
      </c>
      <c r="I101" s="18">
        <f>SUMIFS($N101:$AR101,$N$5:$AR$5,"&gt;"&amp;I$116,$N$5:$AR$5,"&lt;"&amp;I$117)</f>
        <v>712.06620999999996</v>
      </c>
      <c r="J101" s="116"/>
      <c r="K101" s="18">
        <f>SUMIFS($N101:$AR101,$N$5:$AR$5,"&gt;"&amp;K$116,$N$5:$AR$5,"&lt;"&amp;K$117)</f>
        <v>427.8963</v>
      </c>
      <c r="L101" s="18">
        <f>SUMIFS($N101:$AR101,$N$5:$AR$5,"&gt;"&amp;L$116,$N$5:$AR$5,"&lt;"&amp;L$117)</f>
        <v>960.21430000000009</v>
      </c>
      <c r="M101" s="16"/>
      <c r="N101" s="18">
        <f t="shared" ref="N101:AR101" si="14">SUM(N79,N80,N100)</f>
        <v>8.7689599999999999</v>
      </c>
      <c r="O101" s="18">
        <f t="shared" si="14"/>
        <v>14.611210000000002</v>
      </c>
      <c r="P101" s="18">
        <f t="shared" si="14"/>
        <v>15.58671</v>
      </c>
      <c r="Q101" s="18">
        <f t="shared" si="14"/>
        <v>18.006249999999998</v>
      </c>
      <c r="R101" s="18">
        <f t="shared" si="14"/>
        <v>17.07133</v>
      </c>
      <c r="S101" s="18">
        <f t="shared" si="14"/>
        <v>16.542590000000001</v>
      </c>
      <c r="T101" s="18">
        <f t="shared" si="14"/>
        <v>15.5212</v>
      </c>
      <c r="U101" s="18">
        <f t="shared" si="14"/>
        <v>14.539829999999998</v>
      </c>
      <c r="V101" s="18">
        <f t="shared" si="14"/>
        <v>18.224900000000002</v>
      </c>
      <c r="W101" s="18">
        <f t="shared" si="14"/>
        <v>17.187530000000002</v>
      </c>
      <c r="X101" s="18">
        <f t="shared" si="14"/>
        <v>38.448639999999997</v>
      </c>
      <c r="Y101" s="18">
        <f t="shared" si="14"/>
        <v>38.046740000000007</v>
      </c>
      <c r="Z101" s="18">
        <f t="shared" si="14"/>
        <v>36.512499999999996</v>
      </c>
      <c r="AA101" s="18">
        <f t="shared" si="14"/>
        <v>55.503660000000011</v>
      </c>
      <c r="AB101" s="18">
        <f t="shared" si="14"/>
        <v>35.038809999999998</v>
      </c>
      <c r="AC101" s="18">
        <f t="shared" si="14"/>
        <v>58.103129999999993</v>
      </c>
      <c r="AD101" s="18">
        <f t="shared" si="14"/>
        <v>56.017189999999992</v>
      </c>
      <c r="AE101" s="18">
        <f t="shared" si="14"/>
        <v>44.752170000000007</v>
      </c>
      <c r="AF101" s="18">
        <f t="shared" si="14"/>
        <v>48.06015</v>
      </c>
      <c r="AG101" s="18">
        <f t="shared" si="14"/>
        <v>53.008490000000002</v>
      </c>
      <c r="AH101" s="18">
        <f t="shared" si="14"/>
        <v>59.172980000000003</v>
      </c>
      <c r="AI101" s="18">
        <f t="shared" si="14"/>
        <v>68.748730000000009</v>
      </c>
      <c r="AJ101" s="18">
        <f t="shared" si="14"/>
        <v>65.476219999999998</v>
      </c>
      <c r="AK101" s="18">
        <f t="shared" si="14"/>
        <v>80.549689999999998</v>
      </c>
      <c r="AL101" s="18">
        <f t="shared" si="14"/>
        <v>70.282160000000005</v>
      </c>
      <c r="AM101" s="18">
        <f t="shared" si="14"/>
        <v>69.920779999999993</v>
      </c>
      <c r="AN101" s="18">
        <f t="shared" si="14"/>
        <v>106.05275999999999</v>
      </c>
      <c r="AO101" s="18">
        <f t="shared" si="14"/>
        <v>121.40356</v>
      </c>
      <c r="AP101" s="18">
        <f t="shared" si="14"/>
        <v>117.98564</v>
      </c>
      <c r="AQ101" s="18">
        <f t="shared" si="14"/>
        <v>99.553140000000013</v>
      </c>
      <c r="AR101" s="18">
        <f t="shared" si="14"/>
        <v>126.86816999999999</v>
      </c>
    </row>
    <row r="102" spans="2:44" x14ac:dyDescent="0.2">
      <c r="B102" s="17" t="s">
        <v>103</v>
      </c>
      <c r="C102" s="17"/>
      <c r="D102" s="17"/>
      <c r="E102" s="18">
        <f>SUMIFS($N102:$AR102,$N$5:$AR$5,"&gt;"&amp;E$116,$N$5:$AR$5,"&lt;"&amp;E$117)</f>
        <v>159.69413000000003</v>
      </c>
      <c r="F102" s="18">
        <f>SUMIFS($N102:$AR102,$N$5:$AR$5,"&gt;"&amp;F$116,$N$5:$AR$5,"&lt;"&amp;F$117)</f>
        <v>151.54656</v>
      </c>
      <c r="G102" s="116"/>
      <c r="H102" s="18">
        <f>SUMIFS($N102:$AR102,$N$5:$AR$5,"&gt;"&amp;H$116,$N$5:$AR$5,"&lt;"&amp;H$117)</f>
        <v>110.68968999999996</v>
      </c>
      <c r="I102" s="18">
        <f>SUMIFS($N102:$AR102,$N$5:$AR$5,"&gt;"&amp;I$116,$N$5:$AR$5,"&lt;"&amp;I$117)</f>
        <v>77.970660000000009</v>
      </c>
      <c r="J102" s="116"/>
      <c r="K102" s="18">
        <f>SUMIFS($N102:$AR102,$N$5:$AR$5,"&gt;"&amp;K$116,$N$5:$AR$5,"&lt;"&amp;K$117)</f>
        <v>157.41738999999998</v>
      </c>
      <c r="L102" s="18">
        <f>SUMIFS($N102:$AR102,$N$5:$AR$5,"&gt;"&amp;L$116,$N$5:$AR$5,"&lt;"&amp;L$117)</f>
        <v>151.02248</v>
      </c>
      <c r="M102" s="16"/>
      <c r="N102" s="18">
        <f t="shared" ref="N102:AR102" si="15">N48-N101</f>
        <v>32.290540000000014</v>
      </c>
      <c r="O102" s="18">
        <f t="shared" si="15"/>
        <v>23.655569999999997</v>
      </c>
      <c r="P102" s="18">
        <f t="shared" si="15"/>
        <v>18.009040000000009</v>
      </c>
      <c r="Q102" s="18">
        <f t="shared" si="15"/>
        <v>9.5496999999999908</v>
      </c>
      <c r="R102" s="18">
        <f t="shared" si="15"/>
        <v>0.97158000000000655</v>
      </c>
      <c r="S102" s="18">
        <f t="shared" si="15"/>
        <v>12.499300000000009</v>
      </c>
      <c r="T102" s="18">
        <f t="shared" si="15"/>
        <v>26.037100000000002</v>
      </c>
      <c r="U102" s="18">
        <f t="shared" si="15"/>
        <v>28.86382</v>
      </c>
      <c r="V102" s="18">
        <f t="shared" si="15"/>
        <v>13.307770000000009</v>
      </c>
      <c r="W102" s="18">
        <f t="shared" si="15"/>
        <v>11.887049999999995</v>
      </c>
      <c r="X102" s="18">
        <f t="shared" si="15"/>
        <v>-11.492329999999981</v>
      </c>
      <c r="Y102" s="18">
        <f t="shared" si="15"/>
        <v>-5.8850100000000012</v>
      </c>
      <c r="Z102" s="18">
        <f t="shared" si="15"/>
        <v>22.961439999999989</v>
      </c>
      <c r="AA102" s="18">
        <f t="shared" si="15"/>
        <v>7.6914999999999907</v>
      </c>
      <c r="AB102" s="18">
        <f t="shared" si="15"/>
        <v>20.55668</v>
      </c>
      <c r="AC102" s="18">
        <f t="shared" si="15"/>
        <v>0.44818999999998255</v>
      </c>
      <c r="AD102" s="18">
        <f t="shared" si="15"/>
        <v>15.734240000000007</v>
      </c>
      <c r="AE102" s="18">
        <f t="shared" si="15"/>
        <v>27.306939999999997</v>
      </c>
      <c r="AF102" s="18">
        <f t="shared" si="15"/>
        <v>15.990699999999983</v>
      </c>
      <c r="AG102" s="18">
        <f t="shared" si="15"/>
        <v>18.291810000000005</v>
      </c>
      <c r="AH102" s="18">
        <f t="shared" si="15"/>
        <v>4.8688099999999892</v>
      </c>
      <c r="AI102" s="18">
        <f t="shared" si="15"/>
        <v>2.5846699999999601</v>
      </c>
      <c r="AJ102" s="18">
        <f t="shared" si="15"/>
        <v>13.504740000000055</v>
      </c>
      <c r="AK102" s="18">
        <f t="shared" si="15"/>
        <v>1.6068400000000196</v>
      </c>
      <c r="AL102" s="18">
        <f t="shared" si="15"/>
        <v>31.924169999999989</v>
      </c>
      <c r="AM102" s="18">
        <f t="shared" si="15"/>
        <v>70.470680000000002</v>
      </c>
      <c r="AN102" s="18">
        <f t="shared" si="15"/>
        <v>-8.7603799999999836</v>
      </c>
      <c r="AO102" s="18">
        <f t="shared" si="15"/>
        <v>-9.3003000000000213</v>
      </c>
      <c r="AP102" s="18">
        <f t="shared" si="15"/>
        <v>-9.0189999999992665E-2</v>
      </c>
      <c r="AQ102" s="18">
        <f t="shared" si="15"/>
        <v>9.9309300000000178</v>
      </c>
      <c r="AR102" s="18">
        <f t="shared" si="15"/>
        <v>-16.204250000000002</v>
      </c>
    </row>
    <row r="103" spans="2:44" x14ac:dyDescent="0.2">
      <c r="B103" s="12" t="s">
        <v>104</v>
      </c>
      <c r="C103" s="12"/>
      <c r="D103" s="12"/>
      <c r="E103" s="20"/>
      <c r="F103" s="20"/>
      <c r="G103" s="117"/>
      <c r="H103" s="20"/>
      <c r="I103" s="20"/>
      <c r="J103" s="117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105</v>
      </c>
      <c r="C104" s="14" t="s">
        <v>104</v>
      </c>
      <c r="D104" s="14"/>
      <c r="E104" s="15">
        <f>SUMIFS($N104:$AR104,$N$5:$AR$5,"&gt;"&amp;E$116,$N$5:$AR$5,"&lt;"&amp;E$117)</f>
        <v>2.7359999999999999E-2</v>
      </c>
      <c r="F104" s="15">
        <f>SUMIFS($N104:$AR104,$N$5:$AR$5,"&gt;"&amp;F$116,$N$5:$AR$5,"&lt;"&amp;F$117)</f>
        <v>0</v>
      </c>
      <c r="G104" s="115"/>
      <c r="H104" s="15">
        <f>SUMIFS($N104:$AR104,$N$5:$AR$5,"&gt;"&amp;H$116,$N$5:$AR$5,"&lt;"&amp;H$117)</f>
        <v>0</v>
      </c>
      <c r="I104" s="15">
        <f>SUMIFS($N104:$AR104,$N$5:$AR$5,"&gt;"&amp;I$116,$N$5:$AR$5,"&lt;"&amp;I$117)</f>
        <v>0</v>
      </c>
      <c r="J104" s="115"/>
      <c r="K104" s="15">
        <f>SUMIFS($N104:$AR104,$N$5:$AR$5,"&gt;"&amp;K$116,$N$5:$AR$5,"&lt;"&amp;K$117)</f>
        <v>2.7359999999999999E-2</v>
      </c>
      <c r="L104" s="15">
        <f>SUMIFS($N104:$AR104,$N$5:$AR$5,"&gt;"&amp;L$116,$N$5:$AR$5,"&lt;"&amp;L$117)</f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106</v>
      </c>
      <c r="C105" s="14" t="s">
        <v>104</v>
      </c>
      <c r="D105" s="14"/>
      <c r="E105" s="15">
        <f>SUMIFS($N105:$AR105,$N$5:$AR$5,"&gt;"&amp;E$116,$N$5:$AR$5,"&lt;"&amp;E$117)</f>
        <v>0</v>
      </c>
      <c r="F105" s="15">
        <f>SUMIFS($N105:$AR105,$N$5:$AR$5,"&gt;"&amp;F$116,$N$5:$AR$5,"&lt;"&amp;F$117)</f>
        <v>0.21722</v>
      </c>
      <c r="G105" s="115"/>
      <c r="H105" s="15">
        <f>SUMIFS($N105:$AR105,$N$5:$AR$5,"&gt;"&amp;H$116,$N$5:$AR$5,"&lt;"&amp;H$117)</f>
        <v>0.11732999999999999</v>
      </c>
      <c r="I105" s="15">
        <f>SUMIFS($N105:$AR105,$N$5:$AR$5,"&gt;"&amp;I$116,$N$5:$AR$5,"&lt;"&amp;I$117)</f>
        <v>0.15586999999999998</v>
      </c>
      <c r="J105" s="115"/>
      <c r="K105" s="15">
        <f>SUMIFS($N105:$AR105,$N$5:$AR$5,"&gt;"&amp;K$116,$N$5:$AR$5,"&lt;"&amp;K$117)</f>
        <v>8.5259999999999989E-2</v>
      </c>
      <c r="L105" s="15">
        <f>SUMIFS($N105:$AR105,$N$5:$AR$5,"&gt;"&amp;L$116,$N$5:$AR$5,"&lt;"&amp;L$117)</f>
        <v>0.27642000000000005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107</v>
      </c>
      <c r="C106" s="17"/>
      <c r="D106" s="17"/>
      <c r="E106" s="18">
        <f>SUMIFS($N106:$AR106,$N$5:$AR$5,"&gt;"&amp;E$116,$N$5:$AR$5,"&lt;"&amp;E$117)</f>
        <v>2.7359999999999999E-2</v>
      </c>
      <c r="F106" s="18">
        <f>SUMIFS($N106:$AR106,$N$5:$AR$5,"&gt;"&amp;F$116,$N$5:$AR$5,"&lt;"&amp;F$117)</f>
        <v>0.21722</v>
      </c>
      <c r="G106" s="116"/>
      <c r="H106" s="18">
        <f>SUMIFS($N106:$AR106,$N$5:$AR$5,"&gt;"&amp;H$116,$N$5:$AR$5,"&lt;"&amp;H$117)</f>
        <v>0.11732999999999999</v>
      </c>
      <c r="I106" s="18">
        <f>SUMIFS($N106:$AR106,$N$5:$AR$5,"&gt;"&amp;I$116,$N$5:$AR$5,"&lt;"&amp;I$117)</f>
        <v>0.15586999999999998</v>
      </c>
      <c r="J106" s="116"/>
      <c r="K106" s="18">
        <f>SUMIFS($N106:$AR106,$N$5:$AR$5,"&gt;"&amp;K$116,$N$5:$AR$5,"&lt;"&amp;K$117)</f>
        <v>0.11261999999999998</v>
      </c>
      <c r="L106" s="18">
        <f>SUMIFS($N106:$AR106,$N$5:$AR$5,"&gt;"&amp;L$116,$N$5:$AR$5,"&lt;"&amp;L$117)</f>
        <v>0.27642000000000005</v>
      </c>
      <c r="M106" s="16"/>
      <c r="N106" s="18">
        <f t="shared" ref="N106:AR106" si="16">SUM(N104,N105)</f>
        <v>0</v>
      </c>
      <c r="O106" s="18">
        <f t="shared" si="16"/>
        <v>0</v>
      </c>
      <c r="P106" s="18">
        <f t="shared" si="16"/>
        <v>0</v>
      </c>
      <c r="Q106" s="18">
        <f t="shared" si="16"/>
        <v>0</v>
      </c>
      <c r="R106" s="18">
        <f t="shared" si="16"/>
        <v>0</v>
      </c>
      <c r="S106" s="18">
        <f t="shared" si="16"/>
        <v>0</v>
      </c>
      <c r="T106" s="18">
        <f t="shared" si="16"/>
        <v>0</v>
      </c>
      <c r="U106" s="18">
        <f t="shared" si="16"/>
        <v>0</v>
      </c>
      <c r="V106" s="18">
        <f t="shared" si="16"/>
        <v>0</v>
      </c>
      <c r="W106" s="18">
        <f t="shared" si="16"/>
        <v>0</v>
      </c>
      <c r="X106" s="18">
        <f t="shared" si="16"/>
        <v>0</v>
      </c>
      <c r="Y106" s="18">
        <f t="shared" si="16"/>
        <v>2.7359999999999999E-2</v>
      </c>
      <c r="Z106" s="18">
        <f t="shared" si="16"/>
        <v>0</v>
      </c>
      <c r="AA106" s="18">
        <f t="shared" si="16"/>
        <v>1.993E-2</v>
      </c>
      <c r="AB106" s="18">
        <f t="shared" si="16"/>
        <v>1.2930000000000001E-2</v>
      </c>
      <c r="AC106" s="18">
        <f t="shared" si="16"/>
        <v>1.9629999999999998E-2</v>
      </c>
      <c r="AD106" s="18">
        <f t="shared" si="16"/>
        <v>2.3149999999999997E-2</v>
      </c>
      <c r="AE106" s="18">
        <f t="shared" si="16"/>
        <v>9.6200000000000001E-3</v>
      </c>
      <c r="AF106" s="18">
        <f t="shared" si="16"/>
        <v>3.2070000000000001E-2</v>
      </c>
      <c r="AG106" s="18">
        <f t="shared" si="16"/>
        <v>1.634E-2</v>
      </c>
      <c r="AH106" s="18">
        <f t="shared" si="16"/>
        <v>1.584E-2</v>
      </c>
      <c r="AI106" s="18">
        <f t="shared" si="16"/>
        <v>2.3960000000000002E-2</v>
      </c>
      <c r="AJ106" s="18">
        <f t="shared" si="16"/>
        <v>2.513E-2</v>
      </c>
      <c r="AK106" s="18">
        <f t="shared" si="16"/>
        <v>1.8620000000000001E-2</v>
      </c>
      <c r="AL106" s="18">
        <f t="shared" si="16"/>
        <v>1.03E-2</v>
      </c>
      <c r="AM106" s="18">
        <f t="shared" si="16"/>
        <v>1.3800000000000002E-2</v>
      </c>
      <c r="AN106" s="18">
        <f t="shared" si="16"/>
        <v>9.2499999999999995E-3</v>
      </c>
      <c r="AO106" s="18">
        <f t="shared" si="16"/>
        <v>6.1810000000000004E-2</v>
      </c>
      <c r="AP106" s="18">
        <f t="shared" si="16"/>
        <v>3.3159999999999995E-2</v>
      </c>
      <c r="AQ106" s="18">
        <f t="shared" si="16"/>
        <v>1.6140000000000002E-2</v>
      </c>
      <c r="AR106" s="18">
        <f t="shared" si="16"/>
        <v>1.141E-2</v>
      </c>
    </row>
    <row r="107" spans="2:44" x14ac:dyDescent="0.2">
      <c r="B107" s="12" t="s">
        <v>108</v>
      </c>
      <c r="C107" s="12"/>
      <c r="D107" s="12"/>
      <c r="E107" s="20"/>
      <c r="F107" s="20"/>
      <c r="G107" s="117"/>
      <c r="H107" s="20"/>
      <c r="I107" s="20"/>
      <c r="J107" s="117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109</v>
      </c>
      <c r="C108" s="14" t="s">
        <v>298</v>
      </c>
      <c r="D108" s="14"/>
      <c r="E108" s="15">
        <f>SUMIFS($N108:$AR108,$N$5:$AR$5,"&gt;"&amp;E$116,$N$5:$AR$5,"&lt;"&amp;E$117)</f>
        <v>6.673</v>
      </c>
      <c r="F108" s="15">
        <f>SUMIFS($N108:$AR108,$N$5:$AR$5,"&gt;"&amp;F$116,$N$5:$AR$5,"&lt;"&amp;F$117)</f>
        <v>6.673</v>
      </c>
      <c r="G108" s="115"/>
      <c r="H108" s="15">
        <f>SUMIFS($N108:$AR108,$N$5:$AR$5,"&gt;"&amp;H$116,$N$5:$AR$5,"&lt;"&amp;H$117)</f>
        <v>0</v>
      </c>
      <c r="I108" s="15">
        <f>SUMIFS($N108:$AR108,$N$5:$AR$5,"&gt;"&amp;I$116,$N$5:$AR$5,"&lt;"&amp;I$117)</f>
        <v>0</v>
      </c>
      <c r="J108" s="115"/>
      <c r="K108" s="15">
        <f>SUMIFS($N108:$AR108,$N$5:$AR$5,"&gt;"&amp;K$116,$N$5:$AR$5,"&lt;"&amp;K$117)</f>
        <v>6.673</v>
      </c>
      <c r="L108" s="15">
        <f>SUMIFS($N108:$AR108,$N$5:$AR$5,"&gt;"&amp;L$116,$N$5:$AR$5,"&lt;"&amp;L$117)</f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110</v>
      </c>
      <c r="C109" s="14" t="s">
        <v>108</v>
      </c>
      <c r="D109" s="14" t="s">
        <v>110</v>
      </c>
      <c r="E109" s="15">
        <f>SUMIFS($N109:$AR109,$N$5:$AR$5,"&gt;"&amp;E$116,$N$5:$AR$5,"&lt;"&amp;E$117)</f>
        <v>0</v>
      </c>
      <c r="F109" s="15">
        <f>SUMIFS($N109:$AR109,$N$5:$AR$5,"&gt;"&amp;F$116,$N$5:$AR$5,"&lt;"&amp;F$117)</f>
        <v>2.7040000000000002</v>
      </c>
      <c r="G109" s="115"/>
      <c r="H109" s="15">
        <f>SUMIFS($N109:$AR109,$N$5:$AR$5,"&gt;"&amp;H$116,$N$5:$AR$5,"&lt;"&amp;H$117)</f>
        <v>0</v>
      </c>
      <c r="I109" s="15">
        <f>SUMIFS($N109:$AR109,$N$5:$AR$5,"&gt;"&amp;I$116,$N$5:$AR$5,"&lt;"&amp;I$117)</f>
        <v>0</v>
      </c>
      <c r="J109" s="115"/>
      <c r="K109" s="15">
        <f>SUMIFS($N109:$AR109,$N$5:$AR$5,"&gt;"&amp;K$116,$N$5:$AR$5,"&lt;"&amp;K$117)</f>
        <v>0</v>
      </c>
      <c r="L109" s="15">
        <f>SUMIFS($N109:$AR109,$N$5:$AR$5,"&gt;"&amp;L$116,$N$5:$AR$5,"&lt;"&amp;L$117)</f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111</v>
      </c>
      <c r="C110" s="14" t="s">
        <v>299</v>
      </c>
      <c r="D110" s="14"/>
      <c r="E110" s="15">
        <f>SUMIFS($N110:$AR110,$N$5:$AR$5,"&gt;"&amp;E$116,$N$5:$AR$5,"&lt;"&amp;E$117)</f>
        <v>7.9639999999999989E-2</v>
      </c>
      <c r="F110" s="15">
        <f>SUMIFS($N110:$AR110,$N$5:$AR$5,"&gt;"&amp;F$116,$N$5:$AR$5,"&lt;"&amp;F$117)</f>
        <v>1.4224800000000002</v>
      </c>
      <c r="G110" s="115"/>
      <c r="H110" s="15">
        <f>SUMIFS($N110:$AR110,$N$5:$AR$5,"&gt;"&amp;H$116,$N$5:$AR$5,"&lt;"&amp;H$117)</f>
        <v>1.07704</v>
      </c>
      <c r="I110" s="15">
        <f>SUMIFS($N110:$AR110,$N$5:$AR$5,"&gt;"&amp;I$116,$N$5:$AR$5,"&lt;"&amp;I$117)</f>
        <v>0.81103000000000003</v>
      </c>
      <c r="J110" s="115"/>
      <c r="K110" s="15">
        <f>SUMIFS($N110:$AR110,$N$5:$AR$5,"&gt;"&amp;K$116,$N$5:$AR$5,"&lt;"&amp;K$117)</f>
        <v>0.81467999999999996</v>
      </c>
      <c r="L110" s="15">
        <f>SUMIFS($N110:$AR110,$N$5:$AR$5,"&gt;"&amp;L$116,$N$5:$AR$5,"&lt;"&amp;L$117)</f>
        <v>1.49847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112</v>
      </c>
      <c r="C111" s="14" t="s">
        <v>112</v>
      </c>
      <c r="D111" s="14"/>
      <c r="E111" s="15">
        <f>SUMIFS($N111:$AR111,$N$5:$AR$5,"&gt;"&amp;E$116,$N$5:$AR$5,"&lt;"&amp;E$117)</f>
        <v>7.4969999999999999</v>
      </c>
      <c r="F111" s="15">
        <f>SUMIFS($N111:$AR111,$N$5:$AR$5,"&gt;"&amp;F$116,$N$5:$AR$5,"&lt;"&amp;F$117)</f>
        <v>9.984</v>
      </c>
      <c r="G111" s="115"/>
      <c r="H111" s="15">
        <f>SUMIFS($N111:$AR111,$N$5:$AR$5,"&gt;"&amp;H$116,$N$5:$AR$5,"&lt;"&amp;H$117)</f>
        <v>5.8940000000000001</v>
      </c>
      <c r="I111" s="15">
        <f>SUMIFS($N111:$AR111,$N$5:$AR$5,"&gt;"&amp;I$116,$N$5:$AR$5,"&lt;"&amp;I$117)</f>
        <v>1.1719999999999997</v>
      </c>
      <c r="J111" s="115"/>
      <c r="K111" s="15">
        <f>SUMIFS($N111:$AR111,$N$5:$AR$5,"&gt;"&amp;K$116,$N$5:$AR$5,"&lt;"&amp;K$117)</f>
        <v>4.673</v>
      </c>
      <c r="L111" s="15">
        <f>SUMIFS($N111:$AR111,$N$5:$AR$5,"&gt;"&amp;L$116,$N$5:$AR$5,"&lt;"&amp;L$117)</f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113</v>
      </c>
      <c r="C112" s="17"/>
      <c r="D112" s="17"/>
      <c r="E112" s="18">
        <f>SUMIFS($N112:$AR112,$N$5:$AR$5,"&gt;"&amp;E$116,$N$5:$AR$5,"&lt;"&amp;E$117)</f>
        <v>14.249639999999999</v>
      </c>
      <c r="F112" s="18">
        <f>SUMIFS($N112:$AR112,$N$5:$AR$5,"&gt;"&amp;F$116,$N$5:$AR$5,"&lt;"&amp;F$117)</f>
        <v>20.783479999999997</v>
      </c>
      <c r="G112" s="116"/>
      <c r="H112" s="18">
        <f>SUMIFS($N112:$AR112,$N$5:$AR$5,"&gt;"&amp;H$116,$N$5:$AR$5,"&lt;"&amp;H$117)</f>
        <v>6.9710399999999995</v>
      </c>
      <c r="I112" s="18">
        <f>SUMIFS($N112:$AR112,$N$5:$AR$5,"&gt;"&amp;I$116,$N$5:$AR$5,"&lt;"&amp;I$117)</f>
        <v>1.9830299999999998</v>
      </c>
      <c r="J112" s="116"/>
      <c r="K112" s="18">
        <f>SUMIFS($N112:$AR112,$N$5:$AR$5,"&gt;"&amp;K$116,$N$5:$AR$5,"&lt;"&amp;K$117)</f>
        <v>12.160680000000001</v>
      </c>
      <c r="L112" s="18">
        <f>SUMIFS($N112:$AR112,$N$5:$AR$5,"&gt;"&amp;L$116,$N$5:$AR$5,"&lt;"&amp;L$117)</f>
        <v>16.13747</v>
      </c>
      <c r="M112" s="16"/>
      <c r="N112" s="18">
        <f t="shared" ref="N112:AR112" si="17">SUM(N108,N109,N110,N111)</f>
        <v>0</v>
      </c>
      <c r="O112" s="18">
        <f t="shared" si="17"/>
        <v>0</v>
      </c>
      <c r="P112" s="18">
        <f t="shared" si="17"/>
        <v>0</v>
      </c>
      <c r="Q112" s="18">
        <f t="shared" si="17"/>
        <v>6.2460000000000004</v>
      </c>
      <c r="R112" s="18">
        <f t="shared" si="17"/>
        <v>0</v>
      </c>
      <c r="S112" s="18">
        <f t="shared" si="17"/>
        <v>2.472</v>
      </c>
      <c r="T112" s="18">
        <f t="shared" si="17"/>
        <v>0</v>
      </c>
      <c r="U112" s="18">
        <f t="shared" si="17"/>
        <v>0</v>
      </c>
      <c r="V112" s="18">
        <f t="shared" si="17"/>
        <v>2.472</v>
      </c>
      <c r="W112" s="18">
        <f t="shared" si="17"/>
        <v>0</v>
      </c>
      <c r="X112" s="18">
        <f t="shared" si="17"/>
        <v>7.1499999999999994E-2</v>
      </c>
      <c r="Y112" s="18">
        <f t="shared" si="17"/>
        <v>2.98814</v>
      </c>
      <c r="Z112" s="18">
        <f t="shared" si="17"/>
        <v>2.5895199999999998</v>
      </c>
      <c r="AA112" s="18">
        <f t="shared" si="17"/>
        <v>0.20646</v>
      </c>
      <c r="AB112" s="18">
        <f t="shared" si="17"/>
        <v>1.174E-2</v>
      </c>
      <c r="AC112" s="18">
        <f t="shared" si="17"/>
        <v>3.6856</v>
      </c>
      <c r="AD112" s="18">
        <f t="shared" si="17"/>
        <v>-2.1571599999999997</v>
      </c>
      <c r="AE112" s="18">
        <f t="shared" si="17"/>
        <v>2.2928799999999998</v>
      </c>
      <c r="AF112" s="18">
        <f t="shared" si="17"/>
        <v>0.34200000000000003</v>
      </c>
      <c r="AG112" s="18">
        <f t="shared" si="17"/>
        <v>0.25108999999999998</v>
      </c>
      <c r="AH112" s="18">
        <f t="shared" si="17"/>
        <v>2.11029</v>
      </c>
      <c r="AI112" s="18">
        <f t="shared" si="17"/>
        <v>1.916E-2</v>
      </c>
      <c r="AJ112" s="18">
        <f t="shared" si="17"/>
        <v>9.9000000000000008E-3</v>
      </c>
      <c r="AK112" s="18">
        <f t="shared" si="17"/>
        <v>11.422000000000001</v>
      </c>
      <c r="AL112" s="18">
        <f t="shared" si="17"/>
        <v>0.28870000000000001</v>
      </c>
      <c r="AM112" s="18">
        <f t="shared" si="17"/>
        <v>0.14452999999999999</v>
      </c>
      <c r="AN112" s="18">
        <f t="shared" si="17"/>
        <v>5.0359999999999996</v>
      </c>
      <c r="AO112" s="18">
        <f t="shared" si="17"/>
        <v>-4.7139999999999995</v>
      </c>
      <c r="AP112" s="18">
        <f t="shared" si="17"/>
        <v>0.11769</v>
      </c>
      <c r="AQ112" s="18">
        <f t="shared" si="17"/>
        <v>1.1101099999999999</v>
      </c>
      <c r="AR112" s="18">
        <f t="shared" si="17"/>
        <v>0</v>
      </c>
    </row>
    <row r="113" spans="2:44" ht="12.75" thickBot="1" x14ac:dyDescent="0.25">
      <c r="B113" s="17" t="s">
        <v>114</v>
      </c>
      <c r="C113" s="17"/>
      <c r="D113" s="17"/>
      <c r="E113" s="18">
        <f>SUMIFS($N113:$AR113,$N$5:$AR$5,"&gt;"&amp;E$116,$N$5:$AR$5,"&lt;"&amp;E$117)</f>
        <v>-14.22228</v>
      </c>
      <c r="F113" s="18">
        <f>SUMIFS($N113:$AR113,$N$5:$AR$5,"&gt;"&amp;F$116,$N$5:$AR$5,"&lt;"&amp;F$117)</f>
        <v>-20.56626</v>
      </c>
      <c r="G113" s="116"/>
      <c r="H113" s="18">
        <f>SUMIFS($N113:$AR113,$N$5:$AR$5,"&gt;"&amp;H$116,$N$5:$AR$5,"&lt;"&amp;H$117)</f>
        <v>-6.8537099999999995</v>
      </c>
      <c r="I113" s="18">
        <f>SUMIFS($N113:$AR113,$N$5:$AR$5,"&gt;"&amp;I$116,$N$5:$AR$5,"&lt;"&amp;I$117)</f>
        <v>-1.8271600000000001</v>
      </c>
      <c r="J113" s="116"/>
      <c r="K113" s="18">
        <f>SUMIFS($N113:$AR113,$N$5:$AR$5,"&gt;"&amp;K$116,$N$5:$AR$5,"&lt;"&amp;K$117)</f>
        <v>-12.048060000000001</v>
      </c>
      <c r="L113" s="18">
        <f>SUMIFS($N113:$AR113,$N$5:$AR$5,"&gt;"&amp;L$116,$N$5:$AR$5,"&lt;"&amp;L$117)</f>
        <v>-15.861050000000001</v>
      </c>
      <c r="M113" s="16"/>
      <c r="N113" s="18">
        <f t="shared" ref="N113:AR113" si="18">N106-N112</f>
        <v>0</v>
      </c>
      <c r="O113" s="18">
        <f t="shared" si="18"/>
        <v>0</v>
      </c>
      <c r="P113" s="18">
        <f t="shared" si="18"/>
        <v>0</v>
      </c>
      <c r="Q113" s="18">
        <f t="shared" si="18"/>
        <v>-6.2460000000000004</v>
      </c>
      <c r="R113" s="18">
        <f t="shared" si="18"/>
        <v>0</v>
      </c>
      <c r="S113" s="18">
        <f t="shared" si="18"/>
        <v>-2.472</v>
      </c>
      <c r="T113" s="18">
        <f t="shared" si="18"/>
        <v>0</v>
      </c>
      <c r="U113" s="18">
        <f t="shared" si="18"/>
        <v>0</v>
      </c>
      <c r="V113" s="18">
        <f t="shared" si="18"/>
        <v>-2.472</v>
      </c>
      <c r="W113" s="18">
        <f t="shared" si="18"/>
        <v>0</v>
      </c>
      <c r="X113" s="18">
        <f t="shared" si="18"/>
        <v>-7.1499999999999994E-2</v>
      </c>
      <c r="Y113" s="18">
        <f t="shared" si="18"/>
        <v>-2.9607800000000002</v>
      </c>
      <c r="Z113" s="18">
        <f t="shared" si="18"/>
        <v>-2.5895199999999998</v>
      </c>
      <c r="AA113" s="18">
        <f t="shared" si="18"/>
        <v>-0.18653</v>
      </c>
      <c r="AB113" s="18">
        <f t="shared" si="18"/>
        <v>1.1900000000000001E-3</v>
      </c>
      <c r="AC113" s="18">
        <f t="shared" si="18"/>
        <v>-3.6659700000000002</v>
      </c>
      <c r="AD113" s="18">
        <f t="shared" si="18"/>
        <v>2.1803099999999995</v>
      </c>
      <c r="AE113" s="18">
        <f t="shared" si="18"/>
        <v>-2.2832599999999998</v>
      </c>
      <c r="AF113" s="18">
        <f t="shared" si="18"/>
        <v>-0.30993000000000004</v>
      </c>
      <c r="AG113" s="18">
        <f t="shared" si="18"/>
        <v>-0.23474999999999999</v>
      </c>
      <c r="AH113" s="18">
        <f t="shared" si="18"/>
        <v>-2.0944500000000001</v>
      </c>
      <c r="AI113" s="18">
        <f t="shared" si="18"/>
        <v>4.8000000000000022E-3</v>
      </c>
      <c r="AJ113" s="18">
        <f t="shared" si="18"/>
        <v>1.5229999999999999E-2</v>
      </c>
      <c r="AK113" s="18">
        <f t="shared" si="18"/>
        <v>-11.40338</v>
      </c>
      <c r="AL113" s="18">
        <f t="shared" si="18"/>
        <v>-0.27840000000000004</v>
      </c>
      <c r="AM113" s="18">
        <f t="shared" si="18"/>
        <v>-0.13072999999999999</v>
      </c>
      <c r="AN113" s="18">
        <f t="shared" si="18"/>
        <v>-5.0267499999999998</v>
      </c>
      <c r="AO113" s="18">
        <f t="shared" si="18"/>
        <v>4.7758099999999999</v>
      </c>
      <c r="AP113" s="18">
        <f t="shared" si="18"/>
        <v>-8.4530000000000008E-2</v>
      </c>
      <c r="AQ113" s="18">
        <f t="shared" si="18"/>
        <v>-1.0939699999999999</v>
      </c>
      <c r="AR113" s="18">
        <f t="shared" si="18"/>
        <v>1.141E-2</v>
      </c>
    </row>
    <row r="114" spans="2:44" ht="12.75" thickTop="1" x14ac:dyDescent="0.2">
      <c r="B114" s="17" t="s">
        <v>115</v>
      </c>
      <c r="C114" s="17"/>
      <c r="D114" s="17"/>
      <c r="E114" s="21">
        <f>SUMIFS($N114:$AR114,$N$5:$AR$5,"&gt;"&amp;E$116,$N$5:$AR$5,"&lt;"&amp;E$117)</f>
        <v>145.47185000000005</v>
      </c>
      <c r="F114" s="21">
        <f>SUMIFS($N114:$AR114,$N$5:$AR$5,"&gt;"&amp;F$116,$N$5:$AR$5,"&lt;"&amp;F$117)</f>
        <v>130.98029999999997</v>
      </c>
      <c r="G114" s="116"/>
      <c r="H114" s="21">
        <f>SUMIFS($N114:$AR114,$N$5:$AR$5,"&gt;"&amp;H$116,$N$5:$AR$5,"&lt;"&amp;H$117)</f>
        <v>103.83597999999995</v>
      </c>
      <c r="I114" s="21">
        <f>SUMIFS($N114:$AR114,$N$5:$AR$5,"&gt;"&amp;I$116,$N$5:$AR$5,"&lt;"&amp;I$117)</f>
        <v>76.143500000000003</v>
      </c>
      <c r="J114" s="116"/>
      <c r="K114" s="21">
        <f>SUMIFS($N114:$AR114,$N$5:$AR$5,"&gt;"&amp;K$116,$N$5:$AR$5,"&lt;"&amp;K$117)</f>
        <v>145.36932999999999</v>
      </c>
      <c r="L114" s="21">
        <f>SUMIFS($N114:$AR114,$N$5:$AR$5,"&gt;"&amp;L$116,$N$5:$AR$5,"&lt;"&amp;L$117)</f>
        <v>135.16143000000002</v>
      </c>
      <c r="M114" s="16"/>
      <c r="N114" s="21">
        <f t="shared" ref="N114:AR114" si="19">N102+N113</f>
        <v>32.290540000000014</v>
      </c>
      <c r="O114" s="21">
        <f t="shared" si="19"/>
        <v>23.655569999999997</v>
      </c>
      <c r="P114" s="21">
        <f t="shared" si="19"/>
        <v>18.009040000000009</v>
      </c>
      <c r="Q114" s="21">
        <f t="shared" si="19"/>
        <v>3.3036999999999903</v>
      </c>
      <c r="R114" s="21">
        <f t="shared" si="19"/>
        <v>0.97158000000000655</v>
      </c>
      <c r="S114" s="21">
        <f t="shared" si="19"/>
        <v>10.027300000000009</v>
      </c>
      <c r="T114" s="21">
        <f t="shared" si="19"/>
        <v>26.037100000000002</v>
      </c>
      <c r="U114" s="21">
        <f t="shared" si="19"/>
        <v>28.86382</v>
      </c>
      <c r="V114" s="21">
        <f t="shared" si="19"/>
        <v>10.835770000000009</v>
      </c>
      <c r="W114" s="21">
        <f t="shared" si="19"/>
        <v>11.887049999999995</v>
      </c>
      <c r="X114" s="21">
        <f t="shared" si="19"/>
        <v>-11.563829999999982</v>
      </c>
      <c r="Y114" s="21">
        <f t="shared" si="19"/>
        <v>-8.8457900000000009</v>
      </c>
      <c r="Z114" s="21">
        <f t="shared" si="19"/>
        <v>20.371919999999989</v>
      </c>
      <c r="AA114" s="21">
        <f t="shared" si="19"/>
        <v>7.5049699999999904</v>
      </c>
      <c r="AB114" s="21">
        <f t="shared" si="19"/>
        <v>20.557870000000001</v>
      </c>
      <c r="AC114" s="21">
        <f t="shared" si="19"/>
        <v>-3.2177800000000176</v>
      </c>
      <c r="AD114" s="21">
        <f t="shared" si="19"/>
        <v>17.914550000000006</v>
      </c>
      <c r="AE114" s="21">
        <f t="shared" si="19"/>
        <v>25.023679999999999</v>
      </c>
      <c r="AF114" s="21">
        <f t="shared" si="19"/>
        <v>15.680769999999983</v>
      </c>
      <c r="AG114" s="21">
        <f t="shared" si="19"/>
        <v>18.057060000000007</v>
      </c>
      <c r="AH114" s="21">
        <f t="shared" si="19"/>
        <v>2.7743599999999891</v>
      </c>
      <c r="AI114" s="21">
        <f t="shared" si="19"/>
        <v>2.58946999999996</v>
      </c>
      <c r="AJ114" s="21">
        <f t="shared" si="19"/>
        <v>13.519970000000056</v>
      </c>
      <c r="AK114" s="21">
        <f t="shared" si="19"/>
        <v>-9.7965399999999807</v>
      </c>
      <c r="AL114" s="21">
        <f t="shared" si="19"/>
        <v>31.645769999999988</v>
      </c>
      <c r="AM114" s="21">
        <f t="shared" si="19"/>
        <v>70.339950000000002</v>
      </c>
      <c r="AN114" s="21">
        <f t="shared" si="19"/>
        <v>-13.787129999999983</v>
      </c>
      <c r="AO114" s="21">
        <f t="shared" si="19"/>
        <v>-4.5244900000000214</v>
      </c>
      <c r="AP114" s="21">
        <f t="shared" si="19"/>
        <v>-0.17471999999999266</v>
      </c>
      <c r="AQ114" s="21">
        <f t="shared" si="19"/>
        <v>8.8369600000000172</v>
      </c>
      <c r="AR114" s="21">
        <f t="shared" si="19"/>
        <v>-16.19284</v>
      </c>
    </row>
    <row r="116" spans="2:44" x14ac:dyDescent="0.2">
      <c r="E116" s="34">
        <v>45291</v>
      </c>
      <c r="F116" s="36">
        <f>E117</f>
        <v>45657</v>
      </c>
      <c r="G116" s="118"/>
      <c r="H116" s="34">
        <v>45657</v>
      </c>
      <c r="I116" s="34">
        <v>46022</v>
      </c>
      <c r="J116" s="118"/>
      <c r="K116" s="34">
        <v>45473</v>
      </c>
      <c r="L116" s="36">
        <f>K117</f>
        <v>45838</v>
      </c>
    </row>
    <row r="117" spans="2:44" x14ac:dyDescent="0.2">
      <c r="E117" s="35">
        <f>EOMONTH(E116,12)</f>
        <v>45657</v>
      </c>
      <c r="F117" s="35">
        <f>EOMONTH(F116,12)</f>
        <v>46022</v>
      </c>
      <c r="G117" s="119"/>
      <c r="H117" s="35">
        <v>45869</v>
      </c>
      <c r="I117" s="35">
        <f>EOMONTH(I116,12)</f>
        <v>46387</v>
      </c>
      <c r="J117" s="119"/>
      <c r="K117" s="35">
        <f>EOMONTH(K116,12)</f>
        <v>45838</v>
      </c>
      <c r="L117" s="35">
        <f>EOMONTH(L116,12)</f>
        <v>46203</v>
      </c>
    </row>
    <row r="120" spans="2:44" x14ac:dyDescent="0.2">
      <c r="B120" s="22" t="s">
        <v>3</v>
      </c>
      <c r="C120" s="22"/>
      <c r="D120" s="22"/>
      <c r="E120" s="22" t="s">
        <v>4</v>
      </c>
      <c r="F120" s="22"/>
      <c r="G120" s="120"/>
      <c r="H120" s="22"/>
      <c r="I120" s="22"/>
      <c r="J120" s="120"/>
      <c r="K120" s="22"/>
      <c r="L120" s="22" t="s">
        <v>5</v>
      </c>
      <c r="N120" s="22" t="s">
        <v>116</v>
      </c>
      <c r="O120" s="22"/>
      <c r="P120" s="22"/>
      <c r="Q120" s="102" t="s">
        <v>117</v>
      </c>
    </row>
    <row r="121" spans="2:44" x14ac:dyDescent="0.2">
      <c r="B121" s="22"/>
      <c r="C121" s="22"/>
      <c r="D121" s="22"/>
      <c r="E121" s="23" t="s">
        <v>118</v>
      </c>
      <c r="F121" s="23" t="s">
        <v>119</v>
      </c>
      <c r="G121" s="121"/>
      <c r="H121" s="23" t="s">
        <v>119</v>
      </c>
      <c r="I121" s="23" t="s">
        <v>120</v>
      </c>
      <c r="J121" s="121"/>
      <c r="K121" s="23" t="s">
        <v>120</v>
      </c>
      <c r="L121" s="23" t="s">
        <v>118</v>
      </c>
      <c r="N121" s="23" t="s">
        <v>118</v>
      </c>
      <c r="O121" s="23" t="s">
        <v>119</v>
      </c>
      <c r="P121" s="23" t="s">
        <v>120</v>
      </c>
      <c r="Q121" s="102"/>
    </row>
    <row r="122" spans="2:44" x14ac:dyDescent="0.2">
      <c r="B122" s="14" t="s">
        <v>30</v>
      </c>
      <c r="C122" s="14"/>
      <c r="D122" s="14"/>
      <c r="E122" s="24">
        <f>E29*1000</f>
        <v>1134965.8500000001</v>
      </c>
      <c r="F122" s="24">
        <f>'Raw - 2024 PL'!N24</f>
        <v>1134965.8500000001</v>
      </c>
      <c r="G122" s="122"/>
      <c r="H122" s="24">
        <f>'Raw - 2025 PL'!N29</f>
        <v>1879383.13</v>
      </c>
      <c r="I122" s="24">
        <f>L122-H122</f>
        <v>0</v>
      </c>
      <c r="J122" s="122"/>
      <c r="K122" s="24">
        <f t="shared" ref="K122:K130" si="20">E122-F122</f>
        <v>0</v>
      </c>
      <c r="L122" s="24">
        <f>F29*1000</f>
        <v>1879383.13</v>
      </c>
      <c r="N122" s="24">
        <f>I29*1000</f>
        <v>1671021.2000000002</v>
      </c>
      <c r="O122" s="24">
        <f>'Raw - 2026 PL'!I27</f>
        <v>1671021.2</v>
      </c>
      <c r="P122" s="24">
        <f t="shared" ref="P122:P130" si="21">N122-O122</f>
        <v>0</v>
      </c>
      <c r="Q122" s="17" t="str">
        <f>IF(AND(ABS(K122)&lt;0.05,ABS(I122)&lt;0.05,ABS(P122)&lt;0.05),"TIES OUT","CHECK")</f>
        <v>TIES OUT</v>
      </c>
    </row>
    <row r="123" spans="2:44" x14ac:dyDescent="0.2">
      <c r="B123" s="14" t="s">
        <v>48</v>
      </c>
      <c r="C123" s="14"/>
      <c r="D123" s="14"/>
      <c r="E123" s="24">
        <f>E47*1000</f>
        <v>742715.82999999984</v>
      </c>
      <c r="F123" s="24">
        <f>'Raw - 2024 PL'!N36</f>
        <v>742715.83</v>
      </c>
      <c r="G123" s="122"/>
      <c r="H123" s="24">
        <f>'Raw - 2025 PL'!N46</f>
        <v>1066892.8500000001</v>
      </c>
      <c r="I123" s="24">
        <f>L123-H123</f>
        <v>0</v>
      </c>
      <c r="J123" s="122"/>
      <c r="K123" s="24">
        <f t="shared" si="20"/>
        <v>0</v>
      </c>
      <c r="L123" s="24">
        <f>F47*1000</f>
        <v>1066892.8499999999</v>
      </c>
      <c r="N123" s="24">
        <f>I47*1000</f>
        <v>880984.33</v>
      </c>
      <c r="O123" s="24">
        <f>'Raw - 2026 PL'!I44</f>
        <v>880984.33</v>
      </c>
      <c r="P123" s="24">
        <f t="shared" si="21"/>
        <v>0</v>
      </c>
      <c r="Q123" s="17" t="str">
        <f>IF(AND(ABS(K123)&lt;0.05,ABS(I123)&lt;0.05,ABS(P123)&lt;0.05),"TIES OUT","CHECK")</f>
        <v>TIES OUT</v>
      </c>
    </row>
    <row r="124" spans="2:44" x14ac:dyDescent="0.2">
      <c r="B124" s="14" t="s">
        <v>49</v>
      </c>
      <c r="C124" s="14"/>
      <c r="D124" s="14"/>
      <c r="E124" s="24">
        <f>E48*1000</f>
        <v>392250.02000000008</v>
      </c>
      <c r="F124" s="24">
        <f>'Raw - 2024 PL'!N37</f>
        <v>392250.02</v>
      </c>
      <c r="G124" s="122"/>
      <c r="H124" s="24">
        <f>'Raw - 2025 PL'!N47</f>
        <v>812490.28</v>
      </c>
      <c r="I124" s="24">
        <f>L124-H124</f>
        <v>0</v>
      </c>
      <c r="J124" s="122"/>
      <c r="K124" s="24">
        <f t="shared" si="20"/>
        <v>0</v>
      </c>
      <c r="L124" s="24">
        <f>F48*1000</f>
        <v>812490.28</v>
      </c>
      <c r="N124" s="24">
        <f>I48*1000</f>
        <v>790036.86999999988</v>
      </c>
      <c r="O124" s="24">
        <f>'Raw - 2026 PL'!I45</f>
        <v>790036.87</v>
      </c>
      <c r="P124" s="24">
        <f t="shared" si="21"/>
        <v>0</v>
      </c>
      <c r="Q124" s="17" t="str">
        <f>IF(AND(ABS(K124)&lt;0.05,ABS(I124)&lt;0.05,ABS(P124)&lt;0.05),"TIES OUT","CHECK")</f>
        <v>TIES OUT</v>
      </c>
    </row>
    <row r="125" spans="2:44" x14ac:dyDescent="0.2">
      <c r="B125" s="14" t="s">
        <v>102</v>
      </c>
      <c r="C125" s="14"/>
      <c r="D125" s="14"/>
      <c r="E125" s="24">
        <f>E101*1000</f>
        <v>232555.88999999998</v>
      </c>
      <c r="F125" s="24">
        <f>'Raw - 2024 PL'!N71</f>
        <v>232555.89</v>
      </c>
      <c r="G125" s="122"/>
      <c r="H125" s="24">
        <f>'Raw - 2025 PL'!N95</f>
        <v>660943.72</v>
      </c>
      <c r="I125" s="24">
        <f>L125-H125</f>
        <v>0</v>
      </c>
      <c r="J125" s="122"/>
      <c r="K125" s="24">
        <f t="shared" si="20"/>
        <v>0</v>
      </c>
      <c r="L125" s="24">
        <f>F101*1000</f>
        <v>660943.72</v>
      </c>
      <c r="N125" s="24">
        <f>I101*1000</f>
        <v>712066.21</v>
      </c>
      <c r="O125" s="24">
        <f>'Raw - 2026 PL'!I93</f>
        <v>712066.21</v>
      </c>
      <c r="P125" s="24">
        <f t="shared" si="21"/>
        <v>0</v>
      </c>
      <c r="Q125" s="17" t="str">
        <f>IF(AND(ABS(K125)&lt;0.05,ABS(I125)&lt;0.05,ABS(P125)&lt;0.05),"TIES OUT","CHECK")</f>
        <v>TIES OUT</v>
      </c>
    </row>
    <row r="126" spans="2:44" x14ac:dyDescent="0.2">
      <c r="B126" s="14" t="s">
        <v>103</v>
      </c>
      <c r="C126" s="14"/>
      <c r="D126" s="14"/>
      <c r="E126" s="24">
        <f>E102*1000</f>
        <v>159694.13000000003</v>
      </c>
      <c r="F126" s="24">
        <f>'Raw - 2024 PL'!N72</f>
        <v>159694.13</v>
      </c>
      <c r="G126" s="122"/>
      <c r="H126" s="24">
        <f>'Raw - 2025 PL'!N96</f>
        <v>151546.56</v>
      </c>
      <c r="I126" s="24">
        <f>L126-H126</f>
        <v>0</v>
      </c>
      <c r="J126" s="122"/>
      <c r="K126" s="24">
        <f t="shared" si="20"/>
        <v>0</v>
      </c>
      <c r="L126" s="24">
        <f>F102*1000</f>
        <v>151546.56</v>
      </c>
      <c r="N126" s="24">
        <f>I102*1000</f>
        <v>77970.66</v>
      </c>
      <c r="O126" s="24">
        <f>'Raw - 2026 PL'!I94</f>
        <v>77970.66</v>
      </c>
      <c r="P126" s="24">
        <f t="shared" si="21"/>
        <v>0</v>
      </c>
      <c r="Q126" s="17" t="str">
        <f>IF(AND(ABS(K126)&lt;0.05,ABS(I126)&lt;0.05,ABS(P126)&lt;0.05),"TIES OUT","CHECK")</f>
        <v>TIES OUT</v>
      </c>
    </row>
    <row r="127" spans="2:44" x14ac:dyDescent="0.2">
      <c r="B127" s="14" t="s">
        <v>107</v>
      </c>
      <c r="C127" s="14"/>
      <c r="D127" s="14"/>
      <c r="E127" s="24">
        <f>E106*1000</f>
        <v>27.36</v>
      </c>
      <c r="F127" s="24">
        <f>'Raw - 2024 PL'!N75</f>
        <v>27.36</v>
      </c>
      <c r="G127" s="122"/>
      <c r="H127" s="24">
        <f>'Raw - 2025 PL'!N99</f>
        <v>217.22</v>
      </c>
      <c r="I127" s="24">
        <f>L127-H127</f>
        <v>0</v>
      </c>
      <c r="J127" s="122"/>
      <c r="K127" s="24">
        <f t="shared" si="20"/>
        <v>0</v>
      </c>
      <c r="L127" s="24">
        <f>F106*1000</f>
        <v>217.22</v>
      </c>
      <c r="N127" s="24">
        <f>I106*1000</f>
        <v>155.86999999999998</v>
      </c>
      <c r="O127" s="24">
        <f>'Raw - 2026 PL'!I97</f>
        <v>155.87</v>
      </c>
      <c r="P127" s="24">
        <f t="shared" si="21"/>
        <v>0</v>
      </c>
      <c r="Q127" s="17" t="str">
        <f>IF(AND(ABS(K127)&lt;0.05,ABS(I127)&lt;0.05,ABS(P127)&lt;0.05),"TIES OUT","CHECK")</f>
        <v>TIES OUT</v>
      </c>
    </row>
    <row r="128" spans="2:44" x14ac:dyDescent="0.2">
      <c r="B128" s="14" t="s">
        <v>113</v>
      </c>
      <c r="C128" s="14"/>
      <c r="D128" s="14"/>
      <c r="E128" s="24">
        <f>E112*1000</f>
        <v>14249.64</v>
      </c>
      <c r="F128" s="24">
        <f>'Raw - 2024 PL'!N80</f>
        <v>14249.64</v>
      </c>
      <c r="G128" s="122"/>
      <c r="H128" s="24">
        <f>'Raw - 2025 PL'!N105</f>
        <v>20783.48</v>
      </c>
      <c r="I128" s="24">
        <f>L128-H128</f>
        <v>0</v>
      </c>
      <c r="J128" s="122"/>
      <c r="K128" s="24">
        <f t="shared" si="20"/>
        <v>0</v>
      </c>
      <c r="L128" s="24">
        <f>F112*1000</f>
        <v>20783.479999999996</v>
      </c>
      <c r="N128" s="24">
        <f>I112*1000</f>
        <v>1983.0299999999997</v>
      </c>
      <c r="O128" s="24">
        <f>'Raw - 2026 PL'!I101</f>
        <v>1983.03</v>
      </c>
      <c r="P128" s="24">
        <f t="shared" si="21"/>
        <v>0</v>
      </c>
      <c r="Q128" s="17" t="str">
        <f>IF(AND(ABS(K128)&lt;0.05,ABS(I128)&lt;0.05,ABS(P128)&lt;0.05),"TIES OUT","CHECK")</f>
        <v>TIES OUT</v>
      </c>
    </row>
    <row r="129" spans="2:17" x14ac:dyDescent="0.2">
      <c r="B129" s="14" t="s">
        <v>114</v>
      </c>
      <c r="C129" s="14"/>
      <c r="D129" s="14"/>
      <c r="E129" s="24">
        <f>E113*1000</f>
        <v>-14222.279999999999</v>
      </c>
      <c r="F129" s="24">
        <f>'Raw - 2024 PL'!N81</f>
        <v>-14222.28</v>
      </c>
      <c r="G129" s="122"/>
      <c r="H129" s="24">
        <f>'Raw - 2025 PL'!N106</f>
        <v>-20566.259999999998</v>
      </c>
      <c r="I129" s="24">
        <f>L129-H129</f>
        <v>0</v>
      </c>
      <c r="J129" s="122"/>
      <c r="K129" s="24">
        <f t="shared" si="20"/>
        <v>0</v>
      </c>
      <c r="L129" s="24">
        <f>F113*1000</f>
        <v>-20566.259999999998</v>
      </c>
      <c r="N129" s="24">
        <f>I113*1000</f>
        <v>-1827.16</v>
      </c>
      <c r="O129" s="24">
        <f>'Raw - 2026 PL'!I102</f>
        <v>-1827.16</v>
      </c>
      <c r="P129" s="24">
        <f t="shared" si="21"/>
        <v>0</v>
      </c>
      <c r="Q129" s="17" t="str">
        <f>IF(AND(ABS(K129)&lt;0.05,ABS(I129)&lt;0.05,ABS(P129)&lt;0.05),"TIES OUT","CHECK")</f>
        <v>TIES OUT</v>
      </c>
    </row>
    <row r="130" spans="2:17" x14ac:dyDescent="0.2">
      <c r="B130" s="14" t="s">
        <v>115</v>
      </c>
      <c r="C130" s="14"/>
      <c r="D130" s="14"/>
      <c r="E130" s="24">
        <f>E114*1000</f>
        <v>145471.85000000003</v>
      </c>
      <c r="F130" s="24">
        <f>'Raw - 2024 PL'!N82</f>
        <v>145471.85</v>
      </c>
      <c r="G130" s="122"/>
      <c r="H130" s="24">
        <f>'Raw - 2025 PL'!N107</f>
        <v>130980.3</v>
      </c>
      <c r="I130" s="24">
        <f>L130-H130</f>
        <v>0</v>
      </c>
      <c r="J130" s="122"/>
      <c r="K130" s="24">
        <f t="shared" si="20"/>
        <v>0</v>
      </c>
      <c r="L130" s="24">
        <f>F114*1000</f>
        <v>130980.29999999997</v>
      </c>
      <c r="N130" s="24">
        <f>I114*1000</f>
        <v>76143.5</v>
      </c>
      <c r="O130" s="24">
        <f>'Raw - 2026 PL'!I103</f>
        <v>76143.5</v>
      </c>
      <c r="P130" s="24">
        <f t="shared" si="21"/>
        <v>0</v>
      </c>
      <c r="Q130" s="17" t="str">
        <f>IF(AND(ABS(K130)&lt;0.05,ABS(I130)&lt;0.05,ABS(P130)&lt;0.05),"TIES OUT","CHECK")</f>
        <v>TIES OUT</v>
      </c>
    </row>
  </sheetData>
  <mergeCells count="1">
    <mergeCell ref="Q120:Q1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60" zoomScaleNormal="175" zoomScaleSheetLayoutView="160" workbookViewId="0"/>
  </sheetViews>
  <sheetFormatPr defaultRowHeight="12" x14ac:dyDescent="0.2"/>
  <cols>
    <col min="1" max="1" width="1.7109375" style="37" customWidth="1"/>
    <col min="2" max="2" width="23.140625" style="37" customWidth="1"/>
    <col min="3" max="5" width="7.7109375" style="37" customWidth="1"/>
    <col min="6" max="6" width="0.85546875" style="37" customWidth="1"/>
    <col min="7" max="7" width="6.7109375" style="37" customWidth="1"/>
    <col min="8" max="8" width="6.7109375" style="37" bestFit="1" customWidth="1"/>
    <col min="9" max="9" width="6.42578125" style="37" bestFit="1" customWidth="1"/>
    <col min="10" max="10" width="6.5703125" style="37" bestFit="1" customWidth="1"/>
    <col min="11" max="11" width="6.7109375" style="37" bestFit="1" customWidth="1"/>
    <col min="12" max="12" width="6.5703125" style="37" bestFit="1" customWidth="1"/>
    <col min="13" max="13" width="6.42578125" style="37" bestFit="1" customWidth="1"/>
    <col min="14" max="14" width="6.7109375" style="37" bestFit="1" customWidth="1"/>
    <col min="15" max="15" width="6.42578125" style="37" bestFit="1" customWidth="1"/>
    <col min="16" max="16" width="6.85546875" style="37" bestFit="1" customWidth="1"/>
    <col min="17" max="17" width="6.5703125" style="37" bestFit="1" customWidth="1"/>
    <col min="18" max="18" width="6" style="37" bestFit="1" customWidth="1"/>
    <col min="19" max="19" width="6.140625" style="37" customWidth="1"/>
    <col min="20" max="16384" width="9.140625" style="37"/>
  </cols>
  <sheetData>
    <row r="2" spans="2:21" ht="16.5" x14ac:dyDescent="0.25">
      <c r="B2" s="38" t="str">
        <f>+Cover!B24</f>
        <v>Keystone Bookkeepers</v>
      </c>
    </row>
    <row r="3" spans="2:21" x14ac:dyDescent="0.2">
      <c r="B3" s="39" t="s">
        <v>258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T3" s="37" t="s">
        <v>278</v>
      </c>
      <c r="U3" s="79">
        <v>0</v>
      </c>
    </row>
    <row r="5" spans="2:21" x14ac:dyDescent="0.2">
      <c r="B5" s="74"/>
      <c r="C5" s="75" t="s">
        <v>271</v>
      </c>
      <c r="D5" s="76"/>
      <c r="E5" s="77" t="s">
        <v>272</v>
      </c>
      <c r="F5" s="78"/>
      <c r="G5" s="75" t="s">
        <v>268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2:21" ht="12" customHeight="1" x14ac:dyDescent="0.2">
      <c r="B6" s="41" t="s">
        <v>266</v>
      </c>
      <c r="C6" s="42" t="s">
        <v>270</v>
      </c>
      <c r="D6" s="42" t="s">
        <v>269</v>
      </c>
      <c r="E6" s="42" t="s">
        <v>269</v>
      </c>
      <c r="F6" s="52"/>
      <c r="G6" s="45">
        <f>+'P&amp;L Overview'!AE5</f>
        <v>45870</v>
      </c>
      <c r="H6" s="45">
        <f t="shared" ref="H6:R6" si="0">EOMONTH(G6,0)+1</f>
        <v>45901</v>
      </c>
      <c r="I6" s="45">
        <f t="shared" si="0"/>
        <v>45931</v>
      </c>
      <c r="J6" s="45">
        <f t="shared" si="0"/>
        <v>45962</v>
      </c>
      <c r="K6" s="45">
        <f t="shared" si="0"/>
        <v>45992</v>
      </c>
      <c r="L6" s="45">
        <f t="shared" si="0"/>
        <v>46023</v>
      </c>
      <c r="M6" s="45">
        <f t="shared" si="0"/>
        <v>46054</v>
      </c>
      <c r="N6" s="45">
        <f t="shared" si="0"/>
        <v>46082</v>
      </c>
      <c r="O6" s="45">
        <f t="shared" si="0"/>
        <v>46113</v>
      </c>
      <c r="P6" s="45">
        <f t="shared" si="0"/>
        <v>46143</v>
      </c>
      <c r="Q6" s="45">
        <f t="shared" si="0"/>
        <v>46174</v>
      </c>
      <c r="R6" s="45">
        <f t="shared" si="0"/>
        <v>46204</v>
      </c>
    </row>
    <row r="7" spans="2:21" x14ac:dyDescent="0.2">
      <c r="B7" s="43" t="s">
        <v>267</v>
      </c>
      <c r="C7" s="44"/>
      <c r="D7" s="44"/>
      <c r="E7" s="44"/>
      <c r="F7" s="6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21" x14ac:dyDescent="0.2">
      <c r="B8" s="57" t="str">
        <f>+'P&amp;L Overview'!B7</f>
        <v>STR Subscription</v>
      </c>
      <c r="C8" s="50">
        <f>+'P&amp;L Overview'!I7</f>
        <v>1098.5075000000002</v>
      </c>
      <c r="D8" s="50">
        <f>+'P&amp;L Overview'!J7</f>
        <v>1881.6971000000001</v>
      </c>
      <c r="E8" s="86">
        <f>R8*12</f>
        <v>2410.0500000000002</v>
      </c>
      <c r="F8" s="49"/>
      <c r="G8" s="48">
        <f>SUMIFS('Combined P&amp;L'!AG:AG,'Combined P&amp;L'!$C:$C,'Revenue Analysis'!$B8)</f>
        <v>130.08525</v>
      </c>
      <c r="H8" s="48">
        <f>SUMIFS('Combined P&amp;L'!AH:AH,'Combined P&amp;L'!$C:$C,'Revenue Analysis'!$B8)</f>
        <v>133.59049999999999</v>
      </c>
      <c r="I8" s="48">
        <f>SUMIFS('Combined P&amp;L'!AI:AI,'Combined P&amp;L'!$C:$C,'Revenue Analysis'!$B8)</f>
        <v>139.60900000000001</v>
      </c>
      <c r="J8" s="48">
        <f>SUMIFS('Combined P&amp;L'!AJ:AJ,'Combined P&amp;L'!$C:$C,'Revenue Analysis'!$B8)</f>
        <v>145.28075000000001</v>
      </c>
      <c r="K8" s="48">
        <f>SUMIFS('Combined P&amp;L'!AK:AK,'Combined P&amp;L'!$C:$C,'Revenue Analysis'!$B8)</f>
        <v>150.39824999999999</v>
      </c>
      <c r="L8" s="48">
        <f>SUMIFS('Combined P&amp;L'!AL:AL,'Combined P&amp;L'!$C:$C,'Revenue Analysis'!$B8)</f>
        <v>156.53879999999998</v>
      </c>
      <c r="M8" s="48">
        <f>SUMIFS('Combined P&amp;L'!AM:AM,'Combined P&amp;L'!$C:$C,'Revenue Analysis'!$B8)</f>
        <v>164.9034</v>
      </c>
      <c r="N8" s="48">
        <f>SUMIFS('Combined P&amp;L'!AN:AN,'Combined P&amp;L'!$C:$C,'Revenue Analysis'!$B8)</f>
        <v>170.34424999999999</v>
      </c>
      <c r="O8" s="48">
        <f>SUMIFS('Combined P&amp;L'!AO:AO,'Combined P&amp;L'!$C:$C,'Revenue Analysis'!$B8)</f>
        <v>183.66200000000001</v>
      </c>
      <c r="P8" s="48">
        <f>SUMIFS('Combined P&amp;L'!AP:AP,'Combined P&amp;L'!$C:$C,'Revenue Analysis'!$B8)</f>
        <v>190.78440000000001</v>
      </c>
      <c r="Q8" s="48">
        <f>SUMIFS('Combined P&amp;L'!AQ:AQ,'Combined P&amp;L'!$C:$C,'Revenue Analysis'!$B8)</f>
        <v>194.40649999999999</v>
      </c>
      <c r="R8" s="48">
        <f>SUMIFS('Combined P&amp;L'!AR:AR,'Combined P&amp;L'!$C:$C,'Revenue Analysis'!$B8)</f>
        <v>200.83750000000001</v>
      </c>
    </row>
    <row r="9" spans="2:21" x14ac:dyDescent="0.2">
      <c r="B9" s="57" t="str">
        <f>+'P&amp;L Overview'!B8</f>
        <v>SMB Subscription</v>
      </c>
      <c r="C9" s="65">
        <f>+'P&amp;L Overview'!I8</f>
        <v>174.62999999999997</v>
      </c>
      <c r="D9" s="65">
        <f>+'P&amp;L Overview'!J8</f>
        <v>135.298</v>
      </c>
      <c r="E9" s="87">
        <f>R9*12</f>
        <v>119.706</v>
      </c>
      <c r="F9" s="24"/>
      <c r="G9" s="54">
        <f>SUMIFS('Combined P&amp;L'!AG:AG,'Combined P&amp;L'!$C:$C,'Revenue Analysis'!$B9)</f>
        <v>11.8575</v>
      </c>
      <c r="H9" s="54">
        <f>SUMIFS('Combined P&amp;L'!AH:AH,'Combined P&amp;L'!$C:$C,'Revenue Analysis'!$B9)</f>
        <v>12.3025</v>
      </c>
      <c r="I9" s="54">
        <f>SUMIFS('Combined P&amp;L'!AI:AI,'Combined P&amp;L'!$C:$C,'Revenue Analysis'!$B9)</f>
        <v>11.692500000000001</v>
      </c>
      <c r="J9" s="54">
        <f>SUMIFS('Combined P&amp;L'!AJ:AJ,'Combined P&amp;L'!$C:$C,'Revenue Analysis'!$B9)</f>
        <v>11.717499999999999</v>
      </c>
      <c r="K9" s="54">
        <f>SUMIFS('Combined P&amp;L'!AK:AK,'Combined P&amp;L'!$C:$C,'Revenue Analysis'!$B9)</f>
        <v>11.7475</v>
      </c>
      <c r="L9" s="54">
        <f>SUMIFS('Combined P&amp;L'!AL:AL,'Combined P&amp;L'!$C:$C,'Revenue Analysis'!$B9)</f>
        <v>11.2805</v>
      </c>
      <c r="M9" s="54">
        <f>SUMIFS('Combined P&amp;L'!AM:AM,'Combined P&amp;L'!$C:$C,'Revenue Analysis'!$B9)</f>
        <v>10.9305</v>
      </c>
      <c r="N9" s="54">
        <f>SUMIFS('Combined P&amp;L'!AN:AN,'Combined P&amp;L'!$C:$C,'Revenue Analysis'!$B9)</f>
        <v>10.625500000000001</v>
      </c>
      <c r="O9" s="54">
        <f>SUMIFS('Combined P&amp;L'!AO:AO,'Combined P&amp;L'!$C:$C,'Revenue Analysis'!$B9)</f>
        <v>10.3155</v>
      </c>
      <c r="P9" s="54">
        <f>SUMIFS('Combined P&amp;L'!AP:AP,'Combined P&amp;L'!$C:$C,'Revenue Analysis'!$B9)</f>
        <v>10.3155</v>
      </c>
      <c r="Q9" s="54">
        <f>SUMIFS('Combined P&amp;L'!AQ:AQ,'Combined P&amp;L'!$C:$C,'Revenue Analysis'!$B9)</f>
        <v>9.9755000000000003</v>
      </c>
      <c r="R9" s="54">
        <f>SUMIFS('Combined P&amp;L'!AR:AR,'Combined P&amp;L'!$C:$C,'Revenue Analysis'!$B9)</f>
        <v>9.9755000000000003</v>
      </c>
    </row>
    <row r="10" spans="2:21" x14ac:dyDescent="0.2">
      <c r="B10" s="57" t="str">
        <f>+'P&amp;L Overview'!B9</f>
        <v>Occupancy Taxes</v>
      </c>
      <c r="C10" s="65">
        <f>+'P&amp;L Overview'!I9</f>
        <v>18.727000000000004</v>
      </c>
      <c r="D10" s="65">
        <f>+'P&amp;L Overview'!J9</f>
        <v>112.49548999999999</v>
      </c>
      <c r="E10" s="87">
        <f>R10*12</f>
        <v>192.82980000000001</v>
      </c>
      <c r="F10" s="24"/>
      <c r="G10" s="54">
        <f>SUMIFS('Combined P&amp;L'!AG:AG,'Combined P&amp;L'!$C:$C,'Revenue Analysis'!$B10)</f>
        <v>4.7300000000000004</v>
      </c>
      <c r="H10" s="54">
        <f>SUMIFS('Combined P&amp;L'!AH:AH,'Combined P&amp;L'!$C:$C,'Revenue Analysis'!$B10)</f>
        <v>4.82</v>
      </c>
      <c r="I10" s="54">
        <f>SUMIFS('Combined P&amp;L'!AI:AI,'Combined P&amp;L'!$C:$C,'Revenue Analysis'!$B10)</f>
        <v>5.37</v>
      </c>
      <c r="J10" s="54">
        <f>SUMIFS('Combined P&amp;L'!AJ:AJ,'Combined P&amp;L'!$C:$C,'Revenue Analysis'!$B10)</f>
        <v>8.0500000000000007</v>
      </c>
      <c r="K10" s="54">
        <f>SUMIFS('Combined P&amp;L'!AK:AK,'Combined P&amp;L'!$C:$C,'Revenue Analysis'!$B10)</f>
        <v>8.8849999999999998</v>
      </c>
      <c r="L10" s="54">
        <f>SUMIFS('Combined P&amp;L'!AL:AL,'Combined P&amp;L'!$C:$C,'Revenue Analysis'!$B10)</f>
        <v>10.909520000000001</v>
      </c>
      <c r="M10" s="54">
        <f>SUMIFS('Combined P&amp;L'!AM:AM,'Combined P&amp;L'!$C:$C,'Revenue Analysis'!$B10)</f>
        <v>10.33497</v>
      </c>
      <c r="N10" s="54">
        <f>SUMIFS('Combined P&amp;L'!AN:AN,'Combined P&amp;L'!$C:$C,'Revenue Analysis'!$B10)</f>
        <v>11.175000000000001</v>
      </c>
      <c r="O10" s="54">
        <f>SUMIFS('Combined P&amp;L'!AO:AO,'Combined P&amp;L'!$C:$C,'Revenue Analysis'!$B10)</f>
        <v>11.953110000000001</v>
      </c>
      <c r="P10" s="54">
        <f>SUMIFS('Combined P&amp;L'!AP:AP,'Combined P&amp;L'!$C:$C,'Revenue Analysis'!$B10)</f>
        <v>15.040709999999999</v>
      </c>
      <c r="Q10" s="54">
        <f>SUMIFS('Combined P&amp;L'!AQ:AQ,'Combined P&amp;L'!$C:$C,'Revenue Analysis'!$B10)</f>
        <v>16.168680000000002</v>
      </c>
      <c r="R10" s="54">
        <f>SUMIFS('Combined P&amp;L'!AR:AR,'Combined P&amp;L'!$C:$C,'Revenue Analysis'!$B10)</f>
        <v>16.06915</v>
      </c>
    </row>
    <row r="11" spans="2:21" x14ac:dyDescent="0.2">
      <c r="B11" s="57" t="str">
        <f>+'P&amp;L Overview'!B10</f>
        <v>Onboarding</v>
      </c>
      <c r="C11" s="65">
        <f>+'P&amp;L Overview'!I10</f>
        <v>55.660549999999994</v>
      </c>
      <c r="D11" s="65">
        <f>+'P&amp;L Overview'!J10</f>
        <v>91.655749999999998</v>
      </c>
      <c r="E11" s="87">
        <v>0</v>
      </c>
      <c r="F11" s="71"/>
      <c r="G11" s="54">
        <f>SUMIFS('Combined P&amp;L'!AG:AG,'Combined P&amp;L'!$C:$C,'Revenue Analysis'!$B11)</f>
        <v>3.9649999999999999</v>
      </c>
      <c r="H11" s="54">
        <f>SUMIFS('Combined P&amp;L'!AH:AH,'Combined P&amp;L'!$C:$C,'Revenue Analysis'!$B11)</f>
        <v>3.92</v>
      </c>
      <c r="I11" s="54">
        <f>SUMIFS('Combined P&amp;L'!AI:AI,'Combined P&amp;L'!$C:$C,'Revenue Analysis'!$B11)</f>
        <v>9.1364999999999998</v>
      </c>
      <c r="J11" s="54">
        <f>SUMIFS('Combined P&amp;L'!AJ:AJ,'Combined P&amp;L'!$C:$C,'Revenue Analysis'!$B11)</f>
        <v>5.2537500000000001</v>
      </c>
      <c r="K11" s="54">
        <f>SUMIFS('Combined P&amp;L'!AK:AK,'Combined P&amp;L'!$C:$C,'Revenue Analysis'!$B11)</f>
        <v>9.99</v>
      </c>
      <c r="L11" s="54">
        <f>SUMIFS('Combined P&amp;L'!AL:AL,'Combined P&amp;L'!$C:$C,'Revenue Analysis'!$B11)</f>
        <v>10.2105</v>
      </c>
      <c r="M11" s="54">
        <f>SUMIFS('Combined P&amp;L'!AM:AM,'Combined P&amp;L'!$C:$C,'Revenue Analysis'!$B11)</f>
        <v>6.6749999999999998</v>
      </c>
      <c r="N11" s="54">
        <f>SUMIFS('Combined P&amp;L'!AN:AN,'Combined P&amp;L'!$C:$C,'Revenue Analysis'!$B11)</f>
        <v>9.0990000000000002</v>
      </c>
      <c r="O11" s="54">
        <f>SUMIFS('Combined P&amp;L'!AO:AO,'Combined P&amp;L'!$C:$C,'Revenue Analysis'!$B11)</f>
        <v>8.9544999999999995</v>
      </c>
      <c r="P11" s="54">
        <f>SUMIFS('Combined P&amp;L'!AP:AP,'Combined P&amp;L'!$C:$C,'Revenue Analysis'!$B11)</f>
        <v>12.606</v>
      </c>
      <c r="Q11" s="54">
        <f>SUMIFS('Combined P&amp;L'!AQ:AQ,'Combined P&amp;L'!$C:$C,'Revenue Analysis'!$B11)</f>
        <v>5.4115000000000002</v>
      </c>
      <c r="R11" s="54">
        <f>SUMIFS('Combined P&amp;L'!AR:AR,'Combined P&amp;L'!$C:$C,'Revenue Analysis'!$B11)</f>
        <v>6.0984999999999996</v>
      </c>
    </row>
    <row r="12" spans="2:21" x14ac:dyDescent="0.2">
      <c r="B12" s="57" t="str">
        <f>+'P&amp;L Overview'!B11</f>
        <v>STR Bill Pay</v>
      </c>
      <c r="C12" s="65">
        <f>+'P&amp;L Overview'!I11</f>
        <v>11.631500000000001</v>
      </c>
      <c r="D12" s="65">
        <f>+'P&amp;L Overview'!J11</f>
        <v>63.209999999999994</v>
      </c>
      <c r="E12" s="87">
        <f>R12*12</f>
        <v>83.460000000000008</v>
      </c>
      <c r="F12" s="24"/>
      <c r="G12" s="54">
        <f>SUMIFS('Combined P&amp;L'!AG:AG,'Combined P&amp;L'!$C:$C,'Revenue Analysis'!$B12)</f>
        <v>3.9049999999999998</v>
      </c>
      <c r="H12" s="54">
        <f>SUMIFS('Combined P&amp;L'!AH:AH,'Combined P&amp;L'!$C:$C,'Revenue Analysis'!$B12)</f>
        <v>3.78</v>
      </c>
      <c r="I12" s="54">
        <f>SUMIFS('Combined P&amp;L'!AI:AI,'Combined P&amp;L'!$C:$C,'Revenue Analysis'!$B12)</f>
        <v>3.7949999999999999</v>
      </c>
      <c r="J12" s="54">
        <f>SUMIFS('Combined P&amp;L'!AJ:AJ,'Combined P&amp;L'!$C:$C,'Revenue Analysis'!$B12)</f>
        <v>4.33</v>
      </c>
      <c r="K12" s="54">
        <f>SUMIFS('Combined P&amp;L'!AK:AK,'Combined P&amp;L'!$C:$C,'Revenue Analysis'!$B12)</f>
        <v>5.3049999999999997</v>
      </c>
      <c r="L12" s="54">
        <f>SUMIFS('Combined P&amp;L'!AL:AL,'Combined P&amp;L'!$C:$C,'Revenue Analysis'!$B12)</f>
        <v>6.3</v>
      </c>
      <c r="M12" s="54">
        <f>SUMIFS('Combined P&amp;L'!AM:AM,'Combined P&amp;L'!$C:$C,'Revenue Analysis'!$B12)</f>
        <v>6.39</v>
      </c>
      <c r="N12" s="54">
        <f>SUMIFS('Combined P&amp;L'!AN:AN,'Combined P&amp;L'!$C:$C,'Revenue Analysis'!$B12)</f>
        <v>6.4249999999999998</v>
      </c>
      <c r="O12" s="54">
        <f>SUMIFS('Combined P&amp;L'!AO:AO,'Combined P&amp;L'!$C:$C,'Revenue Analysis'!$B12)</f>
        <v>6.08</v>
      </c>
      <c r="P12" s="54">
        <f>SUMIFS('Combined P&amp;L'!AP:AP,'Combined P&amp;L'!$C:$C,'Revenue Analysis'!$B12)</f>
        <v>6.3250000000000002</v>
      </c>
      <c r="Q12" s="54">
        <f>SUMIFS('Combined P&amp;L'!AQ:AQ,'Combined P&amp;L'!$C:$C,'Revenue Analysis'!$B12)</f>
        <v>6.6550000000000002</v>
      </c>
      <c r="R12" s="54">
        <f>SUMIFS('Combined P&amp;L'!AR:AR,'Combined P&amp;L'!$C:$C,'Revenue Analysis'!$B12)</f>
        <v>6.9550000000000001</v>
      </c>
    </row>
    <row r="13" spans="2:21" x14ac:dyDescent="0.2">
      <c r="B13" s="57" t="str">
        <f>+'P&amp;L Overview'!B12</f>
        <v>Topkey Subscription</v>
      </c>
      <c r="C13" s="65">
        <f>+'P&amp;L Overview'!I12</f>
        <v>0</v>
      </c>
      <c r="D13" s="65">
        <f>+'P&amp;L Overview'!J12</f>
        <v>47.129999999999995</v>
      </c>
      <c r="E13" s="87">
        <f>R13*12</f>
        <v>94.835999999999999</v>
      </c>
      <c r="F13" s="24"/>
      <c r="G13" s="54">
        <f>SUMIFS('Combined P&amp;L'!AG:AG,'Combined P&amp;L'!$C:$C,'Revenue Analysis'!$B13)</f>
        <v>0</v>
      </c>
      <c r="H13" s="54">
        <f>SUMIFS('Combined P&amp;L'!AH:AH,'Combined P&amp;L'!$C:$C,'Revenue Analysis'!$B13)</f>
        <v>0.52</v>
      </c>
      <c r="I13" s="54">
        <f>SUMIFS('Combined P&amp;L'!AI:AI,'Combined P&amp;L'!$C:$C,'Revenue Analysis'!$B13)</f>
        <v>2.3570000000000002</v>
      </c>
      <c r="J13" s="54">
        <f>SUMIFS('Combined P&amp;L'!AJ:AJ,'Combined P&amp;L'!$C:$C,'Revenue Analysis'!$B13)</f>
        <v>2.8109999999999999</v>
      </c>
      <c r="K13" s="54">
        <f>SUMIFS('Combined P&amp;L'!AK:AK,'Combined P&amp;L'!$C:$C,'Revenue Analysis'!$B13)</f>
        <v>4.2590000000000003</v>
      </c>
      <c r="L13" s="54">
        <f>SUMIFS('Combined P&amp;L'!AL:AL,'Combined P&amp;L'!$C:$C,'Revenue Analysis'!$B13)</f>
        <v>5.2539999999999996</v>
      </c>
      <c r="M13" s="54">
        <f>SUMIFS('Combined P&amp;L'!AM:AM,'Combined P&amp;L'!$C:$C,'Revenue Analysis'!$B13)</f>
        <v>5.6520000000000001</v>
      </c>
      <c r="N13" s="54">
        <f>SUMIFS('Combined P&amp;L'!AN:AN,'Combined P&amp;L'!$C:$C,'Revenue Analysis'!$B13)</f>
        <v>5.3239999999999998</v>
      </c>
      <c r="O13" s="54">
        <f>SUMIFS('Combined P&amp;L'!AO:AO,'Combined P&amp;L'!$C:$C,'Revenue Analysis'!$B13)</f>
        <v>6.3209999999999997</v>
      </c>
      <c r="P13" s="54">
        <f>SUMIFS('Combined P&amp;L'!AP:AP,'Combined P&amp;L'!$C:$C,'Revenue Analysis'!$B13)</f>
        <v>6.9589999999999996</v>
      </c>
      <c r="Q13" s="54">
        <f>SUMIFS('Combined P&amp;L'!AQ:AQ,'Combined P&amp;L'!$C:$C,'Revenue Analysis'!$B13)</f>
        <v>7.673</v>
      </c>
      <c r="R13" s="54">
        <f>SUMIFS('Combined P&amp;L'!AR:AR,'Combined P&amp;L'!$C:$C,'Revenue Analysis'!$B13)</f>
        <v>7.9029999999999996</v>
      </c>
    </row>
    <row r="14" spans="2:21" x14ac:dyDescent="0.2">
      <c r="B14" s="57" t="str">
        <f>+'P&amp;L Overview'!B13</f>
        <v>Controller Services</v>
      </c>
      <c r="C14" s="65">
        <f>+'P&amp;L Overview'!I13</f>
        <v>41.25</v>
      </c>
      <c r="D14" s="65">
        <f>+'P&amp;L Overview'!J13</f>
        <v>39.65</v>
      </c>
      <c r="E14" s="87">
        <f>R14*12</f>
        <v>42</v>
      </c>
      <c r="F14" s="24"/>
      <c r="G14" s="54">
        <f>SUMIFS('Combined P&amp;L'!AG:AG,'Combined P&amp;L'!$C:$C,'Revenue Analysis'!$B14)</f>
        <v>2.95</v>
      </c>
      <c r="H14" s="54">
        <f>SUMIFS('Combined P&amp;L'!AH:AH,'Combined P&amp;L'!$C:$C,'Revenue Analysis'!$B14)</f>
        <v>3.0249999999999999</v>
      </c>
      <c r="I14" s="54">
        <f>SUMIFS('Combined P&amp;L'!AI:AI,'Combined P&amp;L'!$C:$C,'Revenue Analysis'!$B14)</f>
        <v>3.0249999999999999</v>
      </c>
      <c r="J14" s="54">
        <f>SUMIFS('Combined P&amp;L'!AJ:AJ,'Combined P&amp;L'!$C:$C,'Revenue Analysis'!$B14)</f>
        <v>2.95</v>
      </c>
      <c r="K14" s="54">
        <f>SUMIFS('Combined P&amp;L'!AK:AK,'Combined P&amp;L'!$C:$C,'Revenue Analysis'!$B14)</f>
        <v>2.95</v>
      </c>
      <c r="L14" s="54">
        <f>SUMIFS('Combined P&amp;L'!AL:AL,'Combined P&amp;L'!$C:$C,'Revenue Analysis'!$B14)</f>
        <v>2.75</v>
      </c>
      <c r="M14" s="54">
        <f>SUMIFS('Combined P&amp;L'!AM:AM,'Combined P&amp;L'!$C:$C,'Revenue Analysis'!$B14)</f>
        <v>3.5</v>
      </c>
      <c r="N14" s="54">
        <f>SUMIFS('Combined P&amp;L'!AN:AN,'Combined P&amp;L'!$C:$C,'Revenue Analysis'!$B14)</f>
        <v>2.75</v>
      </c>
      <c r="O14" s="54">
        <f>SUMIFS('Combined P&amp;L'!AO:AO,'Combined P&amp;L'!$C:$C,'Revenue Analysis'!$B14)</f>
        <v>4.75</v>
      </c>
      <c r="P14" s="54">
        <f>SUMIFS('Combined P&amp;L'!AP:AP,'Combined P&amp;L'!$C:$C,'Revenue Analysis'!$B14)</f>
        <v>3.5</v>
      </c>
      <c r="Q14" s="54">
        <f>SUMIFS('Combined P&amp;L'!AQ:AQ,'Combined P&amp;L'!$C:$C,'Revenue Analysis'!$B14)</f>
        <v>3.5</v>
      </c>
      <c r="R14" s="54">
        <f>SUMIFS('Combined P&amp;L'!AR:AR,'Combined P&amp;L'!$C:$C,'Revenue Analysis'!$B14)</f>
        <v>3.5</v>
      </c>
    </row>
    <row r="15" spans="2:21" x14ac:dyDescent="0.2">
      <c r="B15" s="57" t="str">
        <f>+'P&amp;L Overview'!B14</f>
        <v>Historical Cleanup</v>
      </c>
      <c r="C15" s="65">
        <f>+'P&amp;L Overview'!I14</f>
        <v>14.305250000000001</v>
      </c>
      <c r="D15" s="65">
        <f>+'P&amp;L Overview'!J14</f>
        <v>0.59499999999999997</v>
      </c>
      <c r="E15" s="87">
        <f>R15*12</f>
        <v>0</v>
      </c>
      <c r="F15" s="24"/>
      <c r="G15" s="54">
        <f>SUMIFS('Combined P&amp;L'!AG:AG,'Combined P&amp;L'!$C:$C,'Revenue Analysis'!$B15)</f>
        <v>0</v>
      </c>
      <c r="H15" s="54">
        <f>SUMIFS('Combined P&amp;L'!AH:AH,'Combined P&amp;L'!$C:$C,'Revenue Analysis'!$B15)</f>
        <v>0</v>
      </c>
      <c r="I15" s="54">
        <f>SUMIFS('Combined P&amp;L'!AI:AI,'Combined P&amp;L'!$C:$C,'Revenue Analysis'!$B15)</f>
        <v>0.59499999999999997</v>
      </c>
      <c r="J15" s="54">
        <f>SUMIFS('Combined P&amp;L'!AJ:AJ,'Combined P&amp;L'!$C:$C,'Revenue Analysis'!$B15)</f>
        <v>0</v>
      </c>
      <c r="K15" s="54">
        <f>SUMIFS('Combined P&amp;L'!AK:AK,'Combined P&amp;L'!$C:$C,'Revenue Analysis'!$B15)</f>
        <v>0</v>
      </c>
      <c r="L15" s="54">
        <f>SUMIFS('Combined P&amp;L'!AL:AL,'Combined P&amp;L'!$C:$C,'Revenue Analysis'!$B15)</f>
        <v>0</v>
      </c>
      <c r="M15" s="54">
        <f>SUMIFS('Combined P&amp;L'!AM:AM,'Combined P&amp;L'!$C:$C,'Revenue Analysis'!$B15)</f>
        <v>0</v>
      </c>
      <c r="N15" s="54">
        <f>SUMIFS('Combined P&amp;L'!AN:AN,'Combined P&amp;L'!$C:$C,'Revenue Analysis'!$B15)</f>
        <v>0</v>
      </c>
      <c r="O15" s="54">
        <f>SUMIFS('Combined P&amp;L'!AO:AO,'Combined P&amp;L'!$C:$C,'Revenue Analysis'!$B15)</f>
        <v>0</v>
      </c>
      <c r="P15" s="54">
        <f>SUMIFS('Combined P&amp;L'!AP:AP,'Combined P&amp;L'!$C:$C,'Revenue Analysis'!$B15)</f>
        <v>0</v>
      </c>
      <c r="Q15" s="54">
        <f>SUMIFS('Combined P&amp;L'!AQ:AQ,'Combined P&amp;L'!$C:$C,'Revenue Analysis'!$B15)</f>
        <v>0</v>
      </c>
      <c r="R15" s="54">
        <f>SUMIFS('Combined P&amp;L'!AR:AR,'Combined P&amp;L'!$C:$C,'Revenue Analysis'!$B15)</f>
        <v>0</v>
      </c>
    </row>
    <row r="16" spans="2:21" x14ac:dyDescent="0.2">
      <c r="B16" s="61" t="s">
        <v>261</v>
      </c>
      <c r="C16" s="62">
        <f t="shared" ref="C16:D16" si="1">SUM(C8:C15)</f>
        <v>1414.7118</v>
      </c>
      <c r="D16" s="62">
        <f t="shared" si="1"/>
        <v>2371.7313399999998</v>
      </c>
      <c r="E16" s="88">
        <f>SUM(E8:E15)</f>
        <v>2942.8818000000001</v>
      </c>
      <c r="F16" s="72"/>
      <c r="G16" s="64">
        <f t="shared" ref="G16:R16" si="2">SUM(G8:G15)</f>
        <v>157.49274999999997</v>
      </c>
      <c r="H16" s="62">
        <f t="shared" si="2"/>
        <v>161.958</v>
      </c>
      <c r="I16" s="62">
        <f t="shared" si="2"/>
        <v>175.58</v>
      </c>
      <c r="J16" s="62">
        <f t="shared" si="2"/>
        <v>180.39300000000003</v>
      </c>
      <c r="K16" s="62">
        <f t="shared" si="2"/>
        <v>193.53474999999997</v>
      </c>
      <c r="L16" s="62">
        <f t="shared" si="2"/>
        <v>203.24331999999998</v>
      </c>
      <c r="M16" s="62">
        <f t="shared" si="2"/>
        <v>208.38586999999998</v>
      </c>
      <c r="N16" s="62">
        <f t="shared" si="2"/>
        <v>215.74275</v>
      </c>
      <c r="O16" s="62">
        <f t="shared" si="2"/>
        <v>232.03611000000004</v>
      </c>
      <c r="P16" s="62">
        <f t="shared" si="2"/>
        <v>245.53060999999997</v>
      </c>
      <c r="Q16" s="62">
        <f t="shared" si="2"/>
        <v>243.79017999999999</v>
      </c>
      <c r="R16" s="63">
        <f t="shared" si="2"/>
        <v>251.33865000000003</v>
      </c>
    </row>
    <row r="17" spans="2:18" ht="3.95" customHeight="1" x14ac:dyDescent="0.2">
      <c r="E17" s="89"/>
    </row>
    <row r="18" spans="2:18" x14ac:dyDescent="0.2">
      <c r="B18" s="57" t="str">
        <f>+'P&amp;L Overview'!B17</f>
        <v>1099 Filing</v>
      </c>
      <c r="C18" s="24">
        <f>+'P&amp;L Overview'!I17</f>
        <v>23.52</v>
      </c>
      <c r="D18" s="24">
        <f>+'P&amp;L Overview'!J17</f>
        <v>38.761499999999998</v>
      </c>
      <c r="E18" s="87">
        <v>0</v>
      </c>
      <c r="F18" s="71"/>
      <c r="G18" s="54">
        <f>SUMIFS('Combined P&amp;L'!AG:AG,'Combined P&amp;L'!$C:$C,'Revenue Analysis'!$B18)</f>
        <v>0.03</v>
      </c>
      <c r="H18" s="54">
        <f>SUMIFS('Combined P&amp;L'!AH:AH,'Combined P&amp;L'!$C:$C,'Revenue Analysis'!$B18)</f>
        <v>0.03</v>
      </c>
      <c r="I18" s="54">
        <f>SUMIFS('Combined P&amp;L'!AI:AI,'Combined P&amp;L'!$C:$C,'Revenue Analysis'!$B18)</f>
        <v>0</v>
      </c>
      <c r="J18" s="54">
        <f>SUMIFS('Combined P&amp;L'!AJ:AJ,'Combined P&amp;L'!$C:$C,'Revenue Analysis'!$B18)</f>
        <v>0</v>
      </c>
      <c r="K18" s="54">
        <f>SUMIFS('Combined P&amp;L'!AK:AK,'Combined P&amp;L'!$C:$C,'Revenue Analysis'!$B18)</f>
        <v>0</v>
      </c>
      <c r="L18" s="54">
        <f>SUMIFS('Combined P&amp;L'!AL:AL,'Combined P&amp;L'!$C:$C,'Revenue Analysis'!$B18)</f>
        <v>6.1050000000000004</v>
      </c>
      <c r="M18" s="54">
        <f>SUMIFS('Combined P&amp;L'!AM:AM,'Combined P&amp;L'!$C:$C,'Revenue Analysis'!$B18)</f>
        <v>31.156500000000001</v>
      </c>
      <c r="N18" s="54">
        <f>SUMIFS('Combined P&amp;L'!AN:AN,'Combined P&amp;L'!$C:$C,'Revenue Analysis'!$B18)</f>
        <v>1.26</v>
      </c>
      <c r="O18" s="54">
        <f>SUMIFS('Combined P&amp;L'!AO:AO,'Combined P&amp;L'!$C:$C,'Revenue Analysis'!$B18)</f>
        <v>0.18</v>
      </c>
      <c r="P18" s="54">
        <f>SUMIFS('Combined P&amp;L'!AP:AP,'Combined P&amp;L'!$C:$C,'Revenue Analysis'!$B18)</f>
        <v>0</v>
      </c>
      <c r="Q18" s="54">
        <f>SUMIFS('Combined P&amp;L'!AQ:AQ,'Combined P&amp;L'!$C:$C,'Revenue Analysis'!$B18)</f>
        <v>0</v>
      </c>
      <c r="R18" s="54">
        <f>SUMIFS('Combined P&amp;L'!AR:AR,'Combined P&amp;L'!$C:$C,'Revenue Analysis'!$B18)</f>
        <v>0</v>
      </c>
    </row>
    <row r="19" spans="2:18" x14ac:dyDescent="0.2">
      <c r="B19" s="57" t="str">
        <f>+'P&amp;L Overview'!B18</f>
        <v>Income Tax</v>
      </c>
      <c r="C19" s="24">
        <f>+'P&amp;L Overview'!I18</f>
        <v>0</v>
      </c>
      <c r="D19" s="24">
        <f>+'P&amp;L Overview'!J18</f>
        <v>27.315000000000001</v>
      </c>
      <c r="E19" s="87">
        <v>0</v>
      </c>
      <c r="F19" s="71"/>
      <c r="G19" s="54">
        <f>SUMIFS('Combined P&amp;L'!AG:AG,'Combined P&amp;L'!$C:$C,'Revenue Analysis'!$B19)</f>
        <v>0</v>
      </c>
      <c r="H19" s="54">
        <f>SUMIFS('Combined P&amp;L'!AH:AH,'Combined P&amp;L'!$C:$C,'Revenue Analysis'!$B19)</f>
        <v>0.875</v>
      </c>
      <c r="I19" s="54">
        <f>SUMIFS('Combined P&amp;L'!AI:AI,'Combined P&amp;L'!$C:$C,'Revenue Analysis'!$B19)</f>
        <v>1.65</v>
      </c>
      <c r="J19" s="54">
        <f>SUMIFS('Combined P&amp;L'!AJ:AJ,'Combined P&amp;L'!$C:$C,'Revenue Analysis'!$B19)</f>
        <v>0</v>
      </c>
      <c r="K19" s="54">
        <f>SUMIFS('Combined P&amp;L'!AK:AK,'Combined P&amp;L'!$C:$C,'Revenue Analysis'!$B19)</f>
        <v>0.875</v>
      </c>
      <c r="L19" s="54">
        <f>SUMIFS('Combined P&amp;L'!AL:AL,'Combined P&amp;L'!$C:$C,'Revenue Analysis'!$B19)</f>
        <v>0</v>
      </c>
      <c r="M19" s="54">
        <f>SUMIFS('Combined P&amp;L'!AM:AM,'Combined P&amp;L'!$C:$C,'Revenue Analysis'!$B19)</f>
        <v>0</v>
      </c>
      <c r="N19" s="54">
        <f>SUMIFS('Combined P&amp;L'!AN:AN,'Combined P&amp;L'!$C:$C,'Revenue Analysis'!$B19)</f>
        <v>14.19</v>
      </c>
      <c r="O19" s="54">
        <f>SUMIFS('Combined P&amp;L'!AO:AO,'Combined P&amp;L'!$C:$C,'Revenue Analysis'!$B19)</f>
        <v>6.625</v>
      </c>
      <c r="P19" s="54">
        <f>SUMIFS('Combined P&amp;L'!AP:AP,'Combined P&amp;L'!$C:$C,'Revenue Analysis'!$B19)</f>
        <v>0</v>
      </c>
      <c r="Q19" s="54">
        <f>SUMIFS('Combined P&amp;L'!AQ:AQ,'Combined P&amp;L'!$C:$C,'Revenue Analysis'!$B19)</f>
        <v>3.1</v>
      </c>
      <c r="R19" s="54">
        <f>SUMIFS('Combined P&amp;L'!AR:AR,'Combined P&amp;L'!$C:$C,'Revenue Analysis'!$B19)</f>
        <v>0</v>
      </c>
    </row>
    <row r="20" spans="2:18" x14ac:dyDescent="0.2">
      <c r="B20" s="57" t="str">
        <f>+'P&amp;L Overview'!B19</f>
        <v>Profit Share</v>
      </c>
      <c r="C20" s="24">
        <f>+'P&amp;L Overview'!I19</f>
        <v>17.947879999999998</v>
      </c>
      <c r="D20" s="24">
        <f>+'P&amp;L Overview'!J19</f>
        <v>17.796090000000003</v>
      </c>
      <c r="E20" s="87">
        <f>$D$20</f>
        <v>17.796090000000003</v>
      </c>
      <c r="F20" s="66"/>
      <c r="G20" s="54">
        <f>SUMIFS('Combined P&amp;L'!AG:AG,'Combined P&amp;L'!$C:$C,'Revenue Analysis'!$B20)</f>
        <v>2.04088</v>
      </c>
      <c r="H20" s="54">
        <f>SUMIFS('Combined P&amp;L'!AH:AH,'Combined P&amp;L'!$C:$C,'Revenue Analysis'!$B20)</f>
        <v>1.1362099999999999</v>
      </c>
      <c r="I20" s="54">
        <f>SUMIFS('Combined P&amp;L'!AI:AI,'Combined P&amp;L'!$C:$C,'Revenue Analysis'!$B20)</f>
        <v>2.01424</v>
      </c>
      <c r="J20" s="54">
        <f>SUMIFS('Combined P&amp;L'!AJ:AJ,'Combined P&amp;L'!$C:$C,'Revenue Analysis'!$B20)</f>
        <v>1.29758</v>
      </c>
      <c r="K20" s="54">
        <f>SUMIFS('Combined P&amp;L'!AK:AK,'Combined P&amp;L'!$C:$C,'Revenue Analysis'!$B20)</f>
        <v>2.2679299999999998</v>
      </c>
      <c r="L20" s="54">
        <f>SUMIFS('Combined P&amp;L'!AL:AL,'Combined P&amp;L'!$C:$C,'Revenue Analysis'!$B20)</f>
        <v>2.6778400000000002</v>
      </c>
      <c r="M20" s="54">
        <f>SUMIFS('Combined P&amp;L'!AM:AM,'Combined P&amp;L'!$C:$C,'Revenue Analysis'!$B20)</f>
        <v>2.3540100000000002</v>
      </c>
      <c r="N20" s="54">
        <f>SUMIFS('Combined P&amp;L'!AN:AN,'Combined P&amp;L'!$C:$C,'Revenue Analysis'!$B20)</f>
        <v>0.2276</v>
      </c>
      <c r="O20" s="54">
        <f>SUMIFS('Combined P&amp;L'!AO:AO,'Combined P&amp;L'!$C:$C,'Revenue Analysis'!$B20)</f>
        <v>1.4783599999999999</v>
      </c>
      <c r="P20" s="54">
        <f>SUMIFS('Combined P&amp;L'!AP:AP,'Combined P&amp;L'!$C:$C,'Revenue Analysis'!$B20)</f>
        <v>0.66824000000000006</v>
      </c>
      <c r="Q20" s="54">
        <f>SUMIFS('Combined P&amp;L'!AQ:AQ,'Combined P&amp;L'!$C:$C,'Revenue Analysis'!$B20)</f>
        <v>0.58613000000000004</v>
      </c>
      <c r="R20" s="54">
        <f>SUMIFS('Combined P&amp;L'!AR:AR,'Combined P&amp;L'!$C:$C,'Revenue Analysis'!$B20)</f>
        <v>8.72E-2</v>
      </c>
    </row>
    <row r="21" spans="2:18" x14ac:dyDescent="0.2">
      <c r="B21" s="57" t="str">
        <f>+'P&amp;L Overview'!B20</f>
        <v>Billable Expense Income</v>
      </c>
      <c r="C21" s="24">
        <f>+'P&amp;L Overview'!I20</f>
        <v>0.79723999999999995</v>
      </c>
      <c r="D21" s="24">
        <f>+'P&amp;L Overview'!J20</f>
        <v>0.88222999999999985</v>
      </c>
      <c r="E21" s="87">
        <v>0</v>
      </c>
      <c r="F21" s="71"/>
      <c r="G21" s="54">
        <f>SUMIFS('Combined P&amp;L'!AG:AG,'Combined P&amp;L'!$C:$C,'Revenue Analysis'!$B21)</f>
        <v>0.30969000000000002</v>
      </c>
      <c r="H21" s="54">
        <f>SUMIFS('Combined P&amp;L'!AH:AH,'Combined P&amp;L'!$C:$C,'Revenue Analysis'!$B21)</f>
        <v>0</v>
      </c>
      <c r="I21" s="54">
        <f>SUMIFS('Combined P&amp;L'!AI:AI,'Combined P&amp;L'!$C:$C,'Revenue Analysis'!$B21)</f>
        <v>0</v>
      </c>
      <c r="J21" s="54">
        <f>SUMIFS('Combined P&amp;L'!AJ:AJ,'Combined P&amp;L'!$C:$C,'Revenue Analysis'!$B21)</f>
        <v>0</v>
      </c>
      <c r="K21" s="54">
        <f>SUMIFS('Combined P&amp;L'!AK:AK,'Combined P&amp;L'!$C:$C,'Revenue Analysis'!$B21)</f>
        <v>2.5000000000000001E-2</v>
      </c>
      <c r="L21" s="54">
        <f>SUMIFS('Combined P&amp;L'!AL:AL,'Combined P&amp;L'!$C:$C,'Revenue Analysis'!$B21)</f>
        <v>0.15984000000000001</v>
      </c>
      <c r="M21" s="54">
        <f>SUMIFS('Combined P&amp;L'!AM:AM,'Combined P&amp;L'!$C:$C,'Revenue Analysis'!$B21)</f>
        <v>0</v>
      </c>
      <c r="N21" s="54">
        <f>SUMIFS('Combined P&amp;L'!AN:AN,'Combined P&amp;L'!$C:$C,'Revenue Analysis'!$B21)</f>
        <v>7.4999999999999997E-2</v>
      </c>
      <c r="O21" s="54">
        <f>SUMIFS('Combined P&amp;L'!AO:AO,'Combined P&amp;L'!$C:$C,'Revenue Analysis'!$B21)</f>
        <v>0</v>
      </c>
      <c r="P21" s="54">
        <f>SUMIFS('Combined P&amp;L'!AP:AP,'Combined P&amp;L'!$C:$C,'Revenue Analysis'!$B21)</f>
        <v>0</v>
      </c>
      <c r="Q21" s="54">
        <f>SUMIFS('Combined P&amp;L'!AQ:AQ,'Combined P&amp;L'!$C:$C,'Revenue Analysis'!$B21)</f>
        <v>2.299E-2</v>
      </c>
      <c r="R21" s="54">
        <f>SUMIFS('Combined P&amp;L'!AR:AR,'Combined P&amp;L'!$C:$C,'Revenue Analysis'!$B21)</f>
        <v>0</v>
      </c>
    </row>
    <row r="22" spans="2:18" x14ac:dyDescent="0.2">
      <c r="B22" s="57" t="str">
        <f>+'P&amp;L Overview'!B21</f>
        <v>Offshore Recruiting</v>
      </c>
      <c r="C22" s="24">
        <f>+'P&amp;L Overview'!I21</f>
        <v>16.735000000000003</v>
      </c>
      <c r="D22" s="24">
        <f>+'P&amp;L Overview'!J21</f>
        <v>0</v>
      </c>
      <c r="E22" s="87">
        <v>0</v>
      </c>
      <c r="F22" s="71"/>
      <c r="G22" s="54">
        <f>SUMIFS('Combined P&amp;L'!AG:AG,'Combined P&amp;L'!$C:$C,'Revenue Analysis'!$B22)</f>
        <v>0</v>
      </c>
      <c r="H22" s="54">
        <f>SUMIFS('Combined P&amp;L'!AH:AH,'Combined P&amp;L'!$C:$C,'Revenue Analysis'!$B22)</f>
        <v>0</v>
      </c>
      <c r="I22" s="54">
        <f>SUMIFS('Combined P&amp;L'!AI:AI,'Combined P&amp;L'!$C:$C,'Revenue Analysis'!$B22)</f>
        <v>0</v>
      </c>
      <c r="J22" s="54">
        <f>SUMIFS('Combined P&amp;L'!AJ:AJ,'Combined P&amp;L'!$C:$C,'Revenue Analysis'!$B22)</f>
        <v>0</v>
      </c>
      <c r="K22" s="54">
        <f>SUMIFS('Combined P&amp;L'!AK:AK,'Combined P&amp;L'!$C:$C,'Revenue Analysis'!$B22)</f>
        <v>0</v>
      </c>
      <c r="L22" s="54">
        <f>SUMIFS('Combined P&amp;L'!AL:AL,'Combined P&amp;L'!$C:$C,'Revenue Analysis'!$B22)</f>
        <v>0</v>
      </c>
      <c r="M22" s="54">
        <f>SUMIFS('Combined P&amp;L'!AM:AM,'Combined P&amp;L'!$C:$C,'Revenue Analysis'!$B22)</f>
        <v>0</v>
      </c>
      <c r="N22" s="54">
        <f>SUMIFS('Combined P&amp;L'!AN:AN,'Combined P&amp;L'!$C:$C,'Revenue Analysis'!$B22)</f>
        <v>0</v>
      </c>
      <c r="O22" s="54">
        <f>SUMIFS('Combined P&amp;L'!AO:AO,'Combined P&amp;L'!$C:$C,'Revenue Analysis'!$B22)</f>
        <v>0</v>
      </c>
      <c r="P22" s="54">
        <f>SUMIFS('Combined P&amp;L'!AP:AP,'Combined P&amp;L'!$C:$C,'Revenue Analysis'!$B22)</f>
        <v>0</v>
      </c>
      <c r="Q22" s="54">
        <f>SUMIFS('Combined P&amp;L'!AQ:AQ,'Combined P&amp;L'!$C:$C,'Revenue Analysis'!$B22)</f>
        <v>0</v>
      </c>
      <c r="R22" s="54">
        <f>SUMIFS('Combined P&amp;L'!AR:AR,'Combined P&amp;L'!$C:$C,'Revenue Analysis'!$B22)</f>
        <v>0</v>
      </c>
    </row>
    <row r="23" spans="2:18" x14ac:dyDescent="0.2">
      <c r="B23" s="59" t="s">
        <v>261</v>
      </c>
      <c r="C23" s="60">
        <f t="shared" ref="C23:E23" si="3">SUM(C18:C22)</f>
        <v>59.000119999999995</v>
      </c>
      <c r="D23" s="60">
        <f t="shared" si="3"/>
        <v>84.754819999999995</v>
      </c>
      <c r="E23" s="90">
        <f t="shared" si="3"/>
        <v>17.796090000000003</v>
      </c>
      <c r="F23" s="72"/>
      <c r="G23" s="60">
        <f t="shared" ref="G23:R23" si="4">SUM(G18:G22)</f>
        <v>2.3805699999999996</v>
      </c>
      <c r="H23" s="60">
        <f t="shared" si="4"/>
        <v>2.04121</v>
      </c>
      <c r="I23" s="60">
        <f t="shared" si="4"/>
        <v>3.6642399999999999</v>
      </c>
      <c r="J23" s="60">
        <f t="shared" si="4"/>
        <v>1.29758</v>
      </c>
      <c r="K23" s="60">
        <f t="shared" si="4"/>
        <v>3.1679299999999997</v>
      </c>
      <c r="L23" s="60">
        <f t="shared" si="4"/>
        <v>8.9426800000000011</v>
      </c>
      <c r="M23" s="60">
        <f t="shared" si="4"/>
        <v>33.510510000000004</v>
      </c>
      <c r="N23" s="60">
        <f t="shared" si="4"/>
        <v>15.752599999999999</v>
      </c>
      <c r="O23" s="60">
        <f t="shared" si="4"/>
        <v>8.2833600000000001</v>
      </c>
      <c r="P23" s="60">
        <f t="shared" si="4"/>
        <v>0.66824000000000006</v>
      </c>
      <c r="Q23" s="60">
        <f t="shared" si="4"/>
        <v>3.7091200000000004</v>
      </c>
      <c r="R23" s="60">
        <f t="shared" si="4"/>
        <v>8.72E-2</v>
      </c>
    </row>
    <row r="24" spans="2:18" ht="5.0999999999999996" customHeight="1" x14ac:dyDescent="0.2">
      <c r="E24" s="89"/>
    </row>
    <row r="25" spans="2:18" x14ac:dyDescent="0.2">
      <c r="B25" s="61" t="s">
        <v>263</v>
      </c>
      <c r="C25" s="62">
        <f>+C23+C16</f>
        <v>1473.71192</v>
      </c>
      <c r="D25" s="62">
        <f>+D23+D16</f>
        <v>2456.4861599999999</v>
      </c>
      <c r="E25" s="88">
        <f>+E23+E16</f>
        <v>2960.6778899999999</v>
      </c>
      <c r="F25" s="72"/>
      <c r="G25" s="64">
        <f t="shared" ref="G25:R25" si="5">+G23+G16</f>
        <v>159.87331999999998</v>
      </c>
      <c r="H25" s="62">
        <f t="shared" si="5"/>
        <v>163.99921000000001</v>
      </c>
      <c r="I25" s="62">
        <f t="shared" si="5"/>
        <v>179.24424000000002</v>
      </c>
      <c r="J25" s="62">
        <f t="shared" si="5"/>
        <v>181.69058000000004</v>
      </c>
      <c r="K25" s="62">
        <f t="shared" si="5"/>
        <v>196.70267999999999</v>
      </c>
      <c r="L25" s="62">
        <f t="shared" si="5"/>
        <v>212.18599999999998</v>
      </c>
      <c r="M25" s="62">
        <f t="shared" si="5"/>
        <v>241.89637999999999</v>
      </c>
      <c r="N25" s="62">
        <f t="shared" si="5"/>
        <v>231.49535</v>
      </c>
      <c r="O25" s="62">
        <f t="shared" si="5"/>
        <v>240.31947000000002</v>
      </c>
      <c r="P25" s="62">
        <f t="shared" si="5"/>
        <v>246.19884999999996</v>
      </c>
      <c r="Q25" s="62">
        <f t="shared" si="5"/>
        <v>247.49930000000001</v>
      </c>
      <c r="R25" s="63">
        <f t="shared" si="5"/>
        <v>251.42585000000003</v>
      </c>
    </row>
    <row r="26" spans="2:18" ht="3.95" customHeight="1" x14ac:dyDescent="0.2"/>
    <row r="27" spans="2:18" x14ac:dyDescent="0.2">
      <c r="B27" s="43" t="s">
        <v>273</v>
      </c>
      <c r="C27" s="44"/>
      <c r="D27" s="44"/>
      <c r="E27" s="44"/>
      <c r="F27" s="6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2:18" x14ac:dyDescent="0.2">
      <c r="B28" s="57" t="str">
        <f>+B8</f>
        <v>STR Subscription</v>
      </c>
      <c r="C28" s="67">
        <f>C8/C$16</f>
        <v>0.77648853992735489</v>
      </c>
      <c r="D28" s="67">
        <f>D8/D$16</f>
        <v>0.79338543462515454</v>
      </c>
      <c r="E28" s="67">
        <f>E8/E$16</f>
        <v>0.81894216750397519</v>
      </c>
      <c r="F28" s="67"/>
      <c r="G28" s="67">
        <f t="shared" ref="G28:R28" si="6">G8/G$16</f>
        <v>0.82597611636091206</v>
      </c>
      <c r="H28" s="67">
        <f t="shared" si="6"/>
        <v>0.82484656515886834</v>
      </c>
      <c r="I28" s="67">
        <f t="shared" si="6"/>
        <v>0.7951304248775487</v>
      </c>
      <c r="J28" s="67">
        <f t="shared" si="6"/>
        <v>0.80535691517963548</v>
      </c>
      <c r="K28" s="67">
        <f t="shared" si="6"/>
        <v>0.77711237904304009</v>
      </c>
      <c r="L28" s="67">
        <f t="shared" si="6"/>
        <v>0.77020391125277821</v>
      </c>
      <c r="M28" s="67">
        <f t="shared" si="6"/>
        <v>0.79133676386023688</v>
      </c>
      <c r="N28" s="67">
        <f t="shared" si="6"/>
        <v>0.78957114433741105</v>
      </c>
      <c r="O28" s="67">
        <f t="shared" si="6"/>
        <v>0.79152335384350292</v>
      </c>
      <c r="P28" s="67">
        <f t="shared" si="6"/>
        <v>0.77702898225194827</v>
      </c>
      <c r="Q28" s="67">
        <f t="shared" si="6"/>
        <v>0.79743367841969681</v>
      </c>
      <c r="R28" s="67">
        <f t="shared" si="6"/>
        <v>0.79907129285527712</v>
      </c>
    </row>
    <row r="29" spans="2:18" x14ac:dyDescent="0.2">
      <c r="B29" s="57" t="str">
        <f t="shared" ref="B29:B35" si="7">+B9</f>
        <v>SMB Subscription</v>
      </c>
      <c r="C29" s="67">
        <f t="shared" ref="C29:D35" si="8">C9/C$16</f>
        <v>0.12343856890145397</v>
      </c>
      <c r="D29" s="67">
        <f t="shared" si="8"/>
        <v>5.7046090220319819E-2</v>
      </c>
      <c r="E29" s="67">
        <f t="shared" ref="E29" si="9">E9/E$16</f>
        <v>4.0676455303097797E-2</v>
      </c>
      <c r="F29" s="67"/>
      <c r="G29" s="67">
        <f t="shared" ref="G29:R29" si="10">G9/G$16</f>
        <v>7.5289179978125995E-2</v>
      </c>
      <c r="H29" s="67">
        <f t="shared" si="10"/>
        <v>7.5961051630669685E-2</v>
      </c>
      <c r="I29" s="67">
        <f t="shared" si="10"/>
        <v>6.6593575578084069E-2</v>
      </c>
      <c r="J29" s="67">
        <f t="shared" si="10"/>
        <v>6.4955402925834141E-2</v>
      </c>
      <c r="K29" s="67">
        <f t="shared" si="10"/>
        <v>6.0699693465902128E-2</v>
      </c>
      <c r="L29" s="67">
        <f t="shared" si="10"/>
        <v>5.5502439145355437E-2</v>
      </c>
      <c r="M29" s="67">
        <f t="shared" si="10"/>
        <v>5.2453172568754307E-2</v>
      </c>
      <c r="N29" s="67">
        <f t="shared" si="10"/>
        <v>4.9250785947615852E-2</v>
      </c>
      <c r="O29" s="67">
        <f t="shared" si="10"/>
        <v>4.4456442576976479E-2</v>
      </c>
      <c r="P29" s="67">
        <f t="shared" si="10"/>
        <v>4.2013091565243132E-2</v>
      </c>
      <c r="Q29" s="67">
        <f t="shared" si="10"/>
        <v>4.0918383176877758E-2</v>
      </c>
      <c r="R29" s="67">
        <f t="shared" si="10"/>
        <v>3.968947871726055E-2</v>
      </c>
    </row>
    <row r="30" spans="2:18" x14ac:dyDescent="0.2">
      <c r="B30" s="57" t="str">
        <f t="shared" si="7"/>
        <v>Occupancy Taxes</v>
      </c>
      <c r="C30" s="67">
        <f t="shared" si="8"/>
        <v>1.3237325086282593E-2</v>
      </c>
      <c r="D30" s="67">
        <f t="shared" si="8"/>
        <v>4.7431801445099592E-2</v>
      </c>
      <c r="E30" s="67">
        <f t="shared" ref="E30" si="11">E10/E$16</f>
        <v>6.5524140317154436E-2</v>
      </c>
      <c r="F30" s="67"/>
      <c r="G30" s="67">
        <f t="shared" ref="G30:R30" si="12">G10/G$16</f>
        <v>3.003312850909011E-2</v>
      </c>
      <c r="H30" s="67">
        <f t="shared" si="12"/>
        <v>2.9760802183282087E-2</v>
      </c>
      <c r="I30" s="67">
        <f t="shared" si="12"/>
        <v>3.0584349014694156E-2</v>
      </c>
      <c r="J30" s="67">
        <f t="shared" si="12"/>
        <v>4.4624791427605282E-2</v>
      </c>
      <c r="K30" s="67">
        <f t="shared" si="12"/>
        <v>4.5909068009750191E-2</v>
      </c>
      <c r="L30" s="67">
        <f t="shared" si="12"/>
        <v>5.3677139302782506E-2</v>
      </c>
      <c r="M30" s="67">
        <f t="shared" si="12"/>
        <v>4.9595349243209248E-2</v>
      </c>
      <c r="N30" s="67">
        <f t="shared" si="12"/>
        <v>5.1797800853099353E-2</v>
      </c>
      <c r="O30" s="67">
        <f t="shared" si="12"/>
        <v>5.1514007884376267E-2</v>
      </c>
      <c r="P30" s="67">
        <f t="shared" si="12"/>
        <v>6.1257983271413699E-2</v>
      </c>
      <c r="Q30" s="67">
        <f t="shared" si="12"/>
        <v>6.6322113548626133E-2</v>
      </c>
      <c r="R30" s="67">
        <f t="shared" si="12"/>
        <v>6.3934257624125856E-2</v>
      </c>
    </row>
    <row r="31" spans="2:18" x14ac:dyDescent="0.2">
      <c r="B31" s="57" t="str">
        <f t="shared" si="7"/>
        <v>Onboarding</v>
      </c>
      <c r="C31" s="67">
        <f t="shared" si="8"/>
        <v>3.934409114280378E-2</v>
      </c>
      <c r="D31" s="67">
        <f t="shared" si="8"/>
        <v>3.8645081107710963E-2</v>
      </c>
      <c r="E31" s="67">
        <f t="shared" ref="E31" si="13">E11/E$16</f>
        <v>0</v>
      </c>
      <c r="F31" s="67"/>
      <c r="G31" s="67">
        <f t="shared" ref="G31:R31" si="14">G11/G$16</f>
        <v>2.517576205888843E-2</v>
      </c>
      <c r="H31" s="67">
        <f t="shared" si="14"/>
        <v>2.42038059249929E-2</v>
      </c>
      <c r="I31" s="67">
        <f t="shared" si="14"/>
        <v>5.2036108896229637E-2</v>
      </c>
      <c r="J31" s="67">
        <f t="shared" si="14"/>
        <v>2.9123912790407606E-2</v>
      </c>
      <c r="K31" s="67">
        <f t="shared" si="14"/>
        <v>5.161863696312937E-2</v>
      </c>
      <c r="L31" s="67">
        <f t="shared" si="14"/>
        <v>5.0237813474017255E-2</v>
      </c>
      <c r="M31" s="67">
        <f t="shared" si="14"/>
        <v>3.2031922317957547E-2</v>
      </c>
      <c r="N31" s="67">
        <f t="shared" si="14"/>
        <v>4.2175229526832302E-2</v>
      </c>
      <c r="O31" s="67">
        <f t="shared" si="14"/>
        <v>3.8590976206246512E-2</v>
      </c>
      <c r="P31" s="67">
        <f t="shared" si="14"/>
        <v>5.1341867313407487E-2</v>
      </c>
      <c r="Q31" s="67">
        <f t="shared" si="14"/>
        <v>2.219736660434805E-2</v>
      </c>
      <c r="R31" s="67">
        <f t="shared" si="14"/>
        <v>2.4264075580894537E-2</v>
      </c>
    </row>
    <row r="32" spans="2:18" x14ac:dyDescent="0.2">
      <c r="B32" s="57" t="str">
        <f t="shared" si="7"/>
        <v>STR Bill Pay</v>
      </c>
      <c r="C32" s="67">
        <f t="shared" si="8"/>
        <v>8.2218159203874611E-3</v>
      </c>
      <c r="D32" s="67">
        <f t="shared" si="8"/>
        <v>2.6651416597632007E-2</v>
      </c>
      <c r="E32" s="67">
        <f t="shared" ref="E32" si="15">E12/E$16</f>
        <v>2.8359956556868852E-2</v>
      </c>
      <c r="F32" s="67"/>
      <c r="G32" s="67">
        <f t="shared" ref="G32:R32" si="16">G12/G$16</f>
        <v>2.4794792141225552E-2</v>
      </c>
      <c r="H32" s="67">
        <f t="shared" si="16"/>
        <v>2.3339384284814579E-2</v>
      </c>
      <c r="I32" s="67">
        <f t="shared" si="16"/>
        <v>2.1614079052283856E-2</v>
      </c>
      <c r="J32" s="67">
        <f t="shared" si="16"/>
        <v>2.4003148680935508E-2</v>
      </c>
      <c r="K32" s="67">
        <f t="shared" si="16"/>
        <v>2.7411098006947077E-2</v>
      </c>
      <c r="L32" s="67">
        <f t="shared" si="16"/>
        <v>3.0997328719093942E-2</v>
      </c>
      <c r="M32" s="67">
        <f t="shared" si="16"/>
        <v>3.0664267207752619E-2</v>
      </c>
      <c r="N32" s="67">
        <f t="shared" si="16"/>
        <v>2.9780838521804322E-2</v>
      </c>
      <c r="O32" s="67">
        <f t="shared" si="16"/>
        <v>2.6202818173429985E-2</v>
      </c>
      <c r="P32" s="67">
        <f t="shared" si="16"/>
        <v>2.5760535519379849E-2</v>
      </c>
      <c r="Q32" s="67">
        <f t="shared" si="16"/>
        <v>2.7298064261653199E-2</v>
      </c>
      <c r="R32" s="67">
        <f t="shared" si="16"/>
        <v>2.7671828427502095E-2</v>
      </c>
    </row>
    <row r="33" spans="2:18" x14ac:dyDescent="0.2">
      <c r="B33" s="57" t="str">
        <f t="shared" si="7"/>
        <v>Topkey Subscription</v>
      </c>
      <c r="C33" s="67">
        <f t="shared" si="8"/>
        <v>0</v>
      </c>
      <c r="D33" s="67">
        <f t="shared" si="8"/>
        <v>1.9871559314133782E-2</v>
      </c>
      <c r="E33" s="67">
        <f t="shared" ref="E33" si="17">E13/E$16</f>
        <v>3.222555523636729E-2</v>
      </c>
      <c r="F33" s="67"/>
      <c r="G33" s="67">
        <f t="shared" ref="G33:R33" si="18">G13/G$16</f>
        <v>0</v>
      </c>
      <c r="H33" s="67">
        <f t="shared" si="18"/>
        <v>3.210708949233752E-3</v>
      </c>
      <c r="I33" s="67">
        <f t="shared" si="18"/>
        <v>1.342408019136576E-2</v>
      </c>
      <c r="J33" s="67">
        <f t="shared" si="18"/>
        <v>1.5582644559378687E-2</v>
      </c>
      <c r="K33" s="67">
        <f t="shared" si="18"/>
        <v>2.2006383866463263E-2</v>
      </c>
      <c r="L33" s="67">
        <f t="shared" si="18"/>
        <v>2.5850788109542788E-2</v>
      </c>
      <c r="M33" s="67">
        <f t="shared" si="18"/>
        <v>2.712276029080091E-2</v>
      </c>
      <c r="N33" s="67">
        <f t="shared" si="18"/>
        <v>2.4677538410908362E-2</v>
      </c>
      <c r="O33" s="67">
        <f t="shared" si="18"/>
        <v>2.7241449617475481E-2</v>
      </c>
      <c r="P33" s="67">
        <f t="shared" si="18"/>
        <v>2.8342698289227565E-2</v>
      </c>
      <c r="Q33" s="67">
        <f t="shared" si="18"/>
        <v>3.1473786187778359E-2</v>
      </c>
      <c r="R33" s="67">
        <f t="shared" si="18"/>
        <v>3.1443631928475775E-2</v>
      </c>
    </row>
    <row r="34" spans="2:18" x14ac:dyDescent="0.2">
      <c r="B34" s="57" t="str">
        <f t="shared" si="7"/>
        <v>Controller Services</v>
      </c>
      <c r="C34" s="67">
        <f t="shared" si="8"/>
        <v>2.9157882191977191E-2</v>
      </c>
      <c r="D34" s="67">
        <f t="shared" si="8"/>
        <v>1.6717745105143317E-2</v>
      </c>
      <c r="E34" s="67">
        <f t="shared" ref="E34" si="19">E14/E$16</f>
        <v>1.4271725082536444E-2</v>
      </c>
      <c r="F34" s="67"/>
      <c r="G34" s="67">
        <f t="shared" ref="G34:R34" si="20">G14/G$16</f>
        <v>1.87310209517581E-2</v>
      </c>
      <c r="H34" s="67">
        <f t="shared" si="20"/>
        <v>1.8677681868138653E-2</v>
      </c>
      <c r="I34" s="67">
        <f t="shared" si="20"/>
        <v>1.7228613737327713E-2</v>
      </c>
      <c r="J34" s="67">
        <f t="shared" si="20"/>
        <v>1.6353184436203178E-2</v>
      </c>
      <c r="K34" s="67">
        <f t="shared" si="20"/>
        <v>1.5242740644767933E-2</v>
      </c>
      <c r="L34" s="67">
        <f t="shared" si="20"/>
        <v>1.3530579996429896E-2</v>
      </c>
      <c r="M34" s="67">
        <f t="shared" si="20"/>
        <v>1.6795764511288603E-2</v>
      </c>
      <c r="N34" s="67">
        <f t="shared" si="20"/>
        <v>1.2746662402328699E-2</v>
      </c>
      <c r="O34" s="67">
        <f t="shared" si="20"/>
        <v>2.0470951697992176E-2</v>
      </c>
      <c r="P34" s="67">
        <f t="shared" si="20"/>
        <v>1.4254841789380152E-2</v>
      </c>
      <c r="Q34" s="67">
        <f t="shared" si="20"/>
        <v>1.4356607801019713E-2</v>
      </c>
      <c r="R34" s="67">
        <f t="shared" si="20"/>
        <v>1.3925434866464029E-2</v>
      </c>
    </row>
    <row r="35" spans="2:18" x14ac:dyDescent="0.2">
      <c r="B35" s="57" t="str">
        <f t="shared" si="7"/>
        <v>Historical Cleanup</v>
      </c>
      <c r="C35" s="67">
        <f t="shared" si="8"/>
        <v>1.0111776829740163E-2</v>
      </c>
      <c r="D35" s="67">
        <f t="shared" si="8"/>
        <v>2.5087158480605986E-4</v>
      </c>
      <c r="E35" s="67">
        <f t="shared" ref="E35" si="21">E15/E$16</f>
        <v>0</v>
      </c>
      <c r="F35" s="67"/>
      <c r="G35" s="67">
        <f t="shared" ref="G35:R35" si="22">G15/G$16</f>
        <v>0</v>
      </c>
      <c r="H35" s="67">
        <f t="shared" si="22"/>
        <v>0</v>
      </c>
      <c r="I35" s="67">
        <f t="shared" si="22"/>
        <v>3.3887686524661119E-3</v>
      </c>
      <c r="J35" s="67">
        <f t="shared" si="22"/>
        <v>0</v>
      </c>
      <c r="K35" s="67">
        <f t="shared" si="22"/>
        <v>0</v>
      </c>
      <c r="L35" s="67">
        <f t="shared" si="22"/>
        <v>0</v>
      </c>
      <c r="M35" s="67">
        <f t="shared" si="22"/>
        <v>0</v>
      </c>
      <c r="N35" s="67">
        <f t="shared" si="22"/>
        <v>0</v>
      </c>
      <c r="O35" s="67">
        <f t="shared" si="22"/>
        <v>0</v>
      </c>
      <c r="P35" s="67">
        <f t="shared" si="22"/>
        <v>0</v>
      </c>
      <c r="Q35" s="67">
        <f t="shared" si="22"/>
        <v>0</v>
      </c>
      <c r="R35" s="67">
        <f t="shared" si="22"/>
        <v>0</v>
      </c>
    </row>
    <row r="36" spans="2:18" ht="3.95" customHeight="1" x14ac:dyDescent="0.2"/>
    <row r="37" spans="2:18" x14ac:dyDescent="0.2">
      <c r="B37" s="43" t="s">
        <v>274</v>
      </c>
      <c r="C37" s="44"/>
      <c r="D37" s="44"/>
      <c r="E37" s="44"/>
      <c r="F37" s="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  <row r="38" spans="2:18" x14ac:dyDescent="0.2">
      <c r="B38" s="57" t="str">
        <f>+B8</f>
        <v>STR Subscription</v>
      </c>
      <c r="C38" s="67"/>
      <c r="D38" s="67">
        <f t="shared" ref="D38:E46" si="23">IFERROR(D8/C8-1,0)</f>
        <v>0.71295789969572332</v>
      </c>
      <c r="E38" s="67">
        <f t="shared" si="23"/>
        <v>0.28078530811361735</v>
      </c>
      <c r="F38" s="67"/>
      <c r="G38" s="67">
        <f>IFERROR('P&amp;L Overview'!AE7/'P&amp;L Overview'!AD7-1,0)</f>
        <v>6.5451619244188963E-2</v>
      </c>
      <c r="H38" s="67">
        <f t="shared" ref="H38:R38" si="24">IFERROR(H8/G8-1,0)</f>
        <v>2.6945791317616541E-2</v>
      </c>
      <c r="I38" s="67">
        <f t="shared" si="24"/>
        <v>4.5051856232292131E-2</v>
      </c>
      <c r="J38" s="67">
        <f t="shared" si="24"/>
        <v>4.0625962509580393E-2</v>
      </c>
      <c r="K38" s="67">
        <f t="shared" si="24"/>
        <v>3.5224900752508281E-2</v>
      </c>
      <c r="L38" s="67">
        <f t="shared" si="24"/>
        <v>4.082860006682254E-2</v>
      </c>
      <c r="M38" s="67">
        <f t="shared" si="24"/>
        <v>5.3434675620357641E-2</v>
      </c>
      <c r="N38" s="67">
        <f t="shared" si="24"/>
        <v>3.2994165068761294E-2</v>
      </c>
      <c r="O38" s="67">
        <f t="shared" si="24"/>
        <v>7.8181388570497834E-2</v>
      </c>
      <c r="P38" s="67">
        <f t="shared" si="24"/>
        <v>3.877993270246427E-2</v>
      </c>
      <c r="Q38" s="67">
        <f t="shared" si="24"/>
        <v>1.8985304878176512E-2</v>
      </c>
      <c r="R38" s="67">
        <f t="shared" si="24"/>
        <v>3.308016964453353E-2</v>
      </c>
    </row>
    <row r="39" spans="2:18" x14ac:dyDescent="0.2">
      <c r="B39" s="57" t="str">
        <f t="shared" ref="B39:B45" si="25">+B9</f>
        <v>SMB Subscription</v>
      </c>
      <c r="C39" s="67"/>
      <c r="D39" s="67">
        <f t="shared" si="23"/>
        <v>-0.22523048731603945</v>
      </c>
      <c r="E39" s="67">
        <f t="shared" si="23"/>
        <v>-0.11524191044952625</v>
      </c>
      <c r="F39" s="67"/>
      <c r="G39" s="67">
        <f>IFERROR('P&amp;L Overview'!AE8/'P&amp;L Overview'!AD8-1,0)</f>
        <v>-5.4237288135593253E-2</v>
      </c>
      <c r="H39" s="67">
        <f t="shared" ref="H39:R39" si="26">IFERROR(H9/G9-1,0)</f>
        <v>3.7528990090659908E-2</v>
      </c>
      <c r="I39" s="67">
        <f t="shared" si="26"/>
        <v>-4.9583418004470636E-2</v>
      </c>
      <c r="J39" s="67">
        <f t="shared" si="26"/>
        <v>2.1381227282444293E-3</v>
      </c>
      <c r="K39" s="67">
        <f t="shared" si="26"/>
        <v>2.5602730957969833E-3</v>
      </c>
      <c r="L39" s="67">
        <f t="shared" si="26"/>
        <v>-3.97531389657374E-2</v>
      </c>
      <c r="M39" s="67">
        <f t="shared" si="26"/>
        <v>-3.1026993484331356E-2</v>
      </c>
      <c r="N39" s="67">
        <f t="shared" si="26"/>
        <v>-2.7903572572160473E-2</v>
      </c>
      <c r="O39" s="67">
        <f t="shared" si="26"/>
        <v>-2.9175097642463954E-2</v>
      </c>
      <c r="P39" s="67">
        <f t="shared" si="26"/>
        <v>0</v>
      </c>
      <c r="Q39" s="67">
        <f t="shared" si="26"/>
        <v>-3.2960108574475289E-2</v>
      </c>
      <c r="R39" s="67">
        <f t="shared" si="26"/>
        <v>0</v>
      </c>
    </row>
    <row r="40" spans="2:18" x14ac:dyDescent="0.2">
      <c r="B40" s="57" t="str">
        <f t="shared" si="25"/>
        <v>Occupancy Taxes</v>
      </c>
      <c r="C40" s="67"/>
      <c r="D40" s="67">
        <f t="shared" si="23"/>
        <v>5.007128210605007</v>
      </c>
      <c r="E40" s="67">
        <f t="shared" si="23"/>
        <v>0.71411138348746261</v>
      </c>
      <c r="F40" s="67"/>
      <c r="G40" s="67">
        <f>IFERROR('P&amp;L Overview'!AE9/'P&amp;L Overview'!AD9-1,0)</f>
        <v>-6.4940199663931941E-2</v>
      </c>
      <c r="H40" s="67">
        <f t="shared" ref="H40:R40" si="27">IFERROR(H10/G10-1,0)</f>
        <v>1.9027484143763207E-2</v>
      </c>
      <c r="I40" s="67">
        <f t="shared" si="27"/>
        <v>0.11410788381742742</v>
      </c>
      <c r="J40" s="67">
        <f t="shared" si="27"/>
        <v>0.49906890130353831</v>
      </c>
      <c r="K40" s="67">
        <f t="shared" si="27"/>
        <v>0.1037267080745341</v>
      </c>
      <c r="L40" s="67">
        <f t="shared" si="27"/>
        <v>0.22785818795723145</v>
      </c>
      <c r="M40" s="67">
        <f t="shared" si="27"/>
        <v>-5.2665011842867537E-2</v>
      </c>
      <c r="N40" s="67">
        <f t="shared" si="27"/>
        <v>8.1280352047466087E-2</v>
      </c>
      <c r="O40" s="67">
        <f t="shared" si="27"/>
        <v>6.9629530201342327E-2</v>
      </c>
      <c r="P40" s="67">
        <f t="shared" si="27"/>
        <v>0.25830934376074488</v>
      </c>
      <c r="Q40" s="67">
        <f t="shared" si="27"/>
        <v>7.4994465021930745E-2</v>
      </c>
      <c r="R40" s="67">
        <f t="shared" si="27"/>
        <v>-6.1557282350817033E-3</v>
      </c>
    </row>
    <row r="41" spans="2:18" x14ac:dyDescent="0.2">
      <c r="B41" s="57" t="str">
        <f t="shared" si="25"/>
        <v>Onboarding</v>
      </c>
      <c r="C41" s="67"/>
      <c r="D41" s="67">
        <f t="shared" si="23"/>
        <v>0.64669141788933104</v>
      </c>
      <c r="E41" s="67">
        <f t="shared" si="23"/>
        <v>-1</v>
      </c>
      <c r="F41" s="67"/>
      <c r="G41" s="67">
        <f>IFERROR('P&amp;L Overview'!AE10/'P&amp;L Overview'!AD10-1,0)</f>
        <v>-0.38374261734535287</v>
      </c>
      <c r="H41" s="67">
        <f t="shared" ref="H41:R41" si="28">IFERROR(H11/G11-1,0)</f>
        <v>-1.1349306431273631E-2</v>
      </c>
      <c r="I41" s="67">
        <f t="shared" si="28"/>
        <v>1.3307397959183676</v>
      </c>
      <c r="J41" s="67">
        <f t="shared" si="28"/>
        <v>-0.42497126908553606</v>
      </c>
      <c r="K41" s="67">
        <f t="shared" si="28"/>
        <v>0.90149892933618836</v>
      </c>
      <c r="L41" s="67">
        <f t="shared" si="28"/>
        <v>2.2072072072071958E-2</v>
      </c>
      <c r="M41" s="67">
        <f t="shared" si="28"/>
        <v>-0.34626120170412811</v>
      </c>
      <c r="N41" s="67">
        <f t="shared" si="28"/>
        <v>0.3631460674157303</v>
      </c>
      <c r="O41" s="67">
        <f t="shared" si="28"/>
        <v>-1.5880866029234109E-2</v>
      </c>
      <c r="P41" s="67">
        <f t="shared" si="28"/>
        <v>0.40778379585683178</v>
      </c>
      <c r="Q41" s="67">
        <f t="shared" si="28"/>
        <v>-0.57072029192448037</v>
      </c>
      <c r="R41" s="67">
        <f t="shared" si="28"/>
        <v>0.12695186177584761</v>
      </c>
    </row>
    <row r="42" spans="2:18" x14ac:dyDescent="0.2">
      <c r="B42" s="57" t="str">
        <f t="shared" si="25"/>
        <v>STR Bill Pay</v>
      </c>
      <c r="C42" s="67"/>
      <c r="D42" s="67">
        <f t="shared" si="23"/>
        <v>4.4343807763401104</v>
      </c>
      <c r="E42" s="67">
        <f t="shared" si="23"/>
        <v>0.3203607024205033</v>
      </c>
      <c r="F42" s="67"/>
      <c r="G42" s="67">
        <f>IFERROR('P&amp;L Overview'!AE11/'P&amp;L Overview'!AD11-1,0)</f>
        <v>-3.8265306122449161E-3</v>
      </c>
      <c r="H42" s="67">
        <f t="shared" ref="H42:R42" si="29">IFERROR(H12/G12-1,0)</f>
        <v>-3.201024327784896E-2</v>
      </c>
      <c r="I42" s="67">
        <f t="shared" si="29"/>
        <v>3.9682539682539542E-3</v>
      </c>
      <c r="J42" s="67">
        <f t="shared" si="29"/>
        <v>0.14097496706192358</v>
      </c>
      <c r="K42" s="67">
        <f t="shared" si="29"/>
        <v>0.22517321016166281</v>
      </c>
      <c r="L42" s="67">
        <f t="shared" si="29"/>
        <v>0.1875589066918002</v>
      </c>
      <c r="M42" s="67">
        <f t="shared" si="29"/>
        <v>1.4285714285714235E-2</v>
      </c>
      <c r="N42" s="67">
        <f t="shared" si="29"/>
        <v>5.4773082942096707E-3</v>
      </c>
      <c r="O42" s="67">
        <f t="shared" si="29"/>
        <v>-5.3696498054474628E-2</v>
      </c>
      <c r="P42" s="67">
        <f t="shared" si="29"/>
        <v>4.0296052631578982E-2</v>
      </c>
      <c r="Q42" s="67">
        <f t="shared" si="29"/>
        <v>5.2173913043478182E-2</v>
      </c>
      <c r="R42" s="67">
        <f t="shared" si="29"/>
        <v>4.5078888054094657E-2</v>
      </c>
    </row>
    <row r="43" spans="2:18" x14ac:dyDescent="0.2">
      <c r="B43" s="57" t="str">
        <f t="shared" si="25"/>
        <v>Topkey Subscription</v>
      </c>
      <c r="C43" s="67"/>
      <c r="D43" s="67">
        <f t="shared" si="23"/>
        <v>0</v>
      </c>
      <c r="E43" s="67">
        <f t="shared" si="23"/>
        <v>1.0122215149586253</v>
      </c>
      <c r="F43" s="67"/>
      <c r="G43" s="67">
        <f>IFERROR('P&amp;L Overview'!AE12/'P&amp;L Overview'!AD12-1,0)</f>
        <v>0</v>
      </c>
      <c r="H43" s="67">
        <f t="shared" ref="H43:R43" si="30">IFERROR(H13/G13-1,0)</f>
        <v>0</v>
      </c>
      <c r="I43" s="67">
        <f t="shared" si="30"/>
        <v>3.532692307692308</v>
      </c>
      <c r="J43" s="67">
        <f t="shared" si="30"/>
        <v>0.19261773440814589</v>
      </c>
      <c r="K43" s="67">
        <f t="shared" si="30"/>
        <v>0.51511917467093582</v>
      </c>
      <c r="L43" s="67">
        <f t="shared" si="30"/>
        <v>0.2336229161775063</v>
      </c>
      <c r="M43" s="67">
        <f t="shared" si="30"/>
        <v>7.5751808146174548E-2</v>
      </c>
      <c r="N43" s="67">
        <f t="shared" si="30"/>
        <v>-5.8032554847841533E-2</v>
      </c>
      <c r="O43" s="67">
        <f t="shared" si="30"/>
        <v>0.18726521412471819</v>
      </c>
      <c r="P43" s="67">
        <f t="shared" si="30"/>
        <v>0.10093339661445966</v>
      </c>
      <c r="Q43" s="67">
        <f t="shared" si="30"/>
        <v>0.10260094841212819</v>
      </c>
      <c r="R43" s="67">
        <f t="shared" si="30"/>
        <v>2.9975237846995961E-2</v>
      </c>
    </row>
    <row r="44" spans="2:18" x14ac:dyDescent="0.2">
      <c r="B44" s="57" t="str">
        <f t="shared" si="25"/>
        <v>Controller Services</v>
      </c>
      <c r="C44" s="67"/>
      <c r="D44" s="67">
        <f t="shared" si="23"/>
        <v>-3.8787878787878816E-2</v>
      </c>
      <c r="E44" s="67">
        <f t="shared" si="23"/>
        <v>5.9268600252206927E-2</v>
      </c>
      <c r="F44" s="67"/>
      <c r="G44" s="67">
        <f>IFERROR('P&amp;L Overview'!AE13/'P&amp;L Overview'!AD13-1,0)</f>
        <v>-0.26249999999999996</v>
      </c>
      <c r="H44" s="67">
        <f t="shared" ref="H44:R44" si="31">IFERROR(H14/G14-1,0)</f>
        <v>2.5423728813559254E-2</v>
      </c>
      <c r="I44" s="67">
        <f t="shared" si="31"/>
        <v>0</v>
      </c>
      <c r="J44" s="67">
        <f t="shared" si="31"/>
        <v>-2.4793388429751984E-2</v>
      </c>
      <c r="K44" s="67">
        <f t="shared" si="31"/>
        <v>0</v>
      </c>
      <c r="L44" s="67">
        <f t="shared" si="31"/>
        <v>-6.7796610169491567E-2</v>
      </c>
      <c r="M44" s="67">
        <f t="shared" si="31"/>
        <v>0.27272727272727271</v>
      </c>
      <c r="N44" s="67">
        <f t="shared" si="31"/>
        <v>-0.2142857142857143</v>
      </c>
      <c r="O44" s="67">
        <f t="shared" si="31"/>
        <v>0.72727272727272729</v>
      </c>
      <c r="P44" s="67">
        <f t="shared" si="31"/>
        <v>-0.26315789473684215</v>
      </c>
      <c r="Q44" s="67">
        <f t="shared" si="31"/>
        <v>0</v>
      </c>
      <c r="R44" s="67">
        <f t="shared" si="31"/>
        <v>0</v>
      </c>
    </row>
    <row r="45" spans="2:18" x14ac:dyDescent="0.2">
      <c r="B45" s="57" t="str">
        <f t="shared" si="25"/>
        <v>Historical Cleanup</v>
      </c>
      <c r="C45" s="67"/>
      <c r="D45" s="67">
        <f t="shared" si="23"/>
        <v>-0.95840687859352336</v>
      </c>
      <c r="E45" s="67">
        <f t="shared" si="23"/>
        <v>-1</v>
      </c>
      <c r="F45" s="67"/>
      <c r="G45" s="67">
        <f>IFERROR('P&amp;L Overview'!AE14/'P&amp;L Overview'!AD14-1,0)</f>
        <v>0</v>
      </c>
      <c r="H45" s="67">
        <f t="shared" ref="H45:R45" si="32">IFERROR(H15/G15-1,0)</f>
        <v>0</v>
      </c>
      <c r="I45" s="67">
        <f t="shared" si="32"/>
        <v>0</v>
      </c>
      <c r="J45" s="67">
        <f t="shared" si="32"/>
        <v>-1</v>
      </c>
      <c r="K45" s="67">
        <f t="shared" si="32"/>
        <v>0</v>
      </c>
      <c r="L45" s="67">
        <f t="shared" si="32"/>
        <v>0</v>
      </c>
      <c r="M45" s="67">
        <f t="shared" si="32"/>
        <v>0</v>
      </c>
      <c r="N45" s="67">
        <f t="shared" si="32"/>
        <v>0</v>
      </c>
      <c r="O45" s="67">
        <f t="shared" si="32"/>
        <v>0</v>
      </c>
      <c r="P45" s="67">
        <f t="shared" si="32"/>
        <v>0</v>
      </c>
      <c r="Q45" s="67">
        <f t="shared" si="32"/>
        <v>0</v>
      </c>
      <c r="R45" s="67">
        <f t="shared" si="32"/>
        <v>0</v>
      </c>
    </row>
    <row r="46" spans="2:18" x14ac:dyDescent="0.2">
      <c r="B46" s="61" t="s">
        <v>277</v>
      </c>
      <c r="C46" s="68">
        <f t="shared" ref="C46" si="33">SUM(C38:C45)</f>
        <v>0</v>
      </c>
      <c r="D46" s="68">
        <f t="shared" si="23"/>
        <v>0.67647667885430773</v>
      </c>
      <c r="E46" s="69">
        <f t="shared" si="23"/>
        <v>0.24081583371917681</v>
      </c>
      <c r="F46" s="73"/>
      <c r="G46" s="70">
        <f>IFERROR('P&amp;L Overview'!AE15/'P&amp;L Overview'!AD15-1,0)</f>
        <v>2.2388083924073543E-2</v>
      </c>
      <c r="H46" s="68">
        <f t="shared" ref="H46:R46" si="34">IFERROR(H16/G16-1,0)</f>
        <v>2.8352098747402854E-2</v>
      </c>
      <c r="I46" s="68">
        <f t="shared" si="34"/>
        <v>8.4108225589350383E-2</v>
      </c>
      <c r="J46" s="68">
        <f t="shared" si="34"/>
        <v>2.7412005923225902E-2</v>
      </c>
      <c r="K46" s="68">
        <f t="shared" si="34"/>
        <v>7.2850664937109233E-2</v>
      </c>
      <c r="L46" s="68">
        <f t="shared" si="34"/>
        <v>5.0164479505618642E-2</v>
      </c>
      <c r="M46" s="68">
        <f t="shared" si="34"/>
        <v>2.5302430603869386E-2</v>
      </c>
      <c r="N46" s="68">
        <f t="shared" si="34"/>
        <v>3.5304121147945455E-2</v>
      </c>
      <c r="O46" s="68">
        <f t="shared" si="34"/>
        <v>7.5522167025311449E-2</v>
      </c>
      <c r="P46" s="68">
        <f t="shared" si="34"/>
        <v>5.8156896355485044E-2</v>
      </c>
      <c r="Q46" s="68">
        <f t="shared" si="34"/>
        <v>-7.0884440844258823E-3</v>
      </c>
      <c r="R46" s="69">
        <f t="shared" si="34"/>
        <v>3.0962978082218262E-2</v>
      </c>
    </row>
    <row r="52" spans="3:4" x14ac:dyDescent="0.2">
      <c r="C52" s="34">
        <v>45473</v>
      </c>
      <c r="D52" s="36">
        <f>C53</f>
        <v>45838</v>
      </c>
    </row>
    <row r="53" spans="3:4" x14ac:dyDescent="0.2">
      <c r="C53" s="35">
        <f>EOMONTH(C52,12)</f>
        <v>45838</v>
      </c>
      <c r="D53" s="35">
        <f>EOMONTH(D52,12)</f>
        <v>46203</v>
      </c>
    </row>
  </sheetData>
  <conditionalFormatting sqref="A7:XFD46">
    <cfRule type="expression" dxfId="0" priority="1">
      <formula>$U$3=1</formula>
    </cfRule>
  </conditionalFormatting>
  <pageMargins left="0.7" right="0.7" top="0.75" bottom="0.75" header="0.3" footer="0.3"/>
  <pageSetup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dimension ref="B2:AN39"/>
  <sheetViews>
    <sheetView showGridLines="0" zoomScale="160" zoomScaleNormal="160" workbookViewId="0"/>
  </sheetViews>
  <sheetFormatPr defaultRowHeight="12" outlineLevelCol="1" x14ac:dyDescent="0.2"/>
  <cols>
    <col min="1" max="1" width="1.7109375" style="37" customWidth="1"/>
    <col min="2" max="2" width="27.85546875" style="37" bestFit="1" customWidth="1"/>
    <col min="3" max="4" width="11" style="37" hidden="1" customWidth="1" outlineLevel="1"/>
    <col min="5" max="5" width="0.85546875" style="37" hidden="1" customWidth="1" outlineLevel="1"/>
    <col min="6" max="8" width="11" style="37" hidden="1" customWidth="1" outlineLevel="1"/>
    <col min="9" max="9" width="0.85546875" style="37" hidden="1" customWidth="1" outlineLevel="1"/>
    <col min="10" max="10" width="6.5703125" style="37" bestFit="1" customWidth="1" collapsed="1"/>
    <col min="11" max="11" width="6.42578125" style="37" bestFit="1" customWidth="1"/>
    <col min="12" max="12" width="6.7109375" style="37" bestFit="1" customWidth="1"/>
    <col min="13" max="13" width="6.42578125" style="37" bestFit="1" customWidth="1"/>
    <col min="14" max="14" width="6.85546875" style="37" bestFit="1" customWidth="1"/>
    <col min="15" max="15" width="6.5703125" style="37" bestFit="1" customWidth="1"/>
    <col min="16" max="16" width="6" style="37" bestFit="1" customWidth="1"/>
    <col min="17" max="18" width="6.7109375" style="37" bestFit="1" customWidth="1"/>
    <col min="19" max="19" width="6.42578125" style="37" bestFit="1" customWidth="1"/>
    <col min="20" max="20" width="6.5703125" style="37" bestFit="1" customWidth="1"/>
    <col min="21" max="21" width="6.7109375" style="37" bestFit="1" customWidth="1"/>
    <col min="22" max="22" width="6.5703125" style="37" bestFit="1" customWidth="1"/>
    <col min="23" max="23" width="6.42578125" style="37" bestFit="1" customWidth="1"/>
    <col min="24" max="24" width="6.7109375" style="37" bestFit="1" customWidth="1"/>
    <col min="25" max="25" width="6.42578125" style="37" bestFit="1" customWidth="1"/>
    <col min="26" max="26" width="6.85546875" style="37" bestFit="1" customWidth="1"/>
    <col min="27" max="27" width="6.5703125" style="37" bestFit="1" customWidth="1"/>
    <col min="28" max="28" width="6" style="37" bestFit="1" customWidth="1"/>
    <col min="29" max="30" width="6.7109375" style="37" bestFit="1" customWidth="1"/>
    <col min="31" max="31" width="6.42578125" style="37" bestFit="1" customWidth="1"/>
    <col min="32" max="32" width="6.5703125" style="37" bestFit="1" customWidth="1"/>
    <col min="33" max="33" width="6.7109375" style="37" bestFit="1" customWidth="1"/>
    <col min="34" max="34" width="6.5703125" style="37" bestFit="1" customWidth="1"/>
    <col min="35" max="35" width="6.42578125" style="37" bestFit="1" customWidth="1"/>
    <col min="36" max="36" width="6.7109375" style="37" bestFit="1" customWidth="1"/>
    <col min="37" max="37" width="6.42578125" style="37" bestFit="1" customWidth="1"/>
    <col min="38" max="38" width="6.85546875" style="37" bestFit="1" customWidth="1"/>
    <col min="39" max="39" width="6.5703125" style="37" bestFit="1" customWidth="1"/>
    <col min="40" max="40" width="6" style="37" bestFit="1" customWidth="1"/>
    <col min="41" max="16384" width="9.140625" style="37"/>
  </cols>
  <sheetData>
    <row r="2" spans="2:40" ht="16.5" x14ac:dyDescent="0.25">
      <c r="B2" s="38" t="str">
        <f>+Cover!B24</f>
        <v>Keystone Bookkeepers</v>
      </c>
    </row>
    <row r="3" spans="2:40" x14ac:dyDescent="0.2">
      <c r="B3" s="39" t="s">
        <v>258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5" spans="2:40" x14ac:dyDescent="0.2">
      <c r="B5" s="41" t="s">
        <v>265</v>
      </c>
      <c r="C5" s="42" t="s">
        <v>257</v>
      </c>
      <c r="D5" s="42" t="s">
        <v>6</v>
      </c>
      <c r="E5" s="52"/>
      <c r="F5" s="42" t="s">
        <v>255</v>
      </c>
      <c r="G5" s="42" t="s">
        <v>256</v>
      </c>
      <c r="H5" s="42" t="s">
        <v>264</v>
      </c>
      <c r="J5" s="45">
        <v>45292</v>
      </c>
      <c r="K5" s="45">
        <f>EOMONTH(J5,0)+1</f>
        <v>45323</v>
      </c>
      <c r="L5" s="45">
        <f t="shared" ref="L5:AN5" si="0">EOMONTH(K5,0)+1</f>
        <v>45352</v>
      </c>
      <c r="M5" s="45">
        <f t="shared" si="0"/>
        <v>45383</v>
      </c>
      <c r="N5" s="45">
        <f t="shared" si="0"/>
        <v>45413</v>
      </c>
      <c r="O5" s="45">
        <f t="shared" si="0"/>
        <v>45444</v>
      </c>
      <c r="P5" s="45">
        <f t="shared" si="0"/>
        <v>45474</v>
      </c>
      <c r="Q5" s="45">
        <f t="shared" si="0"/>
        <v>45505</v>
      </c>
      <c r="R5" s="45">
        <f t="shared" si="0"/>
        <v>45536</v>
      </c>
      <c r="S5" s="45">
        <f t="shared" si="0"/>
        <v>45566</v>
      </c>
      <c r="T5" s="45">
        <f t="shared" si="0"/>
        <v>45597</v>
      </c>
      <c r="U5" s="45">
        <f t="shared" si="0"/>
        <v>45627</v>
      </c>
      <c r="V5" s="45">
        <f t="shared" si="0"/>
        <v>45658</v>
      </c>
      <c r="W5" s="45">
        <f t="shared" si="0"/>
        <v>45689</v>
      </c>
      <c r="X5" s="45">
        <f t="shared" si="0"/>
        <v>45717</v>
      </c>
      <c r="Y5" s="45">
        <f t="shared" si="0"/>
        <v>45748</v>
      </c>
      <c r="Z5" s="45">
        <f t="shared" si="0"/>
        <v>45778</v>
      </c>
      <c r="AA5" s="45">
        <f t="shared" si="0"/>
        <v>45809</v>
      </c>
      <c r="AB5" s="45">
        <f t="shared" si="0"/>
        <v>45839</v>
      </c>
      <c r="AC5" s="45">
        <f t="shared" si="0"/>
        <v>45870</v>
      </c>
      <c r="AD5" s="45">
        <f t="shared" si="0"/>
        <v>45901</v>
      </c>
      <c r="AE5" s="45">
        <f t="shared" si="0"/>
        <v>45931</v>
      </c>
      <c r="AF5" s="45">
        <f t="shared" si="0"/>
        <v>45962</v>
      </c>
      <c r="AG5" s="45">
        <f t="shared" si="0"/>
        <v>45992</v>
      </c>
      <c r="AH5" s="45">
        <f t="shared" si="0"/>
        <v>46023</v>
      </c>
      <c r="AI5" s="45">
        <f t="shared" si="0"/>
        <v>46054</v>
      </c>
      <c r="AJ5" s="45">
        <f t="shared" si="0"/>
        <v>46082</v>
      </c>
      <c r="AK5" s="45">
        <f t="shared" si="0"/>
        <v>46113</v>
      </c>
      <c r="AL5" s="45">
        <f t="shared" si="0"/>
        <v>46143</v>
      </c>
      <c r="AM5" s="45">
        <f t="shared" si="0"/>
        <v>46174</v>
      </c>
      <c r="AN5" s="45">
        <f t="shared" si="0"/>
        <v>46204</v>
      </c>
    </row>
    <row r="6" spans="2:40" x14ac:dyDescent="0.2">
      <c r="B6" s="19" t="s">
        <v>276</v>
      </c>
      <c r="C6" s="49">
        <f t="shared" ref="C6:D13" si="1">SUMIFS($J6:$AN6,$J$5:$AN$5,"&gt;"&amp;C$25,$J$5:$AN$5,"&lt;"&amp;C$26)</f>
        <v>751.52859999999987</v>
      </c>
      <c r="D6" s="49">
        <f t="shared" si="1"/>
        <v>1261.47685</v>
      </c>
      <c r="E6" s="49"/>
      <c r="F6" s="49">
        <f t="shared" ref="F6:G13" si="2">SUMIFS($J6:$AN6,$J$5:$AN$5,"&gt;"&amp;F$25,$J$5:$AN$5,"&lt;"&amp;F$26)</f>
        <v>1098.5075000000002</v>
      </c>
      <c r="G6" s="49">
        <f t="shared" si="2"/>
        <v>1881.6971000000001</v>
      </c>
      <c r="H6" s="50">
        <f>+'Revenue Analysis'!E8</f>
        <v>2410.0500000000002</v>
      </c>
      <c r="J6" s="48">
        <f>SUMIFS('Combined P&amp;L'!N:N,'Combined P&amp;L'!$C:$C,'Revenue Charts'!$B6)</f>
        <v>44.683500000000002</v>
      </c>
      <c r="K6" s="48">
        <f>SUMIFS('Combined P&amp;L'!O:O,'Combined P&amp;L'!$C:$C,'Revenue Charts'!$B6)</f>
        <v>47.045999999999999</v>
      </c>
      <c r="L6" s="48">
        <f>SUMIFS('Combined P&amp;L'!P:P,'Combined P&amp;L'!$C:$C,'Revenue Charts'!$B6)</f>
        <v>52.47</v>
      </c>
      <c r="M6" s="48">
        <f>SUMIFS('Combined P&amp;L'!Q:Q,'Combined P&amp;L'!$C:$C,'Revenue Charts'!$B6)</f>
        <v>57.169699999999999</v>
      </c>
      <c r="N6" s="48">
        <f>SUMIFS('Combined P&amp;L'!R:R,'Combined P&amp;L'!$C:$C,'Revenue Charts'!$B6)</f>
        <v>57.514150000000001</v>
      </c>
      <c r="O6" s="48">
        <f>SUMIFS('Combined P&amp;L'!S:S,'Combined P&amp;L'!$C:$C,'Revenue Charts'!$B6)</f>
        <v>65.516000000000005</v>
      </c>
      <c r="P6" s="48">
        <f>SUMIFS('Combined P&amp;L'!T:T,'Combined P&amp;L'!$C:$C,'Revenue Charts'!$B6)</f>
        <v>68.28125</v>
      </c>
      <c r="Q6" s="48">
        <f>SUMIFS('Combined P&amp;L'!U:U,'Combined P&amp;L'!$C:$C,'Revenue Charts'!$B6)</f>
        <v>73.251350000000002</v>
      </c>
      <c r="R6" s="48">
        <f>SUMIFS('Combined P&amp;L'!V:V,'Combined P&amp;L'!$C:$C,'Revenue Charts'!$B6)</f>
        <v>75.551699999999997</v>
      </c>
      <c r="S6" s="48">
        <f>SUMIFS('Combined P&amp;L'!W:W,'Combined P&amp;L'!$C:$C,'Revenue Charts'!$B6)</f>
        <v>79.113249999999994</v>
      </c>
      <c r="T6" s="48">
        <f>SUMIFS('Combined P&amp;L'!X:X,'Combined P&amp;L'!$C:$C,'Revenue Charts'!$B6)</f>
        <v>83.290800000000004</v>
      </c>
      <c r="U6" s="48">
        <f>SUMIFS('Combined P&amp;L'!Y:Y,'Combined P&amp;L'!$C:$C,'Revenue Charts'!$B6)</f>
        <v>89.584550000000007</v>
      </c>
      <c r="V6" s="48">
        <f>SUMIFS('Combined P&amp;L'!Z:Z,'Combined P&amp;L'!$C:$C,'Revenue Charts'!$B6)</f>
        <v>92.418899999999994</v>
      </c>
      <c r="W6" s="48">
        <f>SUMIFS('Combined P&amp;L'!AA:AA,'Combined P&amp;L'!$C:$C,'Revenue Charts'!$B6)</f>
        <v>94.00215</v>
      </c>
      <c r="X6" s="48">
        <f>SUMIFS('Combined P&amp;L'!AB:AB,'Combined P&amp;L'!$C:$C,'Revenue Charts'!$B6)</f>
        <v>101.50605</v>
      </c>
      <c r="Y6" s="48">
        <f>SUMIFS('Combined P&amp;L'!AC:AC,'Combined P&amp;L'!$C:$C,'Revenue Charts'!$B6)</f>
        <v>106.1375</v>
      </c>
      <c r="Z6" s="48">
        <f>SUMIFS('Combined P&amp;L'!AD:AD,'Combined P&amp;L'!$C:$C,'Revenue Charts'!$B6)</f>
        <v>115.93875</v>
      </c>
      <c r="AA6" s="48">
        <f>SUMIFS('Combined P&amp;L'!AE:AE,'Combined P&amp;L'!$C:$C,'Revenue Charts'!$B6)</f>
        <v>119.43125000000001</v>
      </c>
      <c r="AB6" s="48">
        <f>SUMIFS('Combined P&amp;L'!AF:AF,'Combined P&amp;L'!$C:$C,'Revenue Charts'!$B6)</f>
        <v>122.09399999999999</v>
      </c>
      <c r="AC6" s="48">
        <f>SUMIFS('Combined P&amp;L'!AG:AG,'Combined P&amp;L'!$C:$C,'Revenue Charts'!$B6)</f>
        <v>130.08525</v>
      </c>
      <c r="AD6" s="48">
        <f>SUMIFS('Combined P&amp;L'!AH:AH,'Combined P&amp;L'!$C:$C,'Revenue Charts'!$B6)</f>
        <v>133.59049999999999</v>
      </c>
      <c r="AE6" s="48">
        <f>SUMIFS('Combined P&amp;L'!AI:AI,'Combined P&amp;L'!$C:$C,'Revenue Charts'!$B6)</f>
        <v>139.60900000000001</v>
      </c>
      <c r="AF6" s="48">
        <f>SUMIFS('Combined P&amp;L'!AJ:AJ,'Combined P&amp;L'!$C:$C,'Revenue Charts'!$B6)</f>
        <v>145.28075000000001</v>
      </c>
      <c r="AG6" s="48">
        <f>SUMIFS('Combined P&amp;L'!AK:AK,'Combined P&amp;L'!$C:$C,'Revenue Charts'!$B6)</f>
        <v>150.39824999999999</v>
      </c>
      <c r="AH6" s="48">
        <f>SUMIFS('Combined P&amp;L'!AL:AL,'Combined P&amp;L'!$C:$C,'Revenue Charts'!$B6)</f>
        <v>156.53879999999998</v>
      </c>
      <c r="AI6" s="48">
        <f>SUMIFS('Combined P&amp;L'!AM:AM,'Combined P&amp;L'!$C:$C,'Revenue Charts'!$B6)</f>
        <v>164.9034</v>
      </c>
      <c r="AJ6" s="48">
        <f>SUMIFS('Combined P&amp;L'!AN:AN,'Combined P&amp;L'!$C:$C,'Revenue Charts'!$B6)</f>
        <v>170.34424999999999</v>
      </c>
      <c r="AK6" s="48">
        <f>SUMIFS('Combined P&amp;L'!AO:AO,'Combined P&amp;L'!$C:$C,'Revenue Charts'!$B6)</f>
        <v>183.66200000000001</v>
      </c>
      <c r="AL6" s="48">
        <f>SUMIFS('Combined P&amp;L'!AP:AP,'Combined P&amp;L'!$C:$C,'Revenue Charts'!$B6)</f>
        <v>190.78440000000001</v>
      </c>
      <c r="AM6" s="48">
        <f>SUMIFS('Combined P&amp;L'!AQ:AQ,'Combined P&amp;L'!$C:$C,'Revenue Charts'!$B6)</f>
        <v>194.40649999999999</v>
      </c>
      <c r="AN6" s="48">
        <f>SUMIFS('Combined P&amp;L'!AR:AR,'Combined P&amp;L'!$C:$C,'Revenue Charts'!$B6)</f>
        <v>200.83750000000001</v>
      </c>
    </row>
    <row r="7" spans="2:40" x14ac:dyDescent="0.2">
      <c r="B7" s="19" t="s">
        <v>275</v>
      </c>
      <c r="C7" s="24">
        <f t="shared" si="1"/>
        <v>90.452500000000001</v>
      </c>
      <c r="D7" s="24">
        <f t="shared" si="1"/>
        <v>73.418499999999995</v>
      </c>
      <c r="E7" s="24"/>
      <c r="F7" s="24">
        <f t="shared" si="2"/>
        <v>174.62999999999997</v>
      </c>
      <c r="G7" s="24">
        <f t="shared" si="2"/>
        <v>135.298</v>
      </c>
      <c r="H7" s="65">
        <f>+'Revenue Analysis'!E9</f>
        <v>119.706</v>
      </c>
      <c r="I7" s="53"/>
      <c r="J7" s="54">
        <f>SUMIFS('Combined P&amp;L'!N:N,'Combined P&amp;L'!$C:$C,'Revenue Charts'!$B7)</f>
        <v>22.001000000000001</v>
      </c>
      <c r="K7" s="54">
        <f>SUMIFS('Combined P&amp;L'!O:O,'Combined P&amp;L'!$C:$C,'Revenue Charts'!$B7)</f>
        <v>22.036000000000001</v>
      </c>
      <c r="L7" s="54">
        <f>SUMIFS('Combined P&amp;L'!P:P,'Combined P&amp;L'!$C:$C,'Revenue Charts'!$B7)</f>
        <v>22.111000000000001</v>
      </c>
      <c r="M7" s="54">
        <f>SUMIFS('Combined P&amp;L'!Q:Q,'Combined P&amp;L'!$C:$C,'Revenue Charts'!$B7)</f>
        <v>22.146000000000001</v>
      </c>
      <c r="N7" s="54">
        <f>SUMIFS('Combined P&amp;L'!R:R,'Combined P&amp;L'!$C:$C,'Revenue Charts'!$B7)</f>
        <v>21.966000000000001</v>
      </c>
      <c r="O7" s="54">
        <f>SUMIFS('Combined P&amp;L'!S:S,'Combined P&amp;L'!$C:$C,'Revenue Charts'!$B7)</f>
        <v>17.815999999999999</v>
      </c>
      <c r="P7" s="54">
        <f>SUMIFS('Combined P&amp;L'!T:T,'Combined P&amp;L'!$C:$C,'Revenue Charts'!$B7)</f>
        <v>17.620999999999999</v>
      </c>
      <c r="Q7" s="54">
        <f>SUMIFS('Combined P&amp;L'!U:U,'Combined P&amp;L'!$C:$C,'Revenue Charts'!$B7)</f>
        <v>17.536000000000001</v>
      </c>
      <c r="R7" s="54">
        <f>SUMIFS('Combined P&amp;L'!V:V,'Combined P&amp;L'!$C:$C,'Revenue Charts'!$B7)</f>
        <v>16.425999999999998</v>
      </c>
      <c r="S7" s="54">
        <f>SUMIFS('Combined P&amp;L'!W:W,'Combined P&amp;L'!$C:$C,'Revenue Charts'!$B7)</f>
        <v>15.381</v>
      </c>
      <c r="T7" s="54">
        <f>SUMIFS('Combined P&amp;L'!X:X,'Combined P&amp;L'!$C:$C,'Revenue Charts'!$B7)</f>
        <v>14.6755</v>
      </c>
      <c r="U7" s="54">
        <f>SUMIFS('Combined P&amp;L'!Y:Y,'Combined P&amp;L'!$C:$C,'Revenue Charts'!$B7)</f>
        <v>15.0755</v>
      </c>
      <c r="V7" s="54">
        <f>SUMIFS('Combined P&amp;L'!Z:Z,'Combined P&amp;L'!$C:$C,'Revenue Charts'!$B7)</f>
        <v>14.5625</v>
      </c>
      <c r="W7" s="54">
        <f>SUMIFS('Combined P&amp;L'!AA:AA,'Combined P&amp;L'!$C:$C,'Revenue Charts'!$B7)</f>
        <v>12.8025</v>
      </c>
      <c r="X7" s="54">
        <f>SUMIFS('Combined P&amp;L'!AB:AB,'Combined P&amp;L'!$C:$C,'Revenue Charts'!$B7)</f>
        <v>12.4025</v>
      </c>
      <c r="Y7" s="54">
        <f>SUMIFS('Combined P&amp;L'!AC:AC,'Combined P&amp;L'!$C:$C,'Revenue Charts'!$B7)</f>
        <v>12.602499999999999</v>
      </c>
      <c r="Z7" s="54">
        <f>SUMIFS('Combined P&amp;L'!AD:AD,'Combined P&amp;L'!$C:$C,'Revenue Charts'!$B7)</f>
        <v>12.7525</v>
      </c>
      <c r="AA7" s="54">
        <f>SUMIFS('Combined P&amp;L'!AE:AE,'Combined P&amp;L'!$C:$C,'Revenue Charts'!$B7)</f>
        <v>12.7925</v>
      </c>
      <c r="AB7" s="54">
        <f>SUMIFS('Combined P&amp;L'!AF:AF,'Combined P&amp;L'!$C:$C,'Revenue Charts'!$B7)</f>
        <v>12.5375</v>
      </c>
      <c r="AC7" s="54">
        <f>SUMIFS('Combined P&amp;L'!AG:AG,'Combined P&amp;L'!$C:$C,'Revenue Charts'!$B7)</f>
        <v>11.8575</v>
      </c>
      <c r="AD7" s="54">
        <f>SUMIFS('Combined P&amp;L'!AH:AH,'Combined P&amp;L'!$C:$C,'Revenue Charts'!$B7)</f>
        <v>12.3025</v>
      </c>
      <c r="AE7" s="54">
        <f>SUMIFS('Combined P&amp;L'!AI:AI,'Combined P&amp;L'!$C:$C,'Revenue Charts'!$B7)</f>
        <v>11.692500000000001</v>
      </c>
      <c r="AF7" s="54">
        <f>SUMIFS('Combined P&amp;L'!AJ:AJ,'Combined P&amp;L'!$C:$C,'Revenue Charts'!$B7)</f>
        <v>11.717499999999999</v>
      </c>
      <c r="AG7" s="54">
        <f>SUMIFS('Combined P&amp;L'!AK:AK,'Combined P&amp;L'!$C:$C,'Revenue Charts'!$B7)</f>
        <v>11.7475</v>
      </c>
      <c r="AH7" s="54">
        <f>SUMIFS('Combined P&amp;L'!AL:AL,'Combined P&amp;L'!$C:$C,'Revenue Charts'!$B7)</f>
        <v>11.2805</v>
      </c>
      <c r="AI7" s="54">
        <f>SUMIFS('Combined P&amp;L'!AM:AM,'Combined P&amp;L'!$C:$C,'Revenue Charts'!$B7)</f>
        <v>10.9305</v>
      </c>
      <c r="AJ7" s="54">
        <f>SUMIFS('Combined P&amp;L'!AN:AN,'Combined P&amp;L'!$C:$C,'Revenue Charts'!$B7)</f>
        <v>10.625500000000001</v>
      </c>
      <c r="AK7" s="54">
        <f>SUMIFS('Combined P&amp;L'!AO:AO,'Combined P&amp;L'!$C:$C,'Revenue Charts'!$B7)</f>
        <v>10.3155</v>
      </c>
      <c r="AL7" s="54">
        <f>SUMIFS('Combined P&amp;L'!AP:AP,'Combined P&amp;L'!$C:$C,'Revenue Charts'!$B7)</f>
        <v>10.3155</v>
      </c>
      <c r="AM7" s="54">
        <f>SUMIFS('Combined P&amp;L'!AQ:AQ,'Combined P&amp;L'!$C:$C,'Revenue Charts'!$B7)</f>
        <v>9.9755000000000003</v>
      </c>
      <c r="AN7" s="54">
        <f>SUMIFS('Combined P&amp;L'!AR:AR,'Combined P&amp;L'!$C:$C,'Revenue Charts'!$B7)</f>
        <v>9.9755000000000003</v>
      </c>
    </row>
    <row r="8" spans="2:40" x14ac:dyDescent="0.2">
      <c r="B8" s="81" t="s">
        <v>25</v>
      </c>
      <c r="C8" s="24">
        <f t="shared" si="1"/>
        <v>23.225500000000004</v>
      </c>
      <c r="D8" s="24">
        <f t="shared" si="1"/>
        <v>91.651139999999998</v>
      </c>
      <c r="E8" s="24"/>
      <c r="F8" s="24">
        <f t="shared" si="2"/>
        <v>18.727000000000004</v>
      </c>
      <c r="G8" s="24">
        <f t="shared" si="2"/>
        <v>112.49548999999999</v>
      </c>
      <c r="H8" s="65">
        <f>+'Revenue Analysis'!E10</f>
        <v>192.82980000000001</v>
      </c>
      <c r="I8" s="53"/>
      <c r="J8" s="54">
        <f>SUMIFS('Combined P&amp;L'!N:N,'Combined P&amp;L'!$C:$C,'Revenue Charts'!$B8)</f>
        <v>0</v>
      </c>
      <c r="K8" s="54">
        <f>SUMIFS('Combined P&amp;L'!O:O,'Combined P&amp;L'!$C:$C,'Revenue Charts'!$B8)</f>
        <v>0</v>
      </c>
      <c r="L8" s="54">
        <f>SUMIFS('Combined P&amp;L'!P:P,'Combined P&amp;L'!$C:$C,'Revenue Charts'!$B8)</f>
        <v>0</v>
      </c>
      <c r="M8" s="54">
        <f>SUMIFS('Combined P&amp;L'!Q:Q,'Combined P&amp;L'!$C:$C,'Revenue Charts'!$B8)</f>
        <v>0</v>
      </c>
      <c r="N8" s="54">
        <f>SUMIFS('Combined P&amp;L'!R:R,'Combined P&amp;L'!$C:$C,'Revenue Charts'!$B8)</f>
        <v>0</v>
      </c>
      <c r="O8" s="54">
        <f>SUMIFS('Combined P&amp;L'!S:S,'Combined P&amp;L'!$C:$C,'Revenue Charts'!$B8)</f>
        <v>0</v>
      </c>
      <c r="P8" s="54">
        <f>SUMIFS('Combined P&amp;L'!T:T,'Combined P&amp;L'!$C:$C,'Revenue Charts'!$B8)</f>
        <v>0</v>
      </c>
      <c r="Q8" s="54">
        <f>SUMIFS('Combined P&amp;L'!U:U,'Combined P&amp;L'!$C:$C,'Revenue Charts'!$B8)</f>
        <v>0</v>
      </c>
      <c r="R8" s="54">
        <f>SUMIFS('Combined P&amp;L'!V:V,'Combined P&amp;L'!$C:$C,'Revenue Charts'!$B8)</f>
        <v>0</v>
      </c>
      <c r="S8" s="54">
        <f>SUMIFS('Combined P&amp;L'!W:W,'Combined P&amp;L'!$C:$C,'Revenue Charts'!$B8)</f>
        <v>0</v>
      </c>
      <c r="T8" s="54">
        <f>SUMIFS('Combined P&amp;L'!X:X,'Combined P&amp;L'!$C:$C,'Revenue Charts'!$B8)</f>
        <v>0.08</v>
      </c>
      <c r="U8" s="54">
        <f>SUMIFS('Combined P&amp;L'!Y:Y,'Combined P&amp;L'!$C:$C,'Revenue Charts'!$B8)</f>
        <v>0.48</v>
      </c>
      <c r="V8" s="54">
        <f>SUMIFS('Combined P&amp;L'!Z:Z,'Combined P&amp;L'!$C:$C,'Revenue Charts'!$B8)</f>
        <v>1.1299999999999999</v>
      </c>
      <c r="W8" s="54">
        <f>SUMIFS('Combined P&amp;L'!AA:AA,'Combined P&amp;L'!$C:$C,'Revenue Charts'!$B8)</f>
        <v>2.14</v>
      </c>
      <c r="X8" s="54">
        <f>SUMIFS('Combined P&amp;L'!AB:AB,'Combined P&amp;L'!$C:$C,'Revenue Charts'!$B8)</f>
        <v>2.66</v>
      </c>
      <c r="Y8" s="54">
        <f>SUMIFS('Combined P&amp;L'!AC:AC,'Combined P&amp;L'!$C:$C,'Revenue Charts'!$B8)</f>
        <v>3.65</v>
      </c>
      <c r="Z8" s="54">
        <f>SUMIFS('Combined P&amp;L'!AD:AD,'Combined P&amp;L'!$C:$C,'Revenue Charts'!$B8)</f>
        <v>3.6230000000000002</v>
      </c>
      <c r="AA8" s="54">
        <f>SUMIFS('Combined P&amp;L'!AE:AE,'Combined P&amp;L'!$C:$C,'Revenue Charts'!$B8)</f>
        <v>4.9640000000000004</v>
      </c>
      <c r="AB8" s="54">
        <f>SUMIFS('Combined P&amp;L'!AF:AF,'Combined P&amp;L'!$C:$C,'Revenue Charts'!$B8)</f>
        <v>5.0585000000000004</v>
      </c>
      <c r="AC8" s="54">
        <f>SUMIFS('Combined P&amp;L'!AG:AG,'Combined P&amp;L'!$C:$C,'Revenue Charts'!$B8)</f>
        <v>4.7300000000000004</v>
      </c>
      <c r="AD8" s="54">
        <f>SUMIFS('Combined P&amp;L'!AH:AH,'Combined P&amp;L'!$C:$C,'Revenue Charts'!$B8)</f>
        <v>4.82</v>
      </c>
      <c r="AE8" s="54">
        <f>SUMIFS('Combined P&amp;L'!AI:AI,'Combined P&amp;L'!$C:$C,'Revenue Charts'!$B8)</f>
        <v>5.37</v>
      </c>
      <c r="AF8" s="54">
        <f>SUMIFS('Combined P&amp;L'!AJ:AJ,'Combined P&amp;L'!$C:$C,'Revenue Charts'!$B8)</f>
        <v>8.0500000000000007</v>
      </c>
      <c r="AG8" s="54">
        <f>SUMIFS('Combined P&amp;L'!AK:AK,'Combined P&amp;L'!$C:$C,'Revenue Charts'!$B8)</f>
        <v>8.8849999999999998</v>
      </c>
      <c r="AH8" s="54">
        <f>SUMIFS('Combined P&amp;L'!AL:AL,'Combined P&amp;L'!$C:$C,'Revenue Charts'!$B8)</f>
        <v>10.909520000000001</v>
      </c>
      <c r="AI8" s="54">
        <f>SUMIFS('Combined P&amp;L'!AM:AM,'Combined P&amp;L'!$C:$C,'Revenue Charts'!$B8)</f>
        <v>10.33497</v>
      </c>
      <c r="AJ8" s="54">
        <f>SUMIFS('Combined P&amp;L'!AN:AN,'Combined P&amp;L'!$C:$C,'Revenue Charts'!$B8)</f>
        <v>11.175000000000001</v>
      </c>
      <c r="AK8" s="54">
        <f>SUMIFS('Combined P&amp;L'!AO:AO,'Combined P&amp;L'!$C:$C,'Revenue Charts'!$B8)</f>
        <v>11.953110000000001</v>
      </c>
      <c r="AL8" s="54">
        <f>SUMIFS('Combined P&amp;L'!AP:AP,'Combined P&amp;L'!$C:$C,'Revenue Charts'!$B8)</f>
        <v>15.040709999999999</v>
      </c>
      <c r="AM8" s="54">
        <f>SUMIFS('Combined P&amp;L'!AQ:AQ,'Combined P&amp;L'!$C:$C,'Revenue Charts'!$B8)</f>
        <v>16.168680000000002</v>
      </c>
      <c r="AN8" s="54">
        <f>SUMIFS('Combined P&amp;L'!AR:AR,'Combined P&amp;L'!$C:$C,'Revenue Charts'!$B8)</f>
        <v>16.06915</v>
      </c>
    </row>
    <row r="9" spans="2:40" x14ac:dyDescent="0.2">
      <c r="B9" s="81" t="s">
        <v>20</v>
      </c>
      <c r="C9" s="24">
        <f t="shared" si="1"/>
        <v>42.254049999999999</v>
      </c>
      <c r="D9" s="24">
        <f t="shared" si="1"/>
        <v>59.055000000000007</v>
      </c>
      <c r="E9" s="24"/>
      <c r="F9" s="24">
        <f t="shared" si="2"/>
        <v>55.660549999999994</v>
      </c>
      <c r="G9" s="24">
        <f t="shared" si="2"/>
        <v>91.655749999999998</v>
      </c>
      <c r="H9" s="65">
        <f>+'Revenue Analysis'!E11</f>
        <v>0</v>
      </c>
      <c r="I9" s="53"/>
      <c r="J9" s="54">
        <f>SUMIFS('Combined P&amp;L'!N:N,'Combined P&amp;L'!$C:$C,'Revenue Charts'!$B9)</f>
        <v>5.4649999999999999</v>
      </c>
      <c r="K9" s="54">
        <f>SUMIFS('Combined P&amp;L'!O:O,'Combined P&amp;L'!$C:$C,'Revenue Charts'!$B9)</f>
        <v>3.9</v>
      </c>
      <c r="L9" s="54">
        <f>SUMIFS('Combined P&amp;L'!P:P,'Combined P&amp;L'!$C:$C,'Revenue Charts'!$B9)</f>
        <v>2.7549999999999999</v>
      </c>
      <c r="M9" s="54">
        <f>SUMIFS('Combined P&amp;L'!Q:Q,'Combined P&amp;L'!$C:$C,'Revenue Charts'!$B9)</f>
        <v>3.5019999999999998</v>
      </c>
      <c r="N9" s="54">
        <f>SUMIFS('Combined P&amp;L'!R:R,'Combined P&amp;L'!$C:$C,'Revenue Charts'!$B9)</f>
        <v>4.6589999999999998</v>
      </c>
      <c r="O9" s="54">
        <f>SUMIFS('Combined P&amp;L'!S:S,'Combined P&amp;L'!$C:$C,'Revenue Charts'!$B9)</f>
        <v>3.9369999999999998</v>
      </c>
      <c r="P9" s="54">
        <f>SUMIFS('Combined P&amp;L'!T:T,'Combined P&amp;L'!$C:$C,'Revenue Charts'!$B9)</f>
        <v>4.6020000000000003</v>
      </c>
      <c r="Q9" s="54">
        <f>SUMIFS('Combined P&amp;L'!U:U,'Combined P&amp;L'!$C:$C,'Revenue Charts'!$B9)</f>
        <v>4.7380000000000004</v>
      </c>
      <c r="R9" s="54">
        <f>SUMIFS('Combined P&amp;L'!V:V,'Combined P&amp;L'!$C:$C,'Revenue Charts'!$B9)</f>
        <v>2.1190000000000002</v>
      </c>
      <c r="S9" s="54">
        <f>SUMIFS('Combined P&amp;L'!W:W,'Combined P&amp;L'!$C:$C,'Revenue Charts'!$B9)</f>
        <v>2.0640000000000001</v>
      </c>
      <c r="T9" s="54">
        <f>SUMIFS('Combined P&amp;L'!X:X,'Combined P&amp;L'!$C:$C,'Revenue Charts'!$B9)</f>
        <v>3.0125000000000002</v>
      </c>
      <c r="U9" s="54">
        <f>SUMIFS('Combined P&amp;L'!Y:Y,'Combined P&amp;L'!$C:$C,'Revenue Charts'!$B9)</f>
        <v>3.3050000000000002</v>
      </c>
      <c r="V9" s="54">
        <f>SUMIFS('Combined P&amp;L'!Z:Z,'Combined P&amp;L'!$C:$C,'Revenue Charts'!$B9)</f>
        <v>3.0790000000000002</v>
      </c>
      <c r="W9" s="54">
        <f>SUMIFS('Combined P&amp;L'!AA:AA,'Combined P&amp;L'!$C:$C,'Revenue Charts'!$B9)</f>
        <v>0.7</v>
      </c>
      <c r="X9" s="54">
        <f>SUMIFS('Combined P&amp;L'!AB:AB,'Combined P&amp;L'!$C:$C,'Revenue Charts'!$B9)</f>
        <v>10.438549999999999</v>
      </c>
      <c r="Y9" s="54">
        <f>SUMIFS('Combined P&amp;L'!AC:AC,'Combined P&amp;L'!$C:$C,'Revenue Charts'!$B9)</f>
        <v>4.3</v>
      </c>
      <c r="Z9" s="54">
        <f>SUMIFS('Combined P&amp;L'!AD:AD,'Combined P&amp;L'!$C:$C,'Revenue Charts'!$B9)</f>
        <v>11.14</v>
      </c>
      <c r="AA9" s="54">
        <f>SUMIFS('Combined P&amp;L'!AE:AE,'Combined P&amp;L'!$C:$C,'Revenue Charts'!$B9)</f>
        <v>6.1624999999999996</v>
      </c>
      <c r="AB9" s="54">
        <f>SUMIFS('Combined P&amp;L'!AF:AF,'Combined P&amp;L'!$C:$C,'Revenue Charts'!$B9)</f>
        <v>6.4340000000000002</v>
      </c>
      <c r="AC9" s="54">
        <f>SUMIFS('Combined P&amp;L'!AG:AG,'Combined P&amp;L'!$C:$C,'Revenue Charts'!$B9)</f>
        <v>3.9649999999999999</v>
      </c>
      <c r="AD9" s="54">
        <f>SUMIFS('Combined P&amp;L'!AH:AH,'Combined P&amp;L'!$C:$C,'Revenue Charts'!$B9)</f>
        <v>3.92</v>
      </c>
      <c r="AE9" s="54">
        <f>SUMIFS('Combined P&amp;L'!AI:AI,'Combined P&amp;L'!$C:$C,'Revenue Charts'!$B9)</f>
        <v>9.1364999999999998</v>
      </c>
      <c r="AF9" s="54">
        <f>SUMIFS('Combined P&amp;L'!AJ:AJ,'Combined P&amp;L'!$C:$C,'Revenue Charts'!$B9)</f>
        <v>5.2537500000000001</v>
      </c>
      <c r="AG9" s="54">
        <f>SUMIFS('Combined P&amp;L'!AK:AK,'Combined P&amp;L'!$C:$C,'Revenue Charts'!$B9)</f>
        <v>9.99</v>
      </c>
      <c r="AH9" s="54">
        <f>SUMIFS('Combined P&amp;L'!AL:AL,'Combined P&amp;L'!$C:$C,'Revenue Charts'!$B9)</f>
        <v>10.2105</v>
      </c>
      <c r="AI9" s="54">
        <f>SUMIFS('Combined P&amp;L'!AM:AM,'Combined P&amp;L'!$C:$C,'Revenue Charts'!$B9)</f>
        <v>6.6749999999999998</v>
      </c>
      <c r="AJ9" s="54">
        <f>SUMIFS('Combined P&amp;L'!AN:AN,'Combined P&amp;L'!$C:$C,'Revenue Charts'!$B9)</f>
        <v>9.0990000000000002</v>
      </c>
      <c r="AK9" s="54">
        <f>SUMIFS('Combined P&amp;L'!AO:AO,'Combined P&amp;L'!$C:$C,'Revenue Charts'!$B9)</f>
        <v>8.9544999999999995</v>
      </c>
      <c r="AL9" s="54">
        <f>SUMIFS('Combined P&amp;L'!AP:AP,'Combined P&amp;L'!$C:$C,'Revenue Charts'!$B9)</f>
        <v>12.606</v>
      </c>
      <c r="AM9" s="54">
        <f>SUMIFS('Combined P&amp;L'!AQ:AQ,'Combined P&amp;L'!$C:$C,'Revenue Charts'!$B9)</f>
        <v>5.4115000000000002</v>
      </c>
      <c r="AN9" s="54">
        <f>SUMIFS('Combined P&amp;L'!AR:AR,'Combined P&amp;L'!$C:$C,'Revenue Charts'!$B9)</f>
        <v>6.0984999999999996</v>
      </c>
    </row>
    <row r="10" spans="2:40" x14ac:dyDescent="0.2">
      <c r="B10" s="19" t="s">
        <v>26</v>
      </c>
      <c r="C10" s="24">
        <f t="shared" si="1"/>
        <v>15.4915</v>
      </c>
      <c r="D10" s="24">
        <f t="shared" si="1"/>
        <v>45.129999999999995</v>
      </c>
      <c r="E10" s="24"/>
      <c r="F10" s="24">
        <f t="shared" si="2"/>
        <v>11.631500000000001</v>
      </c>
      <c r="G10" s="24">
        <f t="shared" si="2"/>
        <v>63.209999999999994</v>
      </c>
      <c r="H10" s="65">
        <f>+'Revenue Analysis'!E12</f>
        <v>83.460000000000008</v>
      </c>
      <c r="I10" s="53"/>
      <c r="J10" s="54">
        <f>SUMIFS('Combined P&amp;L'!N:N,'Combined P&amp;L'!$C:$C,'Revenue Charts'!$B10)</f>
        <v>0</v>
      </c>
      <c r="K10" s="54">
        <f>SUMIFS('Combined P&amp;L'!O:O,'Combined P&amp;L'!$C:$C,'Revenue Charts'!$B10)</f>
        <v>0</v>
      </c>
      <c r="L10" s="54">
        <f>SUMIFS('Combined P&amp;L'!P:P,'Combined P&amp;L'!$C:$C,'Revenue Charts'!$B10)</f>
        <v>0</v>
      </c>
      <c r="M10" s="54">
        <f>SUMIFS('Combined P&amp;L'!Q:Q,'Combined P&amp;L'!$C:$C,'Revenue Charts'!$B10)</f>
        <v>0</v>
      </c>
      <c r="N10" s="54">
        <f>SUMIFS('Combined P&amp;L'!R:R,'Combined P&amp;L'!$C:$C,'Revenue Charts'!$B10)</f>
        <v>0</v>
      </c>
      <c r="O10" s="54">
        <f>SUMIFS('Combined P&amp;L'!S:S,'Combined P&amp;L'!$C:$C,'Revenue Charts'!$B10)</f>
        <v>0</v>
      </c>
      <c r="P10" s="54">
        <f>SUMIFS('Combined P&amp;L'!T:T,'Combined P&amp;L'!$C:$C,'Revenue Charts'!$B10)</f>
        <v>0</v>
      </c>
      <c r="Q10" s="54">
        <f>SUMIFS('Combined P&amp;L'!U:U,'Combined P&amp;L'!$C:$C,'Revenue Charts'!$B10)</f>
        <v>0</v>
      </c>
      <c r="R10" s="54">
        <f>SUMIFS('Combined P&amp;L'!V:V,'Combined P&amp;L'!$C:$C,'Revenue Charts'!$B10)</f>
        <v>0</v>
      </c>
      <c r="S10" s="54">
        <f>SUMIFS('Combined P&amp;L'!W:W,'Combined P&amp;L'!$C:$C,'Revenue Charts'!$B10)</f>
        <v>0</v>
      </c>
      <c r="T10" s="54">
        <f>SUMIFS('Combined P&amp;L'!X:X,'Combined P&amp;L'!$C:$C,'Revenue Charts'!$B10)</f>
        <v>0</v>
      </c>
      <c r="U10" s="54">
        <f>SUMIFS('Combined P&amp;L'!Y:Y,'Combined P&amp;L'!$C:$C,'Revenue Charts'!$B10)</f>
        <v>0.06</v>
      </c>
      <c r="V10" s="54">
        <f>SUMIFS('Combined P&amp;L'!Z:Z,'Combined P&amp;L'!$C:$C,'Revenue Charts'!$B10)</f>
        <v>0.97</v>
      </c>
      <c r="W10" s="54">
        <f>SUMIFS('Combined P&amp;L'!AA:AA,'Combined P&amp;L'!$C:$C,'Revenue Charts'!$B10)</f>
        <v>1.1000000000000001</v>
      </c>
      <c r="X10" s="54">
        <f>SUMIFS('Combined P&amp;L'!AB:AB,'Combined P&amp;L'!$C:$C,'Revenue Charts'!$B10)</f>
        <v>1.7350000000000001</v>
      </c>
      <c r="Y10" s="54">
        <f>SUMIFS('Combined P&amp;L'!AC:AC,'Combined P&amp;L'!$C:$C,'Revenue Charts'!$B10)</f>
        <v>2.14</v>
      </c>
      <c r="Z10" s="54">
        <f>SUMIFS('Combined P&amp;L'!AD:AD,'Combined P&amp;L'!$C:$C,'Revenue Charts'!$B10)</f>
        <v>2.363</v>
      </c>
      <c r="AA10" s="54">
        <f>SUMIFS('Combined P&amp;L'!AE:AE,'Combined P&amp;L'!$C:$C,'Revenue Charts'!$B10)</f>
        <v>3.2635000000000001</v>
      </c>
      <c r="AB10" s="54">
        <f>SUMIFS('Combined P&amp;L'!AF:AF,'Combined P&amp;L'!$C:$C,'Revenue Charts'!$B10)</f>
        <v>3.92</v>
      </c>
      <c r="AC10" s="54">
        <f>SUMIFS('Combined P&amp;L'!AG:AG,'Combined P&amp;L'!$C:$C,'Revenue Charts'!$B10)</f>
        <v>3.9049999999999998</v>
      </c>
      <c r="AD10" s="54">
        <f>SUMIFS('Combined P&amp;L'!AH:AH,'Combined P&amp;L'!$C:$C,'Revenue Charts'!$B10)</f>
        <v>3.78</v>
      </c>
      <c r="AE10" s="54">
        <f>SUMIFS('Combined P&amp;L'!AI:AI,'Combined P&amp;L'!$C:$C,'Revenue Charts'!$B10)</f>
        <v>3.7949999999999999</v>
      </c>
      <c r="AF10" s="54">
        <f>SUMIFS('Combined P&amp;L'!AJ:AJ,'Combined P&amp;L'!$C:$C,'Revenue Charts'!$B10)</f>
        <v>4.33</v>
      </c>
      <c r="AG10" s="54">
        <f>SUMIFS('Combined P&amp;L'!AK:AK,'Combined P&amp;L'!$C:$C,'Revenue Charts'!$B10)</f>
        <v>5.3049999999999997</v>
      </c>
      <c r="AH10" s="54">
        <f>SUMIFS('Combined P&amp;L'!AL:AL,'Combined P&amp;L'!$C:$C,'Revenue Charts'!$B10)</f>
        <v>6.3</v>
      </c>
      <c r="AI10" s="54">
        <f>SUMIFS('Combined P&amp;L'!AM:AM,'Combined P&amp;L'!$C:$C,'Revenue Charts'!$B10)</f>
        <v>6.39</v>
      </c>
      <c r="AJ10" s="54">
        <f>SUMIFS('Combined P&amp;L'!AN:AN,'Combined P&amp;L'!$C:$C,'Revenue Charts'!$B10)</f>
        <v>6.4249999999999998</v>
      </c>
      <c r="AK10" s="54">
        <f>SUMIFS('Combined P&amp;L'!AO:AO,'Combined P&amp;L'!$C:$C,'Revenue Charts'!$B10)</f>
        <v>6.08</v>
      </c>
      <c r="AL10" s="54">
        <f>SUMIFS('Combined P&amp;L'!AP:AP,'Combined P&amp;L'!$C:$C,'Revenue Charts'!$B10)</f>
        <v>6.3250000000000002</v>
      </c>
      <c r="AM10" s="54">
        <f>SUMIFS('Combined P&amp;L'!AQ:AQ,'Combined P&amp;L'!$C:$C,'Revenue Charts'!$B10)</f>
        <v>6.6550000000000002</v>
      </c>
      <c r="AN10" s="54">
        <f>SUMIFS('Combined P&amp;L'!AR:AR,'Combined P&amp;L'!$C:$C,'Revenue Charts'!$B10)</f>
        <v>6.9550000000000001</v>
      </c>
    </row>
    <row r="11" spans="2:40" x14ac:dyDescent="0.2">
      <c r="B11" s="19" t="s">
        <v>28</v>
      </c>
      <c r="C11" s="24">
        <f t="shared" si="1"/>
        <v>0</v>
      </c>
      <c r="D11" s="24">
        <f t="shared" si="1"/>
        <v>45.085999999999991</v>
      </c>
      <c r="E11" s="24"/>
      <c r="F11" s="24">
        <f t="shared" si="2"/>
        <v>0</v>
      </c>
      <c r="G11" s="24">
        <f t="shared" si="2"/>
        <v>47.129999999999995</v>
      </c>
      <c r="H11" s="65">
        <f>+'Revenue Analysis'!E13</f>
        <v>94.835999999999999</v>
      </c>
      <c r="I11" s="53"/>
      <c r="J11" s="54">
        <f>SUMIFS('Combined P&amp;L'!N:N,'Combined P&amp;L'!$C:$C,'Revenue Charts'!$B11)</f>
        <v>0</v>
      </c>
      <c r="K11" s="54">
        <f>SUMIFS('Combined P&amp;L'!O:O,'Combined P&amp;L'!$C:$C,'Revenue Charts'!$B11)</f>
        <v>0</v>
      </c>
      <c r="L11" s="54">
        <f>SUMIFS('Combined P&amp;L'!P:P,'Combined P&amp;L'!$C:$C,'Revenue Charts'!$B11)</f>
        <v>0</v>
      </c>
      <c r="M11" s="54">
        <f>SUMIFS('Combined P&amp;L'!Q:Q,'Combined P&amp;L'!$C:$C,'Revenue Charts'!$B11)</f>
        <v>0</v>
      </c>
      <c r="N11" s="54">
        <f>SUMIFS('Combined P&amp;L'!R:R,'Combined P&amp;L'!$C:$C,'Revenue Charts'!$B11)</f>
        <v>0</v>
      </c>
      <c r="O11" s="54">
        <f>SUMIFS('Combined P&amp;L'!S:S,'Combined P&amp;L'!$C:$C,'Revenue Charts'!$B11)</f>
        <v>0</v>
      </c>
      <c r="P11" s="54">
        <f>SUMIFS('Combined P&amp;L'!T:T,'Combined P&amp;L'!$C:$C,'Revenue Charts'!$B11)</f>
        <v>0</v>
      </c>
      <c r="Q11" s="54">
        <f>SUMIFS('Combined P&amp;L'!U:U,'Combined P&amp;L'!$C:$C,'Revenue Charts'!$B11)</f>
        <v>0</v>
      </c>
      <c r="R11" s="54">
        <f>SUMIFS('Combined P&amp;L'!V:V,'Combined P&amp;L'!$C:$C,'Revenue Charts'!$B11)</f>
        <v>0</v>
      </c>
      <c r="S11" s="54">
        <f>SUMIFS('Combined P&amp;L'!W:W,'Combined P&amp;L'!$C:$C,'Revenue Charts'!$B11)</f>
        <v>0</v>
      </c>
      <c r="T11" s="54">
        <f>SUMIFS('Combined P&amp;L'!X:X,'Combined P&amp;L'!$C:$C,'Revenue Charts'!$B11)</f>
        <v>0</v>
      </c>
      <c r="U11" s="54">
        <f>SUMIFS('Combined P&amp;L'!Y:Y,'Combined P&amp;L'!$C:$C,'Revenue Charts'!$B11)</f>
        <v>0</v>
      </c>
      <c r="V11" s="54">
        <f>SUMIFS('Combined P&amp;L'!Z:Z,'Combined P&amp;L'!$C:$C,'Revenue Charts'!$B11)</f>
        <v>0</v>
      </c>
      <c r="W11" s="54">
        <f>SUMIFS('Combined P&amp;L'!AA:AA,'Combined P&amp;L'!$C:$C,'Revenue Charts'!$B11)</f>
        <v>0</v>
      </c>
      <c r="X11" s="54">
        <f>SUMIFS('Combined P&amp;L'!AB:AB,'Combined P&amp;L'!$C:$C,'Revenue Charts'!$B11)</f>
        <v>0</v>
      </c>
      <c r="Y11" s="54">
        <f>SUMIFS('Combined P&amp;L'!AC:AC,'Combined P&amp;L'!$C:$C,'Revenue Charts'!$B11)</f>
        <v>0</v>
      </c>
      <c r="Z11" s="54">
        <f>SUMIFS('Combined P&amp;L'!AD:AD,'Combined P&amp;L'!$C:$C,'Revenue Charts'!$B11)</f>
        <v>0</v>
      </c>
      <c r="AA11" s="54">
        <f>SUMIFS('Combined P&amp;L'!AE:AE,'Combined P&amp;L'!$C:$C,'Revenue Charts'!$B11)</f>
        <v>0</v>
      </c>
      <c r="AB11" s="54">
        <f>SUMIFS('Combined P&amp;L'!AF:AF,'Combined P&amp;L'!$C:$C,'Revenue Charts'!$B11)</f>
        <v>0</v>
      </c>
      <c r="AC11" s="54">
        <f>SUMIFS('Combined P&amp;L'!AG:AG,'Combined P&amp;L'!$C:$C,'Revenue Charts'!$B11)</f>
        <v>0</v>
      </c>
      <c r="AD11" s="54">
        <f>SUMIFS('Combined P&amp;L'!AH:AH,'Combined P&amp;L'!$C:$C,'Revenue Charts'!$B11)</f>
        <v>0.52</v>
      </c>
      <c r="AE11" s="54">
        <f>SUMIFS('Combined P&amp;L'!AI:AI,'Combined P&amp;L'!$C:$C,'Revenue Charts'!$B11)</f>
        <v>2.3570000000000002</v>
      </c>
      <c r="AF11" s="54">
        <f>SUMIFS('Combined P&amp;L'!AJ:AJ,'Combined P&amp;L'!$C:$C,'Revenue Charts'!$B11)</f>
        <v>2.8109999999999999</v>
      </c>
      <c r="AG11" s="54">
        <f>SUMIFS('Combined P&amp;L'!AK:AK,'Combined P&amp;L'!$C:$C,'Revenue Charts'!$B11)</f>
        <v>4.2590000000000003</v>
      </c>
      <c r="AH11" s="54">
        <f>SUMIFS('Combined P&amp;L'!AL:AL,'Combined P&amp;L'!$C:$C,'Revenue Charts'!$B11)</f>
        <v>5.2539999999999996</v>
      </c>
      <c r="AI11" s="54">
        <f>SUMIFS('Combined P&amp;L'!AM:AM,'Combined P&amp;L'!$C:$C,'Revenue Charts'!$B11)</f>
        <v>5.6520000000000001</v>
      </c>
      <c r="AJ11" s="54">
        <f>SUMIFS('Combined P&amp;L'!AN:AN,'Combined P&amp;L'!$C:$C,'Revenue Charts'!$B11)</f>
        <v>5.3239999999999998</v>
      </c>
      <c r="AK11" s="54">
        <f>SUMIFS('Combined P&amp;L'!AO:AO,'Combined P&amp;L'!$C:$C,'Revenue Charts'!$B11)</f>
        <v>6.3209999999999997</v>
      </c>
      <c r="AL11" s="54">
        <f>SUMIFS('Combined P&amp;L'!AP:AP,'Combined P&amp;L'!$C:$C,'Revenue Charts'!$B11)</f>
        <v>6.9589999999999996</v>
      </c>
      <c r="AM11" s="54">
        <f>SUMIFS('Combined P&amp;L'!AQ:AQ,'Combined P&amp;L'!$C:$C,'Revenue Charts'!$B11)</f>
        <v>7.673</v>
      </c>
      <c r="AN11" s="54">
        <f>SUMIFS('Combined P&amp;L'!AR:AR,'Combined P&amp;L'!$C:$C,'Revenue Charts'!$B11)</f>
        <v>7.9029999999999996</v>
      </c>
    </row>
    <row r="12" spans="2:40" x14ac:dyDescent="0.2">
      <c r="B12" s="81" t="s">
        <v>24</v>
      </c>
      <c r="C12" s="24">
        <f t="shared" si="1"/>
        <v>31.5</v>
      </c>
      <c r="D12" s="24">
        <f t="shared" si="1"/>
        <v>24.25</v>
      </c>
      <c r="E12" s="24"/>
      <c r="F12" s="24">
        <f t="shared" si="2"/>
        <v>41.25</v>
      </c>
      <c r="G12" s="24">
        <f t="shared" si="2"/>
        <v>39.65</v>
      </c>
      <c r="H12" s="65">
        <f>+'Revenue Analysis'!E14</f>
        <v>42</v>
      </c>
      <c r="I12" s="53"/>
      <c r="J12" s="54">
        <f>SUMIFS('Combined P&amp;L'!N:N,'Combined P&amp;L'!$C:$C,'Revenue Charts'!$B12)</f>
        <v>0</v>
      </c>
      <c r="K12" s="54">
        <f>SUMIFS('Combined P&amp;L'!O:O,'Combined P&amp;L'!$C:$C,'Revenue Charts'!$B12)</f>
        <v>0</v>
      </c>
      <c r="L12" s="54">
        <f>SUMIFS('Combined P&amp;L'!P:P,'Combined P&amp;L'!$C:$C,'Revenue Charts'!$B12)</f>
        <v>0</v>
      </c>
      <c r="M12" s="54">
        <f>SUMIFS('Combined P&amp;L'!Q:Q,'Combined P&amp;L'!$C:$C,'Revenue Charts'!$B12)</f>
        <v>0</v>
      </c>
      <c r="N12" s="54">
        <f>SUMIFS('Combined P&amp;L'!R:R,'Combined P&amp;L'!$C:$C,'Revenue Charts'!$B12)</f>
        <v>0</v>
      </c>
      <c r="O12" s="54">
        <f>SUMIFS('Combined P&amp;L'!S:S,'Combined P&amp;L'!$C:$C,'Revenue Charts'!$B12)</f>
        <v>0</v>
      </c>
      <c r="P12" s="54">
        <f>SUMIFS('Combined P&amp;L'!T:T,'Combined P&amp;L'!$C:$C,'Revenue Charts'!$B12)</f>
        <v>1.25</v>
      </c>
      <c r="Q12" s="54">
        <f>SUMIFS('Combined P&amp;L'!U:U,'Combined P&amp;L'!$C:$C,'Revenue Charts'!$B12)</f>
        <v>1.25</v>
      </c>
      <c r="R12" s="54">
        <f>SUMIFS('Combined P&amp;L'!V:V,'Combined P&amp;L'!$C:$C,'Revenue Charts'!$B12)</f>
        <v>1.25</v>
      </c>
      <c r="S12" s="54">
        <f>SUMIFS('Combined P&amp;L'!W:W,'Combined P&amp;L'!$C:$C,'Revenue Charts'!$B12)</f>
        <v>1.25</v>
      </c>
      <c r="T12" s="54">
        <f>SUMIFS('Combined P&amp;L'!X:X,'Combined P&amp;L'!$C:$C,'Revenue Charts'!$B12)</f>
        <v>5.75</v>
      </c>
      <c r="U12" s="54">
        <f>SUMIFS('Combined P&amp;L'!Y:Y,'Combined P&amp;L'!$C:$C,'Revenue Charts'!$B12)</f>
        <v>3</v>
      </c>
      <c r="V12" s="54">
        <f>SUMIFS('Combined P&amp;L'!Z:Z,'Combined P&amp;L'!$C:$C,'Revenue Charts'!$B12)</f>
        <v>4.45</v>
      </c>
      <c r="W12" s="54">
        <f>SUMIFS('Combined P&amp;L'!AA:AA,'Combined P&amp;L'!$C:$C,'Revenue Charts'!$B12)</f>
        <v>3.45</v>
      </c>
      <c r="X12" s="54">
        <f>SUMIFS('Combined P&amp;L'!AB:AB,'Combined P&amp;L'!$C:$C,'Revenue Charts'!$B12)</f>
        <v>3.45</v>
      </c>
      <c r="Y12" s="54">
        <f>SUMIFS('Combined P&amp;L'!AC:AC,'Combined P&amp;L'!$C:$C,'Revenue Charts'!$B12)</f>
        <v>5.95</v>
      </c>
      <c r="Z12" s="54">
        <f>SUMIFS('Combined P&amp;L'!AD:AD,'Combined P&amp;L'!$C:$C,'Revenue Charts'!$B12)</f>
        <v>5.2</v>
      </c>
      <c r="AA12" s="54">
        <f>SUMIFS('Combined P&amp;L'!AE:AE,'Combined P&amp;L'!$C:$C,'Revenue Charts'!$B12)</f>
        <v>5</v>
      </c>
      <c r="AB12" s="54">
        <f>SUMIFS('Combined P&amp;L'!AF:AF,'Combined P&amp;L'!$C:$C,'Revenue Charts'!$B12)</f>
        <v>4</v>
      </c>
      <c r="AC12" s="54">
        <f>SUMIFS('Combined P&amp;L'!AG:AG,'Combined P&amp;L'!$C:$C,'Revenue Charts'!$B12)</f>
        <v>2.95</v>
      </c>
      <c r="AD12" s="54">
        <f>SUMIFS('Combined P&amp;L'!AH:AH,'Combined P&amp;L'!$C:$C,'Revenue Charts'!$B12)</f>
        <v>3.0249999999999999</v>
      </c>
      <c r="AE12" s="54">
        <f>SUMIFS('Combined P&amp;L'!AI:AI,'Combined P&amp;L'!$C:$C,'Revenue Charts'!$B12)</f>
        <v>3.0249999999999999</v>
      </c>
      <c r="AF12" s="54">
        <f>SUMIFS('Combined P&amp;L'!AJ:AJ,'Combined P&amp;L'!$C:$C,'Revenue Charts'!$B12)</f>
        <v>2.95</v>
      </c>
      <c r="AG12" s="54">
        <f>SUMIFS('Combined P&amp;L'!AK:AK,'Combined P&amp;L'!$C:$C,'Revenue Charts'!$B12)</f>
        <v>2.95</v>
      </c>
      <c r="AH12" s="54">
        <f>SUMIFS('Combined P&amp;L'!AL:AL,'Combined P&amp;L'!$C:$C,'Revenue Charts'!$B12)</f>
        <v>2.75</v>
      </c>
      <c r="AI12" s="54">
        <f>SUMIFS('Combined P&amp;L'!AM:AM,'Combined P&amp;L'!$C:$C,'Revenue Charts'!$B12)</f>
        <v>3.5</v>
      </c>
      <c r="AJ12" s="54">
        <f>SUMIFS('Combined P&amp;L'!AN:AN,'Combined P&amp;L'!$C:$C,'Revenue Charts'!$B12)</f>
        <v>2.75</v>
      </c>
      <c r="AK12" s="54">
        <f>SUMIFS('Combined P&amp;L'!AO:AO,'Combined P&amp;L'!$C:$C,'Revenue Charts'!$B12)</f>
        <v>4.75</v>
      </c>
      <c r="AL12" s="54">
        <f>SUMIFS('Combined P&amp;L'!AP:AP,'Combined P&amp;L'!$C:$C,'Revenue Charts'!$B12)</f>
        <v>3.5</v>
      </c>
      <c r="AM12" s="54">
        <f>SUMIFS('Combined P&amp;L'!AQ:AQ,'Combined P&amp;L'!$C:$C,'Revenue Charts'!$B12)</f>
        <v>3.5</v>
      </c>
      <c r="AN12" s="54">
        <f>SUMIFS('Combined P&amp;L'!AR:AR,'Combined P&amp;L'!$C:$C,'Revenue Charts'!$B12)</f>
        <v>3.5</v>
      </c>
    </row>
    <row r="13" spans="2:40" x14ac:dyDescent="0.2">
      <c r="B13" s="81" t="s">
        <v>19</v>
      </c>
      <c r="C13" s="24">
        <f t="shared" si="1"/>
        <v>4.4387500000000006</v>
      </c>
      <c r="D13" s="24">
        <f t="shared" si="1"/>
        <v>0</v>
      </c>
      <c r="E13" s="24"/>
      <c r="F13" s="24">
        <f t="shared" si="2"/>
        <v>14.305250000000001</v>
      </c>
      <c r="G13" s="24">
        <f t="shared" si="2"/>
        <v>0.59499999999999997</v>
      </c>
      <c r="H13" s="65">
        <f>+'Revenue Analysis'!E15</f>
        <v>0</v>
      </c>
      <c r="I13" s="53"/>
      <c r="J13" s="54">
        <f>SUMIFS('Combined P&amp;L'!N:N,'Combined P&amp;L'!$C:$C,'Revenue Charts'!$B13)</f>
        <v>1.2</v>
      </c>
      <c r="K13" s="54">
        <f>SUMIFS('Combined P&amp;L'!O:O,'Combined P&amp;L'!$C:$C,'Revenue Charts'!$B13)</f>
        <v>1.7625</v>
      </c>
      <c r="L13" s="54">
        <f>SUMIFS('Combined P&amp;L'!P:P,'Combined P&amp;L'!$C:$C,'Revenue Charts'!$B13)</f>
        <v>0.66</v>
      </c>
      <c r="M13" s="54">
        <f>SUMIFS('Combined P&amp;L'!Q:Q,'Combined P&amp;L'!$C:$C,'Revenue Charts'!$B13)</f>
        <v>0.39500000000000002</v>
      </c>
      <c r="N13" s="54">
        <f>SUMIFS('Combined P&amp;L'!R:R,'Combined P&amp;L'!$C:$C,'Revenue Charts'!$B13)</f>
        <v>2.4649999999999999</v>
      </c>
      <c r="O13" s="54">
        <f>SUMIFS('Combined P&amp;L'!S:S,'Combined P&amp;L'!$C:$C,'Revenue Charts'!$B13)</f>
        <v>1.2749999999999999</v>
      </c>
      <c r="P13" s="54">
        <f>SUMIFS('Combined P&amp;L'!T:T,'Combined P&amp;L'!$C:$C,'Revenue Charts'!$B13)</f>
        <v>1.4624999999999999</v>
      </c>
      <c r="Q13" s="54">
        <f>SUMIFS('Combined P&amp;L'!U:U,'Combined P&amp;L'!$C:$C,'Revenue Charts'!$B13)</f>
        <v>0</v>
      </c>
      <c r="R13" s="54">
        <f>SUMIFS('Combined P&amp;L'!V:V,'Combined P&amp;L'!$C:$C,'Revenue Charts'!$B13)</f>
        <v>1.1452500000000001</v>
      </c>
      <c r="S13" s="54">
        <f>SUMIFS('Combined P&amp;L'!W:W,'Combined P&amp;L'!$C:$C,'Revenue Charts'!$B13)</f>
        <v>1.3552500000000001</v>
      </c>
      <c r="T13" s="54">
        <f>SUMIFS('Combined P&amp;L'!X:X,'Combined P&amp;L'!$C:$C,'Revenue Charts'!$B13)</f>
        <v>1.9035</v>
      </c>
      <c r="U13" s="54">
        <f>SUMIFS('Combined P&amp;L'!Y:Y,'Combined P&amp;L'!$C:$C,'Revenue Charts'!$B13)</f>
        <v>4</v>
      </c>
      <c r="V13" s="54">
        <f>SUMIFS('Combined P&amp;L'!Z:Z,'Combined P&amp;L'!$C:$C,'Revenue Charts'!$B13)</f>
        <v>1.08375</v>
      </c>
      <c r="W13" s="54">
        <f>SUMIFS('Combined P&amp;L'!AA:AA,'Combined P&amp;L'!$C:$C,'Revenue Charts'!$B13)</f>
        <v>2</v>
      </c>
      <c r="X13" s="54">
        <f>SUMIFS('Combined P&amp;L'!AB:AB,'Combined P&amp;L'!$C:$C,'Revenue Charts'!$B13)</f>
        <v>1.355</v>
      </c>
      <c r="Y13" s="54">
        <f>SUMIFS('Combined P&amp;L'!AC:AC,'Combined P&amp;L'!$C:$C,'Revenue Charts'!$B13)</f>
        <v>0</v>
      </c>
      <c r="Z13" s="54">
        <f>SUMIFS('Combined P&amp;L'!AD:AD,'Combined P&amp;L'!$C:$C,'Revenue Charts'!$B13)</f>
        <v>0</v>
      </c>
      <c r="AA13" s="54">
        <f>SUMIFS('Combined P&amp;L'!AE:AE,'Combined P&amp;L'!$C:$C,'Revenue Charts'!$B13)</f>
        <v>0</v>
      </c>
      <c r="AB13" s="54">
        <f>SUMIFS('Combined P&amp;L'!AF:AF,'Combined P&amp;L'!$C:$C,'Revenue Charts'!$B13)</f>
        <v>0</v>
      </c>
      <c r="AC13" s="54">
        <f>SUMIFS('Combined P&amp;L'!AG:AG,'Combined P&amp;L'!$C:$C,'Revenue Charts'!$B13)</f>
        <v>0</v>
      </c>
      <c r="AD13" s="54">
        <f>SUMIFS('Combined P&amp;L'!AH:AH,'Combined P&amp;L'!$C:$C,'Revenue Charts'!$B13)</f>
        <v>0</v>
      </c>
      <c r="AE13" s="54">
        <f>SUMIFS('Combined P&amp;L'!AI:AI,'Combined P&amp;L'!$C:$C,'Revenue Charts'!$B13)</f>
        <v>0.59499999999999997</v>
      </c>
      <c r="AF13" s="54">
        <f>SUMIFS('Combined P&amp;L'!AJ:AJ,'Combined P&amp;L'!$C:$C,'Revenue Charts'!$B13)</f>
        <v>0</v>
      </c>
      <c r="AG13" s="54">
        <f>SUMIFS('Combined P&amp;L'!AK:AK,'Combined P&amp;L'!$C:$C,'Revenue Charts'!$B13)</f>
        <v>0</v>
      </c>
      <c r="AH13" s="54">
        <f>SUMIFS('Combined P&amp;L'!AL:AL,'Combined P&amp;L'!$C:$C,'Revenue Charts'!$B13)</f>
        <v>0</v>
      </c>
      <c r="AI13" s="54">
        <f>SUMIFS('Combined P&amp;L'!AM:AM,'Combined P&amp;L'!$C:$C,'Revenue Charts'!$B13)</f>
        <v>0</v>
      </c>
      <c r="AJ13" s="54">
        <f>SUMIFS('Combined P&amp;L'!AN:AN,'Combined P&amp;L'!$C:$C,'Revenue Charts'!$B13)</f>
        <v>0</v>
      </c>
      <c r="AK13" s="54">
        <f>SUMIFS('Combined P&amp;L'!AO:AO,'Combined P&amp;L'!$C:$C,'Revenue Charts'!$B13)</f>
        <v>0</v>
      </c>
      <c r="AL13" s="54">
        <f>SUMIFS('Combined P&amp;L'!AP:AP,'Combined P&amp;L'!$C:$C,'Revenue Charts'!$B13)</f>
        <v>0</v>
      </c>
      <c r="AM13" s="54">
        <f>SUMIFS('Combined P&amp;L'!AQ:AQ,'Combined P&amp;L'!$C:$C,'Revenue Charts'!$B13)</f>
        <v>0</v>
      </c>
      <c r="AN13" s="54">
        <f>SUMIFS('Combined P&amp;L'!AR:AR,'Combined P&amp;L'!$C:$C,'Revenue Charts'!$B13)</f>
        <v>0</v>
      </c>
    </row>
    <row r="14" spans="2:40" x14ac:dyDescent="0.2">
      <c r="B14" s="61" t="s">
        <v>261</v>
      </c>
      <c r="C14" s="62">
        <f>SUM(C6:C13)</f>
        <v>958.89089999999987</v>
      </c>
      <c r="D14" s="62">
        <f>SUM(D6:D13)</f>
        <v>1600.0674900000001</v>
      </c>
      <c r="E14" s="80"/>
      <c r="F14" s="62">
        <f t="shared" ref="F14:H14" si="3">SUM(F6:F13)</f>
        <v>1414.7118</v>
      </c>
      <c r="G14" s="62">
        <f t="shared" si="3"/>
        <v>2371.7313399999998</v>
      </c>
      <c r="H14" s="62">
        <f t="shared" si="3"/>
        <v>2942.8818000000001</v>
      </c>
      <c r="I14" s="80"/>
      <c r="J14" s="62">
        <f t="shared" ref="J14:AN14" si="4">SUM(J6:J13)</f>
        <v>73.349500000000006</v>
      </c>
      <c r="K14" s="62">
        <f t="shared" si="4"/>
        <v>74.744500000000002</v>
      </c>
      <c r="L14" s="62">
        <f t="shared" si="4"/>
        <v>77.995999999999995</v>
      </c>
      <c r="M14" s="62">
        <f t="shared" si="4"/>
        <v>83.212699999999984</v>
      </c>
      <c r="N14" s="62">
        <f t="shared" si="4"/>
        <v>86.604150000000018</v>
      </c>
      <c r="O14" s="62">
        <f t="shared" si="4"/>
        <v>88.544000000000011</v>
      </c>
      <c r="P14" s="62">
        <f t="shared" si="4"/>
        <v>93.216750000000005</v>
      </c>
      <c r="Q14" s="62">
        <f t="shared" si="4"/>
        <v>96.775350000000003</v>
      </c>
      <c r="R14" s="62">
        <f t="shared" si="4"/>
        <v>96.491950000000003</v>
      </c>
      <c r="S14" s="62">
        <f t="shared" si="4"/>
        <v>99.163499999999985</v>
      </c>
      <c r="T14" s="62">
        <f t="shared" si="4"/>
        <v>108.7123</v>
      </c>
      <c r="U14" s="62">
        <f t="shared" si="4"/>
        <v>115.50505000000003</v>
      </c>
      <c r="V14" s="62">
        <f t="shared" si="4"/>
        <v>117.69414999999998</v>
      </c>
      <c r="W14" s="62">
        <f t="shared" si="4"/>
        <v>116.19465</v>
      </c>
      <c r="X14" s="62">
        <f t="shared" si="4"/>
        <v>133.5471</v>
      </c>
      <c r="Y14" s="62">
        <f t="shared" si="4"/>
        <v>134.78</v>
      </c>
      <c r="Z14" s="62">
        <f t="shared" si="4"/>
        <v>151.01724999999999</v>
      </c>
      <c r="AA14" s="62">
        <f t="shared" si="4"/>
        <v>151.61374999999998</v>
      </c>
      <c r="AB14" s="62">
        <f t="shared" si="4"/>
        <v>154.04399999999998</v>
      </c>
      <c r="AC14" s="62">
        <f t="shared" si="4"/>
        <v>157.49274999999997</v>
      </c>
      <c r="AD14" s="62">
        <f t="shared" si="4"/>
        <v>161.958</v>
      </c>
      <c r="AE14" s="62">
        <f t="shared" si="4"/>
        <v>175.58</v>
      </c>
      <c r="AF14" s="62">
        <f t="shared" si="4"/>
        <v>180.39300000000003</v>
      </c>
      <c r="AG14" s="62">
        <f t="shared" si="4"/>
        <v>193.53474999999997</v>
      </c>
      <c r="AH14" s="62">
        <f t="shared" si="4"/>
        <v>203.24331999999998</v>
      </c>
      <c r="AI14" s="62">
        <f t="shared" si="4"/>
        <v>208.38586999999998</v>
      </c>
      <c r="AJ14" s="62">
        <f t="shared" si="4"/>
        <v>215.74275</v>
      </c>
      <c r="AK14" s="62">
        <f t="shared" si="4"/>
        <v>232.03611000000004</v>
      </c>
      <c r="AL14" s="62">
        <f t="shared" si="4"/>
        <v>245.53060999999997</v>
      </c>
      <c r="AM14" s="62">
        <f t="shared" si="4"/>
        <v>243.79017999999999</v>
      </c>
      <c r="AN14" s="63">
        <f t="shared" si="4"/>
        <v>251.33865000000003</v>
      </c>
    </row>
    <row r="15" spans="2:40" ht="3.95" customHeight="1" x14ac:dyDescent="0.2"/>
    <row r="16" spans="2:40" x14ac:dyDescent="0.2">
      <c r="B16" s="81" t="s">
        <v>13</v>
      </c>
      <c r="C16" s="24">
        <f t="shared" ref="C16:D20" si="5">SUMIFS($J16:$AN16,$J$5:$AN$5,"&gt;"&amp;C$25,$J$5:$AN$5,"&lt;"&amp;C$26)</f>
        <v>23.49</v>
      </c>
      <c r="D16" s="24">
        <f t="shared" si="5"/>
        <v>38.701499999999996</v>
      </c>
      <c r="E16" s="24"/>
      <c r="F16" s="24">
        <f t="shared" ref="F16:G20" si="6">SUMIFS($J16:$AN16,$J$5:$AN$5,"&gt;"&amp;F$25,$J$5:$AN$5,"&lt;"&amp;F$26)</f>
        <v>23.52</v>
      </c>
      <c r="G16" s="24">
        <f t="shared" si="6"/>
        <v>38.761499999999998</v>
      </c>
      <c r="H16" s="65">
        <f>+'Revenue Analysis'!E18</f>
        <v>0</v>
      </c>
      <c r="I16" s="53"/>
      <c r="J16" s="54">
        <f>SUMIFS('Combined P&amp;L'!N:N,'Combined P&amp;L'!$C:$C,'Revenue Charts'!$B16)</f>
        <v>6.9450000000000003</v>
      </c>
      <c r="K16" s="54">
        <f>SUMIFS('Combined P&amp;L'!O:O,'Combined P&amp;L'!$C:$C,'Revenue Charts'!$B16)</f>
        <v>3.38</v>
      </c>
      <c r="L16" s="54">
        <f>SUMIFS('Combined P&amp;L'!P:P,'Combined P&amp;L'!$C:$C,'Revenue Charts'!$B16)</f>
        <v>4.4999999999999998E-2</v>
      </c>
      <c r="M16" s="54">
        <f>SUMIFS('Combined P&amp;L'!Q:Q,'Combined P&amp;L'!$C:$C,'Revenue Charts'!$B16)</f>
        <v>0.06</v>
      </c>
      <c r="N16" s="54">
        <f>SUMIFS('Combined P&amp;L'!R:R,'Combined P&amp;L'!$C:$C,'Revenue Charts'!$B16)</f>
        <v>1.4999999999999999E-2</v>
      </c>
      <c r="O16" s="54">
        <f>SUMIFS('Combined P&amp;L'!S:S,'Combined P&amp;L'!$C:$C,'Revenue Charts'!$B16)</f>
        <v>0</v>
      </c>
      <c r="P16" s="54">
        <f>SUMIFS('Combined P&amp;L'!T:T,'Combined P&amp;L'!$C:$C,'Revenue Charts'!$B16)</f>
        <v>0</v>
      </c>
      <c r="Q16" s="54">
        <f>SUMIFS('Combined P&amp;L'!U:U,'Combined P&amp;L'!$C:$C,'Revenue Charts'!$B16)</f>
        <v>1.4999999999999999E-2</v>
      </c>
      <c r="R16" s="54">
        <f>SUMIFS('Combined P&amp;L'!V:V,'Combined P&amp;L'!$C:$C,'Revenue Charts'!$B16)</f>
        <v>0</v>
      </c>
      <c r="S16" s="54">
        <f>SUMIFS('Combined P&amp;L'!W:W,'Combined P&amp;L'!$C:$C,'Revenue Charts'!$B16)</f>
        <v>0</v>
      </c>
      <c r="T16" s="54">
        <f>SUMIFS('Combined P&amp;L'!X:X,'Combined P&amp;L'!$C:$C,'Revenue Charts'!$B16)</f>
        <v>1.4999999999999999E-2</v>
      </c>
      <c r="U16" s="54">
        <f>SUMIFS('Combined P&amp;L'!Y:Y,'Combined P&amp;L'!$C:$C,'Revenue Charts'!$B16)</f>
        <v>0</v>
      </c>
      <c r="V16" s="54">
        <f>SUMIFS('Combined P&amp;L'!Z:Z,'Combined P&amp;L'!$C:$C,'Revenue Charts'!$B16)</f>
        <v>13.484999999999999</v>
      </c>
      <c r="W16" s="54">
        <f>SUMIFS('Combined P&amp;L'!AA:AA,'Combined P&amp;L'!$C:$C,'Revenue Charts'!$B16)</f>
        <v>9.9149999999999991</v>
      </c>
      <c r="X16" s="54">
        <f>SUMIFS('Combined P&amp;L'!AB:AB,'Combined P&amp;L'!$C:$C,'Revenue Charts'!$B16)</f>
        <v>0.06</v>
      </c>
      <c r="Y16" s="54">
        <f>SUMIFS('Combined P&amp;L'!AC:AC,'Combined P&amp;L'!$C:$C,'Revenue Charts'!$B16)</f>
        <v>0.03</v>
      </c>
      <c r="Z16" s="54">
        <f>SUMIFS('Combined P&amp;L'!AD:AD,'Combined P&amp;L'!$C:$C,'Revenue Charts'!$B16)</f>
        <v>0</v>
      </c>
      <c r="AA16" s="54">
        <f>SUMIFS('Combined P&amp;L'!AE:AE,'Combined P&amp;L'!$C:$C,'Revenue Charts'!$B16)</f>
        <v>0</v>
      </c>
      <c r="AB16" s="54">
        <f>SUMIFS('Combined P&amp;L'!AF:AF,'Combined P&amp;L'!$C:$C,'Revenue Charts'!$B16)</f>
        <v>0</v>
      </c>
      <c r="AC16" s="54">
        <f>SUMIFS('Combined P&amp;L'!AG:AG,'Combined P&amp;L'!$C:$C,'Revenue Charts'!$B16)</f>
        <v>0.03</v>
      </c>
      <c r="AD16" s="54">
        <f>SUMIFS('Combined P&amp;L'!AH:AH,'Combined P&amp;L'!$C:$C,'Revenue Charts'!$B16)</f>
        <v>0.03</v>
      </c>
      <c r="AE16" s="54">
        <f>SUMIFS('Combined P&amp;L'!AI:AI,'Combined P&amp;L'!$C:$C,'Revenue Charts'!$B16)</f>
        <v>0</v>
      </c>
      <c r="AF16" s="54">
        <f>SUMIFS('Combined P&amp;L'!AJ:AJ,'Combined P&amp;L'!$C:$C,'Revenue Charts'!$B16)</f>
        <v>0</v>
      </c>
      <c r="AG16" s="54">
        <f>SUMIFS('Combined P&amp;L'!AK:AK,'Combined P&amp;L'!$C:$C,'Revenue Charts'!$B16)</f>
        <v>0</v>
      </c>
      <c r="AH16" s="54">
        <f>SUMIFS('Combined P&amp;L'!AL:AL,'Combined P&amp;L'!$C:$C,'Revenue Charts'!$B16)</f>
        <v>6.1050000000000004</v>
      </c>
      <c r="AI16" s="54">
        <f>SUMIFS('Combined P&amp;L'!AM:AM,'Combined P&amp;L'!$C:$C,'Revenue Charts'!$B16)</f>
        <v>31.156500000000001</v>
      </c>
      <c r="AJ16" s="54">
        <f>SUMIFS('Combined P&amp;L'!AN:AN,'Combined P&amp;L'!$C:$C,'Revenue Charts'!$B16)</f>
        <v>1.26</v>
      </c>
      <c r="AK16" s="54">
        <f>SUMIFS('Combined P&amp;L'!AO:AO,'Combined P&amp;L'!$C:$C,'Revenue Charts'!$B16)</f>
        <v>0.18</v>
      </c>
      <c r="AL16" s="54">
        <f>SUMIFS('Combined P&amp;L'!AP:AP,'Combined P&amp;L'!$C:$C,'Revenue Charts'!$B16)</f>
        <v>0</v>
      </c>
      <c r="AM16" s="54">
        <f>SUMIFS('Combined P&amp;L'!AQ:AQ,'Combined P&amp;L'!$C:$C,'Revenue Charts'!$B16)</f>
        <v>0</v>
      </c>
      <c r="AN16" s="54">
        <f>SUMIFS('Combined P&amp;L'!AR:AR,'Combined P&amp;L'!$C:$C,'Revenue Charts'!$B16)</f>
        <v>0</v>
      </c>
    </row>
    <row r="17" spans="2:40" x14ac:dyDescent="0.2">
      <c r="B17" s="81" t="s">
        <v>262</v>
      </c>
      <c r="C17" s="24">
        <f t="shared" si="5"/>
        <v>0</v>
      </c>
      <c r="D17" s="24">
        <f t="shared" si="5"/>
        <v>23.914999999999999</v>
      </c>
      <c r="E17" s="24"/>
      <c r="F17" s="24">
        <f t="shared" si="6"/>
        <v>0</v>
      </c>
      <c r="G17" s="24">
        <f t="shared" si="6"/>
        <v>27.315000000000001</v>
      </c>
      <c r="H17" s="65">
        <f>+'Revenue Analysis'!E19</f>
        <v>0</v>
      </c>
      <c r="I17" s="53"/>
      <c r="J17" s="54">
        <f>SUMIFS('Combined P&amp;L'!N:N,'Combined P&amp;L'!$C:$C,'Revenue Charts'!$B17)</f>
        <v>0</v>
      </c>
      <c r="K17" s="54">
        <f>SUMIFS('Combined P&amp;L'!O:O,'Combined P&amp;L'!$C:$C,'Revenue Charts'!$B17)</f>
        <v>0</v>
      </c>
      <c r="L17" s="54">
        <f>SUMIFS('Combined P&amp;L'!P:P,'Combined P&amp;L'!$C:$C,'Revenue Charts'!$B17)</f>
        <v>0</v>
      </c>
      <c r="M17" s="54">
        <f>SUMIFS('Combined P&amp;L'!Q:Q,'Combined P&amp;L'!$C:$C,'Revenue Charts'!$B17)</f>
        <v>0</v>
      </c>
      <c r="N17" s="54">
        <f>SUMIFS('Combined P&amp;L'!R:R,'Combined P&amp;L'!$C:$C,'Revenue Charts'!$B17)</f>
        <v>0</v>
      </c>
      <c r="O17" s="54">
        <f>SUMIFS('Combined P&amp;L'!S:S,'Combined P&amp;L'!$C:$C,'Revenue Charts'!$B17)</f>
        <v>0</v>
      </c>
      <c r="P17" s="54">
        <f>SUMIFS('Combined P&amp;L'!T:T,'Combined P&amp;L'!$C:$C,'Revenue Charts'!$B17)</f>
        <v>0</v>
      </c>
      <c r="Q17" s="54">
        <f>SUMIFS('Combined P&amp;L'!U:U,'Combined P&amp;L'!$C:$C,'Revenue Charts'!$B17)</f>
        <v>0</v>
      </c>
      <c r="R17" s="54">
        <f>SUMIFS('Combined P&amp;L'!V:V,'Combined P&amp;L'!$C:$C,'Revenue Charts'!$B17)</f>
        <v>0</v>
      </c>
      <c r="S17" s="54">
        <f>SUMIFS('Combined P&amp;L'!W:W,'Combined P&amp;L'!$C:$C,'Revenue Charts'!$B17)</f>
        <v>0</v>
      </c>
      <c r="T17" s="54">
        <f>SUMIFS('Combined P&amp;L'!X:X,'Combined P&amp;L'!$C:$C,'Revenue Charts'!$B17)</f>
        <v>0</v>
      </c>
      <c r="U17" s="54">
        <f>SUMIFS('Combined P&amp;L'!Y:Y,'Combined P&amp;L'!$C:$C,'Revenue Charts'!$B17)</f>
        <v>0</v>
      </c>
      <c r="V17" s="54">
        <f>SUMIFS('Combined P&amp;L'!Z:Z,'Combined P&amp;L'!$C:$C,'Revenue Charts'!$B17)</f>
        <v>0</v>
      </c>
      <c r="W17" s="54">
        <f>SUMIFS('Combined P&amp;L'!AA:AA,'Combined P&amp;L'!$C:$C,'Revenue Charts'!$B17)</f>
        <v>0</v>
      </c>
      <c r="X17" s="54">
        <f>SUMIFS('Combined P&amp;L'!AB:AB,'Combined P&amp;L'!$C:$C,'Revenue Charts'!$B17)</f>
        <v>0</v>
      </c>
      <c r="Y17" s="54">
        <f>SUMIFS('Combined P&amp;L'!AC:AC,'Combined P&amp;L'!$C:$C,'Revenue Charts'!$B17)</f>
        <v>0</v>
      </c>
      <c r="Z17" s="54">
        <f>SUMIFS('Combined P&amp;L'!AD:AD,'Combined P&amp;L'!$C:$C,'Revenue Charts'!$B17)</f>
        <v>0</v>
      </c>
      <c r="AA17" s="54">
        <f>SUMIFS('Combined P&amp;L'!AE:AE,'Combined P&amp;L'!$C:$C,'Revenue Charts'!$B17)</f>
        <v>0</v>
      </c>
      <c r="AB17" s="54">
        <f>SUMIFS('Combined P&amp;L'!AF:AF,'Combined P&amp;L'!$C:$C,'Revenue Charts'!$B17)</f>
        <v>0</v>
      </c>
      <c r="AC17" s="54">
        <f>SUMIFS('Combined P&amp;L'!AG:AG,'Combined P&amp;L'!$C:$C,'Revenue Charts'!$B17)</f>
        <v>0</v>
      </c>
      <c r="AD17" s="54">
        <f>SUMIFS('Combined P&amp;L'!AH:AH,'Combined P&amp;L'!$C:$C,'Revenue Charts'!$B17)</f>
        <v>0.875</v>
      </c>
      <c r="AE17" s="54">
        <f>SUMIFS('Combined P&amp;L'!AI:AI,'Combined P&amp;L'!$C:$C,'Revenue Charts'!$B17)</f>
        <v>1.65</v>
      </c>
      <c r="AF17" s="54">
        <f>SUMIFS('Combined P&amp;L'!AJ:AJ,'Combined P&amp;L'!$C:$C,'Revenue Charts'!$B17)</f>
        <v>0</v>
      </c>
      <c r="AG17" s="54">
        <f>SUMIFS('Combined P&amp;L'!AK:AK,'Combined P&amp;L'!$C:$C,'Revenue Charts'!$B17)</f>
        <v>0.875</v>
      </c>
      <c r="AH17" s="54">
        <f>SUMIFS('Combined P&amp;L'!AL:AL,'Combined P&amp;L'!$C:$C,'Revenue Charts'!$B17)</f>
        <v>0</v>
      </c>
      <c r="AI17" s="54">
        <f>SUMIFS('Combined P&amp;L'!AM:AM,'Combined P&amp;L'!$C:$C,'Revenue Charts'!$B17)</f>
        <v>0</v>
      </c>
      <c r="AJ17" s="54">
        <f>SUMIFS('Combined P&amp;L'!AN:AN,'Combined P&amp;L'!$C:$C,'Revenue Charts'!$B17)</f>
        <v>14.19</v>
      </c>
      <c r="AK17" s="54">
        <f>SUMIFS('Combined P&amp;L'!AO:AO,'Combined P&amp;L'!$C:$C,'Revenue Charts'!$B17)</f>
        <v>6.625</v>
      </c>
      <c r="AL17" s="54">
        <f>SUMIFS('Combined P&amp;L'!AP:AP,'Combined P&amp;L'!$C:$C,'Revenue Charts'!$B17)</f>
        <v>0</v>
      </c>
      <c r="AM17" s="54">
        <f>SUMIFS('Combined P&amp;L'!AQ:AQ,'Combined P&amp;L'!$C:$C,'Revenue Charts'!$B17)</f>
        <v>3.1</v>
      </c>
      <c r="AN17" s="54">
        <f>SUMIFS('Combined P&amp;L'!AR:AR,'Combined P&amp;L'!$C:$C,'Revenue Charts'!$B17)</f>
        <v>0</v>
      </c>
    </row>
    <row r="18" spans="2:40" x14ac:dyDescent="0.2">
      <c r="B18" s="81" t="s">
        <v>16</v>
      </c>
      <c r="C18" s="24">
        <f t="shared" si="5"/>
        <v>14.504949999999999</v>
      </c>
      <c r="D18" s="24">
        <f t="shared" si="5"/>
        <v>8.0793799999999987</v>
      </c>
      <c r="E18" s="24"/>
      <c r="F18" s="24">
        <f t="shared" si="6"/>
        <v>17.947879999999998</v>
      </c>
      <c r="G18" s="24">
        <f t="shared" si="6"/>
        <v>17.796090000000003</v>
      </c>
      <c r="H18" s="65">
        <f>+'Revenue Analysis'!E20</f>
        <v>17.796090000000003</v>
      </c>
      <c r="I18" s="53"/>
      <c r="J18" s="54">
        <f>SUMIFS('Combined P&amp;L'!N:N,'Combined P&amp;L'!$C:$C,'Revenue Charts'!$B18)</f>
        <v>6.8599999999999994E-2</v>
      </c>
      <c r="K18" s="54">
        <f>SUMIFS('Combined P&amp;L'!O:O,'Combined P&amp;L'!$C:$C,'Revenue Charts'!$B18)</f>
        <v>0.13119999999999998</v>
      </c>
      <c r="L18" s="54">
        <f>SUMIFS('Combined P&amp;L'!P:P,'Combined P&amp;L'!$C:$C,'Revenue Charts'!$B18)</f>
        <v>7.1199999999999999E-2</v>
      </c>
      <c r="M18" s="54">
        <f>SUMIFS('Combined P&amp;L'!Q:Q,'Combined P&amp;L'!$C:$C,'Revenue Charts'!$B18)</f>
        <v>5.5600000000000004E-2</v>
      </c>
      <c r="N18" s="54">
        <f>SUMIFS('Combined P&amp;L'!R:R,'Combined P&amp;L'!$C:$C,'Revenue Charts'!$B18)</f>
        <v>0.57699999999999996</v>
      </c>
      <c r="O18" s="54">
        <f>SUMIFS('Combined P&amp;L'!S:S,'Combined P&amp;L'!$C:$C,'Revenue Charts'!$B18)</f>
        <v>0.80679999999999996</v>
      </c>
      <c r="P18" s="54">
        <f>SUMIFS('Combined P&amp;L'!T:T,'Combined P&amp;L'!$C:$C,'Revenue Charts'!$B18)</f>
        <v>0.66559999999999997</v>
      </c>
      <c r="Q18" s="54">
        <f>SUMIFS('Combined P&amp;L'!U:U,'Combined P&amp;L'!$C:$C,'Revenue Charts'!$B18)</f>
        <v>0.82640000000000002</v>
      </c>
      <c r="R18" s="54">
        <f>SUMIFS('Combined P&amp;L'!V:V,'Combined P&amp;L'!$C:$C,'Revenue Charts'!$B18)</f>
        <v>1.3808</v>
      </c>
      <c r="S18" s="54">
        <f>SUMIFS('Combined P&amp;L'!W:W,'Combined P&amp;L'!$C:$C,'Revenue Charts'!$B18)</f>
        <v>0.86039999999999994</v>
      </c>
      <c r="T18" s="54">
        <f>SUMIFS('Combined P&amp;L'!X:X,'Combined P&amp;L'!$C:$C,'Revenue Charts'!$B18)</f>
        <v>0.51</v>
      </c>
      <c r="U18" s="54">
        <f>SUMIFS('Combined P&amp;L'!Y:Y,'Combined P&amp;L'!$C:$C,'Revenue Charts'!$B18)</f>
        <v>0.24680000000000002</v>
      </c>
      <c r="V18" s="54">
        <f>SUMIFS('Combined P&amp;L'!Z:Z,'Combined P&amp;L'!$C:$C,'Revenue Charts'!$B18)</f>
        <v>7.3583999999999996</v>
      </c>
      <c r="W18" s="54">
        <f>SUMIFS('Combined P&amp;L'!AA:AA,'Combined P&amp;L'!$C:$C,'Revenue Charts'!$B18)</f>
        <v>1.29335</v>
      </c>
      <c r="X18" s="54">
        <f>SUMIFS('Combined P&amp;L'!AB:AB,'Combined P&amp;L'!$C:$C,'Revenue Charts'!$B18)</f>
        <v>0.96833000000000002</v>
      </c>
      <c r="Y18" s="54">
        <f>SUMIFS('Combined P&amp;L'!AC:AC,'Combined P&amp;L'!$C:$C,'Revenue Charts'!$B18)</f>
        <v>1.1656</v>
      </c>
      <c r="Z18" s="54">
        <f>SUMIFS('Combined P&amp;L'!AD:AD,'Combined P&amp;L'!$C:$C,'Revenue Charts'!$B18)</f>
        <v>0.96092999999999995</v>
      </c>
      <c r="AA18" s="54">
        <f>SUMIFS('Combined P&amp;L'!AE:AE,'Combined P&amp;L'!$C:$C,'Revenue Charts'!$B18)</f>
        <v>1.7112700000000001</v>
      </c>
      <c r="AB18" s="54">
        <f>SUMIFS('Combined P&amp;L'!AF:AF,'Combined P&amp;L'!$C:$C,'Revenue Charts'!$B18)</f>
        <v>1.0470699999999999</v>
      </c>
      <c r="AC18" s="54">
        <f>SUMIFS('Combined P&amp;L'!AG:AG,'Combined P&amp;L'!$C:$C,'Revenue Charts'!$B18)</f>
        <v>2.04088</v>
      </c>
      <c r="AD18" s="54">
        <f>SUMIFS('Combined P&amp;L'!AH:AH,'Combined P&amp;L'!$C:$C,'Revenue Charts'!$B18)</f>
        <v>1.1362099999999999</v>
      </c>
      <c r="AE18" s="54">
        <f>SUMIFS('Combined P&amp;L'!AI:AI,'Combined P&amp;L'!$C:$C,'Revenue Charts'!$B18)</f>
        <v>2.01424</v>
      </c>
      <c r="AF18" s="54">
        <f>SUMIFS('Combined P&amp;L'!AJ:AJ,'Combined P&amp;L'!$C:$C,'Revenue Charts'!$B18)</f>
        <v>1.29758</v>
      </c>
      <c r="AG18" s="54">
        <f>SUMIFS('Combined P&amp;L'!AK:AK,'Combined P&amp;L'!$C:$C,'Revenue Charts'!$B18)</f>
        <v>2.2679299999999998</v>
      </c>
      <c r="AH18" s="54">
        <f>SUMIFS('Combined P&amp;L'!AL:AL,'Combined P&amp;L'!$C:$C,'Revenue Charts'!$B18)</f>
        <v>2.6778400000000002</v>
      </c>
      <c r="AI18" s="54">
        <f>SUMIFS('Combined P&amp;L'!AM:AM,'Combined P&amp;L'!$C:$C,'Revenue Charts'!$B18)</f>
        <v>2.3540100000000002</v>
      </c>
      <c r="AJ18" s="54">
        <f>SUMIFS('Combined P&amp;L'!AN:AN,'Combined P&amp;L'!$C:$C,'Revenue Charts'!$B18)</f>
        <v>0.2276</v>
      </c>
      <c r="AK18" s="54">
        <f>SUMIFS('Combined P&amp;L'!AO:AO,'Combined P&amp;L'!$C:$C,'Revenue Charts'!$B18)</f>
        <v>1.4783599999999999</v>
      </c>
      <c r="AL18" s="54">
        <f>SUMIFS('Combined P&amp;L'!AP:AP,'Combined P&amp;L'!$C:$C,'Revenue Charts'!$B18)</f>
        <v>0.66824000000000006</v>
      </c>
      <c r="AM18" s="54">
        <f>SUMIFS('Combined P&amp;L'!AQ:AQ,'Combined P&amp;L'!$C:$C,'Revenue Charts'!$B18)</f>
        <v>0.58613000000000004</v>
      </c>
      <c r="AN18" s="54">
        <f>SUMIFS('Combined P&amp;L'!AR:AR,'Combined P&amp;L'!$C:$C,'Revenue Charts'!$B18)</f>
        <v>8.72E-2</v>
      </c>
    </row>
    <row r="19" spans="2:40" x14ac:dyDescent="0.2">
      <c r="B19" s="81" t="s">
        <v>14</v>
      </c>
      <c r="C19" s="24">
        <f t="shared" si="5"/>
        <v>0.78725000000000001</v>
      </c>
      <c r="D19" s="24">
        <f t="shared" si="5"/>
        <v>0.25783</v>
      </c>
      <c r="E19" s="24"/>
      <c r="F19" s="24">
        <f t="shared" si="6"/>
        <v>0.79723999999999995</v>
      </c>
      <c r="G19" s="24">
        <f t="shared" si="6"/>
        <v>0.88222999999999985</v>
      </c>
      <c r="H19" s="65">
        <f>+'Revenue Analysis'!E21</f>
        <v>0</v>
      </c>
      <c r="I19" s="53"/>
      <c r="J19" s="54">
        <f>SUMIFS('Combined P&amp;L'!N:N,'Combined P&amp;L'!$C:$C,'Revenue Charts'!$B19)</f>
        <v>0.05</v>
      </c>
      <c r="K19" s="54">
        <f>SUMIFS('Combined P&amp;L'!O:O,'Combined P&amp;L'!$C:$C,'Revenue Charts'!$B19)</f>
        <v>0</v>
      </c>
      <c r="L19" s="54">
        <f>SUMIFS('Combined P&amp;L'!P:P,'Combined P&amp;L'!$C:$C,'Revenue Charts'!$B19)</f>
        <v>0</v>
      </c>
      <c r="M19" s="54">
        <f>SUMIFS('Combined P&amp;L'!Q:Q,'Combined P&amp;L'!$C:$C,'Revenue Charts'!$B19)</f>
        <v>2.5000000000000001E-2</v>
      </c>
      <c r="N19" s="54">
        <f>SUMIFS('Combined P&amp;L'!R:R,'Combined P&amp;L'!$C:$C,'Revenue Charts'!$B19)</f>
        <v>0</v>
      </c>
      <c r="O19" s="54">
        <f>SUMIFS('Combined P&amp;L'!S:S,'Combined P&amp;L'!$C:$C,'Revenue Charts'!$B19)</f>
        <v>0</v>
      </c>
      <c r="P19" s="54">
        <f>SUMIFS('Combined P&amp;L'!T:T,'Combined P&amp;L'!$C:$C,'Revenue Charts'!$B19)</f>
        <v>0.29969999999999997</v>
      </c>
      <c r="Q19" s="54">
        <f>SUMIFS('Combined P&amp;L'!U:U,'Combined P&amp;L'!$C:$C,'Revenue Charts'!$B19)</f>
        <v>0</v>
      </c>
      <c r="R19" s="54">
        <f>SUMIFS('Combined P&amp;L'!V:V,'Combined P&amp;L'!$C:$C,'Revenue Charts'!$B19)</f>
        <v>0</v>
      </c>
      <c r="S19" s="54">
        <f>SUMIFS('Combined P&amp;L'!W:W,'Combined P&amp;L'!$C:$C,'Revenue Charts'!$B19)</f>
        <v>0</v>
      </c>
      <c r="T19" s="54">
        <f>SUMIFS('Combined P&amp;L'!X:X,'Combined P&amp;L'!$C:$C,'Revenue Charts'!$B19)</f>
        <v>0</v>
      </c>
      <c r="U19" s="54">
        <f>SUMIFS('Combined P&amp;L'!Y:Y,'Combined P&amp;L'!$C:$C,'Revenue Charts'!$B19)</f>
        <v>0</v>
      </c>
      <c r="V19" s="54">
        <f>SUMIFS('Combined P&amp;L'!Z:Z,'Combined P&amp;L'!$C:$C,'Revenue Charts'!$B19)</f>
        <v>2.5000000000000001E-2</v>
      </c>
      <c r="W19" s="54">
        <f>SUMIFS('Combined P&amp;L'!AA:AA,'Combined P&amp;L'!$C:$C,'Revenue Charts'!$B19)</f>
        <v>0.39960000000000001</v>
      </c>
      <c r="X19" s="54">
        <f>SUMIFS('Combined P&amp;L'!AB:AB,'Combined P&amp;L'!$C:$C,'Revenue Charts'!$B19)</f>
        <v>0</v>
      </c>
      <c r="Y19" s="54">
        <f>SUMIFS('Combined P&amp;L'!AC:AC,'Combined P&amp;L'!$C:$C,'Revenue Charts'!$B19)</f>
        <v>0</v>
      </c>
      <c r="Z19" s="54">
        <f>SUMIFS('Combined P&amp;L'!AD:AD,'Combined P&amp;L'!$C:$C,'Revenue Charts'!$B19)</f>
        <v>7.2939999999999991E-2</v>
      </c>
      <c r="AA19" s="54">
        <f>SUMIFS('Combined P&amp;L'!AE:AE,'Combined P&amp;L'!$C:$C,'Revenue Charts'!$B19)</f>
        <v>0</v>
      </c>
      <c r="AB19" s="54">
        <f>SUMIFS('Combined P&amp;L'!AF:AF,'Combined P&amp;L'!$C:$C,'Revenue Charts'!$B19)</f>
        <v>0.28970999999999997</v>
      </c>
      <c r="AC19" s="54">
        <f>SUMIFS('Combined P&amp;L'!AG:AG,'Combined P&amp;L'!$C:$C,'Revenue Charts'!$B19)</f>
        <v>0.30969000000000002</v>
      </c>
      <c r="AD19" s="54">
        <f>SUMIFS('Combined P&amp;L'!AH:AH,'Combined P&amp;L'!$C:$C,'Revenue Charts'!$B19)</f>
        <v>0</v>
      </c>
      <c r="AE19" s="54">
        <f>SUMIFS('Combined P&amp;L'!AI:AI,'Combined P&amp;L'!$C:$C,'Revenue Charts'!$B19)</f>
        <v>0</v>
      </c>
      <c r="AF19" s="54">
        <f>SUMIFS('Combined P&amp;L'!AJ:AJ,'Combined P&amp;L'!$C:$C,'Revenue Charts'!$B19)</f>
        <v>0</v>
      </c>
      <c r="AG19" s="54">
        <f>SUMIFS('Combined P&amp;L'!AK:AK,'Combined P&amp;L'!$C:$C,'Revenue Charts'!$B19)</f>
        <v>2.5000000000000001E-2</v>
      </c>
      <c r="AH19" s="54">
        <f>SUMIFS('Combined P&amp;L'!AL:AL,'Combined P&amp;L'!$C:$C,'Revenue Charts'!$B19)</f>
        <v>0.15984000000000001</v>
      </c>
      <c r="AI19" s="54">
        <f>SUMIFS('Combined P&amp;L'!AM:AM,'Combined P&amp;L'!$C:$C,'Revenue Charts'!$B19)</f>
        <v>0</v>
      </c>
      <c r="AJ19" s="54">
        <f>SUMIFS('Combined P&amp;L'!AN:AN,'Combined P&amp;L'!$C:$C,'Revenue Charts'!$B19)</f>
        <v>7.4999999999999997E-2</v>
      </c>
      <c r="AK19" s="54">
        <f>SUMIFS('Combined P&amp;L'!AO:AO,'Combined P&amp;L'!$C:$C,'Revenue Charts'!$B19)</f>
        <v>0</v>
      </c>
      <c r="AL19" s="54">
        <f>SUMIFS('Combined P&amp;L'!AP:AP,'Combined P&amp;L'!$C:$C,'Revenue Charts'!$B19)</f>
        <v>0</v>
      </c>
      <c r="AM19" s="54">
        <f>SUMIFS('Combined P&amp;L'!AQ:AQ,'Combined P&amp;L'!$C:$C,'Revenue Charts'!$B19)</f>
        <v>2.299E-2</v>
      </c>
      <c r="AN19" s="54">
        <f>SUMIFS('Combined P&amp;L'!AR:AR,'Combined P&amp;L'!$C:$C,'Revenue Charts'!$B19)</f>
        <v>0</v>
      </c>
    </row>
    <row r="20" spans="2:40" x14ac:dyDescent="0.2">
      <c r="B20" s="81" t="s">
        <v>15</v>
      </c>
      <c r="C20" s="24">
        <f t="shared" si="5"/>
        <v>0.2</v>
      </c>
      <c r="D20" s="24">
        <f t="shared" si="5"/>
        <v>0</v>
      </c>
      <c r="E20" s="24"/>
      <c r="F20" s="24">
        <f t="shared" si="6"/>
        <v>16.735000000000003</v>
      </c>
      <c r="G20" s="24">
        <f t="shared" si="6"/>
        <v>0</v>
      </c>
      <c r="H20" s="65">
        <f>+'Revenue Analysis'!E22</f>
        <v>0</v>
      </c>
      <c r="I20" s="53"/>
      <c r="J20" s="54">
        <f>SUMIFS('Combined P&amp;L'!N:N,'Combined P&amp;L'!$C:$C,'Revenue Charts'!$B20)</f>
        <v>0.5</v>
      </c>
      <c r="K20" s="54">
        <f>SUMIFS('Combined P&amp;L'!O:O,'Combined P&amp;L'!$C:$C,'Revenue Charts'!$B20)</f>
        <v>3</v>
      </c>
      <c r="L20" s="54">
        <f>SUMIFS('Combined P&amp;L'!P:P,'Combined P&amp;L'!$C:$C,'Revenue Charts'!$B20)</f>
        <v>0</v>
      </c>
      <c r="M20" s="54">
        <f>SUMIFS('Combined P&amp;L'!Q:Q,'Combined P&amp;L'!$C:$C,'Revenue Charts'!$B20)</f>
        <v>0</v>
      </c>
      <c r="N20" s="54">
        <f>SUMIFS('Combined P&amp;L'!R:R,'Combined P&amp;L'!$C:$C,'Revenue Charts'!$B20)</f>
        <v>3</v>
      </c>
      <c r="O20" s="54">
        <f>SUMIFS('Combined P&amp;L'!S:S,'Combined P&amp;L'!$C:$C,'Revenue Charts'!$B20)</f>
        <v>0.56499999999999995</v>
      </c>
      <c r="P20" s="54">
        <f>SUMIFS('Combined P&amp;L'!T:T,'Combined P&amp;L'!$C:$C,'Revenue Charts'!$B20)</f>
        <v>10.5</v>
      </c>
      <c r="Q20" s="54">
        <f>SUMIFS('Combined P&amp;L'!U:U,'Combined P&amp;L'!$C:$C,'Revenue Charts'!$B20)</f>
        <v>6.5</v>
      </c>
      <c r="R20" s="54">
        <f>SUMIFS('Combined P&amp;L'!V:V,'Combined P&amp;L'!$C:$C,'Revenue Charts'!$B20)</f>
        <v>0.5</v>
      </c>
      <c r="S20" s="54">
        <f>SUMIFS('Combined P&amp;L'!W:W,'Combined P&amp;L'!$C:$C,'Revenue Charts'!$B20)</f>
        <v>-0.96499999999999997</v>
      </c>
      <c r="T20" s="54">
        <f>SUMIFS('Combined P&amp;L'!X:X,'Combined P&amp;L'!$C:$C,'Revenue Charts'!$B20)</f>
        <v>0</v>
      </c>
      <c r="U20" s="54">
        <f>SUMIFS('Combined P&amp;L'!Y:Y,'Combined P&amp;L'!$C:$C,'Revenue Charts'!$B20)</f>
        <v>0</v>
      </c>
      <c r="V20" s="54">
        <f>SUMIFS('Combined P&amp;L'!Z:Z,'Combined P&amp;L'!$C:$C,'Revenue Charts'!$B20)</f>
        <v>0.1</v>
      </c>
      <c r="W20" s="54">
        <f>SUMIFS('Combined P&amp;L'!AA:AA,'Combined P&amp;L'!$C:$C,'Revenue Charts'!$B20)</f>
        <v>0</v>
      </c>
      <c r="X20" s="54">
        <f>SUMIFS('Combined P&amp;L'!AB:AB,'Combined P&amp;L'!$C:$C,'Revenue Charts'!$B20)</f>
        <v>0.1</v>
      </c>
      <c r="Y20" s="54">
        <f>SUMIFS('Combined P&amp;L'!AC:AC,'Combined P&amp;L'!$C:$C,'Revenue Charts'!$B20)</f>
        <v>0</v>
      </c>
      <c r="Z20" s="54">
        <f>SUMIFS('Combined P&amp;L'!AD:AD,'Combined P&amp;L'!$C:$C,'Revenue Charts'!$B20)</f>
        <v>0</v>
      </c>
      <c r="AA20" s="54">
        <f>SUMIFS('Combined P&amp;L'!AE:AE,'Combined P&amp;L'!$C:$C,'Revenue Charts'!$B20)</f>
        <v>0</v>
      </c>
      <c r="AB20" s="54">
        <f>SUMIFS('Combined P&amp;L'!AF:AF,'Combined P&amp;L'!$C:$C,'Revenue Charts'!$B20)</f>
        <v>0</v>
      </c>
      <c r="AC20" s="54">
        <f>SUMIFS('Combined P&amp;L'!AG:AG,'Combined P&amp;L'!$C:$C,'Revenue Charts'!$B20)</f>
        <v>0</v>
      </c>
      <c r="AD20" s="54">
        <f>SUMIFS('Combined P&amp;L'!AH:AH,'Combined P&amp;L'!$C:$C,'Revenue Charts'!$B20)</f>
        <v>0</v>
      </c>
      <c r="AE20" s="54">
        <f>SUMIFS('Combined P&amp;L'!AI:AI,'Combined P&amp;L'!$C:$C,'Revenue Charts'!$B20)</f>
        <v>0</v>
      </c>
      <c r="AF20" s="54">
        <f>SUMIFS('Combined P&amp;L'!AJ:AJ,'Combined P&amp;L'!$C:$C,'Revenue Charts'!$B20)</f>
        <v>0</v>
      </c>
      <c r="AG20" s="54">
        <f>SUMIFS('Combined P&amp;L'!AK:AK,'Combined P&amp;L'!$C:$C,'Revenue Charts'!$B20)</f>
        <v>0</v>
      </c>
      <c r="AH20" s="54">
        <f>SUMIFS('Combined P&amp;L'!AL:AL,'Combined P&amp;L'!$C:$C,'Revenue Charts'!$B20)</f>
        <v>0</v>
      </c>
      <c r="AI20" s="54">
        <f>SUMIFS('Combined P&amp;L'!AM:AM,'Combined P&amp;L'!$C:$C,'Revenue Charts'!$B20)</f>
        <v>0</v>
      </c>
      <c r="AJ20" s="54">
        <f>SUMIFS('Combined P&amp;L'!AN:AN,'Combined P&amp;L'!$C:$C,'Revenue Charts'!$B20)</f>
        <v>0</v>
      </c>
      <c r="AK20" s="54">
        <f>SUMIFS('Combined P&amp;L'!AO:AO,'Combined P&amp;L'!$C:$C,'Revenue Charts'!$B20)</f>
        <v>0</v>
      </c>
      <c r="AL20" s="54">
        <f>SUMIFS('Combined P&amp;L'!AP:AP,'Combined P&amp;L'!$C:$C,'Revenue Charts'!$B20)</f>
        <v>0</v>
      </c>
      <c r="AM20" s="54">
        <f>SUMIFS('Combined P&amp;L'!AQ:AQ,'Combined P&amp;L'!$C:$C,'Revenue Charts'!$B20)</f>
        <v>0</v>
      </c>
      <c r="AN20" s="54">
        <f>SUMIFS('Combined P&amp;L'!AR:AR,'Combined P&amp;L'!$C:$C,'Revenue Charts'!$B20)</f>
        <v>0</v>
      </c>
    </row>
    <row r="21" spans="2:40" x14ac:dyDescent="0.2">
      <c r="B21" s="59" t="s">
        <v>261</v>
      </c>
      <c r="C21" s="60">
        <f t="shared" ref="C21:D21" si="7">SUM(C16:C20)</f>
        <v>38.982199999999999</v>
      </c>
      <c r="D21" s="60">
        <f t="shared" si="7"/>
        <v>70.953709999999987</v>
      </c>
      <c r="F21" s="60">
        <f t="shared" ref="F21:H21" si="8">SUM(F16:F20)</f>
        <v>59.000119999999995</v>
      </c>
      <c r="G21" s="60">
        <f t="shared" si="8"/>
        <v>84.754819999999995</v>
      </c>
      <c r="H21" s="60">
        <f t="shared" si="8"/>
        <v>17.796090000000003</v>
      </c>
      <c r="J21" s="60">
        <f>SUM(J16:J20)</f>
        <v>7.5636000000000001</v>
      </c>
      <c r="K21" s="60">
        <f t="shared" ref="K21:AN21" si="9">SUM(K16:K20)</f>
        <v>6.5111999999999997</v>
      </c>
      <c r="L21" s="60">
        <f t="shared" si="9"/>
        <v>0.1162</v>
      </c>
      <c r="M21" s="60">
        <f t="shared" si="9"/>
        <v>0.1406</v>
      </c>
      <c r="N21" s="60">
        <f t="shared" si="9"/>
        <v>3.5920000000000001</v>
      </c>
      <c r="O21" s="60">
        <f t="shared" si="9"/>
        <v>1.3717999999999999</v>
      </c>
      <c r="P21" s="60">
        <f t="shared" si="9"/>
        <v>11.465299999999999</v>
      </c>
      <c r="Q21" s="60">
        <f t="shared" si="9"/>
        <v>7.3414000000000001</v>
      </c>
      <c r="R21" s="60">
        <f t="shared" si="9"/>
        <v>1.8808</v>
      </c>
      <c r="S21" s="60">
        <f t="shared" si="9"/>
        <v>-0.10460000000000003</v>
      </c>
      <c r="T21" s="60">
        <f t="shared" si="9"/>
        <v>0.52500000000000002</v>
      </c>
      <c r="U21" s="60">
        <f t="shared" si="9"/>
        <v>0.24680000000000002</v>
      </c>
      <c r="V21" s="60">
        <f t="shared" si="9"/>
        <v>20.968399999999999</v>
      </c>
      <c r="W21" s="60">
        <f t="shared" si="9"/>
        <v>11.607949999999999</v>
      </c>
      <c r="X21" s="60">
        <f t="shared" si="9"/>
        <v>1.1283300000000001</v>
      </c>
      <c r="Y21" s="60">
        <f t="shared" si="9"/>
        <v>1.1956</v>
      </c>
      <c r="Z21" s="60">
        <f t="shared" si="9"/>
        <v>1.0338699999999998</v>
      </c>
      <c r="AA21" s="60">
        <f t="shared" si="9"/>
        <v>1.7112700000000001</v>
      </c>
      <c r="AB21" s="60">
        <f t="shared" si="9"/>
        <v>1.3367799999999999</v>
      </c>
      <c r="AC21" s="60">
        <f t="shared" si="9"/>
        <v>2.3805699999999996</v>
      </c>
      <c r="AD21" s="60">
        <f t="shared" si="9"/>
        <v>2.04121</v>
      </c>
      <c r="AE21" s="60">
        <f t="shared" si="9"/>
        <v>3.6642399999999999</v>
      </c>
      <c r="AF21" s="60">
        <f t="shared" si="9"/>
        <v>1.29758</v>
      </c>
      <c r="AG21" s="60">
        <f t="shared" si="9"/>
        <v>3.1679299999999997</v>
      </c>
      <c r="AH21" s="60">
        <f t="shared" si="9"/>
        <v>8.9426800000000011</v>
      </c>
      <c r="AI21" s="60">
        <f t="shared" si="9"/>
        <v>33.510510000000004</v>
      </c>
      <c r="AJ21" s="60">
        <f t="shared" si="9"/>
        <v>15.752599999999999</v>
      </c>
      <c r="AK21" s="60">
        <f t="shared" si="9"/>
        <v>8.2833600000000001</v>
      </c>
      <c r="AL21" s="60">
        <f t="shared" si="9"/>
        <v>0.66824000000000006</v>
      </c>
      <c r="AM21" s="60">
        <f t="shared" si="9"/>
        <v>3.7091200000000004</v>
      </c>
      <c r="AN21" s="60">
        <f t="shared" si="9"/>
        <v>8.72E-2</v>
      </c>
    </row>
    <row r="22" spans="2:40" ht="5.0999999999999996" customHeight="1" x14ac:dyDescent="0.2"/>
    <row r="23" spans="2:40" x14ac:dyDescent="0.2">
      <c r="B23" s="61" t="s">
        <v>263</v>
      </c>
      <c r="C23" s="62">
        <f>+C21+C14</f>
        <v>997.87309999999991</v>
      </c>
      <c r="D23" s="62">
        <f>+D21+D14</f>
        <v>1671.0212000000001</v>
      </c>
      <c r="E23" s="80"/>
      <c r="F23" s="62">
        <f>+F21+F14</f>
        <v>1473.71192</v>
      </c>
      <c r="G23" s="62">
        <f>+G21+G14</f>
        <v>2456.4861599999999</v>
      </c>
      <c r="H23" s="62">
        <f>+H21+H14</f>
        <v>2960.6778899999999</v>
      </c>
      <c r="I23" s="80"/>
      <c r="J23" s="62">
        <f t="shared" ref="J23:AN23" si="10">+J21+J14</f>
        <v>80.9131</v>
      </c>
      <c r="K23" s="62">
        <f t="shared" si="10"/>
        <v>81.255700000000004</v>
      </c>
      <c r="L23" s="62">
        <f t="shared" si="10"/>
        <v>78.112200000000001</v>
      </c>
      <c r="M23" s="62">
        <f t="shared" si="10"/>
        <v>83.35329999999999</v>
      </c>
      <c r="N23" s="62">
        <f t="shared" si="10"/>
        <v>90.196150000000017</v>
      </c>
      <c r="O23" s="62">
        <f t="shared" si="10"/>
        <v>89.915800000000004</v>
      </c>
      <c r="P23" s="62">
        <f t="shared" si="10"/>
        <v>104.68205</v>
      </c>
      <c r="Q23" s="62">
        <f t="shared" si="10"/>
        <v>104.11675</v>
      </c>
      <c r="R23" s="62">
        <f t="shared" si="10"/>
        <v>98.372749999999996</v>
      </c>
      <c r="S23" s="62">
        <f t="shared" si="10"/>
        <v>99.05889999999998</v>
      </c>
      <c r="T23" s="62">
        <f t="shared" si="10"/>
        <v>109.2373</v>
      </c>
      <c r="U23" s="62">
        <f t="shared" si="10"/>
        <v>115.75185000000002</v>
      </c>
      <c r="V23" s="62">
        <f t="shared" si="10"/>
        <v>138.66254999999998</v>
      </c>
      <c r="W23" s="62">
        <f t="shared" si="10"/>
        <v>127.8026</v>
      </c>
      <c r="X23" s="62">
        <f t="shared" si="10"/>
        <v>134.67543000000001</v>
      </c>
      <c r="Y23" s="62">
        <f t="shared" si="10"/>
        <v>135.97560000000001</v>
      </c>
      <c r="Z23" s="62">
        <f t="shared" si="10"/>
        <v>152.05112</v>
      </c>
      <c r="AA23" s="62">
        <f t="shared" si="10"/>
        <v>153.32501999999999</v>
      </c>
      <c r="AB23" s="62">
        <f t="shared" si="10"/>
        <v>155.38077999999999</v>
      </c>
      <c r="AC23" s="62">
        <f t="shared" si="10"/>
        <v>159.87331999999998</v>
      </c>
      <c r="AD23" s="62">
        <f t="shared" si="10"/>
        <v>163.99921000000001</v>
      </c>
      <c r="AE23" s="62">
        <f t="shared" si="10"/>
        <v>179.24424000000002</v>
      </c>
      <c r="AF23" s="62">
        <f t="shared" si="10"/>
        <v>181.69058000000004</v>
      </c>
      <c r="AG23" s="62">
        <f t="shared" si="10"/>
        <v>196.70267999999999</v>
      </c>
      <c r="AH23" s="62">
        <f t="shared" si="10"/>
        <v>212.18599999999998</v>
      </c>
      <c r="AI23" s="62">
        <f t="shared" si="10"/>
        <v>241.89637999999999</v>
      </c>
      <c r="AJ23" s="62">
        <f t="shared" si="10"/>
        <v>231.49535</v>
      </c>
      <c r="AK23" s="62">
        <f t="shared" si="10"/>
        <v>240.31947000000002</v>
      </c>
      <c r="AL23" s="62">
        <f t="shared" si="10"/>
        <v>246.19884999999996</v>
      </c>
      <c r="AM23" s="62">
        <f t="shared" si="10"/>
        <v>247.49930000000001</v>
      </c>
      <c r="AN23" s="63">
        <f t="shared" si="10"/>
        <v>251.42585000000003</v>
      </c>
    </row>
    <row r="25" spans="2:40" x14ac:dyDescent="0.2">
      <c r="C25" s="34">
        <v>45657</v>
      </c>
      <c r="D25" s="34">
        <v>46022</v>
      </c>
      <c r="E25" s="34"/>
      <c r="F25" s="34">
        <v>45473</v>
      </c>
      <c r="G25" s="36">
        <f>F26</f>
        <v>45838</v>
      </c>
    </row>
    <row r="26" spans="2:40" x14ac:dyDescent="0.2">
      <c r="C26" s="35">
        <v>45869</v>
      </c>
      <c r="D26" s="35">
        <f>EOMONTH(D25,12)</f>
        <v>46387</v>
      </c>
      <c r="E26" s="35"/>
      <c r="F26" s="35">
        <f>EOMONTH(F25,12)</f>
        <v>45838</v>
      </c>
      <c r="G26" s="35">
        <f>EOMONTH(G25,12)</f>
        <v>46203</v>
      </c>
    </row>
    <row r="33" spans="3:8" x14ac:dyDescent="0.2">
      <c r="C33" s="36"/>
      <c r="D33" s="36"/>
      <c r="E33" s="36"/>
      <c r="F33" s="34"/>
      <c r="G33" s="36"/>
      <c r="H33" s="36"/>
    </row>
    <row r="34" spans="3:8" x14ac:dyDescent="0.2">
      <c r="C34" s="35"/>
      <c r="D34" s="35"/>
      <c r="E34" s="35"/>
      <c r="F34" s="35"/>
      <c r="G34" s="35"/>
      <c r="H34" s="35"/>
    </row>
    <row r="38" spans="3:8" x14ac:dyDescent="0.2">
      <c r="H38" s="36"/>
    </row>
    <row r="39" spans="3:8" x14ac:dyDescent="0.2">
      <c r="H39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3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" style="25" customWidth="1"/>
    <col min="3" max="4" width="8.7109375" style="25"/>
    <col min="5" max="5" width="10.28515625" style="25" customWidth="1"/>
    <col min="6" max="6" width="10" style="25" customWidth="1"/>
    <col min="7" max="7" width="10.28515625" style="25" customWidth="1"/>
    <col min="8" max="10" width="8.7109375" style="25"/>
    <col min="11" max="11" width="10" style="25" customWidth="1"/>
    <col min="12" max="12" width="11.140625" style="25" customWidth="1"/>
    <col min="13" max="13" width="10.28515625" style="25" customWidth="1"/>
    <col min="14" max="14" width="12" style="25" customWidth="1"/>
    <col min="15" max="16384" width="8.7109375" style="25"/>
  </cols>
  <sheetData>
    <row r="1" spans="1:14" x14ac:dyDescent="0.25">
      <c r="A1" s="17" t="s">
        <v>1</v>
      </c>
    </row>
    <row r="2" spans="1:14" x14ac:dyDescent="0.25">
      <c r="A2" s="17" t="s">
        <v>121</v>
      </c>
    </row>
    <row r="3" spans="1:14" x14ac:dyDescent="0.25">
      <c r="A3" s="17" t="s">
        <v>122</v>
      </c>
    </row>
    <row r="5" spans="1:14" x14ac:dyDescent="0.25">
      <c r="B5" s="14" t="s">
        <v>123</v>
      </c>
      <c r="C5" s="14" t="s">
        <v>124</v>
      </c>
      <c r="D5" s="14" t="s">
        <v>125</v>
      </c>
      <c r="E5" s="14" t="s">
        <v>126</v>
      </c>
      <c r="F5" s="14" t="s">
        <v>127</v>
      </c>
      <c r="G5" s="14" t="s">
        <v>128</v>
      </c>
      <c r="H5" s="14" t="s">
        <v>129</v>
      </c>
      <c r="I5" s="14" t="s">
        <v>130</v>
      </c>
      <c r="J5" s="14" t="s">
        <v>131</v>
      </c>
      <c r="K5" s="14" t="s">
        <v>132</v>
      </c>
      <c r="L5" s="14" t="s">
        <v>133</v>
      </c>
      <c r="M5" s="14" t="s">
        <v>134</v>
      </c>
      <c r="N5" s="14" t="s">
        <v>135</v>
      </c>
    </row>
    <row r="6" spans="1:14" x14ac:dyDescent="0.25">
      <c r="A6" s="17" t="s">
        <v>7</v>
      </c>
    </row>
    <row r="7" spans="1:14" x14ac:dyDescent="0.25">
      <c r="A7" s="26" t="s">
        <v>136</v>
      </c>
      <c r="N7" s="27">
        <v>0</v>
      </c>
    </row>
    <row r="8" spans="1:14" x14ac:dyDescent="0.25">
      <c r="A8" s="28" t="s">
        <v>137</v>
      </c>
      <c r="B8" s="27">
        <v>6945</v>
      </c>
      <c r="C8" s="27">
        <v>3380</v>
      </c>
      <c r="D8" s="27">
        <v>45</v>
      </c>
      <c r="E8" s="27">
        <v>60</v>
      </c>
      <c r="F8" s="27">
        <v>15</v>
      </c>
      <c r="I8" s="27">
        <v>15</v>
      </c>
      <c r="L8" s="27">
        <v>15</v>
      </c>
      <c r="N8" s="27">
        <v>10475</v>
      </c>
    </row>
    <row r="9" spans="1:14" x14ac:dyDescent="0.25">
      <c r="A9" s="28" t="s">
        <v>138</v>
      </c>
      <c r="B9" s="27">
        <v>50</v>
      </c>
      <c r="E9" s="27">
        <v>25</v>
      </c>
      <c r="H9" s="27">
        <v>299.7</v>
      </c>
      <c r="N9" s="27">
        <v>374.7</v>
      </c>
    </row>
    <row r="10" spans="1:14" x14ac:dyDescent="0.25">
      <c r="A10" s="28" t="s">
        <v>139</v>
      </c>
      <c r="B10" s="27">
        <v>500</v>
      </c>
      <c r="C10" s="27">
        <v>3000</v>
      </c>
      <c r="F10" s="27">
        <v>3000</v>
      </c>
      <c r="G10" s="27">
        <v>565</v>
      </c>
      <c r="H10" s="27">
        <v>10500</v>
      </c>
      <c r="I10" s="27">
        <v>6500</v>
      </c>
      <c r="J10" s="27">
        <v>500</v>
      </c>
      <c r="K10" s="27">
        <v>-965</v>
      </c>
      <c r="L10" s="27">
        <v>0</v>
      </c>
      <c r="N10" s="27">
        <v>23600</v>
      </c>
    </row>
    <row r="11" spans="1:14" x14ac:dyDescent="0.25">
      <c r="A11" s="28" t="s">
        <v>140</v>
      </c>
      <c r="B11" s="27">
        <v>68.599999999999994</v>
      </c>
      <c r="C11" s="27">
        <v>131.19999999999999</v>
      </c>
      <c r="D11" s="27">
        <v>71.2</v>
      </c>
      <c r="E11" s="27">
        <v>55.6</v>
      </c>
      <c r="F11" s="27">
        <v>577</v>
      </c>
      <c r="G11" s="27">
        <v>806.8</v>
      </c>
      <c r="H11" s="27">
        <v>665.6</v>
      </c>
      <c r="I11" s="27">
        <v>826.4</v>
      </c>
      <c r="J11" s="27">
        <v>1380.8</v>
      </c>
      <c r="K11" s="27">
        <v>860.4</v>
      </c>
      <c r="L11" s="27">
        <v>510</v>
      </c>
      <c r="M11" s="27">
        <v>246.8</v>
      </c>
      <c r="N11" s="27">
        <v>6200.4</v>
      </c>
    </row>
    <row r="12" spans="1:14" x14ac:dyDescent="0.25">
      <c r="A12" s="29" t="s">
        <v>141</v>
      </c>
      <c r="B12" s="30">
        <v>7563.6</v>
      </c>
      <c r="C12" s="30">
        <v>6511.2</v>
      </c>
      <c r="D12" s="30">
        <v>116.2</v>
      </c>
      <c r="E12" s="30">
        <v>140.6</v>
      </c>
      <c r="F12" s="30">
        <v>3592</v>
      </c>
      <c r="G12" s="30">
        <v>1371.8</v>
      </c>
      <c r="H12" s="30">
        <v>11465.3</v>
      </c>
      <c r="I12" s="30">
        <v>7341.4</v>
      </c>
      <c r="J12" s="30">
        <v>1880.8</v>
      </c>
      <c r="K12" s="30">
        <v>-104.6</v>
      </c>
      <c r="L12" s="30">
        <v>525</v>
      </c>
      <c r="M12" s="30">
        <v>246.8</v>
      </c>
      <c r="N12" s="30">
        <v>40650.1</v>
      </c>
    </row>
    <row r="13" spans="1:14" x14ac:dyDescent="0.25">
      <c r="A13" s="26" t="s">
        <v>142</v>
      </c>
      <c r="N13" s="27">
        <v>0</v>
      </c>
    </row>
    <row r="14" spans="1:14" x14ac:dyDescent="0.25">
      <c r="A14" s="28" t="s">
        <v>143</v>
      </c>
      <c r="B14" s="27">
        <v>1200</v>
      </c>
      <c r="C14" s="27">
        <v>1762.5</v>
      </c>
      <c r="D14" s="27">
        <v>660</v>
      </c>
      <c r="E14" s="27">
        <v>395</v>
      </c>
      <c r="F14" s="27">
        <v>2465</v>
      </c>
      <c r="G14" s="27">
        <v>1275</v>
      </c>
      <c r="H14" s="27">
        <v>1462.5</v>
      </c>
      <c r="J14" s="27">
        <v>1145.25</v>
      </c>
      <c r="K14" s="27">
        <v>1355.25</v>
      </c>
      <c r="L14" s="27">
        <v>1903.5</v>
      </c>
      <c r="M14" s="27">
        <v>4000</v>
      </c>
      <c r="N14" s="27">
        <v>17624</v>
      </c>
    </row>
    <row r="15" spans="1:14" x14ac:dyDescent="0.25">
      <c r="A15" s="28" t="s">
        <v>144</v>
      </c>
      <c r="B15" s="27">
        <v>5465</v>
      </c>
      <c r="C15" s="27">
        <v>3900</v>
      </c>
      <c r="D15" s="27">
        <v>2755</v>
      </c>
      <c r="E15" s="27">
        <v>3502</v>
      </c>
      <c r="F15" s="27">
        <v>4659</v>
      </c>
      <c r="G15" s="27">
        <v>3937</v>
      </c>
      <c r="H15" s="27">
        <v>4602</v>
      </c>
      <c r="I15" s="27">
        <v>4738</v>
      </c>
      <c r="J15" s="27">
        <v>2119</v>
      </c>
      <c r="K15" s="27">
        <v>2064</v>
      </c>
      <c r="L15" s="27">
        <v>3012.5</v>
      </c>
      <c r="M15" s="27">
        <v>3305</v>
      </c>
      <c r="N15" s="27">
        <v>44058.5</v>
      </c>
    </row>
    <row r="16" spans="1:14" x14ac:dyDescent="0.25">
      <c r="A16" s="29" t="s">
        <v>145</v>
      </c>
      <c r="B16" s="30">
        <v>6665</v>
      </c>
      <c r="C16" s="30">
        <v>5662.5</v>
      </c>
      <c r="D16" s="30">
        <v>3415</v>
      </c>
      <c r="E16" s="30">
        <v>3897</v>
      </c>
      <c r="F16" s="30">
        <v>7124</v>
      </c>
      <c r="G16" s="30">
        <v>5212</v>
      </c>
      <c r="H16" s="30">
        <v>6064.5</v>
      </c>
      <c r="I16" s="30">
        <v>4738</v>
      </c>
      <c r="J16" s="30">
        <v>3264.25</v>
      </c>
      <c r="K16" s="30">
        <v>3419.25</v>
      </c>
      <c r="L16" s="30">
        <v>4916</v>
      </c>
      <c r="M16" s="30">
        <v>7305</v>
      </c>
      <c r="N16" s="30">
        <v>61682.5</v>
      </c>
    </row>
    <row r="17" spans="1:14" x14ac:dyDescent="0.25">
      <c r="A17" s="26" t="s">
        <v>146</v>
      </c>
      <c r="B17" s="27">
        <v>22001</v>
      </c>
      <c r="C17" s="27">
        <v>22036</v>
      </c>
      <c r="D17" s="27">
        <v>22111</v>
      </c>
      <c r="E17" s="27">
        <v>22146</v>
      </c>
      <c r="F17" s="27">
        <v>21966</v>
      </c>
      <c r="G17" s="27">
        <v>17816</v>
      </c>
      <c r="H17" s="27">
        <v>17621</v>
      </c>
      <c r="I17" s="27">
        <v>17536</v>
      </c>
      <c r="J17" s="27">
        <v>16426</v>
      </c>
      <c r="K17" s="27">
        <v>15381</v>
      </c>
      <c r="L17" s="27">
        <v>14675.5</v>
      </c>
      <c r="M17" s="27">
        <v>15075.5</v>
      </c>
      <c r="N17" s="27">
        <v>224791</v>
      </c>
    </row>
    <row r="18" spans="1:14" x14ac:dyDescent="0.25">
      <c r="A18" s="26" t="s">
        <v>147</v>
      </c>
      <c r="N18" s="27">
        <v>0</v>
      </c>
    </row>
    <row r="19" spans="1:14" x14ac:dyDescent="0.25">
      <c r="A19" s="28" t="s">
        <v>148</v>
      </c>
      <c r="H19" s="27">
        <v>1250</v>
      </c>
      <c r="I19" s="27">
        <v>1250</v>
      </c>
      <c r="J19" s="27">
        <v>1250</v>
      </c>
      <c r="K19" s="27">
        <v>1250</v>
      </c>
      <c r="L19" s="27">
        <v>5750</v>
      </c>
      <c r="M19" s="27">
        <v>3000</v>
      </c>
      <c r="N19" s="27">
        <v>13750</v>
      </c>
    </row>
    <row r="20" spans="1:14" x14ac:dyDescent="0.25">
      <c r="A20" s="28" t="s">
        <v>149</v>
      </c>
      <c r="L20" s="27">
        <v>80</v>
      </c>
      <c r="M20" s="27">
        <v>480</v>
      </c>
      <c r="N20" s="27">
        <v>560</v>
      </c>
    </row>
    <row r="21" spans="1:14" x14ac:dyDescent="0.25">
      <c r="A21" s="28" t="s">
        <v>150</v>
      </c>
      <c r="M21" s="27">
        <v>60</v>
      </c>
      <c r="N21" s="27">
        <v>60</v>
      </c>
    </row>
    <row r="22" spans="1:14" x14ac:dyDescent="0.25">
      <c r="A22" s="28" t="s">
        <v>151</v>
      </c>
      <c r="B22" s="27">
        <v>44683.5</v>
      </c>
      <c r="C22" s="27">
        <v>47046</v>
      </c>
      <c r="D22" s="27">
        <v>52470</v>
      </c>
      <c r="E22" s="27">
        <v>57169.7</v>
      </c>
      <c r="F22" s="27">
        <v>57514.15</v>
      </c>
      <c r="G22" s="27">
        <v>65516</v>
      </c>
      <c r="H22" s="27">
        <v>68281.25</v>
      </c>
      <c r="I22" s="27">
        <v>73251.350000000006</v>
      </c>
      <c r="J22" s="27">
        <v>75551.7</v>
      </c>
      <c r="K22" s="27">
        <v>79113.25</v>
      </c>
      <c r="L22" s="27">
        <v>83290.8</v>
      </c>
      <c r="M22" s="27">
        <v>89584.55</v>
      </c>
      <c r="N22" s="27">
        <v>793472.25</v>
      </c>
    </row>
    <row r="23" spans="1:14" x14ac:dyDescent="0.25">
      <c r="A23" s="29" t="s">
        <v>152</v>
      </c>
      <c r="B23" s="30">
        <v>44683.5</v>
      </c>
      <c r="C23" s="30">
        <v>47046</v>
      </c>
      <c r="D23" s="30">
        <v>52470</v>
      </c>
      <c r="E23" s="30">
        <v>57169.7</v>
      </c>
      <c r="F23" s="30">
        <v>57514.15</v>
      </c>
      <c r="G23" s="30">
        <v>65516</v>
      </c>
      <c r="H23" s="30">
        <v>69531.25</v>
      </c>
      <c r="I23" s="30">
        <v>74501.350000000006</v>
      </c>
      <c r="J23" s="30">
        <v>76801.7</v>
      </c>
      <c r="K23" s="30">
        <v>80363.25</v>
      </c>
      <c r="L23" s="30">
        <v>89120.8</v>
      </c>
      <c r="M23" s="30">
        <v>93124.55</v>
      </c>
      <c r="N23" s="30">
        <v>807842.25</v>
      </c>
    </row>
    <row r="24" spans="1:14" x14ac:dyDescent="0.25">
      <c r="A24" s="17" t="s">
        <v>30</v>
      </c>
      <c r="B24" s="30">
        <v>80913.100000000006</v>
      </c>
      <c r="C24" s="30">
        <v>81255.7</v>
      </c>
      <c r="D24" s="30">
        <v>78112.2</v>
      </c>
      <c r="E24" s="30">
        <v>83353.3</v>
      </c>
      <c r="F24" s="30">
        <v>90196.15</v>
      </c>
      <c r="G24" s="30">
        <v>89915.8</v>
      </c>
      <c r="H24" s="30">
        <v>104682.05</v>
      </c>
      <c r="I24" s="30">
        <v>104116.75</v>
      </c>
      <c r="J24" s="30">
        <v>98372.75</v>
      </c>
      <c r="K24" s="30">
        <v>99058.9</v>
      </c>
      <c r="L24" s="30">
        <v>109237.3</v>
      </c>
      <c r="M24" s="30">
        <v>115751.85</v>
      </c>
      <c r="N24" s="30">
        <v>1134965.8500000001</v>
      </c>
    </row>
    <row r="25" spans="1:14" x14ac:dyDescent="0.25">
      <c r="A25" s="17" t="s">
        <v>31</v>
      </c>
    </row>
    <row r="26" spans="1:14" x14ac:dyDescent="0.25">
      <c r="A26" s="26" t="s">
        <v>153</v>
      </c>
      <c r="B26" s="27">
        <v>1299.3399999999999</v>
      </c>
      <c r="C26" s="27">
        <v>30.12</v>
      </c>
      <c r="D26" s="27">
        <v>10.63</v>
      </c>
      <c r="E26" s="27">
        <v>3.25</v>
      </c>
      <c r="F26" s="27">
        <v>0.65</v>
      </c>
      <c r="I26" s="27">
        <v>1.94</v>
      </c>
      <c r="N26" s="27">
        <v>1345.93</v>
      </c>
    </row>
    <row r="27" spans="1:14" x14ac:dyDescent="0.25">
      <c r="A27" s="26" t="s">
        <v>154</v>
      </c>
      <c r="N27" s="27">
        <v>0</v>
      </c>
    </row>
    <row r="28" spans="1:14" x14ac:dyDescent="0.25">
      <c r="A28" s="28" t="s">
        <v>155</v>
      </c>
      <c r="B28" s="27">
        <v>9555</v>
      </c>
      <c r="C28" s="27">
        <v>9555</v>
      </c>
      <c r="D28" s="27">
        <v>10397.200000000001</v>
      </c>
      <c r="E28" s="27">
        <v>14999.67</v>
      </c>
      <c r="F28" s="27">
        <v>18009.8</v>
      </c>
      <c r="G28" s="27">
        <v>13891.27</v>
      </c>
      <c r="H28" s="27">
        <v>14048.24</v>
      </c>
      <c r="I28" s="27">
        <v>13390.91</v>
      </c>
      <c r="J28" s="27">
        <v>14669.31</v>
      </c>
      <c r="K28" s="27">
        <v>15882.53</v>
      </c>
      <c r="L28" s="27">
        <v>27188.67</v>
      </c>
      <c r="M28" s="27">
        <v>21781.43</v>
      </c>
      <c r="N28" s="27">
        <v>183369.03</v>
      </c>
    </row>
    <row r="29" spans="1:14" x14ac:dyDescent="0.25">
      <c r="A29" s="28" t="s">
        <v>156</v>
      </c>
      <c r="B29" s="27">
        <v>9961.08</v>
      </c>
      <c r="C29" s="27">
        <v>13850.26</v>
      </c>
      <c r="D29" s="27">
        <v>12790.54</v>
      </c>
      <c r="E29" s="27">
        <v>14571.45</v>
      </c>
      <c r="F29" s="27">
        <v>28285.63</v>
      </c>
      <c r="G29" s="27">
        <v>26542.54</v>
      </c>
      <c r="H29" s="27">
        <v>28311.19</v>
      </c>
      <c r="I29" s="27">
        <v>28187.46</v>
      </c>
      <c r="J29" s="27">
        <v>30868.01</v>
      </c>
      <c r="K29" s="27">
        <v>31621.279999999999</v>
      </c>
      <c r="L29" s="27">
        <v>28449.74</v>
      </c>
      <c r="M29" s="27">
        <v>32722.11</v>
      </c>
      <c r="N29" s="27">
        <v>286161.28999999998</v>
      </c>
    </row>
    <row r="30" spans="1:14" x14ac:dyDescent="0.25">
      <c r="A30" s="28" t="s">
        <v>157</v>
      </c>
      <c r="M30" s="27">
        <v>1113.3499999999999</v>
      </c>
      <c r="N30" s="27">
        <v>1113.3499999999999</v>
      </c>
    </row>
    <row r="31" spans="1:14" x14ac:dyDescent="0.25">
      <c r="A31" s="28" t="s">
        <v>158</v>
      </c>
      <c r="B31" s="27">
        <v>9137.2800000000007</v>
      </c>
      <c r="C31" s="27">
        <v>8962.9599999999991</v>
      </c>
      <c r="D31" s="27">
        <v>10195.84</v>
      </c>
      <c r="E31" s="27">
        <v>15044.29</v>
      </c>
      <c r="F31" s="27">
        <v>16637.439999999999</v>
      </c>
      <c r="G31" s="27">
        <v>7494.99</v>
      </c>
      <c r="H31" s="27">
        <v>7982.02</v>
      </c>
      <c r="I31" s="27">
        <v>5902.74</v>
      </c>
      <c r="J31" s="27">
        <v>7767.63</v>
      </c>
      <c r="K31" s="27">
        <v>8214.17</v>
      </c>
      <c r="L31" s="27">
        <v>12622.72</v>
      </c>
      <c r="M31" s="27">
        <v>12850.47</v>
      </c>
      <c r="N31" s="27">
        <v>122812.55</v>
      </c>
    </row>
    <row r="32" spans="1:14" x14ac:dyDescent="0.25">
      <c r="A32" s="29" t="s">
        <v>159</v>
      </c>
      <c r="B32" s="30">
        <v>28653.360000000001</v>
      </c>
      <c r="C32" s="30">
        <v>32368.22</v>
      </c>
      <c r="D32" s="30">
        <v>33383.58</v>
      </c>
      <c r="E32" s="30">
        <v>44615.41</v>
      </c>
      <c r="F32" s="30">
        <v>62932.87</v>
      </c>
      <c r="G32" s="30">
        <v>47928.800000000003</v>
      </c>
      <c r="H32" s="30">
        <v>50341.45</v>
      </c>
      <c r="I32" s="30">
        <v>47481.11</v>
      </c>
      <c r="J32" s="30">
        <v>53304.95</v>
      </c>
      <c r="K32" s="30">
        <v>55717.98</v>
      </c>
      <c r="L32" s="30">
        <v>68261.13</v>
      </c>
      <c r="M32" s="30">
        <v>68467.360000000001</v>
      </c>
      <c r="N32" s="30">
        <v>593456.22</v>
      </c>
    </row>
    <row r="33" spans="1:14" x14ac:dyDescent="0.25">
      <c r="A33" s="26" t="s">
        <v>160</v>
      </c>
      <c r="B33" s="27">
        <v>617.9</v>
      </c>
      <c r="C33" s="27">
        <v>837.4</v>
      </c>
      <c r="D33" s="27">
        <v>629.36</v>
      </c>
      <c r="E33" s="27">
        <v>682.45</v>
      </c>
      <c r="F33" s="27">
        <v>721.51</v>
      </c>
      <c r="G33" s="27">
        <v>787.47</v>
      </c>
      <c r="H33" s="27">
        <v>655.62</v>
      </c>
      <c r="I33" s="27">
        <v>794.91</v>
      </c>
      <c r="J33" s="27">
        <v>690.63</v>
      </c>
      <c r="K33" s="27">
        <v>717.61</v>
      </c>
      <c r="L33" s="27">
        <v>737.95</v>
      </c>
      <c r="M33" s="27">
        <v>798.18</v>
      </c>
      <c r="N33" s="27">
        <v>8670.99</v>
      </c>
    </row>
    <row r="34" spans="1:14" x14ac:dyDescent="0.25">
      <c r="A34" s="26" t="s">
        <v>161</v>
      </c>
      <c r="B34" s="27">
        <v>2210</v>
      </c>
      <c r="C34" s="27">
        <v>2735</v>
      </c>
      <c r="D34" s="27">
        <v>2715</v>
      </c>
      <c r="E34" s="27">
        <v>2735</v>
      </c>
      <c r="F34" s="27">
        <v>780</v>
      </c>
      <c r="G34" s="27">
        <v>3245</v>
      </c>
      <c r="H34" s="27">
        <v>1280</v>
      </c>
      <c r="I34" s="27">
        <v>1300</v>
      </c>
      <c r="J34" s="27">
        <v>1810</v>
      </c>
      <c r="K34" s="27">
        <v>1820</v>
      </c>
      <c r="L34" s="27">
        <v>1835</v>
      </c>
      <c r="M34" s="27">
        <v>2355</v>
      </c>
      <c r="N34" s="27">
        <v>24820</v>
      </c>
    </row>
    <row r="35" spans="1:14" x14ac:dyDescent="0.25">
      <c r="A35" s="26" t="s">
        <v>162</v>
      </c>
      <c r="B35" s="27">
        <v>7073</v>
      </c>
      <c r="C35" s="27">
        <v>7018.18</v>
      </c>
      <c r="D35" s="27">
        <v>7777.88</v>
      </c>
      <c r="E35" s="27">
        <v>7761.24</v>
      </c>
      <c r="F35" s="27">
        <v>7718.21</v>
      </c>
      <c r="G35" s="27">
        <v>8912.64</v>
      </c>
      <c r="H35" s="27">
        <v>10846.68</v>
      </c>
      <c r="I35" s="27">
        <v>11135.14</v>
      </c>
      <c r="J35" s="27">
        <v>11034.5</v>
      </c>
      <c r="K35" s="27">
        <v>11728.73</v>
      </c>
      <c r="L35" s="27">
        <v>11446.91</v>
      </c>
      <c r="M35" s="27">
        <v>11969.58</v>
      </c>
      <c r="N35" s="27">
        <v>114422.69</v>
      </c>
    </row>
    <row r="36" spans="1:14" x14ac:dyDescent="0.25">
      <c r="A36" s="17" t="s">
        <v>48</v>
      </c>
      <c r="B36" s="30">
        <v>39853.599999999999</v>
      </c>
      <c r="C36" s="30">
        <v>42988.92</v>
      </c>
      <c r="D36" s="30">
        <v>44516.45</v>
      </c>
      <c r="E36" s="30">
        <v>55797.35</v>
      </c>
      <c r="F36" s="30">
        <v>72153.240000000005</v>
      </c>
      <c r="G36" s="30">
        <v>60873.91</v>
      </c>
      <c r="H36" s="30">
        <v>63123.75</v>
      </c>
      <c r="I36" s="30">
        <v>60713.1</v>
      </c>
      <c r="J36" s="30">
        <v>66840.08</v>
      </c>
      <c r="K36" s="30">
        <v>69984.320000000007</v>
      </c>
      <c r="L36" s="30">
        <v>82280.990000000005</v>
      </c>
      <c r="M36" s="30">
        <v>83590.12</v>
      </c>
      <c r="N36" s="30">
        <v>742715.83</v>
      </c>
    </row>
    <row r="37" spans="1:14" x14ac:dyDescent="0.25">
      <c r="A37" s="17" t="s">
        <v>49</v>
      </c>
      <c r="B37" s="30">
        <v>41059.5</v>
      </c>
      <c r="C37" s="30">
        <v>38266.78</v>
      </c>
      <c r="D37" s="30">
        <v>33595.75</v>
      </c>
      <c r="E37" s="30">
        <v>27555.95</v>
      </c>
      <c r="F37" s="30">
        <v>18042.91</v>
      </c>
      <c r="G37" s="30">
        <v>29041.89</v>
      </c>
      <c r="H37" s="30">
        <v>41558.300000000003</v>
      </c>
      <c r="I37" s="30">
        <v>43403.65</v>
      </c>
      <c r="J37" s="30">
        <v>31532.67</v>
      </c>
      <c r="K37" s="30">
        <v>29074.58</v>
      </c>
      <c r="L37" s="30">
        <v>26956.31</v>
      </c>
      <c r="M37" s="30">
        <v>32161.73</v>
      </c>
      <c r="N37" s="30">
        <v>392250.02</v>
      </c>
    </row>
    <row r="38" spans="1:14" x14ac:dyDescent="0.25">
      <c r="A38" s="17" t="s">
        <v>50</v>
      </c>
    </row>
    <row r="39" spans="1:14" x14ac:dyDescent="0.25">
      <c r="A39" s="26" t="s">
        <v>163</v>
      </c>
      <c r="N39" s="27">
        <v>0</v>
      </c>
    </row>
    <row r="40" spans="1:14" x14ac:dyDescent="0.25">
      <c r="A40" s="28" t="s">
        <v>164</v>
      </c>
      <c r="B40" s="27">
        <v>1</v>
      </c>
      <c r="C40" s="27">
        <v>1</v>
      </c>
      <c r="D40" s="27">
        <v>1</v>
      </c>
      <c r="E40" s="27">
        <v>96</v>
      </c>
      <c r="F40" s="27">
        <v>2</v>
      </c>
      <c r="G40" s="27">
        <v>1</v>
      </c>
      <c r="H40" s="27">
        <v>5.63</v>
      </c>
      <c r="I40" s="27">
        <v>1</v>
      </c>
      <c r="J40" s="27">
        <v>1</v>
      </c>
      <c r="K40" s="27">
        <v>4.17</v>
      </c>
      <c r="L40" s="27">
        <v>9.42</v>
      </c>
      <c r="M40" s="27">
        <v>24.67</v>
      </c>
      <c r="N40" s="27">
        <v>147.88999999999999</v>
      </c>
    </row>
    <row r="41" spans="1:14" x14ac:dyDescent="0.25">
      <c r="A41" s="28" t="s">
        <v>165</v>
      </c>
      <c r="N41" s="27">
        <v>0</v>
      </c>
    </row>
    <row r="42" spans="1:14" x14ac:dyDescent="0.25">
      <c r="A42" s="31" t="s">
        <v>166</v>
      </c>
      <c r="H42" s="27">
        <v>381</v>
      </c>
      <c r="I42" s="27">
        <v>319.26</v>
      </c>
      <c r="L42" s="27">
        <v>813</v>
      </c>
      <c r="M42" s="27">
        <v>93</v>
      </c>
      <c r="N42" s="27">
        <v>1606.26</v>
      </c>
    </row>
    <row r="43" spans="1:14" x14ac:dyDescent="0.25">
      <c r="A43" s="31" t="s">
        <v>167</v>
      </c>
      <c r="H43" s="27">
        <v>42</v>
      </c>
      <c r="I43" s="27">
        <v>40.299999999999997</v>
      </c>
      <c r="J43" s="27">
        <v>18</v>
      </c>
      <c r="K43" s="27">
        <v>60</v>
      </c>
      <c r="L43" s="27">
        <v>104</v>
      </c>
      <c r="M43" s="27">
        <v>146</v>
      </c>
      <c r="N43" s="27">
        <v>410.3</v>
      </c>
    </row>
    <row r="44" spans="1:14" x14ac:dyDescent="0.25">
      <c r="A44" s="31" t="s">
        <v>168</v>
      </c>
      <c r="J44" s="27">
        <v>200</v>
      </c>
      <c r="K44" s="27">
        <v>200</v>
      </c>
      <c r="M44" s="27">
        <v>200</v>
      </c>
      <c r="N44" s="27">
        <v>600</v>
      </c>
    </row>
    <row r="45" spans="1:14" x14ac:dyDescent="0.25">
      <c r="A45" s="31" t="s">
        <v>169</v>
      </c>
      <c r="G45" s="27">
        <v>61.45</v>
      </c>
      <c r="H45" s="27">
        <v>100</v>
      </c>
      <c r="K45" s="27">
        <v>100</v>
      </c>
      <c r="N45" s="27">
        <v>261.45</v>
      </c>
    </row>
    <row r="46" spans="1:14" x14ac:dyDescent="0.25">
      <c r="A46" s="31" t="s">
        <v>170</v>
      </c>
      <c r="C46" s="27">
        <v>627.70000000000005</v>
      </c>
      <c r="E46" s="27">
        <v>338.9</v>
      </c>
      <c r="F46" s="27">
        <v>338.9</v>
      </c>
      <c r="H46" s="27">
        <v>338.9</v>
      </c>
      <c r="J46" s="27">
        <v>169.45</v>
      </c>
      <c r="K46" s="27">
        <v>338.9</v>
      </c>
      <c r="M46" s="27">
        <v>343.29</v>
      </c>
      <c r="N46" s="27">
        <v>2496.04</v>
      </c>
    </row>
    <row r="47" spans="1:14" x14ac:dyDescent="0.25">
      <c r="A47" s="32" t="s">
        <v>171</v>
      </c>
      <c r="B47" s="30">
        <v>0</v>
      </c>
      <c r="C47" s="30">
        <v>627.70000000000005</v>
      </c>
      <c r="D47" s="30">
        <v>0</v>
      </c>
      <c r="E47" s="30">
        <v>338.9</v>
      </c>
      <c r="F47" s="30">
        <v>338.9</v>
      </c>
      <c r="G47" s="30">
        <v>61.45</v>
      </c>
      <c r="H47" s="30">
        <v>861.9</v>
      </c>
      <c r="I47" s="30">
        <v>359.56</v>
      </c>
      <c r="J47" s="30">
        <v>387.45</v>
      </c>
      <c r="K47" s="30">
        <v>698.9</v>
      </c>
      <c r="L47" s="30">
        <v>917</v>
      </c>
      <c r="M47" s="30">
        <v>782.29</v>
      </c>
      <c r="N47" s="30">
        <v>5374.05</v>
      </c>
    </row>
    <row r="48" spans="1:14" x14ac:dyDescent="0.25">
      <c r="A48" s="28" t="s">
        <v>172</v>
      </c>
      <c r="B48" s="27">
        <v>3093.46</v>
      </c>
      <c r="C48" s="27">
        <v>4630.17</v>
      </c>
      <c r="D48" s="27">
        <v>4395.07</v>
      </c>
      <c r="E48" s="27">
        <v>5863.87</v>
      </c>
      <c r="F48" s="27">
        <v>7372.33</v>
      </c>
      <c r="G48" s="27">
        <v>4950.3999999999996</v>
      </c>
      <c r="H48" s="27">
        <v>4950.3999999999996</v>
      </c>
      <c r="I48" s="27">
        <v>4700.3500000000004</v>
      </c>
      <c r="J48" s="27">
        <v>4950.3999999999996</v>
      </c>
      <c r="K48" s="27">
        <v>5999.87</v>
      </c>
      <c r="L48" s="27">
        <v>26028.76</v>
      </c>
      <c r="M48" s="27">
        <v>24440.12</v>
      </c>
      <c r="N48" s="27">
        <v>101375.2</v>
      </c>
    </row>
    <row r="49" spans="1:14" x14ac:dyDescent="0.25">
      <c r="A49" s="28" t="s">
        <v>173</v>
      </c>
      <c r="B49" s="27">
        <v>147.47</v>
      </c>
      <c r="C49" s="27">
        <v>147.47</v>
      </c>
      <c r="D49" s="27">
        <v>177.55</v>
      </c>
      <c r="E49" s="27">
        <v>191.67</v>
      </c>
      <c r="F49" s="27">
        <v>180.14</v>
      </c>
      <c r="G49" s="27">
        <v>176.22</v>
      </c>
      <c r="H49" s="27">
        <v>176.2</v>
      </c>
      <c r="I49" s="27">
        <v>176.22</v>
      </c>
      <c r="J49" s="27">
        <v>187.12</v>
      </c>
      <c r="K49" s="27">
        <v>177.44</v>
      </c>
      <c r="L49" s="27">
        <v>176.22</v>
      </c>
      <c r="M49" s="27">
        <v>176.22</v>
      </c>
      <c r="N49" s="27">
        <v>2089.94</v>
      </c>
    </row>
    <row r="50" spans="1:14" x14ac:dyDescent="0.25">
      <c r="A50" s="28" t="s">
        <v>174</v>
      </c>
      <c r="N50" s="27">
        <v>0</v>
      </c>
    </row>
    <row r="51" spans="1:14" x14ac:dyDescent="0.25">
      <c r="A51" s="31" t="s">
        <v>175</v>
      </c>
      <c r="D51" s="27">
        <v>2600</v>
      </c>
      <c r="J51" s="27">
        <v>892.5</v>
      </c>
      <c r="N51" s="27">
        <v>3492.5</v>
      </c>
    </row>
    <row r="52" spans="1:14" x14ac:dyDescent="0.25">
      <c r="A52" s="31" t="s">
        <v>176</v>
      </c>
      <c r="C52" s="27">
        <v>1166.5</v>
      </c>
      <c r="D52" s="27">
        <v>1166.5</v>
      </c>
      <c r="E52" s="27">
        <v>1166.67</v>
      </c>
      <c r="F52" s="27">
        <v>1166.67</v>
      </c>
      <c r="G52" s="27">
        <v>2666.66</v>
      </c>
      <c r="H52" s="27">
        <v>1166.67</v>
      </c>
      <c r="I52" s="27">
        <v>1166.67</v>
      </c>
      <c r="J52" s="27">
        <v>3067.91</v>
      </c>
      <c r="K52" s="27">
        <v>1166.67</v>
      </c>
      <c r="L52" s="27">
        <v>2166.67</v>
      </c>
      <c r="M52" s="27">
        <v>2166.66</v>
      </c>
      <c r="N52" s="27">
        <v>18234.25</v>
      </c>
    </row>
    <row r="53" spans="1:14" x14ac:dyDescent="0.25">
      <c r="A53" s="31" t="s">
        <v>177</v>
      </c>
      <c r="B53" s="27">
        <v>24.92</v>
      </c>
      <c r="C53" s="27">
        <v>1024.92</v>
      </c>
      <c r="D53" s="27">
        <v>1024.92</v>
      </c>
      <c r="E53" s="27">
        <v>1224.92</v>
      </c>
      <c r="F53" s="27">
        <v>1024.92</v>
      </c>
      <c r="G53" s="27">
        <v>1518.02</v>
      </c>
      <c r="H53" s="27">
        <v>2013.31</v>
      </c>
      <c r="I53" s="27">
        <v>1600.9</v>
      </c>
      <c r="J53" s="27">
        <v>1589.69</v>
      </c>
      <c r="K53" s="27">
        <v>1125.82</v>
      </c>
      <c r="L53" s="27">
        <v>1441.99</v>
      </c>
      <c r="M53" s="27">
        <v>1287.72</v>
      </c>
      <c r="N53" s="27">
        <v>14902.05</v>
      </c>
    </row>
    <row r="54" spans="1:14" x14ac:dyDescent="0.25">
      <c r="A54" s="32" t="s">
        <v>178</v>
      </c>
      <c r="B54" s="30">
        <v>24.92</v>
      </c>
      <c r="C54" s="30">
        <v>2191.42</v>
      </c>
      <c r="D54" s="30">
        <v>4791.42</v>
      </c>
      <c r="E54" s="30">
        <v>2391.59</v>
      </c>
      <c r="F54" s="30">
        <v>2191.59</v>
      </c>
      <c r="G54" s="30">
        <v>4184.68</v>
      </c>
      <c r="H54" s="30">
        <v>3179.98</v>
      </c>
      <c r="I54" s="30">
        <v>2767.57</v>
      </c>
      <c r="J54" s="30">
        <v>5550.1</v>
      </c>
      <c r="K54" s="30">
        <v>2292.4899999999998</v>
      </c>
      <c r="L54" s="30">
        <v>3608.66</v>
      </c>
      <c r="M54" s="30">
        <v>3454.38</v>
      </c>
      <c r="N54" s="30">
        <v>36628.800000000003</v>
      </c>
    </row>
    <row r="55" spans="1:14" x14ac:dyDescent="0.25">
      <c r="A55" s="28" t="s">
        <v>179</v>
      </c>
      <c r="E55" s="27">
        <v>2158.98</v>
      </c>
      <c r="M55" s="27">
        <v>950</v>
      </c>
      <c r="N55" s="27">
        <v>3108.98</v>
      </c>
    </row>
    <row r="56" spans="1:14" x14ac:dyDescent="0.25">
      <c r="A56" s="28" t="s">
        <v>180</v>
      </c>
      <c r="F56" s="27">
        <v>64.989999999999995</v>
      </c>
      <c r="N56" s="27">
        <v>64.989999999999995</v>
      </c>
    </row>
    <row r="57" spans="1:14" x14ac:dyDescent="0.25">
      <c r="A57" s="28" t="s">
        <v>181</v>
      </c>
      <c r="E57" s="27">
        <v>1750</v>
      </c>
      <c r="N57" s="27">
        <v>1750</v>
      </c>
    </row>
    <row r="58" spans="1:14" x14ac:dyDescent="0.25">
      <c r="A58" s="28" t="s">
        <v>182</v>
      </c>
      <c r="B58" s="27">
        <v>52.83</v>
      </c>
      <c r="C58" s="27">
        <v>344.99</v>
      </c>
      <c r="D58" s="27">
        <v>30.75</v>
      </c>
      <c r="G58" s="27">
        <v>11.2</v>
      </c>
      <c r="K58" s="27">
        <v>6.08</v>
      </c>
      <c r="L58" s="27">
        <v>25</v>
      </c>
      <c r="M58" s="27">
        <v>9.91</v>
      </c>
      <c r="N58" s="27">
        <v>480.76</v>
      </c>
    </row>
    <row r="59" spans="1:14" x14ac:dyDescent="0.25">
      <c r="A59" s="28" t="s">
        <v>183</v>
      </c>
      <c r="B59" s="27">
        <v>334.17</v>
      </c>
      <c r="C59" s="27">
        <v>334.17</v>
      </c>
      <c r="D59" s="27">
        <v>334.17</v>
      </c>
      <c r="E59" s="27">
        <v>334.17</v>
      </c>
      <c r="F59" s="27">
        <v>255</v>
      </c>
      <c r="G59" s="27">
        <v>255</v>
      </c>
      <c r="H59" s="27">
        <v>254.96</v>
      </c>
      <c r="I59" s="27">
        <v>205</v>
      </c>
      <c r="J59" s="27">
        <v>784.17</v>
      </c>
      <c r="K59" s="27">
        <v>784.17</v>
      </c>
      <c r="L59" s="27">
        <v>784.17</v>
      </c>
      <c r="M59" s="27">
        <v>784.17</v>
      </c>
      <c r="N59" s="27">
        <v>5443.32</v>
      </c>
    </row>
    <row r="60" spans="1:14" x14ac:dyDescent="0.25">
      <c r="A60" s="28" t="s">
        <v>184</v>
      </c>
      <c r="B60" s="27">
        <v>3452.85</v>
      </c>
      <c r="C60" s="27">
        <v>3617.53</v>
      </c>
      <c r="D60" s="27">
        <v>3974.07</v>
      </c>
      <c r="E60" s="27">
        <v>4223.6499999999996</v>
      </c>
      <c r="F60" s="27">
        <v>5097.25</v>
      </c>
      <c r="G60" s="27">
        <v>5333.51</v>
      </c>
      <c r="H60" s="27">
        <v>5513.69</v>
      </c>
      <c r="I60" s="27">
        <v>5231.6899999999996</v>
      </c>
      <c r="J60" s="27">
        <v>5516.22</v>
      </c>
      <c r="K60" s="27">
        <v>6127.97</v>
      </c>
      <c r="L60" s="27">
        <v>6150.97</v>
      </c>
      <c r="M60" s="27">
        <v>6676.54</v>
      </c>
      <c r="N60" s="27">
        <v>60915.94</v>
      </c>
    </row>
    <row r="61" spans="1:14" x14ac:dyDescent="0.25">
      <c r="A61" s="28" t="s">
        <v>185</v>
      </c>
      <c r="D61" s="27">
        <v>102</v>
      </c>
      <c r="N61" s="27">
        <v>102</v>
      </c>
    </row>
    <row r="62" spans="1:14" x14ac:dyDescent="0.25">
      <c r="A62" s="28" t="s">
        <v>186</v>
      </c>
      <c r="B62" s="27">
        <v>85</v>
      </c>
      <c r="C62" s="27">
        <v>85</v>
      </c>
      <c r="D62" s="27">
        <v>97</v>
      </c>
      <c r="E62" s="27">
        <v>112.83</v>
      </c>
      <c r="F62" s="27">
        <v>85</v>
      </c>
      <c r="G62" s="27">
        <v>85</v>
      </c>
      <c r="H62" s="27">
        <v>85</v>
      </c>
      <c r="I62" s="27">
        <v>85</v>
      </c>
      <c r="J62" s="27">
        <v>85</v>
      </c>
      <c r="K62" s="27">
        <v>85</v>
      </c>
      <c r="L62" s="27">
        <v>85</v>
      </c>
      <c r="M62" s="27">
        <v>85</v>
      </c>
      <c r="N62" s="27">
        <v>1059.83</v>
      </c>
    </row>
    <row r="63" spans="1:14" x14ac:dyDescent="0.25">
      <c r="A63" s="29" t="s">
        <v>187</v>
      </c>
      <c r="B63" s="30">
        <v>7191.7</v>
      </c>
      <c r="C63" s="30">
        <v>11979.45</v>
      </c>
      <c r="D63" s="30">
        <v>13903.03</v>
      </c>
      <c r="E63" s="30">
        <v>17461.66</v>
      </c>
      <c r="F63" s="30">
        <v>15587.2</v>
      </c>
      <c r="G63" s="30">
        <v>15058.46</v>
      </c>
      <c r="H63" s="30">
        <v>15027.76</v>
      </c>
      <c r="I63" s="30">
        <v>13526.39</v>
      </c>
      <c r="J63" s="30">
        <v>17461.46</v>
      </c>
      <c r="K63" s="30">
        <v>16176.09</v>
      </c>
      <c r="L63" s="30">
        <v>37785.199999999997</v>
      </c>
      <c r="M63" s="30">
        <v>37383.300000000003</v>
      </c>
      <c r="N63" s="30">
        <v>218541.7</v>
      </c>
    </row>
    <row r="64" spans="1:14" x14ac:dyDescent="0.25">
      <c r="A64" s="26" t="s">
        <v>188</v>
      </c>
      <c r="N64" s="27">
        <v>0</v>
      </c>
    </row>
    <row r="65" spans="1:14" x14ac:dyDescent="0.25">
      <c r="A65" s="28" t="s">
        <v>189</v>
      </c>
      <c r="D65" s="27">
        <v>250</v>
      </c>
      <c r="E65" s="27">
        <v>60.46</v>
      </c>
      <c r="N65" s="27">
        <v>310.45999999999998</v>
      </c>
    </row>
    <row r="66" spans="1:14" x14ac:dyDescent="0.25">
      <c r="A66" s="28" t="s">
        <v>190</v>
      </c>
      <c r="J66" s="27">
        <v>100</v>
      </c>
      <c r="N66" s="27">
        <v>100</v>
      </c>
    </row>
    <row r="67" spans="1:14" x14ac:dyDescent="0.25">
      <c r="A67" s="28" t="s">
        <v>191</v>
      </c>
      <c r="B67" s="27">
        <v>1144</v>
      </c>
      <c r="C67" s="27">
        <v>1000</v>
      </c>
      <c r="D67" s="27">
        <v>1000</v>
      </c>
      <c r="F67" s="27">
        <v>1000</v>
      </c>
      <c r="G67" s="27">
        <v>1000</v>
      </c>
      <c r="N67" s="27">
        <v>5144</v>
      </c>
    </row>
    <row r="68" spans="1:14" x14ac:dyDescent="0.25">
      <c r="A68" s="28" t="s">
        <v>192</v>
      </c>
      <c r="I68" s="27">
        <v>170</v>
      </c>
      <c r="J68" s="27">
        <v>170</v>
      </c>
      <c r="K68" s="27">
        <v>518</v>
      </c>
      <c r="L68" s="27">
        <v>170</v>
      </c>
      <c r="M68" s="27">
        <v>170</v>
      </c>
      <c r="N68" s="27">
        <v>1198</v>
      </c>
    </row>
    <row r="69" spans="1:14" x14ac:dyDescent="0.25">
      <c r="A69" s="28" t="s">
        <v>193</v>
      </c>
      <c r="B69" s="27">
        <v>433.26</v>
      </c>
      <c r="C69" s="27">
        <v>1631.76</v>
      </c>
      <c r="D69" s="27">
        <v>433.68</v>
      </c>
      <c r="E69" s="27">
        <v>484.13</v>
      </c>
      <c r="F69" s="27">
        <v>484.13</v>
      </c>
      <c r="G69" s="27">
        <v>484.13</v>
      </c>
      <c r="H69" s="27">
        <v>493.44</v>
      </c>
      <c r="I69" s="27">
        <v>843.44</v>
      </c>
      <c r="J69" s="27">
        <v>493.44</v>
      </c>
      <c r="K69" s="27">
        <v>493.44</v>
      </c>
      <c r="L69" s="27">
        <v>493.44</v>
      </c>
      <c r="M69" s="27">
        <v>493.44</v>
      </c>
      <c r="N69" s="27">
        <v>7261.73</v>
      </c>
    </row>
    <row r="70" spans="1:14" x14ac:dyDescent="0.25">
      <c r="A70" s="29" t="s">
        <v>194</v>
      </c>
      <c r="B70" s="30">
        <v>1577.26</v>
      </c>
      <c r="C70" s="30">
        <v>2631.76</v>
      </c>
      <c r="D70" s="30">
        <v>1683.68</v>
      </c>
      <c r="E70" s="30">
        <v>544.59</v>
      </c>
      <c r="F70" s="30">
        <v>1484.13</v>
      </c>
      <c r="G70" s="30">
        <v>1484.13</v>
      </c>
      <c r="H70" s="30">
        <v>493.44</v>
      </c>
      <c r="I70" s="30">
        <v>1013.44</v>
      </c>
      <c r="J70" s="30">
        <v>763.44</v>
      </c>
      <c r="K70" s="30">
        <v>1011.44</v>
      </c>
      <c r="L70" s="30">
        <v>663.44</v>
      </c>
      <c r="M70" s="30">
        <v>663.44</v>
      </c>
      <c r="N70" s="30">
        <v>14014.19</v>
      </c>
    </row>
    <row r="71" spans="1:14" x14ac:dyDescent="0.25">
      <c r="A71" s="17" t="s">
        <v>102</v>
      </c>
      <c r="B71" s="30">
        <v>8768.9599999999991</v>
      </c>
      <c r="C71" s="30">
        <v>14611.21</v>
      </c>
      <c r="D71" s="30">
        <v>15586.71</v>
      </c>
      <c r="E71" s="30">
        <v>18006.25</v>
      </c>
      <c r="F71" s="30">
        <v>17071.330000000002</v>
      </c>
      <c r="G71" s="30">
        <v>16542.59</v>
      </c>
      <c r="H71" s="30">
        <v>15521.2</v>
      </c>
      <c r="I71" s="30">
        <v>14539.83</v>
      </c>
      <c r="J71" s="30">
        <v>18224.900000000001</v>
      </c>
      <c r="K71" s="30">
        <v>17187.53</v>
      </c>
      <c r="L71" s="30">
        <v>38448.639999999999</v>
      </c>
      <c r="M71" s="30">
        <v>38046.74</v>
      </c>
      <c r="N71" s="30">
        <v>232555.89</v>
      </c>
    </row>
    <row r="72" spans="1:14" x14ac:dyDescent="0.25">
      <c r="A72" s="17" t="s">
        <v>103</v>
      </c>
      <c r="B72" s="30">
        <v>32290.54</v>
      </c>
      <c r="C72" s="30">
        <v>23655.57</v>
      </c>
      <c r="D72" s="30">
        <v>18009.04</v>
      </c>
      <c r="E72" s="30">
        <v>9549.6999999999898</v>
      </c>
      <c r="F72" s="30">
        <v>971.57999999999095</v>
      </c>
      <c r="G72" s="30">
        <v>12499.3</v>
      </c>
      <c r="H72" s="30">
        <v>26037.1</v>
      </c>
      <c r="I72" s="30">
        <v>28863.82</v>
      </c>
      <c r="J72" s="30">
        <v>13307.77</v>
      </c>
      <c r="K72" s="30">
        <v>11887.05</v>
      </c>
      <c r="L72" s="30">
        <v>-11492.33</v>
      </c>
      <c r="M72" s="30">
        <v>-5885.0099999999902</v>
      </c>
      <c r="N72" s="30">
        <v>159694.13</v>
      </c>
    </row>
    <row r="73" spans="1:14" x14ac:dyDescent="0.25">
      <c r="A73" s="17" t="s">
        <v>104</v>
      </c>
    </row>
    <row r="74" spans="1:14" x14ac:dyDescent="0.25">
      <c r="A74" s="26" t="s">
        <v>195</v>
      </c>
      <c r="M74" s="27">
        <v>27.36</v>
      </c>
      <c r="N74" s="27">
        <v>27.36</v>
      </c>
    </row>
    <row r="75" spans="1:14" x14ac:dyDescent="0.25">
      <c r="A75" s="17" t="s">
        <v>107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27.36</v>
      </c>
      <c r="N75" s="30">
        <v>27.36</v>
      </c>
    </row>
    <row r="76" spans="1:14" x14ac:dyDescent="0.25">
      <c r="A76" s="17" t="s">
        <v>108</v>
      </c>
    </row>
    <row r="77" spans="1:14" x14ac:dyDescent="0.25">
      <c r="A77" s="26" t="s">
        <v>196</v>
      </c>
      <c r="M77" s="27">
        <v>6673</v>
      </c>
      <c r="N77" s="27">
        <v>6673</v>
      </c>
    </row>
    <row r="78" spans="1:14" x14ac:dyDescent="0.25">
      <c r="A78" s="26" t="s">
        <v>197</v>
      </c>
      <c r="L78" s="27">
        <v>71.5</v>
      </c>
      <c r="M78" s="27">
        <v>8.14</v>
      </c>
      <c r="N78" s="27">
        <v>79.64</v>
      </c>
    </row>
    <row r="79" spans="1:14" x14ac:dyDescent="0.25">
      <c r="A79" s="26" t="s">
        <v>198</v>
      </c>
      <c r="E79" s="27">
        <v>6246</v>
      </c>
      <c r="G79" s="27">
        <v>2472</v>
      </c>
      <c r="J79" s="27">
        <v>2472</v>
      </c>
      <c r="M79" s="27">
        <v>-3693</v>
      </c>
      <c r="N79" s="27">
        <v>7497</v>
      </c>
    </row>
    <row r="80" spans="1:14" x14ac:dyDescent="0.25">
      <c r="A80" s="17" t="s">
        <v>113</v>
      </c>
      <c r="B80" s="30">
        <v>0</v>
      </c>
      <c r="C80" s="30">
        <v>0</v>
      </c>
      <c r="D80" s="30">
        <v>0</v>
      </c>
      <c r="E80" s="30">
        <v>6246</v>
      </c>
      <c r="F80" s="30">
        <v>0</v>
      </c>
      <c r="G80" s="30">
        <v>2472</v>
      </c>
      <c r="H80" s="30">
        <v>0</v>
      </c>
      <c r="I80" s="30">
        <v>0</v>
      </c>
      <c r="J80" s="30">
        <v>2472</v>
      </c>
      <c r="K80" s="30">
        <v>0</v>
      </c>
      <c r="L80" s="30">
        <v>71.5</v>
      </c>
      <c r="M80" s="30">
        <v>2988.14</v>
      </c>
      <c r="N80" s="30">
        <v>14249.64</v>
      </c>
    </row>
    <row r="81" spans="1:14" x14ac:dyDescent="0.25">
      <c r="A81" s="17" t="s">
        <v>114</v>
      </c>
      <c r="B81" s="30">
        <v>0</v>
      </c>
      <c r="C81" s="30">
        <v>0</v>
      </c>
      <c r="D81" s="30">
        <v>0</v>
      </c>
      <c r="E81" s="30">
        <v>-6246</v>
      </c>
      <c r="F81" s="30">
        <v>0</v>
      </c>
      <c r="G81" s="30">
        <v>-2472</v>
      </c>
      <c r="H81" s="30">
        <v>0</v>
      </c>
      <c r="I81" s="30">
        <v>0</v>
      </c>
      <c r="J81" s="30">
        <v>-2472</v>
      </c>
      <c r="K81" s="30">
        <v>0</v>
      </c>
      <c r="L81" s="30">
        <v>-71.5</v>
      </c>
      <c r="M81" s="30">
        <v>-2960.78</v>
      </c>
      <c r="N81" s="30">
        <v>-14222.28</v>
      </c>
    </row>
    <row r="82" spans="1:14" x14ac:dyDescent="0.25">
      <c r="A82" s="17" t="s">
        <v>115</v>
      </c>
      <c r="B82" s="30">
        <v>32290.54</v>
      </c>
      <c r="C82" s="30">
        <v>23655.57</v>
      </c>
      <c r="D82" s="30">
        <v>18009.04</v>
      </c>
      <c r="E82" s="30">
        <v>3303.6999999999898</v>
      </c>
      <c r="F82" s="30">
        <v>971.57999999999095</v>
      </c>
      <c r="G82" s="30">
        <v>10027.299999999999</v>
      </c>
      <c r="H82" s="30">
        <v>26037.1</v>
      </c>
      <c r="I82" s="30">
        <v>28863.82</v>
      </c>
      <c r="J82" s="30">
        <v>10835.77</v>
      </c>
      <c r="K82" s="30">
        <v>11887.05</v>
      </c>
      <c r="L82" s="30">
        <v>-11563.83</v>
      </c>
      <c r="M82" s="30">
        <v>-8845.78999999999</v>
      </c>
      <c r="N82" s="30">
        <v>145471.85</v>
      </c>
    </row>
    <row r="86" spans="1:14" x14ac:dyDescent="0.25">
      <c r="A86" s="14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12" width="8.7109375" style="25"/>
    <col min="13" max="13" width="11.140625" style="25" customWidth="1"/>
    <col min="14" max="14" width="12" style="25" customWidth="1"/>
    <col min="15" max="16384" width="8.7109375" style="25"/>
  </cols>
  <sheetData>
    <row r="1" spans="1:14" x14ac:dyDescent="0.25">
      <c r="A1" s="17" t="s">
        <v>1</v>
      </c>
    </row>
    <row r="2" spans="1:14" x14ac:dyDescent="0.25">
      <c r="A2" s="17" t="s">
        <v>121</v>
      </c>
    </row>
    <row r="3" spans="1:14" x14ac:dyDescent="0.25">
      <c r="A3" s="17" t="s">
        <v>200</v>
      </c>
    </row>
    <row r="5" spans="1:14" x14ac:dyDescent="0.25">
      <c r="B5" s="14" t="s">
        <v>201</v>
      </c>
      <c r="C5" s="14" t="s">
        <v>202</v>
      </c>
      <c r="D5" s="14" t="s">
        <v>203</v>
      </c>
      <c r="E5" s="14" t="s">
        <v>204</v>
      </c>
      <c r="F5" s="14" t="s">
        <v>205</v>
      </c>
      <c r="G5" s="14" t="s">
        <v>206</v>
      </c>
      <c r="H5" s="14" t="s">
        <v>207</v>
      </c>
      <c r="I5" s="14" t="s">
        <v>208</v>
      </c>
      <c r="J5" s="14" t="s">
        <v>209</v>
      </c>
      <c r="K5" s="14" t="s">
        <v>210</v>
      </c>
      <c r="L5" s="14" t="s">
        <v>211</v>
      </c>
      <c r="M5" s="14" t="s">
        <v>212</v>
      </c>
      <c r="N5" s="14" t="s">
        <v>135</v>
      </c>
    </row>
    <row r="6" spans="1:14" x14ac:dyDescent="0.25">
      <c r="A6" s="17" t="s">
        <v>7</v>
      </c>
    </row>
    <row r="7" spans="1:14" x14ac:dyDescent="0.25">
      <c r="A7" s="26" t="s">
        <v>213</v>
      </c>
      <c r="N7" s="27">
        <v>0</v>
      </c>
    </row>
    <row r="8" spans="1:14" x14ac:dyDescent="0.25">
      <c r="A8" s="28" t="s">
        <v>214</v>
      </c>
      <c r="J8" s="27">
        <v>875</v>
      </c>
      <c r="K8" s="27">
        <v>0</v>
      </c>
      <c r="L8" s="27">
        <v>0</v>
      </c>
      <c r="M8" s="27">
        <v>875</v>
      </c>
      <c r="N8" s="27">
        <v>1750</v>
      </c>
    </row>
    <row r="9" spans="1:14" x14ac:dyDescent="0.25">
      <c r="A9" s="28" t="s">
        <v>215</v>
      </c>
      <c r="J9" s="27">
        <v>0</v>
      </c>
      <c r="K9" s="27">
        <v>1650</v>
      </c>
      <c r="N9" s="27">
        <v>1650</v>
      </c>
    </row>
    <row r="10" spans="1:14" x14ac:dyDescent="0.25">
      <c r="A10" s="29" t="s">
        <v>216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875</v>
      </c>
      <c r="K10" s="30">
        <v>1650</v>
      </c>
      <c r="L10" s="30">
        <v>0</v>
      </c>
      <c r="M10" s="30">
        <v>875</v>
      </c>
      <c r="N10" s="30">
        <v>3400</v>
      </c>
    </row>
    <row r="11" spans="1:14" x14ac:dyDescent="0.25">
      <c r="A11" s="26" t="s">
        <v>136</v>
      </c>
      <c r="N11" s="27">
        <v>0</v>
      </c>
    </row>
    <row r="12" spans="1:14" x14ac:dyDescent="0.25">
      <c r="A12" s="28" t="s">
        <v>137</v>
      </c>
      <c r="B12" s="27">
        <v>13485</v>
      </c>
      <c r="C12" s="27">
        <v>9915</v>
      </c>
      <c r="D12" s="27">
        <v>60</v>
      </c>
      <c r="E12" s="27">
        <v>30</v>
      </c>
      <c r="I12" s="27">
        <v>30</v>
      </c>
      <c r="J12" s="27">
        <v>30</v>
      </c>
      <c r="N12" s="27">
        <v>23550</v>
      </c>
    </row>
    <row r="13" spans="1:14" x14ac:dyDescent="0.25">
      <c r="A13" s="28" t="s">
        <v>138</v>
      </c>
      <c r="B13" s="27">
        <v>25</v>
      </c>
      <c r="C13" s="27">
        <v>399.6</v>
      </c>
      <c r="F13" s="27">
        <v>72.94</v>
      </c>
      <c r="H13" s="27">
        <v>289.70999999999998</v>
      </c>
      <c r="I13" s="27">
        <v>309.69</v>
      </c>
      <c r="M13" s="27">
        <v>25</v>
      </c>
      <c r="N13" s="27">
        <v>1121.94</v>
      </c>
    </row>
    <row r="14" spans="1:14" x14ac:dyDescent="0.25">
      <c r="A14" s="28" t="s">
        <v>139</v>
      </c>
      <c r="B14" s="27">
        <v>100</v>
      </c>
      <c r="D14" s="27">
        <v>100</v>
      </c>
      <c r="N14" s="27">
        <v>200</v>
      </c>
    </row>
    <row r="15" spans="1:14" x14ac:dyDescent="0.25">
      <c r="A15" s="28" t="s">
        <v>140</v>
      </c>
      <c r="B15" s="27">
        <v>7358.4</v>
      </c>
      <c r="C15" s="27">
        <v>1293.3499999999999</v>
      </c>
      <c r="D15" s="27">
        <v>968.33</v>
      </c>
      <c r="E15" s="27">
        <v>1165.5999999999999</v>
      </c>
      <c r="F15" s="27">
        <v>960.93</v>
      </c>
      <c r="G15" s="27">
        <v>1711.27</v>
      </c>
      <c r="H15" s="27">
        <v>1047.07</v>
      </c>
      <c r="I15" s="27">
        <v>2040.88</v>
      </c>
      <c r="J15" s="27">
        <v>1136.21</v>
      </c>
      <c r="K15" s="27">
        <v>2014.24</v>
      </c>
      <c r="L15" s="27">
        <v>1297.58</v>
      </c>
      <c r="M15" s="27">
        <v>2267.9299999999998</v>
      </c>
      <c r="N15" s="27">
        <v>23261.79</v>
      </c>
    </row>
    <row r="16" spans="1:14" x14ac:dyDescent="0.25">
      <c r="A16" s="29" t="s">
        <v>141</v>
      </c>
      <c r="B16" s="30">
        <v>20968.400000000001</v>
      </c>
      <c r="C16" s="30">
        <v>11607.95</v>
      </c>
      <c r="D16" s="30">
        <v>1128.33</v>
      </c>
      <c r="E16" s="30">
        <v>1195.5999999999999</v>
      </c>
      <c r="F16" s="30">
        <v>1033.8699999999999</v>
      </c>
      <c r="G16" s="30">
        <v>1711.27</v>
      </c>
      <c r="H16" s="30">
        <v>1336.78</v>
      </c>
      <c r="I16" s="30">
        <v>2380.5700000000002</v>
      </c>
      <c r="J16" s="30">
        <v>1166.21</v>
      </c>
      <c r="K16" s="30">
        <v>2014.24</v>
      </c>
      <c r="L16" s="30">
        <v>1297.58</v>
      </c>
      <c r="M16" s="30">
        <v>2292.9299999999998</v>
      </c>
      <c r="N16" s="30">
        <v>48133.73</v>
      </c>
    </row>
    <row r="17" spans="1:14" x14ac:dyDescent="0.25">
      <c r="A17" s="26" t="s">
        <v>142</v>
      </c>
      <c r="N17" s="27">
        <v>0</v>
      </c>
    </row>
    <row r="18" spans="1:14" x14ac:dyDescent="0.25">
      <c r="A18" s="28" t="s">
        <v>143</v>
      </c>
      <c r="B18" s="27">
        <v>1083.75</v>
      </c>
      <c r="C18" s="27">
        <v>2000</v>
      </c>
      <c r="D18" s="27">
        <v>1355</v>
      </c>
      <c r="K18" s="27">
        <v>595</v>
      </c>
      <c r="N18" s="27">
        <v>5033.75</v>
      </c>
    </row>
    <row r="19" spans="1:14" x14ac:dyDescent="0.25">
      <c r="A19" s="28" t="s">
        <v>144</v>
      </c>
      <c r="B19" s="27">
        <v>3079</v>
      </c>
      <c r="C19" s="27">
        <v>700</v>
      </c>
      <c r="D19" s="27">
        <v>10438.549999999999</v>
      </c>
      <c r="E19" s="27">
        <v>4300</v>
      </c>
      <c r="F19" s="27">
        <v>11140</v>
      </c>
      <c r="G19" s="27">
        <v>6162.5</v>
      </c>
      <c r="H19" s="27">
        <v>6434</v>
      </c>
      <c r="I19" s="27">
        <v>3965</v>
      </c>
      <c r="J19" s="27">
        <v>3920</v>
      </c>
      <c r="K19" s="27">
        <v>9136.5</v>
      </c>
      <c r="L19" s="27">
        <v>5253.75</v>
      </c>
      <c r="M19" s="27">
        <v>9990</v>
      </c>
      <c r="N19" s="27">
        <v>74519.3</v>
      </c>
    </row>
    <row r="20" spans="1:14" x14ac:dyDescent="0.25">
      <c r="A20" s="29" t="s">
        <v>145</v>
      </c>
      <c r="B20" s="30">
        <v>4162.75</v>
      </c>
      <c r="C20" s="30">
        <v>2700</v>
      </c>
      <c r="D20" s="30">
        <v>11793.55</v>
      </c>
      <c r="E20" s="30">
        <v>4300</v>
      </c>
      <c r="F20" s="30">
        <v>11140</v>
      </c>
      <c r="G20" s="30">
        <v>6162.5</v>
      </c>
      <c r="H20" s="30">
        <v>6434</v>
      </c>
      <c r="I20" s="30">
        <v>3965</v>
      </c>
      <c r="J20" s="30">
        <v>3920</v>
      </c>
      <c r="K20" s="30">
        <v>9731.5</v>
      </c>
      <c r="L20" s="30">
        <v>5253.75</v>
      </c>
      <c r="M20" s="30">
        <v>9990</v>
      </c>
      <c r="N20" s="30">
        <v>79553.05</v>
      </c>
    </row>
    <row r="21" spans="1:14" x14ac:dyDescent="0.25">
      <c r="A21" s="26" t="s">
        <v>146</v>
      </c>
      <c r="B21" s="27">
        <v>14562.5</v>
      </c>
      <c r="C21" s="27">
        <v>12802.5</v>
      </c>
      <c r="D21" s="27">
        <v>12402.5</v>
      </c>
      <c r="E21" s="27">
        <v>12602.5</v>
      </c>
      <c r="F21" s="27">
        <v>12752.5</v>
      </c>
      <c r="G21" s="27">
        <v>12792.5</v>
      </c>
      <c r="H21" s="27">
        <v>12537.5</v>
      </c>
      <c r="I21" s="27">
        <v>11857.5</v>
      </c>
      <c r="J21" s="27">
        <v>12302.5</v>
      </c>
      <c r="K21" s="27">
        <v>11692.5</v>
      </c>
      <c r="L21" s="27">
        <v>11717.5</v>
      </c>
      <c r="M21" s="27">
        <v>11747.5</v>
      </c>
      <c r="N21" s="27">
        <v>149770</v>
      </c>
    </row>
    <row r="22" spans="1:14" x14ac:dyDescent="0.25">
      <c r="A22" s="26" t="s">
        <v>147</v>
      </c>
      <c r="N22" s="27">
        <v>0</v>
      </c>
    </row>
    <row r="23" spans="1:14" x14ac:dyDescent="0.25">
      <c r="A23" s="28" t="s">
        <v>148</v>
      </c>
      <c r="B23" s="27">
        <v>4450</v>
      </c>
      <c r="C23" s="27">
        <v>3450</v>
      </c>
      <c r="D23" s="27">
        <v>3450</v>
      </c>
      <c r="E23" s="27">
        <v>5950</v>
      </c>
      <c r="F23" s="27">
        <v>5200</v>
      </c>
      <c r="G23" s="27">
        <v>5000</v>
      </c>
      <c r="H23" s="27">
        <v>4000</v>
      </c>
      <c r="I23" s="27">
        <v>2950</v>
      </c>
      <c r="J23" s="27">
        <v>3025</v>
      </c>
      <c r="K23" s="27">
        <v>3025</v>
      </c>
      <c r="L23" s="27">
        <v>2950</v>
      </c>
      <c r="M23" s="27">
        <v>2950</v>
      </c>
      <c r="N23" s="27">
        <v>46400</v>
      </c>
    </row>
    <row r="24" spans="1:14" x14ac:dyDescent="0.25">
      <c r="A24" s="28" t="s">
        <v>149</v>
      </c>
      <c r="B24" s="27">
        <v>1130</v>
      </c>
      <c r="C24" s="27">
        <v>2140</v>
      </c>
      <c r="D24" s="27">
        <v>2660</v>
      </c>
      <c r="E24" s="27">
        <v>3650</v>
      </c>
      <c r="F24" s="27">
        <v>3623</v>
      </c>
      <c r="G24" s="27">
        <v>4964</v>
      </c>
      <c r="H24" s="27">
        <v>5058.5</v>
      </c>
      <c r="I24" s="27">
        <v>4730</v>
      </c>
      <c r="J24" s="27">
        <v>4820</v>
      </c>
      <c r="K24" s="27">
        <v>5370</v>
      </c>
      <c r="L24" s="27">
        <v>8050</v>
      </c>
      <c r="M24" s="27">
        <v>8885</v>
      </c>
      <c r="N24" s="27">
        <v>55080.5</v>
      </c>
    </row>
    <row r="25" spans="1:14" x14ac:dyDescent="0.25">
      <c r="A25" s="28" t="s">
        <v>150</v>
      </c>
      <c r="B25" s="27">
        <v>970</v>
      </c>
      <c r="C25" s="27">
        <v>1100</v>
      </c>
      <c r="D25" s="27">
        <v>1735</v>
      </c>
      <c r="E25" s="27">
        <v>2140</v>
      </c>
      <c r="F25" s="27">
        <v>2363</v>
      </c>
      <c r="G25" s="27">
        <v>3263.5</v>
      </c>
      <c r="H25" s="27">
        <v>3920</v>
      </c>
      <c r="I25" s="27">
        <v>3905</v>
      </c>
      <c r="J25" s="27">
        <v>3780</v>
      </c>
      <c r="K25" s="27">
        <v>3795</v>
      </c>
      <c r="L25" s="27">
        <v>4330</v>
      </c>
      <c r="M25" s="27">
        <v>5305</v>
      </c>
      <c r="N25" s="27">
        <v>36606.5</v>
      </c>
    </row>
    <row r="26" spans="1:14" x14ac:dyDescent="0.25">
      <c r="A26" s="28" t="s">
        <v>151</v>
      </c>
      <c r="B26" s="27">
        <v>92418.9</v>
      </c>
      <c r="C26" s="27">
        <v>94002.15</v>
      </c>
      <c r="D26" s="27">
        <v>101506.05</v>
      </c>
      <c r="E26" s="27">
        <v>106137.5</v>
      </c>
      <c r="F26" s="27">
        <v>115938.75</v>
      </c>
      <c r="G26" s="27">
        <v>119431.25</v>
      </c>
      <c r="H26" s="27">
        <v>122094</v>
      </c>
      <c r="I26" s="27">
        <v>130085.25</v>
      </c>
      <c r="J26" s="27">
        <v>133590.5</v>
      </c>
      <c r="K26" s="27">
        <v>139609</v>
      </c>
      <c r="L26" s="27">
        <v>145280.75</v>
      </c>
      <c r="M26" s="27">
        <v>150398.25</v>
      </c>
      <c r="N26" s="27">
        <v>1450492.35</v>
      </c>
    </row>
    <row r="27" spans="1:14" x14ac:dyDescent="0.25">
      <c r="A27" s="28" t="s">
        <v>217</v>
      </c>
      <c r="J27" s="27">
        <v>520</v>
      </c>
      <c r="K27" s="27">
        <v>2357</v>
      </c>
      <c r="L27" s="27">
        <v>2811</v>
      </c>
      <c r="M27" s="27">
        <v>4259</v>
      </c>
      <c r="N27" s="27">
        <v>9947</v>
      </c>
    </row>
    <row r="28" spans="1:14" x14ac:dyDescent="0.25">
      <c r="A28" s="29" t="s">
        <v>152</v>
      </c>
      <c r="B28" s="30">
        <v>98968.9</v>
      </c>
      <c r="C28" s="30">
        <v>100692.15</v>
      </c>
      <c r="D28" s="30">
        <v>109351.05</v>
      </c>
      <c r="E28" s="30">
        <v>117877.5</v>
      </c>
      <c r="F28" s="30">
        <v>127124.75</v>
      </c>
      <c r="G28" s="30">
        <v>132658.75</v>
      </c>
      <c r="H28" s="30">
        <v>135072.5</v>
      </c>
      <c r="I28" s="30">
        <v>141670.25</v>
      </c>
      <c r="J28" s="30">
        <v>145735.5</v>
      </c>
      <c r="K28" s="30">
        <v>154156</v>
      </c>
      <c r="L28" s="30">
        <v>163421.75</v>
      </c>
      <c r="M28" s="30">
        <v>171797.25</v>
      </c>
      <c r="N28" s="30">
        <v>1598526.35</v>
      </c>
    </row>
    <row r="29" spans="1:14" x14ac:dyDescent="0.25">
      <c r="A29" s="17" t="s">
        <v>30</v>
      </c>
      <c r="B29" s="30">
        <v>138662.54999999999</v>
      </c>
      <c r="C29" s="30">
        <v>127802.6</v>
      </c>
      <c r="D29" s="30">
        <v>134675.43</v>
      </c>
      <c r="E29" s="30">
        <v>135975.6</v>
      </c>
      <c r="F29" s="30">
        <v>152051.12</v>
      </c>
      <c r="G29" s="30">
        <v>153325.01999999999</v>
      </c>
      <c r="H29" s="30">
        <v>155380.78</v>
      </c>
      <c r="I29" s="30">
        <v>159873.32</v>
      </c>
      <c r="J29" s="30">
        <v>163999.21</v>
      </c>
      <c r="K29" s="30">
        <v>179244.24</v>
      </c>
      <c r="L29" s="30">
        <v>181690.58</v>
      </c>
      <c r="M29" s="30">
        <v>196702.68</v>
      </c>
      <c r="N29" s="30">
        <v>1879383.13</v>
      </c>
    </row>
    <row r="30" spans="1:14" x14ac:dyDescent="0.25">
      <c r="A30" s="17" t="s">
        <v>31</v>
      </c>
    </row>
    <row r="31" spans="1:14" x14ac:dyDescent="0.25">
      <c r="A31" s="26" t="s">
        <v>153</v>
      </c>
      <c r="B31" s="27">
        <v>1226.55</v>
      </c>
      <c r="C31" s="27">
        <v>0</v>
      </c>
      <c r="D31" s="27">
        <v>1154.33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113.45</v>
      </c>
      <c r="L31" s="27">
        <v>0</v>
      </c>
      <c r="M31" s="27">
        <v>0</v>
      </c>
      <c r="N31" s="27">
        <v>2494.33</v>
      </c>
    </row>
    <row r="32" spans="1:14" x14ac:dyDescent="0.25">
      <c r="A32" s="26" t="s">
        <v>218</v>
      </c>
      <c r="K32" s="27">
        <v>1150</v>
      </c>
      <c r="L32" s="27">
        <v>437.5</v>
      </c>
      <c r="N32" s="27">
        <v>1587.5</v>
      </c>
    </row>
    <row r="33" spans="1:14" x14ac:dyDescent="0.25">
      <c r="A33" s="26" t="s">
        <v>154</v>
      </c>
      <c r="N33" s="27">
        <v>0</v>
      </c>
    </row>
    <row r="34" spans="1:14" x14ac:dyDescent="0.25">
      <c r="A34" s="28" t="s">
        <v>155</v>
      </c>
      <c r="B34" s="27">
        <v>19402.330000000002</v>
      </c>
      <c r="C34" s="27">
        <v>16400.53</v>
      </c>
      <c r="D34" s="27">
        <v>19569.830000000002</v>
      </c>
      <c r="E34" s="27">
        <v>22154.2</v>
      </c>
      <c r="F34" s="27">
        <v>20791.54</v>
      </c>
      <c r="G34" s="27">
        <v>21040.79</v>
      </c>
      <c r="H34" s="27">
        <v>27908.91</v>
      </c>
      <c r="I34" s="27">
        <v>29547</v>
      </c>
      <c r="J34" s="27">
        <v>33447.269999999997</v>
      </c>
      <c r="K34" s="27">
        <v>37794.32</v>
      </c>
      <c r="L34" s="27">
        <v>34063.32</v>
      </c>
      <c r="M34" s="27">
        <v>34064.58</v>
      </c>
      <c r="N34" s="27">
        <v>316184.62</v>
      </c>
    </row>
    <row r="35" spans="1:14" x14ac:dyDescent="0.25">
      <c r="A35" s="28" t="s">
        <v>156</v>
      </c>
      <c r="B35" s="27">
        <v>32780.76</v>
      </c>
      <c r="C35" s="27">
        <v>23361.84</v>
      </c>
      <c r="D35" s="27">
        <v>26914.27</v>
      </c>
      <c r="E35" s="27">
        <v>28812.98</v>
      </c>
      <c r="F35" s="27">
        <v>30658.75</v>
      </c>
      <c r="G35" s="27">
        <v>29271.599999999999</v>
      </c>
      <c r="H35" s="27">
        <v>29479.63</v>
      </c>
      <c r="I35" s="27">
        <v>26830.639999999999</v>
      </c>
      <c r="J35" s="27">
        <v>29785.55</v>
      </c>
      <c r="K35" s="27">
        <v>32899.370000000003</v>
      </c>
      <c r="L35" s="27">
        <v>29493.34</v>
      </c>
      <c r="M35" s="27">
        <v>32669.71</v>
      </c>
      <c r="N35" s="27">
        <v>352958.44</v>
      </c>
    </row>
    <row r="36" spans="1:14" x14ac:dyDescent="0.25">
      <c r="A36" s="28" t="s">
        <v>157</v>
      </c>
      <c r="B36" s="27">
        <v>2179.17</v>
      </c>
      <c r="C36" s="27">
        <v>1825.04</v>
      </c>
      <c r="D36" s="27">
        <v>1978.53</v>
      </c>
      <c r="E36" s="27">
        <v>2062.13</v>
      </c>
      <c r="F36" s="27">
        <v>2062.13</v>
      </c>
      <c r="G36" s="27">
        <v>1989.68</v>
      </c>
      <c r="H36" s="27">
        <v>2179.17</v>
      </c>
      <c r="I36" s="27">
        <v>2122.9299999999998</v>
      </c>
      <c r="J36" s="27">
        <v>3104.2</v>
      </c>
      <c r="K36" s="27">
        <v>3271.37</v>
      </c>
      <c r="L36" s="27">
        <v>3639.47</v>
      </c>
      <c r="M36" s="27">
        <v>3150.33</v>
      </c>
      <c r="N36" s="27">
        <v>29564.15</v>
      </c>
    </row>
    <row r="37" spans="1:14" x14ac:dyDescent="0.25">
      <c r="A37" s="28" t="s">
        <v>158</v>
      </c>
      <c r="B37" s="27">
        <v>10345.56</v>
      </c>
      <c r="C37" s="27">
        <v>8087.98</v>
      </c>
      <c r="D37" s="27">
        <v>9752.8700000000008</v>
      </c>
      <c r="E37" s="27">
        <v>10280</v>
      </c>
      <c r="F37" s="27">
        <v>11136.32</v>
      </c>
      <c r="G37" s="27">
        <v>10874.32</v>
      </c>
      <c r="H37" s="27">
        <v>13472.57</v>
      </c>
      <c r="I37" s="27">
        <v>12704.07</v>
      </c>
      <c r="J37" s="27">
        <v>14698.84</v>
      </c>
      <c r="K37" s="27">
        <v>15543.06</v>
      </c>
      <c r="L37" s="27">
        <v>14343.61</v>
      </c>
      <c r="M37" s="27">
        <v>20930.52</v>
      </c>
      <c r="N37" s="27">
        <v>152169.72</v>
      </c>
    </row>
    <row r="38" spans="1:14" x14ac:dyDescent="0.25">
      <c r="A38" s="29" t="s">
        <v>159</v>
      </c>
      <c r="B38" s="30">
        <v>64707.82</v>
      </c>
      <c r="C38" s="30">
        <v>49675.39</v>
      </c>
      <c r="D38" s="30">
        <v>58215.5</v>
      </c>
      <c r="E38" s="30">
        <v>63309.31</v>
      </c>
      <c r="F38" s="30">
        <v>64648.74</v>
      </c>
      <c r="G38" s="30">
        <v>63176.39</v>
      </c>
      <c r="H38" s="30">
        <v>73040.28</v>
      </c>
      <c r="I38" s="30">
        <v>71204.639999999999</v>
      </c>
      <c r="J38" s="30">
        <v>81035.86</v>
      </c>
      <c r="K38" s="30">
        <v>89508.12</v>
      </c>
      <c r="L38" s="30">
        <v>81539.740000000005</v>
      </c>
      <c r="M38" s="30">
        <v>90815.14</v>
      </c>
      <c r="N38" s="30">
        <v>850876.93</v>
      </c>
    </row>
    <row r="39" spans="1:14" x14ac:dyDescent="0.25">
      <c r="A39" s="26" t="s">
        <v>219</v>
      </c>
      <c r="B39" s="27">
        <v>100</v>
      </c>
      <c r="E39" s="27">
        <v>149.80000000000001</v>
      </c>
      <c r="F39" s="27">
        <v>59.75</v>
      </c>
      <c r="G39" s="27">
        <v>69.7</v>
      </c>
      <c r="H39" s="27">
        <v>159.69999999999999</v>
      </c>
      <c r="I39" s="27">
        <v>310.85000000000002</v>
      </c>
      <c r="J39" s="27">
        <v>467.51</v>
      </c>
      <c r="K39" s="27">
        <v>517.51</v>
      </c>
      <c r="L39" s="27">
        <v>-188.41</v>
      </c>
      <c r="M39" s="27">
        <v>109.5</v>
      </c>
      <c r="N39" s="27">
        <v>1755.91</v>
      </c>
    </row>
    <row r="40" spans="1:14" x14ac:dyDescent="0.25">
      <c r="A40" s="26" t="s">
        <v>160</v>
      </c>
      <c r="B40" s="27">
        <v>835.46</v>
      </c>
      <c r="C40" s="27">
        <v>1053.94</v>
      </c>
      <c r="D40" s="27">
        <v>870.69</v>
      </c>
      <c r="E40" s="27">
        <v>905.55</v>
      </c>
      <c r="F40" s="27">
        <v>911.57</v>
      </c>
      <c r="G40" s="27">
        <v>1002.49</v>
      </c>
      <c r="H40" s="27">
        <v>1224.75</v>
      </c>
      <c r="I40" s="27">
        <v>1104.3800000000001</v>
      </c>
      <c r="J40" s="27">
        <v>1297.23</v>
      </c>
      <c r="K40" s="27">
        <v>1217.3900000000001</v>
      </c>
      <c r="L40" s="27">
        <v>1622.94</v>
      </c>
      <c r="M40" s="27">
        <v>1305.1400000000001</v>
      </c>
      <c r="N40" s="27">
        <v>13351.53</v>
      </c>
    </row>
    <row r="41" spans="1:14" x14ac:dyDescent="0.25">
      <c r="A41" s="26" t="s">
        <v>161</v>
      </c>
      <c r="B41" s="27">
        <v>1470.25</v>
      </c>
      <c r="C41" s="27">
        <v>1665</v>
      </c>
      <c r="D41" s="27">
        <v>2627.75</v>
      </c>
      <c r="E41" s="27">
        <v>1248.75</v>
      </c>
      <c r="F41" s="27">
        <v>2154</v>
      </c>
      <c r="G41" s="27">
        <v>4154</v>
      </c>
      <c r="H41" s="27">
        <v>3769.75</v>
      </c>
      <c r="I41" s="27">
        <v>1696</v>
      </c>
      <c r="J41" s="27">
        <v>2227.5</v>
      </c>
      <c r="K41" s="27">
        <v>1664.5</v>
      </c>
      <c r="L41" s="27">
        <v>1718.79</v>
      </c>
      <c r="M41" s="27">
        <v>2757.45</v>
      </c>
      <c r="N41" s="27">
        <v>27153.74</v>
      </c>
    </row>
    <row r="42" spans="1:14" x14ac:dyDescent="0.25">
      <c r="A42" s="26" t="s">
        <v>220</v>
      </c>
      <c r="D42" s="27">
        <v>4640</v>
      </c>
      <c r="N42" s="27">
        <v>4640</v>
      </c>
    </row>
    <row r="43" spans="1:14" x14ac:dyDescent="0.25">
      <c r="A43" s="26" t="s">
        <v>162</v>
      </c>
      <c r="B43" s="27">
        <v>10848.53</v>
      </c>
      <c r="C43" s="27">
        <v>12213.11</v>
      </c>
      <c r="D43" s="27">
        <v>11571.67</v>
      </c>
      <c r="E43" s="27">
        <v>11810.87</v>
      </c>
      <c r="F43" s="27">
        <v>12525.63</v>
      </c>
      <c r="G43" s="27">
        <v>12863.33</v>
      </c>
      <c r="H43" s="27">
        <v>13135.45</v>
      </c>
      <c r="I43" s="27">
        <v>14257.15</v>
      </c>
      <c r="J43" s="27">
        <v>13595.12</v>
      </c>
      <c r="K43" s="27">
        <v>12347.62</v>
      </c>
      <c r="L43" s="27">
        <v>15217.81</v>
      </c>
      <c r="M43" s="27">
        <v>17108.419999999998</v>
      </c>
      <c r="N43" s="27">
        <v>157494.71</v>
      </c>
    </row>
    <row r="44" spans="1:14" x14ac:dyDescent="0.25">
      <c r="A44" s="26" t="s">
        <v>221</v>
      </c>
      <c r="J44" s="27">
        <v>396.95</v>
      </c>
      <c r="N44" s="27">
        <v>396.95</v>
      </c>
    </row>
    <row r="45" spans="1:14" x14ac:dyDescent="0.25">
      <c r="A45" s="26" t="s">
        <v>222</v>
      </c>
      <c r="J45" s="27">
        <v>937.25</v>
      </c>
      <c r="K45" s="27">
        <v>1392.25</v>
      </c>
      <c r="L45" s="27">
        <v>2361.25</v>
      </c>
      <c r="M45" s="27">
        <v>2450.5</v>
      </c>
      <c r="N45" s="27">
        <v>7141.25</v>
      </c>
    </row>
    <row r="46" spans="1:14" x14ac:dyDescent="0.25">
      <c r="A46" s="17" t="s">
        <v>48</v>
      </c>
      <c r="B46" s="30">
        <v>79188.61</v>
      </c>
      <c r="C46" s="30">
        <v>64607.44</v>
      </c>
      <c r="D46" s="30">
        <v>79079.94</v>
      </c>
      <c r="E46" s="30">
        <v>77424.28</v>
      </c>
      <c r="F46" s="30">
        <v>80299.69</v>
      </c>
      <c r="G46" s="30">
        <v>81265.91</v>
      </c>
      <c r="H46" s="30">
        <v>91329.93</v>
      </c>
      <c r="I46" s="30">
        <v>88573.02</v>
      </c>
      <c r="J46" s="30">
        <v>99957.42</v>
      </c>
      <c r="K46" s="30">
        <v>107910.84</v>
      </c>
      <c r="L46" s="30">
        <v>102709.62</v>
      </c>
      <c r="M46" s="30">
        <v>114546.15</v>
      </c>
      <c r="N46" s="30">
        <v>1066892.8500000001</v>
      </c>
    </row>
    <row r="47" spans="1:14" x14ac:dyDescent="0.25">
      <c r="A47" s="17" t="s">
        <v>49</v>
      </c>
      <c r="B47" s="30">
        <v>59473.94</v>
      </c>
      <c r="C47" s="30">
        <v>63195.16</v>
      </c>
      <c r="D47" s="30">
        <v>55595.49</v>
      </c>
      <c r="E47" s="30">
        <v>58551.32</v>
      </c>
      <c r="F47" s="30">
        <v>71751.429999999993</v>
      </c>
      <c r="G47" s="30">
        <v>72059.11</v>
      </c>
      <c r="H47" s="30">
        <v>64050.85</v>
      </c>
      <c r="I47" s="30">
        <v>71300.3</v>
      </c>
      <c r="J47" s="30">
        <v>64041.79</v>
      </c>
      <c r="K47" s="30">
        <v>71333.399999999994</v>
      </c>
      <c r="L47" s="30">
        <v>78980.960000000006</v>
      </c>
      <c r="M47" s="30">
        <v>82156.53</v>
      </c>
      <c r="N47" s="30">
        <v>812490.28</v>
      </c>
    </row>
    <row r="48" spans="1:14" x14ac:dyDescent="0.25">
      <c r="A48" s="17" t="s">
        <v>50</v>
      </c>
    </row>
    <row r="49" spans="1:14" x14ac:dyDescent="0.25">
      <c r="A49" s="26" t="s">
        <v>163</v>
      </c>
      <c r="N49" s="27">
        <v>0</v>
      </c>
    </row>
    <row r="50" spans="1:14" x14ac:dyDescent="0.25">
      <c r="A50" s="28" t="s">
        <v>164</v>
      </c>
      <c r="B50" s="27">
        <v>137.44</v>
      </c>
      <c r="C50" s="27">
        <v>122.14</v>
      </c>
      <c r="D50" s="27">
        <v>43.5</v>
      </c>
      <c r="E50" s="27">
        <v>399</v>
      </c>
      <c r="F50" s="27">
        <v>101.3</v>
      </c>
      <c r="G50" s="27">
        <v>69.599999999999994</v>
      </c>
      <c r="H50" s="27">
        <v>147.19999999999999</v>
      </c>
      <c r="I50" s="27">
        <v>109.8</v>
      </c>
      <c r="J50" s="27">
        <v>116.6</v>
      </c>
      <c r="K50" s="27">
        <v>148.9</v>
      </c>
      <c r="L50" s="27">
        <v>125.8</v>
      </c>
      <c r="M50" s="27">
        <v>313.7</v>
      </c>
      <c r="N50" s="27">
        <v>1834.98</v>
      </c>
    </row>
    <row r="51" spans="1:14" x14ac:dyDescent="0.25">
      <c r="A51" s="28" t="s">
        <v>223</v>
      </c>
      <c r="E51" s="27">
        <v>1849.99</v>
      </c>
      <c r="K51" s="27">
        <v>781.08</v>
      </c>
      <c r="N51" s="27">
        <v>2631.07</v>
      </c>
    </row>
    <row r="52" spans="1:14" x14ac:dyDescent="0.25">
      <c r="A52" s="28" t="s">
        <v>165</v>
      </c>
      <c r="N52" s="27">
        <v>0</v>
      </c>
    </row>
    <row r="53" spans="1:14" x14ac:dyDescent="0.25">
      <c r="A53" s="31" t="s">
        <v>224</v>
      </c>
      <c r="F53" s="27">
        <v>300</v>
      </c>
      <c r="G53" s="27">
        <v>36</v>
      </c>
      <c r="N53" s="27">
        <v>336</v>
      </c>
    </row>
    <row r="54" spans="1:14" x14ac:dyDescent="0.25">
      <c r="A54" s="31" t="s">
        <v>166</v>
      </c>
      <c r="C54" s="27">
        <v>173</v>
      </c>
      <c r="D54" s="27">
        <v>145</v>
      </c>
      <c r="E54" s="27">
        <v>290</v>
      </c>
      <c r="F54" s="27">
        <v>1004</v>
      </c>
      <c r="G54" s="27">
        <v>1224</v>
      </c>
      <c r="H54" s="27">
        <v>783</v>
      </c>
      <c r="I54" s="27">
        <v>328</v>
      </c>
      <c r="J54" s="27">
        <v>236</v>
      </c>
      <c r="K54" s="27">
        <v>772</v>
      </c>
      <c r="L54" s="27">
        <v>537</v>
      </c>
      <c r="M54" s="27">
        <v>628</v>
      </c>
      <c r="N54" s="27">
        <v>6120</v>
      </c>
    </row>
    <row r="55" spans="1:14" x14ac:dyDescent="0.25">
      <c r="A55" s="31" t="s">
        <v>167</v>
      </c>
      <c r="B55" s="27">
        <v>150</v>
      </c>
      <c r="C55" s="27">
        <v>243</v>
      </c>
      <c r="D55" s="27">
        <v>136</v>
      </c>
      <c r="E55" s="27">
        <v>144</v>
      </c>
      <c r="F55" s="27">
        <v>170.4</v>
      </c>
      <c r="G55" s="27">
        <v>185</v>
      </c>
      <c r="H55" s="27">
        <v>161</v>
      </c>
      <c r="I55" s="27">
        <v>168</v>
      </c>
      <c r="J55" s="27">
        <v>211</v>
      </c>
      <c r="K55" s="27">
        <v>381</v>
      </c>
      <c r="L55" s="27">
        <v>240</v>
      </c>
      <c r="M55" s="27">
        <v>197</v>
      </c>
      <c r="N55" s="27">
        <v>2386.4</v>
      </c>
    </row>
    <row r="56" spans="1:14" x14ac:dyDescent="0.25">
      <c r="A56" s="31" t="s">
        <v>225</v>
      </c>
      <c r="M56" s="27">
        <v>2519</v>
      </c>
      <c r="N56" s="27">
        <v>2519</v>
      </c>
    </row>
    <row r="57" spans="1:14" x14ac:dyDescent="0.25">
      <c r="A57" s="31" t="s">
        <v>168</v>
      </c>
      <c r="C57" s="27">
        <v>400</v>
      </c>
      <c r="D57" s="27">
        <v>200</v>
      </c>
      <c r="F57" s="27">
        <v>600</v>
      </c>
      <c r="G57" s="27">
        <v>200</v>
      </c>
      <c r="H57" s="27">
        <v>200</v>
      </c>
      <c r="J57" s="27">
        <v>200</v>
      </c>
      <c r="K57" s="27">
        <v>1000</v>
      </c>
      <c r="M57" s="27">
        <v>400</v>
      </c>
      <c r="N57" s="27">
        <v>3200</v>
      </c>
    </row>
    <row r="58" spans="1:14" x14ac:dyDescent="0.25">
      <c r="A58" s="31" t="s">
        <v>169</v>
      </c>
      <c r="C58" s="27">
        <v>34.54</v>
      </c>
      <c r="E58" s="27">
        <v>100</v>
      </c>
      <c r="G58" s="27">
        <v>36</v>
      </c>
      <c r="H58" s="27">
        <v>236.3</v>
      </c>
      <c r="I58" s="27">
        <v>1071.1400000000001</v>
      </c>
      <c r="J58" s="27">
        <v>80</v>
      </c>
      <c r="K58" s="27">
        <v>180</v>
      </c>
      <c r="L58" s="27">
        <v>80</v>
      </c>
      <c r="M58" s="27">
        <v>80</v>
      </c>
      <c r="N58" s="27">
        <v>1897.98</v>
      </c>
    </row>
    <row r="59" spans="1:14" x14ac:dyDescent="0.25">
      <c r="A59" s="31" t="s">
        <v>170</v>
      </c>
      <c r="B59" s="27">
        <v>787.24</v>
      </c>
      <c r="C59" s="27">
        <v>180.53</v>
      </c>
      <c r="D59" s="27">
        <v>180.53</v>
      </c>
      <c r="E59" s="27">
        <v>180.53</v>
      </c>
      <c r="F59" s="27">
        <v>180.53</v>
      </c>
      <c r="G59" s="27">
        <v>180.53</v>
      </c>
      <c r="H59" s="27">
        <v>180.53</v>
      </c>
      <c r="I59" s="27">
        <v>180.53</v>
      </c>
      <c r="J59" s="27">
        <v>180.53</v>
      </c>
      <c r="K59" s="27">
        <v>180.53</v>
      </c>
      <c r="L59" s="27">
        <v>180.53</v>
      </c>
      <c r="M59" s="27">
        <v>180.53</v>
      </c>
      <c r="N59" s="27">
        <v>2773.07</v>
      </c>
    </row>
    <row r="60" spans="1:14" x14ac:dyDescent="0.25">
      <c r="A60" s="32" t="s">
        <v>171</v>
      </c>
      <c r="B60" s="30">
        <v>937.24</v>
      </c>
      <c r="C60" s="30">
        <v>1031.07</v>
      </c>
      <c r="D60" s="30">
        <v>661.53</v>
      </c>
      <c r="E60" s="30">
        <v>714.53</v>
      </c>
      <c r="F60" s="30">
        <v>2254.9299999999998</v>
      </c>
      <c r="G60" s="30">
        <v>1861.53</v>
      </c>
      <c r="H60" s="30">
        <v>1560.83</v>
      </c>
      <c r="I60" s="30">
        <v>1747.67</v>
      </c>
      <c r="J60" s="30">
        <v>907.53</v>
      </c>
      <c r="K60" s="30">
        <v>2513.5300000000002</v>
      </c>
      <c r="L60" s="30">
        <v>1037.53</v>
      </c>
      <c r="M60" s="30">
        <v>4004.53</v>
      </c>
      <c r="N60" s="30">
        <v>19232.45</v>
      </c>
    </row>
    <row r="61" spans="1:14" x14ac:dyDescent="0.25">
      <c r="A61" s="28" t="s">
        <v>172</v>
      </c>
      <c r="B61" s="27">
        <v>21052.34</v>
      </c>
      <c r="C61" s="27">
        <v>19916.03</v>
      </c>
      <c r="D61" s="27">
        <v>11743.87</v>
      </c>
      <c r="E61" s="27">
        <v>19617.919999999998</v>
      </c>
      <c r="F61" s="27">
        <v>20669.78</v>
      </c>
      <c r="G61" s="27">
        <v>20693.900000000001</v>
      </c>
      <c r="H61" s="27">
        <v>22602.639999999999</v>
      </c>
      <c r="I61" s="27">
        <v>19961.28</v>
      </c>
      <c r="J61" s="27">
        <v>27605.63</v>
      </c>
      <c r="K61" s="27">
        <v>34185.89</v>
      </c>
      <c r="L61" s="27">
        <v>29731.57</v>
      </c>
      <c r="M61" s="27">
        <v>33459.69</v>
      </c>
      <c r="N61" s="27">
        <v>281240.53999999998</v>
      </c>
    </row>
    <row r="62" spans="1:14" x14ac:dyDescent="0.25">
      <c r="A62" s="28" t="s">
        <v>173</v>
      </c>
      <c r="B62" s="27">
        <v>176.78</v>
      </c>
      <c r="C62" s="27">
        <v>208.99</v>
      </c>
      <c r="D62" s="27">
        <v>189.6</v>
      </c>
      <c r="E62" s="27">
        <v>175.9</v>
      </c>
      <c r="F62" s="27">
        <v>235.7</v>
      </c>
      <c r="G62" s="27">
        <v>226.76</v>
      </c>
      <c r="H62" s="27">
        <v>226.76</v>
      </c>
      <c r="I62" s="27">
        <v>226.76</v>
      </c>
      <c r="J62" s="27">
        <v>243.25</v>
      </c>
      <c r="K62" s="27">
        <v>242.28</v>
      </c>
      <c r="L62" s="27">
        <v>233.52</v>
      </c>
      <c r="M62" s="27">
        <v>233.52</v>
      </c>
      <c r="N62" s="27">
        <v>2619.8200000000002</v>
      </c>
    </row>
    <row r="63" spans="1:14" x14ac:dyDescent="0.25">
      <c r="A63" s="28" t="s">
        <v>174</v>
      </c>
      <c r="N63" s="27">
        <v>0</v>
      </c>
    </row>
    <row r="64" spans="1:14" x14ac:dyDescent="0.25">
      <c r="A64" s="31" t="s">
        <v>175</v>
      </c>
      <c r="E64" s="27">
        <v>1400</v>
      </c>
      <c r="N64" s="27">
        <v>1400</v>
      </c>
    </row>
    <row r="65" spans="1:14" x14ac:dyDescent="0.25">
      <c r="A65" s="31" t="s">
        <v>176</v>
      </c>
      <c r="B65" s="27">
        <v>2166.67</v>
      </c>
      <c r="C65" s="27">
        <v>2166.67</v>
      </c>
      <c r="D65" s="27">
        <v>2166.66</v>
      </c>
      <c r="E65" s="27">
        <v>2760.67</v>
      </c>
      <c r="F65" s="27">
        <v>1586.67</v>
      </c>
      <c r="G65" s="27">
        <v>1166.6600000000001</v>
      </c>
      <c r="H65" s="27">
        <v>0</v>
      </c>
      <c r="I65" s="27">
        <v>200</v>
      </c>
      <c r="J65" s="27">
        <v>1326.95</v>
      </c>
      <c r="K65" s="27">
        <v>0</v>
      </c>
      <c r="L65" s="27">
        <v>6000</v>
      </c>
      <c r="M65" s="27">
        <v>7500</v>
      </c>
      <c r="N65" s="27">
        <v>27040.95</v>
      </c>
    </row>
    <row r="66" spans="1:14" x14ac:dyDescent="0.25">
      <c r="A66" s="31" t="s">
        <v>177</v>
      </c>
      <c r="B66" s="27">
        <v>2412.9499999999998</v>
      </c>
      <c r="C66" s="27">
        <v>22379.3</v>
      </c>
      <c r="D66" s="27">
        <v>729.83</v>
      </c>
      <c r="E66" s="27">
        <v>595.97</v>
      </c>
      <c r="F66" s="27">
        <v>875.34</v>
      </c>
      <c r="G66" s="27">
        <v>529.66999999999996</v>
      </c>
      <c r="H66" s="27">
        <v>776.88</v>
      </c>
      <c r="I66" s="27">
        <v>216.71</v>
      </c>
      <c r="J66" s="27">
        <v>749.52</v>
      </c>
      <c r="K66" s="27">
        <v>925.73</v>
      </c>
      <c r="L66" s="27">
        <v>660.44</v>
      </c>
      <c r="M66" s="27">
        <v>751.76</v>
      </c>
      <c r="N66" s="27">
        <v>31604.1</v>
      </c>
    </row>
    <row r="67" spans="1:14" x14ac:dyDescent="0.25">
      <c r="A67" s="32" t="s">
        <v>178</v>
      </c>
      <c r="B67" s="30">
        <v>4579.62</v>
      </c>
      <c r="C67" s="30">
        <v>24545.97</v>
      </c>
      <c r="D67" s="30">
        <v>2896.49</v>
      </c>
      <c r="E67" s="30">
        <v>4756.6400000000003</v>
      </c>
      <c r="F67" s="30">
        <v>2462.0100000000002</v>
      </c>
      <c r="G67" s="30">
        <v>1696.33</v>
      </c>
      <c r="H67" s="30">
        <v>776.88</v>
      </c>
      <c r="I67" s="30">
        <v>416.71</v>
      </c>
      <c r="J67" s="30">
        <v>2076.4699999999998</v>
      </c>
      <c r="K67" s="30">
        <v>925.73</v>
      </c>
      <c r="L67" s="30">
        <v>6660.44</v>
      </c>
      <c r="M67" s="30">
        <v>8251.76</v>
      </c>
      <c r="N67" s="30">
        <v>60045.05</v>
      </c>
    </row>
    <row r="68" spans="1:14" x14ac:dyDescent="0.25">
      <c r="A68" s="28" t="s">
        <v>179</v>
      </c>
      <c r="B68" s="27">
        <v>29.97</v>
      </c>
      <c r="D68" s="27">
        <v>382.09</v>
      </c>
      <c r="F68" s="27">
        <v>561.55999999999995</v>
      </c>
      <c r="I68" s="27">
        <v>349.99</v>
      </c>
      <c r="M68" s="27">
        <v>62.89</v>
      </c>
      <c r="N68" s="27">
        <v>1386.5</v>
      </c>
    </row>
    <row r="69" spans="1:14" x14ac:dyDescent="0.25">
      <c r="A69" s="28" t="s">
        <v>182</v>
      </c>
      <c r="B69" s="27">
        <v>29.9</v>
      </c>
      <c r="C69" s="27">
        <v>339.99</v>
      </c>
      <c r="E69" s="27">
        <v>10.83</v>
      </c>
      <c r="F69" s="27">
        <v>5</v>
      </c>
      <c r="G69" s="27">
        <v>-9.5500000000000007</v>
      </c>
      <c r="K69" s="27">
        <v>21.15</v>
      </c>
      <c r="L69" s="27">
        <v>3.75</v>
      </c>
      <c r="N69" s="27">
        <v>401.07</v>
      </c>
    </row>
    <row r="70" spans="1:14" x14ac:dyDescent="0.25">
      <c r="A70" s="28" t="s">
        <v>183</v>
      </c>
      <c r="B70" s="27">
        <v>784.17</v>
      </c>
      <c r="C70" s="27">
        <v>784.17</v>
      </c>
      <c r="D70" s="27">
        <v>784.17</v>
      </c>
      <c r="E70" s="27">
        <v>784.17</v>
      </c>
      <c r="F70" s="27">
        <v>784.17</v>
      </c>
      <c r="G70" s="27">
        <v>784.17</v>
      </c>
      <c r="H70" s="27">
        <v>1485.98</v>
      </c>
      <c r="I70" s="27">
        <v>963.3</v>
      </c>
      <c r="J70" s="27">
        <v>980.42</v>
      </c>
      <c r="K70" s="27">
        <v>1029.42</v>
      </c>
      <c r="L70" s="27">
        <v>1029.42</v>
      </c>
      <c r="M70" s="27">
        <v>1029.4000000000001</v>
      </c>
      <c r="N70" s="27">
        <v>11222.96</v>
      </c>
    </row>
    <row r="71" spans="1:14" x14ac:dyDescent="0.25">
      <c r="A71" s="28" t="s">
        <v>184</v>
      </c>
      <c r="B71" s="27">
        <v>7746.46</v>
      </c>
      <c r="C71" s="27">
        <v>7891.81</v>
      </c>
      <c r="D71" s="27">
        <v>7890.85</v>
      </c>
      <c r="E71" s="27">
        <v>7834.63</v>
      </c>
      <c r="F71" s="27">
        <v>8117.23</v>
      </c>
      <c r="G71" s="27">
        <v>8345.84</v>
      </c>
      <c r="H71" s="27">
        <v>8984.68</v>
      </c>
      <c r="I71" s="27">
        <v>9856.6</v>
      </c>
      <c r="J71" s="27">
        <v>10733.91</v>
      </c>
      <c r="K71" s="27">
        <v>12089.39</v>
      </c>
      <c r="L71" s="27">
        <v>13145.83</v>
      </c>
      <c r="M71" s="27">
        <v>14421.43</v>
      </c>
      <c r="N71" s="27">
        <v>117058.66</v>
      </c>
    </row>
    <row r="72" spans="1:14" x14ac:dyDescent="0.25">
      <c r="A72" s="28" t="s">
        <v>185</v>
      </c>
      <c r="B72" s="27">
        <v>102</v>
      </c>
      <c r="E72" s="27">
        <v>398</v>
      </c>
      <c r="N72" s="27">
        <v>500</v>
      </c>
    </row>
    <row r="73" spans="1:14" x14ac:dyDescent="0.25">
      <c r="A73" s="28" t="s">
        <v>186</v>
      </c>
      <c r="B73" s="27">
        <v>85</v>
      </c>
      <c r="C73" s="27">
        <v>94.49</v>
      </c>
      <c r="D73" s="27">
        <v>824.89</v>
      </c>
      <c r="E73" s="27">
        <v>253</v>
      </c>
      <c r="F73" s="27">
        <v>262.95</v>
      </c>
      <c r="G73" s="27">
        <v>253</v>
      </c>
      <c r="H73" s="27">
        <v>253</v>
      </c>
      <c r="I73" s="27">
        <v>253</v>
      </c>
      <c r="J73" s="27">
        <v>253</v>
      </c>
      <c r="K73" s="27">
        <v>253</v>
      </c>
      <c r="L73" s="27">
        <v>253</v>
      </c>
      <c r="M73" s="27">
        <v>253</v>
      </c>
      <c r="N73" s="27">
        <v>3291.33</v>
      </c>
    </row>
    <row r="74" spans="1:14" x14ac:dyDescent="0.25">
      <c r="A74" s="29" t="s">
        <v>187</v>
      </c>
      <c r="B74" s="30">
        <v>35660.92</v>
      </c>
      <c r="C74" s="30">
        <v>54934.66</v>
      </c>
      <c r="D74" s="30">
        <v>25416.99</v>
      </c>
      <c r="E74" s="30">
        <v>36794.61</v>
      </c>
      <c r="F74" s="30">
        <v>35454.629999999997</v>
      </c>
      <c r="G74" s="30">
        <v>33921.58</v>
      </c>
      <c r="H74" s="30">
        <v>36037.97</v>
      </c>
      <c r="I74" s="30">
        <v>33885.11</v>
      </c>
      <c r="J74" s="30">
        <v>42916.81</v>
      </c>
      <c r="K74" s="30">
        <v>52190.37</v>
      </c>
      <c r="L74" s="30">
        <v>52220.86</v>
      </c>
      <c r="M74" s="30">
        <v>62029.919999999998</v>
      </c>
      <c r="N74" s="30">
        <v>501464.43</v>
      </c>
    </row>
    <row r="75" spans="1:14" x14ac:dyDescent="0.25">
      <c r="A75" s="26" t="s">
        <v>226</v>
      </c>
      <c r="D75" s="27">
        <v>8906.39</v>
      </c>
      <c r="E75" s="27">
        <v>9233.23</v>
      </c>
      <c r="F75" s="27">
        <v>9108.84</v>
      </c>
      <c r="G75" s="27">
        <v>8694.7900000000009</v>
      </c>
      <c r="H75" s="27">
        <v>9522.8700000000008</v>
      </c>
      <c r="I75" s="27">
        <v>8694.81</v>
      </c>
      <c r="J75" s="27">
        <v>9108.84</v>
      </c>
      <c r="K75" s="27">
        <v>9522.8700000000008</v>
      </c>
      <c r="L75" s="27">
        <v>8280.76</v>
      </c>
      <c r="M75" s="27">
        <v>9593.64</v>
      </c>
      <c r="N75" s="27">
        <v>90667.04</v>
      </c>
    </row>
    <row r="76" spans="1:14" x14ac:dyDescent="0.25">
      <c r="A76" s="26" t="s">
        <v>188</v>
      </c>
      <c r="N76" s="27">
        <v>0</v>
      </c>
    </row>
    <row r="77" spans="1:14" x14ac:dyDescent="0.25">
      <c r="A77" s="28" t="s">
        <v>189</v>
      </c>
      <c r="N77" s="27">
        <v>0</v>
      </c>
    </row>
    <row r="78" spans="1:14" x14ac:dyDescent="0.25">
      <c r="A78" s="31" t="s">
        <v>227</v>
      </c>
      <c r="I78" s="27">
        <v>6400</v>
      </c>
      <c r="J78" s="27">
        <v>0</v>
      </c>
      <c r="K78" s="27">
        <v>2428.8000000000002</v>
      </c>
      <c r="N78" s="27">
        <v>8828.7999999999993</v>
      </c>
    </row>
    <row r="79" spans="1:14" x14ac:dyDescent="0.25">
      <c r="A79" s="31" t="s">
        <v>228</v>
      </c>
      <c r="I79" s="27">
        <v>770</v>
      </c>
      <c r="J79" s="27">
        <v>1649.5</v>
      </c>
      <c r="K79" s="27">
        <v>250</v>
      </c>
      <c r="N79" s="27">
        <v>2669.5</v>
      </c>
    </row>
    <row r="80" spans="1:14" x14ac:dyDescent="0.25">
      <c r="A80" s="32" t="s">
        <v>229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7170</v>
      </c>
      <c r="J80" s="30">
        <v>1649.5</v>
      </c>
      <c r="K80" s="30">
        <v>2678.8</v>
      </c>
      <c r="L80" s="30">
        <v>0</v>
      </c>
      <c r="M80" s="30">
        <v>0</v>
      </c>
      <c r="N80" s="30">
        <v>11498.3</v>
      </c>
    </row>
    <row r="81" spans="1:14" x14ac:dyDescent="0.25">
      <c r="A81" s="28" t="s">
        <v>190</v>
      </c>
      <c r="H81" s="27">
        <v>100</v>
      </c>
      <c r="N81" s="27">
        <v>100</v>
      </c>
    </row>
    <row r="82" spans="1:14" x14ac:dyDescent="0.25">
      <c r="A82" s="28" t="s">
        <v>230</v>
      </c>
      <c r="G82" s="27">
        <v>1466.8</v>
      </c>
      <c r="H82" s="27">
        <v>1632.65</v>
      </c>
      <c r="I82" s="27">
        <v>1718.05</v>
      </c>
      <c r="J82" s="27">
        <v>1914.6</v>
      </c>
      <c r="K82" s="27">
        <v>2352.9</v>
      </c>
      <c r="L82" s="27">
        <v>2245.2399999999998</v>
      </c>
      <c r="M82" s="27">
        <v>7819.39</v>
      </c>
      <c r="N82" s="27">
        <v>19149.63</v>
      </c>
    </row>
    <row r="83" spans="1:14" x14ac:dyDescent="0.25">
      <c r="A83" s="28" t="s">
        <v>191</v>
      </c>
      <c r="B83" s="27">
        <v>144</v>
      </c>
      <c r="N83" s="27">
        <v>144</v>
      </c>
    </row>
    <row r="84" spans="1:14" x14ac:dyDescent="0.25">
      <c r="A84" s="28" t="s">
        <v>192</v>
      </c>
      <c r="B84" s="27">
        <v>170</v>
      </c>
      <c r="C84" s="27">
        <v>170</v>
      </c>
      <c r="D84" s="27">
        <v>316.43</v>
      </c>
      <c r="E84" s="27">
        <v>270</v>
      </c>
      <c r="F84" s="27">
        <v>270</v>
      </c>
      <c r="G84" s="27">
        <v>270</v>
      </c>
      <c r="H84" s="27">
        <v>270</v>
      </c>
      <c r="I84" s="27">
        <v>220</v>
      </c>
      <c r="J84" s="27">
        <v>220</v>
      </c>
      <c r="K84" s="27">
        <v>568</v>
      </c>
      <c r="L84" s="27">
        <v>220</v>
      </c>
      <c r="M84" s="27">
        <v>275</v>
      </c>
      <c r="N84" s="27">
        <v>3239.43</v>
      </c>
    </row>
    <row r="85" spans="1:14" x14ac:dyDescent="0.25">
      <c r="A85" s="28" t="s">
        <v>231</v>
      </c>
      <c r="N85" s="27">
        <v>0</v>
      </c>
    </row>
    <row r="86" spans="1:14" x14ac:dyDescent="0.25">
      <c r="A86" s="31" t="s">
        <v>232</v>
      </c>
      <c r="E86" s="27">
        <v>3760.65</v>
      </c>
      <c r="F86" s="27">
        <v>3376.18</v>
      </c>
      <c r="I86" s="27">
        <v>530.11</v>
      </c>
      <c r="J86" s="27">
        <v>1005.79</v>
      </c>
      <c r="K86" s="27">
        <v>299.32</v>
      </c>
      <c r="L86" s="27">
        <v>1072.3599999999999</v>
      </c>
      <c r="M86" s="27">
        <v>422.86</v>
      </c>
      <c r="N86" s="27">
        <v>10467.27</v>
      </c>
    </row>
    <row r="87" spans="1:14" x14ac:dyDescent="0.25">
      <c r="A87" s="31" t="s">
        <v>233</v>
      </c>
      <c r="E87" s="27">
        <v>6541.48</v>
      </c>
      <c r="F87" s="27">
        <v>3355.22</v>
      </c>
      <c r="I87" s="27">
        <v>358.41</v>
      </c>
      <c r="J87" s="27">
        <v>880.96</v>
      </c>
      <c r="K87" s="27">
        <v>376.97</v>
      </c>
      <c r="L87" s="27">
        <v>458.86</v>
      </c>
      <c r="N87" s="27">
        <v>11971.9</v>
      </c>
    </row>
    <row r="88" spans="1:14" x14ac:dyDescent="0.25">
      <c r="A88" s="31" t="s">
        <v>234</v>
      </c>
      <c r="B88" s="27">
        <v>6.91</v>
      </c>
      <c r="E88" s="27">
        <v>992.25</v>
      </c>
      <c r="F88" s="27">
        <v>2425.9299999999998</v>
      </c>
      <c r="H88" s="27">
        <v>97.66</v>
      </c>
      <c r="I88" s="27">
        <v>33</v>
      </c>
      <c r="J88" s="27">
        <v>687.61</v>
      </c>
      <c r="K88" s="27">
        <v>250.05</v>
      </c>
      <c r="L88" s="27">
        <v>156.88999999999999</v>
      </c>
      <c r="M88" s="27">
        <v>9.8800000000000008</v>
      </c>
      <c r="N88" s="27">
        <v>4660.18</v>
      </c>
    </row>
    <row r="89" spans="1:14" x14ac:dyDescent="0.25">
      <c r="A89" s="31" t="s">
        <v>235</v>
      </c>
      <c r="F89" s="27">
        <v>715.49</v>
      </c>
      <c r="N89" s="27">
        <v>715.49</v>
      </c>
    </row>
    <row r="90" spans="1:14" x14ac:dyDescent="0.25">
      <c r="A90" s="31" t="s">
        <v>236</v>
      </c>
      <c r="J90" s="27">
        <v>148</v>
      </c>
      <c r="L90" s="27">
        <v>87</v>
      </c>
      <c r="N90" s="27">
        <v>235</v>
      </c>
    </row>
    <row r="91" spans="1:14" x14ac:dyDescent="0.25">
      <c r="A91" s="31" t="s">
        <v>237</v>
      </c>
      <c r="E91" s="27">
        <v>111.91</v>
      </c>
      <c r="F91" s="27">
        <v>911.9</v>
      </c>
      <c r="J91" s="27">
        <v>241.87</v>
      </c>
      <c r="K91" s="27">
        <v>110.45</v>
      </c>
      <c r="L91" s="27">
        <v>335.25</v>
      </c>
      <c r="N91" s="27">
        <v>1711.38</v>
      </c>
    </row>
    <row r="92" spans="1:14" x14ac:dyDescent="0.25">
      <c r="A92" s="32" t="s">
        <v>238</v>
      </c>
      <c r="B92" s="30">
        <v>6.91</v>
      </c>
      <c r="C92" s="30">
        <v>0</v>
      </c>
      <c r="D92" s="30">
        <v>0</v>
      </c>
      <c r="E92" s="30">
        <v>11406.29</v>
      </c>
      <c r="F92" s="30">
        <v>10784.72</v>
      </c>
      <c r="G92" s="30">
        <v>0</v>
      </c>
      <c r="H92" s="30">
        <v>97.66</v>
      </c>
      <c r="I92" s="30">
        <v>921.52</v>
      </c>
      <c r="J92" s="30">
        <v>2964.23</v>
      </c>
      <c r="K92" s="30">
        <v>1036.79</v>
      </c>
      <c r="L92" s="30">
        <v>2110.36</v>
      </c>
      <c r="M92" s="30">
        <v>432.74</v>
      </c>
      <c r="N92" s="30">
        <v>29761.22</v>
      </c>
    </row>
    <row r="93" spans="1:14" x14ac:dyDescent="0.25">
      <c r="A93" s="28" t="s">
        <v>193</v>
      </c>
      <c r="B93" s="27">
        <v>530.66999999999996</v>
      </c>
      <c r="C93" s="27">
        <v>399</v>
      </c>
      <c r="D93" s="27">
        <v>399</v>
      </c>
      <c r="E93" s="27">
        <v>399</v>
      </c>
      <c r="F93" s="27">
        <v>399</v>
      </c>
      <c r="G93" s="27">
        <v>399</v>
      </c>
      <c r="H93" s="27">
        <v>399</v>
      </c>
      <c r="I93" s="27">
        <v>399</v>
      </c>
      <c r="J93" s="27">
        <v>399</v>
      </c>
      <c r="K93" s="27">
        <v>399</v>
      </c>
      <c r="L93" s="27">
        <v>399</v>
      </c>
      <c r="M93" s="27">
        <v>399</v>
      </c>
      <c r="N93" s="27">
        <v>4919.67</v>
      </c>
    </row>
    <row r="94" spans="1:14" x14ac:dyDescent="0.25">
      <c r="A94" s="29" t="s">
        <v>194</v>
      </c>
      <c r="B94" s="30">
        <v>851.58</v>
      </c>
      <c r="C94" s="30">
        <v>569</v>
      </c>
      <c r="D94" s="30">
        <v>715.43</v>
      </c>
      <c r="E94" s="30">
        <v>12075.29</v>
      </c>
      <c r="F94" s="30">
        <v>11453.72</v>
      </c>
      <c r="G94" s="30">
        <v>2135.8000000000002</v>
      </c>
      <c r="H94" s="30">
        <v>2499.31</v>
      </c>
      <c r="I94" s="30">
        <v>10428.57</v>
      </c>
      <c r="J94" s="30">
        <v>7147.33</v>
      </c>
      <c r="K94" s="30">
        <v>7035.49</v>
      </c>
      <c r="L94" s="30">
        <v>4974.6000000000004</v>
      </c>
      <c r="M94" s="30">
        <v>8926.1299999999992</v>
      </c>
      <c r="N94" s="30">
        <v>68812.25</v>
      </c>
    </row>
    <row r="95" spans="1:14" x14ac:dyDescent="0.25">
      <c r="A95" s="17" t="s">
        <v>102</v>
      </c>
      <c r="B95" s="30">
        <v>36512.5</v>
      </c>
      <c r="C95" s="30">
        <v>55503.66</v>
      </c>
      <c r="D95" s="30">
        <v>35038.81</v>
      </c>
      <c r="E95" s="30">
        <v>58103.13</v>
      </c>
      <c r="F95" s="30">
        <v>56017.19</v>
      </c>
      <c r="G95" s="30">
        <v>44752.17</v>
      </c>
      <c r="H95" s="30">
        <v>48060.15</v>
      </c>
      <c r="I95" s="30">
        <v>53008.49</v>
      </c>
      <c r="J95" s="30">
        <v>59172.98</v>
      </c>
      <c r="K95" s="30">
        <v>68748.73</v>
      </c>
      <c r="L95" s="30">
        <v>65476.22</v>
      </c>
      <c r="M95" s="30">
        <v>80549.69</v>
      </c>
      <c r="N95" s="30">
        <v>660943.72</v>
      </c>
    </row>
    <row r="96" spans="1:14" x14ac:dyDescent="0.25">
      <c r="A96" s="17" t="s">
        <v>103</v>
      </c>
      <c r="B96" s="30">
        <v>22961.439999999999</v>
      </c>
      <c r="C96" s="30">
        <v>7691.5</v>
      </c>
      <c r="D96" s="30">
        <v>20556.68</v>
      </c>
      <c r="E96" s="30">
        <v>448.19000000001</v>
      </c>
      <c r="F96" s="30">
        <v>15734.24</v>
      </c>
      <c r="G96" s="30">
        <v>27306.94</v>
      </c>
      <c r="H96" s="30">
        <v>15990.7</v>
      </c>
      <c r="I96" s="30">
        <v>18291.810000000001</v>
      </c>
      <c r="J96" s="30">
        <v>4868.8100000000304</v>
      </c>
      <c r="K96" s="30">
        <v>2584.67</v>
      </c>
      <c r="L96" s="30">
        <v>13504.74</v>
      </c>
      <c r="M96" s="30">
        <v>1606.8399999999799</v>
      </c>
      <c r="N96" s="30">
        <v>151546.56</v>
      </c>
    </row>
    <row r="97" spans="1:14" x14ac:dyDescent="0.25">
      <c r="A97" s="17" t="s">
        <v>104</v>
      </c>
    </row>
    <row r="98" spans="1:14" x14ac:dyDescent="0.25">
      <c r="A98" s="26" t="s">
        <v>239</v>
      </c>
      <c r="C98" s="27">
        <v>19.93</v>
      </c>
      <c r="D98" s="27">
        <v>12.93</v>
      </c>
      <c r="E98" s="27">
        <v>19.63</v>
      </c>
      <c r="F98" s="27">
        <v>23.15</v>
      </c>
      <c r="G98" s="27">
        <v>9.6199999999999992</v>
      </c>
      <c r="H98" s="27">
        <v>32.07</v>
      </c>
      <c r="I98" s="27">
        <v>16.34</v>
      </c>
      <c r="J98" s="27">
        <v>15.84</v>
      </c>
      <c r="K98" s="27">
        <v>23.96</v>
      </c>
      <c r="L98" s="27">
        <v>25.13</v>
      </c>
      <c r="M98" s="27">
        <v>18.62</v>
      </c>
      <c r="N98" s="27">
        <v>217.22</v>
      </c>
    </row>
    <row r="99" spans="1:14" x14ac:dyDescent="0.25">
      <c r="A99" s="17" t="s">
        <v>107</v>
      </c>
      <c r="B99" s="30">
        <v>0</v>
      </c>
      <c r="C99" s="30">
        <v>19.93</v>
      </c>
      <c r="D99" s="30">
        <v>12.93</v>
      </c>
      <c r="E99" s="30">
        <v>19.63</v>
      </c>
      <c r="F99" s="30">
        <v>23.15</v>
      </c>
      <c r="G99" s="30">
        <v>9.6199999999999992</v>
      </c>
      <c r="H99" s="30">
        <v>32.07</v>
      </c>
      <c r="I99" s="30">
        <v>16.34</v>
      </c>
      <c r="J99" s="30">
        <v>15.84</v>
      </c>
      <c r="K99" s="30">
        <v>23.96</v>
      </c>
      <c r="L99" s="30">
        <v>25.13</v>
      </c>
      <c r="M99" s="30">
        <v>18.62</v>
      </c>
      <c r="N99" s="30">
        <v>217.22</v>
      </c>
    </row>
    <row r="100" spans="1:14" x14ac:dyDescent="0.25">
      <c r="A100" s="17" t="s">
        <v>108</v>
      </c>
    </row>
    <row r="101" spans="1:14" x14ac:dyDescent="0.25">
      <c r="A101" s="26" t="s">
        <v>196</v>
      </c>
      <c r="M101" s="27">
        <v>6673</v>
      </c>
      <c r="N101" s="27">
        <v>6673</v>
      </c>
    </row>
    <row r="102" spans="1:14" x14ac:dyDescent="0.25">
      <c r="A102" s="26" t="s">
        <v>240</v>
      </c>
      <c r="M102" s="27">
        <v>2704</v>
      </c>
      <c r="N102" s="27">
        <v>2704</v>
      </c>
    </row>
    <row r="103" spans="1:14" x14ac:dyDescent="0.25">
      <c r="A103" s="26" t="s">
        <v>197</v>
      </c>
      <c r="B103" s="27">
        <v>117.52</v>
      </c>
      <c r="C103" s="27">
        <v>206.46</v>
      </c>
      <c r="D103" s="27">
        <v>11.74</v>
      </c>
      <c r="E103" s="27">
        <v>36.6</v>
      </c>
      <c r="F103" s="27">
        <v>114.84</v>
      </c>
      <c r="G103" s="27">
        <v>247.88</v>
      </c>
      <c r="H103" s="27">
        <v>342</v>
      </c>
      <c r="I103" s="27">
        <v>251.09</v>
      </c>
      <c r="J103" s="27">
        <v>65.290000000000006</v>
      </c>
      <c r="K103" s="27">
        <v>19.16</v>
      </c>
      <c r="L103" s="27">
        <v>9.9</v>
      </c>
      <c r="N103" s="27">
        <v>1422.48</v>
      </c>
    </row>
    <row r="104" spans="1:14" x14ac:dyDescent="0.25">
      <c r="A104" s="26" t="s">
        <v>198</v>
      </c>
      <c r="B104" s="27">
        <v>2472</v>
      </c>
      <c r="E104" s="27">
        <v>3649</v>
      </c>
      <c r="F104" s="27">
        <v>-2272</v>
      </c>
      <c r="G104" s="27">
        <v>2045</v>
      </c>
      <c r="J104" s="27">
        <v>2045</v>
      </c>
      <c r="M104" s="27">
        <v>2045</v>
      </c>
      <c r="N104" s="27">
        <v>9984</v>
      </c>
    </row>
    <row r="105" spans="1:14" x14ac:dyDescent="0.25">
      <c r="A105" s="17" t="s">
        <v>113</v>
      </c>
      <c r="B105" s="30">
        <v>2589.52</v>
      </c>
      <c r="C105" s="30">
        <v>206.46</v>
      </c>
      <c r="D105" s="30">
        <v>11.74</v>
      </c>
      <c r="E105" s="30">
        <v>3685.6</v>
      </c>
      <c r="F105" s="30">
        <v>-2157.16</v>
      </c>
      <c r="G105" s="30">
        <v>2292.88</v>
      </c>
      <c r="H105" s="30">
        <v>342</v>
      </c>
      <c r="I105" s="30">
        <v>251.09</v>
      </c>
      <c r="J105" s="30">
        <v>2110.29</v>
      </c>
      <c r="K105" s="30">
        <v>19.16</v>
      </c>
      <c r="L105" s="30">
        <v>9.9</v>
      </c>
      <c r="M105" s="30">
        <v>11422</v>
      </c>
      <c r="N105" s="30">
        <v>20783.48</v>
      </c>
    </row>
    <row r="106" spans="1:14" x14ac:dyDescent="0.25">
      <c r="A106" s="17" t="s">
        <v>114</v>
      </c>
      <c r="B106" s="30">
        <v>-2589.52</v>
      </c>
      <c r="C106" s="30">
        <v>-186.53</v>
      </c>
      <c r="D106" s="30">
        <v>1.19</v>
      </c>
      <c r="E106" s="30">
        <v>-3665.97</v>
      </c>
      <c r="F106" s="30">
        <v>2180.31</v>
      </c>
      <c r="G106" s="30">
        <v>-2283.2600000000002</v>
      </c>
      <c r="H106" s="30">
        <v>-309.93</v>
      </c>
      <c r="I106" s="30">
        <v>-234.75</v>
      </c>
      <c r="J106" s="30">
        <v>-2094.4499999999998</v>
      </c>
      <c r="K106" s="30">
        <v>4.8</v>
      </c>
      <c r="L106" s="30">
        <v>15.23</v>
      </c>
      <c r="M106" s="30">
        <v>-11403.38</v>
      </c>
      <c r="N106" s="30">
        <v>-20566.259999999998</v>
      </c>
    </row>
    <row r="107" spans="1:14" x14ac:dyDescent="0.25">
      <c r="A107" s="17" t="s">
        <v>115</v>
      </c>
      <c r="B107" s="30">
        <v>20371.919999999998</v>
      </c>
      <c r="C107" s="30">
        <v>7504.97</v>
      </c>
      <c r="D107" s="30">
        <v>20557.87</v>
      </c>
      <c r="E107" s="30">
        <v>-3217.7799999999902</v>
      </c>
      <c r="F107" s="30">
        <v>17914.55</v>
      </c>
      <c r="G107" s="30">
        <v>25023.68</v>
      </c>
      <c r="H107" s="30">
        <v>15680.77</v>
      </c>
      <c r="I107" s="30">
        <v>18057.060000000001</v>
      </c>
      <c r="J107" s="30">
        <v>2774.3600000000301</v>
      </c>
      <c r="K107" s="30">
        <v>2589.4699999999998</v>
      </c>
      <c r="L107" s="30">
        <v>13519.97</v>
      </c>
      <c r="M107" s="30">
        <v>-9796.5400000000209</v>
      </c>
      <c r="N107" s="30">
        <v>130980.3</v>
      </c>
    </row>
    <row r="111" spans="1:14" x14ac:dyDescent="0.25">
      <c r="A111" s="14" t="s">
        <v>241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3" width="8.7109375" style="25"/>
    <col min="4" max="4" width="11.140625" style="25" customWidth="1"/>
    <col min="5" max="5" width="10.28515625" style="25" customWidth="1"/>
    <col min="6" max="7" width="8.7109375" style="25"/>
    <col min="8" max="8" width="11.140625" style="25" customWidth="1"/>
    <col min="9" max="9" width="12" style="25" customWidth="1"/>
    <col min="10" max="16384" width="8.7109375" style="25"/>
  </cols>
  <sheetData>
    <row r="1" spans="1:9" x14ac:dyDescent="0.25">
      <c r="A1" s="17" t="s">
        <v>1</v>
      </c>
    </row>
    <row r="2" spans="1:9" x14ac:dyDescent="0.25">
      <c r="A2" s="17" t="s">
        <v>121</v>
      </c>
    </row>
    <row r="3" spans="1:9" x14ac:dyDescent="0.25">
      <c r="A3" s="17" t="s">
        <v>242</v>
      </c>
    </row>
    <row r="5" spans="1:9" x14ac:dyDescent="0.25">
      <c r="B5" s="14" t="s">
        <v>243</v>
      </c>
      <c r="C5" s="14" t="s">
        <v>244</v>
      </c>
      <c r="D5" s="14" t="s">
        <v>245</v>
      </c>
      <c r="E5" s="14" t="s">
        <v>246</v>
      </c>
      <c r="F5" s="14" t="s">
        <v>247</v>
      </c>
      <c r="G5" s="14" t="s">
        <v>248</v>
      </c>
      <c r="H5" s="14" t="s">
        <v>249</v>
      </c>
      <c r="I5" s="14" t="s">
        <v>135</v>
      </c>
    </row>
    <row r="6" spans="1:9" x14ac:dyDescent="0.25">
      <c r="A6" s="17" t="s">
        <v>7</v>
      </c>
    </row>
    <row r="7" spans="1:9" x14ac:dyDescent="0.25">
      <c r="A7" s="26" t="s">
        <v>213</v>
      </c>
      <c r="I7" s="27">
        <v>0</v>
      </c>
    </row>
    <row r="8" spans="1:9" x14ac:dyDescent="0.25">
      <c r="A8" s="28" t="s">
        <v>214</v>
      </c>
      <c r="B8" s="27">
        <v>0</v>
      </c>
      <c r="C8" s="27">
        <v>0</v>
      </c>
      <c r="D8" s="27">
        <v>14190</v>
      </c>
      <c r="E8" s="27">
        <v>4300</v>
      </c>
      <c r="G8" s="27">
        <v>3100</v>
      </c>
      <c r="I8" s="27">
        <v>21590</v>
      </c>
    </row>
    <row r="9" spans="1:9" x14ac:dyDescent="0.25">
      <c r="A9" s="28" t="s">
        <v>215</v>
      </c>
      <c r="B9" s="27">
        <v>0</v>
      </c>
      <c r="C9" s="27">
        <v>0</v>
      </c>
      <c r="D9" s="27">
        <v>0</v>
      </c>
      <c r="E9" s="27">
        <v>2325</v>
      </c>
      <c r="I9" s="27">
        <v>2325</v>
      </c>
    </row>
    <row r="10" spans="1:9" x14ac:dyDescent="0.25">
      <c r="A10" s="29" t="s">
        <v>216</v>
      </c>
      <c r="B10" s="30">
        <v>0</v>
      </c>
      <c r="C10" s="30">
        <v>0</v>
      </c>
      <c r="D10" s="30">
        <v>14190</v>
      </c>
      <c r="E10" s="30">
        <v>6625</v>
      </c>
      <c r="F10" s="30">
        <v>0</v>
      </c>
      <c r="G10" s="30">
        <v>3100</v>
      </c>
      <c r="H10" s="30">
        <v>0</v>
      </c>
      <c r="I10" s="30">
        <v>23915</v>
      </c>
    </row>
    <row r="11" spans="1:9" x14ac:dyDescent="0.25">
      <c r="A11" s="26" t="s">
        <v>136</v>
      </c>
      <c r="I11" s="27">
        <v>0</v>
      </c>
    </row>
    <row r="12" spans="1:9" x14ac:dyDescent="0.25">
      <c r="A12" s="28" t="s">
        <v>137</v>
      </c>
      <c r="B12" s="27">
        <v>6105</v>
      </c>
      <c r="C12" s="27">
        <v>31156.5</v>
      </c>
      <c r="D12" s="27">
        <v>1260</v>
      </c>
      <c r="E12" s="27">
        <v>180</v>
      </c>
      <c r="I12" s="27">
        <v>38701.5</v>
      </c>
    </row>
    <row r="13" spans="1:9" x14ac:dyDescent="0.25">
      <c r="A13" s="28" t="s">
        <v>138</v>
      </c>
      <c r="B13" s="27">
        <v>159.84</v>
      </c>
      <c r="D13" s="27">
        <v>75</v>
      </c>
      <c r="G13" s="27">
        <v>22.99</v>
      </c>
      <c r="I13" s="27">
        <v>257.83</v>
      </c>
    </row>
    <row r="14" spans="1:9" x14ac:dyDescent="0.25">
      <c r="A14" s="28" t="s">
        <v>140</v>
      </c>
      <c r="B14" s="27">
        <v>2677.84</v>
      </c>
      <c r="C14" s="27">
        <v>2354.0100000000002</v>
      </c>
      <c r="D14" s="27">
        <v>227.6</v>
      </c>
      <c r="E14" s="27">
        <v>1478.36</v>
      </c>
      <c r="F14" s="27">
        <v>668.24</v>
      </c>
      <c r="G14" s="27">
        <v>586.13</v>
      </c>
      <c r="H14" s="27">
        <v>87.2</v>
      </c>
      <c r="I14" s="27">
        <v>8079.38</v>
      </c>
    </row>
    <row r="15" spans="1:9" x14ac:dyDescent="0.25">
      <c r="A15" s="29" t="s">
        <v>141</v>
      </c>
      <c r="B15" s="30">
        <v>8942.68</v>
      </c>
      <c r="C15" s="30">
        <v>33510.51</v>
      </c>
      <c r="D15" s="30">
        <v>1562.6</v>
      </c>
      <c r="E15" s="30">
        <v>1658.36</v>
      </c>
      <c r="F15" s="30">
        <v>668.24</v>
      </c>
      <c r="G15" s="30">
        <v>609.12</v>
      </c>
      <c r="H15" s="30">
        <v>87.2</v>
      </c>
      <c r="I15" s="30">
        <v>47038.71</v>
      </c>
    </row>
    <row r="16" spans="1:9" x14ac:dyDescent="0.25">
      <c r="A16" s="26" t="s">
        <v>142</v>
      </c>
      <c r="I16" s="27">
        <v>0</v>
      </c>
    </row>
    <row r="17" spans="1:9" x14ac:dyDescent="0.25">
      <c r="A17" s="28" t="s">
        <v>144</v>
      </c>
      <c r="B17" s="27">
        <v>10210.5</v>
      </c>
      <c r="C17" s="27">
        <v>6675</v>
      </c>
      <c r="D17" s="27">
        <v>9099</v>
      </c>
      <c r="E17" s="27">
        <v>8954.5</v>
      </c>
      <c r="F17" s="27">
        <v>12606</v>
      </c>
      <c r="G17" s="27">
        <v>5411.5</v>
      </c>
      <c r="H17" s="27">
        <v>6098.5</v>
      </c>
      <c r="I17" s="27">
        <v>59055</v>
      </c>
    </row>
    <row r="18" spans="1:9" x14ac:dyDescent="0.25">
      <c r="A18" s="29" t="s">
        <v>145</v>
      </c>
      <c r="B18" s="30">
        <v>10210.5</v>
      </c>
      <c r="C18" s="30">
        <v>6675</v>
      </c>
      <c r="D18" s="30">
        <v>9099</v>
      </c>
      <c r="E18" s="30">
        <v>8954.5</v>
      </c>
      <c r="F18" s="30">
        <v>12606</v>
      </c>
      <c r="G18" s="30">
        <v>5411.5</v>
      </c>
      <c r="H18" s="30">
        <v>6098.5</v>
      </c>
      <c r="I18" s="30">
        <v>59055</v>
      </c>
    </row>
    <row r="19" spans="1:9" x14ac:dyDescent="0.25">
      <c r="A19" s="26" t="s">
        <v>146</v>
      </c>
      <c r="B19" s="27">
        <v>11280.5</v>
      </c>
      <c r="C19" s="27">
        <v>10930.5</v>
      </c>
      <c r="D19" s="27">
        <v>10625.5</v>
      </c>
      <c r="E19" s="27">
        <v>10315.5</v>
      </c>
      <c r="F19" s="27">
        <v>10315.5</v>
      </c>
      <c r="G19" s="27">
        <v>9975.5</v>
      </c>
      <c r="H19" s="27">
        <v>9975.5</v>
      </c>
      <c r="I19" s="27">
        <v>73418.5</v>
      </c>
    </row>
    <row r="20" spans="1:9" x14ac:dyDescent="0.25">
      <c r="A20" s="26" t="s">
        <v>147</v>
      </c>
      <c r="I20" s="27">
        <v>0</v>
      </c>
    </row>
    <row r="21" spans="1:9" x14ac:dyDescent="0.25">
      <c r="A21" s="28" t="s">
        <v>148</v>
      </c>
      <c r="B21" s="27">
        <v>2750</v>
      </c>
      <c r="C21" s="27">
        <v>3500</v>
      </c>
      <c r="D21" s="27">
        <v>2750</v>
      </c>
      <c r="E21" s="27">
        <v>4750</v>
      </c>
      <c r="F21" s="27">
        <v>3500</v>
      </c>
      <c r="G21" s="27">
        <v>3500</v>
      </c>
      <c r="H21" s="27">
        <v>3500</v>
      </c>
      <c r="I21" s="27">
        <v>24250</v>
      </c>
    </row>
    <row r="22" spans="1:9" x14ac:dyDescent="0.25">
      <c r="A22" s="28" t="s">
        <v>149</v>
      </c>
      <c r="B22" s="27">
        <v>10909.52</v>
      </c>
      <c r="C22" s="27">
        <v>10334.969999999999</v>
      </c>
      <c r="D22" s="27">
        <v>11175</v>
      </c>
      <c r="E22" s="27">
        <v>11953.11</v>
      </c>
      <c r="F22" s="27">
        <v>15040.71</v>
      </c>
      <c r="G22" s="27">
        <v>16168.68</v>
      </c>
      <c r="H22" s="27">
        <v>16069.15</v>
      </c>
      <c r="I22" s="27">
        <v>91651.14</v>
      </c>
    </row>
    <row r="23" spans="1:9" x14ac:dyDescent="0.25">
      <c r="A23" s="28" t="s">
        <v>150</v>
      </c>
      <c r="B23" s="27">
        <v>6300</v>
      </c>
      <c r="C23" s="27">
        <v>6390</v>
      </c>
      <c r="D23" s="27">
        <v>6425</v>
      </c>
      <c r="E23" s="27">
        <v>6080</v>
      </c>
      <c r="F23" s="27">
        <v>6325</v>
      </c>
      <c r="G23" s="27">
        <v>6655</v>
      </c>
      <c r="H23" s="27">
        <v>6955</v>
      </c>
      <c r="I23" s="27">
        <v>45130</v>
      </c>
    </row>
    <row r="24" spans="1:9" x14ac:dyDescent="0.25">
      <c r="A24" s="28" t="s">
        <v>151</v>
      </c>
      <c r="B24" s="27">
        <v>156538.79999999999</v>
      </c>
      <c r="C24" s="27">
        <v>164903.4</v>
      </c>
      <c r="D24" s="27">
        <v>170344.25</v>
      </c>
      <c r="E24" s="27">
        <v>183662</v>
      </c>
      <c r="F24" s="27">
        <v>190784.4</v>
      </c>
      <c r="G24" s="27">
        <v>194406.5</v>
      </c>
      <c r="H24" s="27">
        <v>200837.5</v>
      </c>
      <c r="I24" s="27">
        <v>1261476.8500000001</v>
      </c>
    </row>
    <row r="25" spans="1:9" x14ac:dyDescent="0.25">
      <c r="A25" s="28" t="s">
        <v>217</v>
      </c>
      <c r="B25" s="27">
        <v>5254</v>
      </c>
      <c r="C25" s="27">
        <v>5652</v>
      </c>
      <c r="D25" s="27">
        <v>5324</v>
      </c>
      <c r="E25" s="27">
        <v>6321</v>
      </c>
      <c r="F25" s="27">
        <v>6959</v>
      </c>
      <c r="G25" s="27">
        <v>7673</v>
      </c>
      <c r="H25" s="27">
        <v>7903</v>
      </c>
      <c r="I25" s="27">
        <v>45086</v>
      </c>
    </row>
    <row r="26" spans="1:9" x14ac:dyDescent="0.25">
      <c r="A26" s="29" t="s">
        <v>152</v>
      </c>
      <c r="B26" s="30">
        <v>181752.32000000001</v>
      </c>
      <c r="C26" s="30">
        <v>190780.37</v>
      </c>
      <c r="D26" s="30">
        <v>196018.25</v>
      </c>
      <c r="E26" s="30">
        <v>212766.11</v>
      </c>
      <c r="F26" s="30">
        <v>222609.11</v>
      </c>
      <c r="G26" s="30">
        <v>228403.18</v>
      </c>
      <c r="H26" s="30">
        <v>235264.65</v>
      </c>
      <c r="I26" s="30">
        <v>1467593.99</v>
      </c>
    </row>
    <row r="27" spans="1:9" x14ac:dyDescent="0.25">
      <c r="A27" s="17" t="s">
        <v>30</v>
      </c>
      <c r="B27" s="30">
        <v>212186</v>
      </c>
      <c r="C27" s="30">
        <v>241896.38</v>
      </c>
      <c r="D27" s="30">
        <v>231495.35</v>
      </c>
      <c r="E27" s="30">
        <v>240319.47</v>
      </c>
      <c r="F27" s="30">
        <v>246198.85</v>
      </c>
      <c r="G27" s="30">
        <v>247499.3</v>
      </c>
      <c r="H27" s="30">
        <v>251425.85</v>
      </c>
      <c r="I27" s="30">
        <v>1671021.2</v>
      </c>
    </row>
    <row r="28" spans="1:9" x14ac:dyDescent="0.25">
      <c r="A28" s="17" t="s">
        <v>31</v>
      </c>
    </row>
    <row r="29" spans="1:9" x14ac:dyDescent="0.25">
      <c r="A29" s="26" t="s">
        <v>153</v>
      </c>
      <c r="B29" s="27">
        <v>2494.8000000000002</v>
      </c>
      <c r="C29" s="27">
        <v>0</v>
      </c>
      <c r="D29" s="27">
        <v>0</v>
      </c>
      <c r="E29" s="27">
        <v>709.81</v>
      </c>
      <c r="F29" s="27">
        <v>0</v>
      </c>
      <c r="G29" s="27">
        <v>0</v>
      </c>
      <c r="H29" s="27">
        <v>0</v>
      </c>
      <c r="I29" s="27">
        <v>3204.61</v>
      </c>
    </row>
    <row r="30" spans="1:9" x14ac:dyDescent="0.25">
      <c r="A30" s="26" t="s">
        <v>218</v>
      </c>
      <c r="C30" s="27">
        <v>3000</v>
      </c>
      <c r="D30" s="27">
        <v>16265.5</v>
      </c>
      <c r="E30" s="27">
        <v>2800</v>
      </c>
      <c r="G30" s="27">
        <v>8450</v>
      </c>
      <c r="I30" s="27">
        <v>30515.5</v>
      </c>
    </row>
    <row r="31" spans="1:9" x14ac:dyDescent="0.25">
      <c r="A31" s="26" t="s">
        <v>154</v>
      </c>
      <c r="I31" s="27">
        <v>0</v>
      </c>
    </row>
    <row r="32" spans="1:9" x14ac:dyDescent="0.25">
      <c r="A32" s="28" t="s">
        <v>155</v>
      </c>
      <c r="B32" s="27">
        <v>38378.879999999997</v>
      </c>
      <c r="C32" s="27">
        <v>29701.52</v>
      </c>
      <c r="D32" s="27">
        <v>37422.5</v>
      </c>
      <c r="E32" s="27">
        <v>38772.300000000003</v>
      </c>
      <c r="F32" s="27">
        <v>38294.769999999997</v>
      </c>
      <c r="G32" s="27">
        <v>40699.83</v>
      </c>
      <c r="H32" s="27">
        <v>44487.6</v>
      </c>
      <c r="I32" s="27">
        <v>267757.40000000002</v>
      </c>
    </row>
    <row r="33" spans="1:9" x14ac:dyDescent="0.25">
      <c r="A33" s="28" t="s">
        <v>156</v>
      </c>
      <c r="B33" s="27">
        <v>26114.9</v>
      </c>
      <c r="C33" s="27">
        <v>21905.5</v>
      </c>
      <c r="D33" s="27">
        <v>30758.44</v>
      </c>
      <c r="E33" s="27">
        <v>31590.38</v>
      </c>
      <c r="F33" s="27">
        <v>27699.919999999998</v>
      </c>
      <c r="G33" s="27">
        <v>31240.240000000002</v>
      </c>
      <c r="H33" s="27">
        <v>32743.71</v>
      </c>
      <c r="I33" s="27">
        <v>202053.09</v>
      </c>
    </row>
    <row r="34" spans="1:9" x14ac:dyDescent="0.25">
      <c r="A34" s="28" t="s">
        <v>157</v>
      </c>
      <c r="B34" s="27">
        <v>1691.16</v>
      </c>
      <c r="C34" s="27">
        <v>5549.19</v>
      </c>
      <c r="D34" s="27">
        <v>7199.9</v>
      </c>
      <c r="E34" s="27">
        <v>8192.7000000000007</v>
      </c>
      <c r="F34" s="27">
        <v>8283.35</v>
      </c>
      <c r="G34" s="27">
        <v>5492.65</v>
      </c>
      <c r="H34" s="27">
        <v>5676.1</v>
      </c>
      <c r="I34" s="27">
        <v>42085.05</v>
      </c>
    </row>
    <row r="35" spans="1:9" x14ac:dyDescent="0.25">
      <c r="A35" s="28" t="s">
        <v>158</v>
      </c>
      <c r="B35" s="27">
        <v>16553.939999999999</v>
      </c>
      <c r="C35" s="27">
        <v>11526.61</v>
      </c>
      <c r="D35" s="27">
        <v>14938.83</v>
      </c>
      <c r="E35" s="27">
        <v>15583.52</v>
      </c>
      <c r="F35" s="27">
        <v>19603.400000000001</v>
      </c>
      <c r="G35" s="27">
        <v>16644.57</v>
      </c>
      <c r="H35" s="27">
        <v>16429.12</v>
      </c>
      <c r="I35" s="27">
        <v>111279.99</v>
      </c>
    </row>
    <row r="36" spans="1:9" x14ac:dyDescent="0.25">
      <c r="A36" s="28" t="s">
        <v>250</v>
      </c>
      <c r="F36" s="27">
        <v>2517.06</v>
      </c>
      <c r="G36" s="27">
        <v>2721.17</v>
      </c>
      <c r="H36" s="27">
        <v>2756.77</v>
      </c>
      <c r="I36" s="27">
        <v>7995</v>
      </c>
    </row>
    <row r="37" spans="1:9" x14ac:dyDescent="0.25">
      <c r="A37" s="29" t="s">
        <v>159</v>
      </c>
      <c r="B37" s="30">
        <v>82738.880000000005</v>
      </c>
      <c r="C37" s="30">
        <v>68682.820000000007</v>
      </c>
      <c r="D37" s="30">
        <v>90319.67</v>
      </c>
      <c r="E37" s="30">
        <v>94138.9</v>
      </c>
      <c r="F37" s="30">
        <v>96398.5</v>
      </c>
      <c r="G37" s="30">
        <v>96798.46</v>
      </c>
      <c r="H37" s="30">
        <v>102093.3</v>
      </c>
      <c r="I37" s="30">
        <v>631170.53</v>
      </c>
    </row>
    <row r="38" spans="1:9" x14ac:dyDescent="0.25">
      <c r="A38" s="26" t="s">
        <v>219</v>
      </c>
      <c r="B38" s="27">
        <v>229.4</v>
      </c>
      <c r="C38" s="27">
        <v>119.4</v>
      </c>
      <c r="D38" s="27">
        <v>179.35</v>
      </c>
      <c r="E38" s="27">
        <v>69.900000000000006</v>
      </c>
      <c r="F38" s="27">
        <v>69.900000000000006</v>
      </c>
      <c r="G38" s="27">
        <v>163.98</v>
      </c>
      <c r="H38" s="27">
        <v>707.56</v>
      </c>
      <c r="I38" s="27">
        <v>1539.49</v>
      </c>
    </row>
    <row r="39" spans="1:9" x14ac:dyDescent="0.25">
      <c r="A39" s="26" t="s">
        <v>160</v>
      </c>
      <c r="B39" s="27">
        <v>1229.74</v>
      </c>
      <c r="C39" s="27">
        <v>1738.47</v>
      </c>
      <c r="D39" s="27">
        <v>1353.48</v>
      </c>
      <c r="E39" s="27">
        <v>1233.99</v>
      </c>
      <c r="F39" s="27">
        <v>1171.3699999999999</v>
      </c>
      <c r="G39" s="27">
        <v>1153.92</v>
      </c>
      <c r="H39" s="27">
        <v>1145.8699999999999</v>
      </c>
      <c r="I39" s="27">
        <v>9026.84</v>
      </c>
    </row>
    <row r="40" spans="1:9" x14ac:dyDescent="0.25">
      <c r="A40" s="26" t="s">
        <v>161</v>
      </c>
      <c r="B40" s="27">
        <v>1868.8</v>
      </c>
      <c r="C40" s="27">
        <v>4439.91</v>
      </c>
      <c r="D40" s="27">
        <v>2393.61</v>
      </c>
      <c r="E40" s="27">
        <v>3657.86</v>
      </c>
      <c r="F40" s="27">
        <v>2933.79</v>
      </c>
      <c r="G40" s="27">
        <v>1566.2</v>
      </c>
      <c r="H40" s="27">
        <v>3769.52</v>
      </c>
      <c r="I40" s="27">
        <v>20629.689999999999</v>
      </c>
    </row>
    <row r="41" spans="1:9" x14ac:dyDescent="0.25">
      <c r="A41" s="26" t="s">
        <v>162</v>
      </c>
      <c r="B41" s="27">
        <v>18468.3</v>
      </c>
      <c r="C41" s="27">
        <v>17920.27</v>
      </c>
      <c r="D41" s="27">
        <v>18409.060000000001</v>
      </c>
      <c r="E41" s="27">
        <v>21387.75</v>
      </c>
      <c r="F41" s="27">
        <v>23445.84</v>
      </c>
      <c r="G41" s="27">
        <v>24674.67</v>
      </c>
      <c r="H41" s="27">
        <v>27975.68</v>
      </c>
      <c r="I41" s="27">
        <v>152281.57</v>
      </c>
    </row>
    <row r="42" spans="1:9" x14ac:dyDescent="0.25">
      <c r="A42" s="26" t="s">
        <v>221</v>
      </c>
      <c r="C42" s="27">
        <v>2184.0500000000002</v>
      </c>
      <c r="D42" s="27">
        <v>1604.3</v>
      </c>
      <c r="I42" s="27">
        <v>3788.35</v>
      </c>
    </row>
    <row r="43" spans="1:9" x14ac:dyDescent="0.25">
      <c r="A43" s="26" t="s">
        <v>222</v>
      </c>
      <c r="B43" s="27">
        <v>2949.75</v>
      </c>
      <c r="C43" s="27">
        <v>3420</v>
      </c>
      <c r="D43" s="27">
        <v>3678</v>
      </c>
      <c r="E43" s="27">
        <v>4218</v>
      </c>
      <c r="F43" s="27">
        <v>4284</v>
      </c>
      <c r="G43" s="27">
        <v>5208</v>
      </c>
      <c r="H43" s="27">
        <v>5070</v>
      </c>
      <c r="I43" s="27">
        <v>28827.75</v>
      </c>
    </row>
    <row r="44" spans="1:9" x14ac:dyDescent="0.25">
      <c r="A44" s="17" t="s">
        <v>48</v>
      </c>
      <c r="B44" s="30">
        <v>109979.67</v>
      </c>
      <c r="C44" s="30">
        <v>101504.92</v>
      </c>
      <c r="D44" s="30">
        <v>134202.97</v>
      </c>
      <c r="E44" s="30">
        <v>128216.21</v>
      </c>
      <c r="F44" s="30">
        <v>128303.4</v>
      </c>
      <c r="G44" s="30">
        <v>138015.23000000001</v>
      </c>
      <c r="H44" s="30">
        <v>140761.93</v>
      </c>
      <c r="I44" s="30">
        <v>880984.33</v>
      </c>
    </row>
    <row r="45" spans="1:9" x14ac:dyDescent="0.25">
      <c r="A45" s="17" t="s">
        <v>49</v>
      </c>
      <c r="B45" s="30">
        <v>102206.33</v>
      </c>
      <c r="C45" s="30">
        <v>140391.46</v>
      </c>
      <c r="D45" s="30">
        <v>97292.38</v>
      </c>
      <c r="E45" s="30">
        <v>112103.26</v>
      </c>
      <c r="F45" s="30">
        <v>117895.45</v>
      </c>
      <c r="G45" s="30">
        <v>109484.07</v>
      </c>
      <c r="H45" s="30">
        <v>110663.92</v>
      </c>
      <c r="I45" s="30">
        <v>790036.87</v>
      </c>
    </row>
    <row r="46" spans="1:9" x14ac:dyDescent="0.25">
      <c r="A46" s="17" t="s">
        <v>50</v>
      </c>
    </row>
    <row r="47" spans="1:9" x14ac:dyDescent="0.25">
      <c r="A47" s="26" t="s">
        <v>163</v>
      </c>
      <c r="I47" s="27">
        <v>0</v>
      </c>
    </row>
    <row r="48" spans="1:9" x14ac:dyDescent="0.25">
      <c r="A48" s="28" t="s">
        <v>164</v>
      </c>
      <c r="B48" s="27">
        <v>147.1</v>
      </c>
      <c r="C48" s="27">
        <v>155.6</v>
      </c>
      <c r="D48" s="27">
        <v>170.65</v>
      </c>
      <c r="E48" s="27">
        <v>303.2</v>
      </c>
      <c r="F48" s="27">
        <v>182.85</v>
      </c>
      <c r="G48" s="27">
        <v>177.7</v>
      </c>
      <c r="H48" s="27">
        <v>303.14999999999998</v>
      </c>
      <c r="I48" s="27">
        <v>1440.25</v>
      </c>
    </row>
    <row r="49" spans="1:9" x14ac:dyDescent="0.25">
      <c r="A49" s="28" t="s">
        <v>251</v>
      </c>
      <c r="E49" s="27">
        <v>19.84</v>
      </c>
      <c r="I49" s="27">
        <v>19.84</v>
      </c>
    </row>
    <row r="50" spans="1:9" x14ac:dyDescent="0.25">
      <c r="A50" s="28" t="s">
        <v>223</v>
      </c>
      <c r="B50" s="27">
        <v>799.68</v>
      </c>
      <c r="C50" s="27">
        <v>868.84</v>
      </c>
      <c r="I50" s="27">
        <v>1668.52</v>
      </c>
    </row>
    <row r="51" spans="1:9" x14ac:dyDescent="0.25">
      <c r="A51" s="28" t="s">
        <v>165</v>
      </c>
      <c r="I51" s="27">
        <v>0</v>
      </c>
    </row>
    <row r="52" spans="1:9" x14ac:dyDescent="0.25">
      <c r="A52" s="31" t="s">
        <v>224</v>
      </c>
      <c r="B52" s="27">
        <v>16.2</v>
      </c>
      <c r="I52" s="27">
        <v>16.2</v>
      </c>
    </row>
    <row r="53" spans="1:9" x14ac:dyDescent="0.25">
      <c r="A53" s="31" t="s">
        <v>166</v>
      </c>
      <c r="B53" s="27">
        <v>648</v>
      </c>
      <c r="C53" s="27">
        <v>71</v>
      </c>
      <c r="D53" s="27">
        <v>1059</v>
      </c>
      <c r="E53" s="27">
        <v>749</v>
      </c>
      <c r="F53" s="27">
        <v>477</v>
      </c>
      <c r="G53" s="27">
        <v>582</v>
      </c>
      <c r="H53" s="27">
        <v>520</v>
      </c>
      <c r="I53" s="27">
        <v>4106</v>
      </c>
    </row>
    <row r="54" spans="1:9" x14ac:dyDescent="0.25">
      <c r="A54" s="31" t="s">
        <v>167</v>
      </c>
      <c r="B54" s="27">
        <v>254</v>
      </c>
      <c r="C54" s="27">
        <v>314</v>
      </c>
      <c r="D54" s="27">
        <v>338</v>
      </c>
      <c r="E54" s="27">
        <v>290</v>
      </c>
      <c r="F54" s="27">
        <v>443</v>
      </c>
      <c r="G54" s="27">
        <v>388</v>
      </c>
      <c r="H54" s="27">
        <v>370</v>
      </c>
      <c r="I54" s="27">
        <v>2397</v>
      </c>
    </row>
    <row r="55" spans="1:9" x14ac:dyDescent="0.25">
      <c r="A55" s="31" t="s">
        <v>225</v>
      </c>
      <c r="D55" s="27">
        <v>1550</v>
      </c>
      <c r="E55" s="27">
        <v>524</v>
      </c>
      <c r="F55" s="27">
        <v>223</v>
      </c>
      <c r="G55" s="27">
        <v>1282</v>
      </c>
      <c r="H55" s="27">
        <v>521</v>
      </c>
      <c r="I55" s="27">
        <v>4100</v>
      </c>
    </row>
    <row r="56" spans="1:9" x14ac:dyDescent="0.25">
      <c r="A56" s="31" t="s">
        <v>168</v>
      </c>
      <c r="B56" s="27">
        <v>400</v>
      </c>
      <c r="C56" s="27">
        <v>400</v>
      </c>
      <c r="D56" s="27">
        <v>1006</v>
      </c>
      <c r="G56" s="27">
        <v>800</v>
      </c>
      <c r="H56" s="27">
        <v>200</v>
      </c>
      <c r="I56" s="27">
        <v>2806</v>
      </c>
    </row>
    <row r="57" spans="1:9" x14ac:dyDescent="0.25">
      <c r="A57" s="31" t="s">
        <v>169</v>
      </c>
      <c r="B57" s="27">
        <v>80</v>
      </c>
      <c r="C57" s="27">
        <v>180</v>
      </c>
      <c r="D57" s="27">
        <v>1005</v>
      </c>
      <c r="E57" s="27">
        <v>180</v>
      </c>
      <c r="F57" s="27">
        <v>140</v>
      </c>
      <c r="G57" s="27">
        <v>198.6</v>
      </c>
      <c r="H57" s="27">
        <v>890</v>
      </c>
      <c r="I57" s="27">
        <v>2673.6</v>
      </c>
    </row>
    <row r="58" spans="1:9" x14ac:dyDescent="0.25">
      <c r="A58" s="31" t="s">
        <v>170</v>
      </c>
      <c r="B58" s="27">
        <v>180.53</v>
      </c>
      <c r="C58" s="27">
        <v>180.53</v>
      </c>
      <c r="D58" s="27">
        <v>180.53</v>
      </c>
      <c r="E58" s="27">
        <v>180.53</v>
      </c>
      <c r="F58" s="27">
        <v>180.53</v>
      </c>
      <c r="G58" s="27">
        <v>180.53</v>
      </c>
      <c r="H58" s="27">
        <v>180.53</v>
      </c>
      <c r="I58" s="27">
        <v>1263.71</v>
      </c>
    </row>
    <row r="59" spans="1:9" x14ac:dyDescent="0.25">
      <c r="A59" s="32" t="s">
        <v>171</v>
      </c>
      <c r="B59" s="30">
        <v>1578.73</v>
      </c>
      <c r="C59" s="30">
        <v>1145.53</v>
      </c>
      <c r="D59" s="30">
        <v>5138.53</v>
      </c>
      <c r="E59" s="30">
        <v>1923.53</v>
      </c>
      <c r="F59" s="30">
        <v>1463.53</v>
      </c>
      <c r="G59" s="30">
        <v>3431.13</v>
      </c>
      <c r="H59" s="30">
        <v>2681.53</v>
      </c>
      <c r="I59" s="30">
        <v>17362.509999999998</v>
      </c>
    </row>
    <row r="60" spans="1:9" x14ac:dyDescent="0.25">
      <c r="A60" s="28" t="s">
        <v>172</v>
      </c>
      <c r="B60" s="27">
        <v>36253.599999999999</v>
      </c>
      <c r="C60" s="27">
        <v>33607.51</v>
      </c>
      <c r="D60" s="27">
        <v>57199.24</v>
      </c>
      <c r="E60" s="27">
        <v>58245.95</v>
      </c>
      <c r="F60" s="27">
        <v>54069.23</v>
      </c>
      <c r="G60" s="27">
        <v>60003.81</v>
      </c>
      <c r="H60" s="27">
        <v>57895.38</v>
      </c>
      <c r="I60" s="27">
        <v>357274.72</v>
      </c>
    </row>
    <row r="61" spans="1:9" x14ac:dyDescent="0.25">
      <c r="A61" s="28" t="s">
        <v>173</v>
      </c>
      <c r="B61" s="27">
        <v>229.43</v>
      </c>
      <c r="C61" s="27">
        <v>2228.58</v>
      </c>
      <c r="D61" s="27">
        <v>254.48</v>
      </c>
      <c r="E61" s="27">
        <v>255.64</v>
      </c>
      <c r="F61" s="27">
        <v>261.64</v>
      </c>
      <c r="G61" s="27">
        <v>261.83</v>
      </c>
      <c r="H61" s="27">
        <v>218.11</v>
      </c>
      <c r="I61" s="27">
        <v>3709.71</v>
      </c>
    </row>
    <row r="62" spans="1:9" x14ac:dyDescent="0.25">
      <c r="A62" s="28" t="s">
        <v>174</v>
      </c>
      <c r="I62" s="27">
        <v>0</v>
      </c>
    </row>
    <row r="63" spans="1:9" x14ac:dyDescent="0.25">
      <c r="A63" s="31" t="s">
        <v>175</v>
      </c>
      <c r="D63" s="27">
        <v>950</v>
      </c>
      <c r="I63" s="27">
        <v>950</v>
      </c>
    </row>
    <row r="64" spans="1:9" x14ac:dyDescent="0.25">
      <c r="A64" s="31" t="s">
        <v>176</v>
      </c>
      <c r="B64" s="27">
        <v>0</v>
      </c>
      <c r="C64" s="27">
        <v>0</v>
      </c>
      <c r="D64" s="27">
        <v>6600</v>
      </c>
      <c r="E64" s="27">
        <v>14000</v>
      </c>
      <c r="F64" s="27">
        <v>18000</v>
      </c>
      <c r="G64" s="27">
        <v>0</v>
      </c>
      <c r="H64" s="27">
        <v>18950</v>
      </c>
      <c r="I64" s="27">
        <v>57550</v>
      </c>
    </row>
    <row r="65" spans="1:9" x14ac:dyDescent="0.25">
      <c r="A65" s="31" t="s">
        <v>177</v>
      </c>
      <c r="B65" s="27">
        <v>820.3</v>
      </c>
      <c r="C65" s="27">
        <v>680.46</v>
      </c>
      <c r="D65" s="27">
        <v>772.39</v>
      </c>
      <c r="E65" s="27">
        <v>716.08</v>
      </c>
      <c r="F65" s="27">
        <v>640.20000000000005</v>
      </c>
      <c r="G65" s="27">
        <v>1135.3800000000001</v>
      </c>
      <c r="H65" s="27">
        <v>799.79</v>
      </c>
      <c r="I65" s="27">
        <v>5564.6</v>
      </c>
    </row>
    <row r="66" spans="1:9" x14ac:dyDescent="0.25">
      <c r="A66" s="32" t="s">
        <v>178</v>
      </c>
      <c r="B66" s="30">
        <v>820.3</v>
      </c>
      <c r="C66" s="30">
        <v>680.46</v>
      </c>
      <c r="D66" s="30">
        <v>8322.39</v>
      </c>
      <c r="E66" s="30">
        <v>14716.08</v>
      </c>
      <c r="F66" s="30">
        <v>18640.2</v>
      </c>
      <c r="G66" s="30">
        <v>1135.3800000000001</v>
      </c>
      <c r="H66" s="30">
        <v>19749.79</v>
      </c>
      <c r="I66" s="30">
        <v>64064.6</v>
      </c>
    </row>
    <row r="67" spans="1:9" x14ac:dyDescent="0.25">
      <c r="A67" s="28" t="s">
        <v>179</v>
      </c>
      <c r="B67" s="27">
        <v>40.03</v>
      </c>
      <c r="C67" s="27">
        <v>21.4</v>
      </c>
      <c r="E67" s="27">
        <v>57.35</v>
      </c>
      <c r="F67" s="27">
        <v>471.75</v>
      </c>
      <c r="G67" s="27">
        <v>-15</v>
      </c>
      <c r="H67" s="27">
        <v>141.15</v>
      </c>
      <c r="I67" s="27">
        <v>716.68</v>
      </c>
    </row>
    <row r="68" spans="1:9" x14ac:dyDescent="0.25">
      <c r="A68" s="28" t="s">
        <v>182</v>
      </c>
      <c r="B68" s="27">
        <v>7.5</v>
      </c>
      <c r="C68" s="27">
        <v>127.41</v>
      </c>
      <c r="D68" s="27">
        <v>12.25</v>
      </c>
      <c r="E68" s="27">
        <v>22.25</v>
      </c>
      <c r="G68" s="27">
        <v>210.45</v>
      </c>
      <c r="H68" s="27">
        <v>11.41</v>
      </c>
      <c r="I68" s="27">
        <v>391.27</v>
      </c>
    </row>
    <row r="69" spans="1:9" x14ac:dyDescent="0.25">
      <c r="A69" s="28" t="s">
        <v>183</v>
      </c>
      <c r="B69" s="27">
        <v>939.83</v>
      </c>
      <c r="C69" s="27">
        <v>939.83</v>
      </c>
      <c r="D69" s="27">
        <v>939.83</v>
      </c>
      <c r="E69" s="27">
        <v>939.83</v>
      </c>
      <c r="F69" s="27">
        <v>939.83</v>
      </c>
      <c r="G69" s="27">
        <v>939.83</v>
      </c>
      <c r="H69" s="27">
        <v>939.83</v>
      </c>
      <c r="I69" s="27">
        <v>6578.81</v>
      </c>
    </row>
    <row r="70" spans="1:9" x14ac:dyDescent="0.25">
      <c r="A70" s="28" t="s">
        <v>252</v>
      </c>
      <c r="B70" s="27">
        <v>120</v>
      </c>
      <c r="C70" s="27">
        <v>120</v>
      </c>
      <c r="D70" s="27">
        <v>701.66</v>
      </c>
      <c r="E70" s="27">
        <v>2207.36</v>
      </c>
      <c r="F70" s="27">
        <v>914.87</v>
      </c>
      <c r="G70" s="27">
        <v>1151.6500000000001</v>
      </c>
      <c r="H70" s="27">
        <v>1311.98</v>
      </c>
      <c r="I70" s="27">
        <v>6527.52</v>
      </c>
    </row>
    <row r="71" spans="1:9" x14ac:dyDescent="0.25">
      <c r="A71" s="28" t="s">
        <v>184</v>
      </c>
      <c r="B71" s="27">
        <v>13263.16</v>
      </c>
      <c r="C71" s="27">
        <v>14720.1</v>
      </c>
      <c r="D71" s="27">
        <v>14990.72</v>
      </c>
      <c r="E71" s="27">
        <v>14744.59</v>
      </c>
      <c r="F71" s="27">
        <v>13229.2</v>
      </c>
      <c r="G71" s="27">
        <v>13114.99</v>
      </c>
      <c r="H71" s="27">
        <v>12985.22</v>
      </c>
      <c r="I71" s="27">
        <v>97047.98</v>
      </c>
    </row>
    <row r="72" spans="1:9" x14ac:dyDescent="0.25">
      <c r="A72" s="28" t="s">
        <v>185</v>
      </c>
      <c r="C72" s="27">
        <v>102</v>
      </c>
      <c r="D72" s="27">
        <v>401</v>
      </c>
      <c r="E72" s="27">
        <v>5</v>
      </c>
      <c r="F72" s="27">
        <v>5</v>
      </c>
      <c r="G72" s="27">
        <v>5</v>
      </c>
      <c r="H72" s="27">
        <v>5</v>
      </c>
      <c r="I72" s="27">
        <v>523</v>
      </c>
    </row>
    <row r="73" spans="1:9" x14ac:dyDescent="0.25">
      <c r="A73" s="28" t="s">
        <v>186</v>
      </c>
      <c r="B73" s="27">
        <v>253</v>
      </c>
      <c r="C73" s="27">
        <v>255</v>
      </c>
      <c r="D73" s="27">
        <v>283</v>
      </c>
      <c r="E73" s="27">
        <v>283</v>
      </c>
      <c r="F73" s="27">
        <v>283</v>
      </c>
      <c r="G73" s="27">
        <v>293</v>
      </c>
      <c r="H73" s="27">
        <v>293</v>
      </c>
      <c r="I73" s="27">
        <v>1943</v>
      </c>
    </row>
    <row r="74" spans="1:9" x14ac:dyDescent="0.25">
      <c r="A74" s="29" t="s">
        <v>187</v>
      </c>
      <c r="B74" s="30">
        <v>54452.36</v>
      </c>
      <c r="C74" s="30">
        <v>54972.26</v>
      </c>
      <c r="D74" s="30">
        <v>88413.75</v>
      </c>
      <c r="E74" s="30">
        <v>93723.62</v>
      </c>
      <c r="F74" s="30">
        <v>90461.1</v>
      </c>
      <c r="G74" s="30">
        <v>80709.77</v>
      </c>
      <c r="H74" s="30">
        <v>96535.55</v>
      </c>
      <c r="I74" s="30">
        <v>559268.41</v>
      </c>
    </row>
    <row r="75" spans="1:9" x14ac:dyDescent="0.25">
      <c r="A75" s="26" t="s">
        <v>226</v>
      </c>
      <c r="B75" s="27">
        <v>9276.2099999999991</v>
      </c>
      <c r="C75" s="27">
        <v>8322.6299999999992</v>
      </c>
      <c r="D75" s="27">
        <v>9108.83</v>
      </c>
      <c r="E75" s="27">
        <v>9108.83</v>
      </c>
      <c r="F75" s="27">
        <v>8694.81</v>
      </c>
      <c r="G75" s="27">
        <v>9108.84</v>
      </c>
      <c r="H75" s="27">
        <v>9522.8700000000008</v>
      </c>
      <c r="I75" s="27">
        <v>63143.02</v>
      </c>
    </row>
    <row r="76" spans="1:9" x14ac:dyDescent="0.25">
      <c r="A76" s="26" t="s">
        <v>188</v>
      </c>
      <c r="I76" s="27">
        <v>0</v>
      </c>
    </row>
    <row r="77" spans="1:9" x14ac:dyDescent="0.25">
      <c r="A77" s="28" t="s">
        <v>189</v>
      </c>
      <c r="I77" s="27">
        <v>0</v>
      </c>
    </row>
    <row r="78" spans="1:9" x14ac:dyDescent="0.25">
      <c r="A78" s="31" t="s">
        <v>227</v>
      </c>
      <c r="H78" s="27">
        <v>11695</v>
      </c>
      <c r="I78" s="27">
        <v>11695</v>
      </c>
    </row>
    <row r="79" spans="1:9" x14ac:dyDescent="0.25">
      <c r="A79" s="31" t="s">
        <v>228</v>
      </c>
      <c r="B79" s="27">
        <v>50</v>
      </c>
      <c r="F79" s="27">
        <v>98.05</v>
      </c>
      <c r="G79" s="27">
        <v>2.4300000000000002</v>
      </c>
      <c r="I79" s="27">
        <v>150.47999999999999</v>
      </c>
    </row>
    <row r="80" spans="1:9" x14ac:dyDescent="0.25">
      <c r="A80" s="32" t="s">
        <v>229</v>
      </c>
      <c r="B80" s="30">
        <v>50</v>
      </c>
      <c r="C80" s="30">
        <v>0</v>
      </c>
      <c r="D80" s="30">
        <v>0</v>
      </c>
      <c r="E80" s="30">
        <v>0</v>
      </c>
      <c r="F80" s="30">
        <v>98.05</v>
      </c>
      <c r="G80" s="30">
        <v>2.4300000000000002</v>
      </c>
      <c r="H80" s="30">
        <v>11695</v>
      </c>
      <c r="I80" s="30">
        <v>11845.48</v>
      </c>
    </row>
    <row r="81" spans="1:9" x14ac:dyDescent="0.25">
      <c r="A81" s="28" t="s">
        <v>230</v>
      </c>
      <c r="B81" s="27">
        <v>5653.4</v>
      </c>
      <c r="C81" s="27">
        <v>5956.89</v>
      </c>
      <c r="D81" s="27">
        <v>7782.8</v>
      </c>
      <c r="E81" s="27">
        <v>8137.01</v>
      </c>
      <c r="F81" s="27">
        <v>7808.25</v>
      </c>
      <c r="G81" s="27">
        <v>8407.2000000000007</v>
      </c>
      <c r="H81" s="27">
        <v>8195.76</v>
      </c>
      <c r="I81" s="27">
        <v>51941.31</v>
      </c>
    </row>
    <row r="82" spans="1:9" x14ac:dyDescent="0.25">
      <c r="A82" s="28" t="s">
        <v>191</v>
      </c>
      <c r="B82" s="27">
        <v>144</v>
      </c>
      <c r="I82" s="27">
        <v>144</v>
      </c>
    </row>
    <row r="83" spans="1:9" x14ac:dyDescent="0.25">
      <c r="A83" s="28" t="s">
        <v>192</v>
      </c>
      <c r="B83" s="27">
        <v>270</v>
      </c>
      <c r="C83" s="27">
        <v>270</v>
      </c>
      <c r="D83" s="27">
        <v>270</v>
      </c>
      <c r="E83" s="27">
        <v>270</v>
      </c>
      <c r="F83" s="27">
        <v>270</v>
      </c>
      <c r="G83" s="27">
        <v>270</v>
      </c>
      <c r="H83" s="27">
        <v>510</v>
      </c>
      <c r="I83" s="27">
        <v>2130</v>
      </c>
    </row>
    <row r="84" spans="1:9" x14ac:dyDescent="0.25">
      <c r="A84" s="28" t="s">
        <v>231</v>
      </c>
      <c r="I84" s="27">
        <v>0</v>
      </c>
    </row>
    <row r="85" spans="1:9" x14ac:dyDescent="0.25">
      <c r="A85" s="31" t="s">
        <v>232</v>
      </c>
      <c r="E85" s="27">
        <v>6015.1</v>
      </c>
      <c r="F85" s="27">
        <v>1357.09</v>
      </c>
      <c r="I85" s="27">
        <v>7372.19</v>
      </c>
    </row>
    <row r="86" spans="1:9" x14ac:dyDescent="0.25">
      <c r="A86" s="31" t="s">
        <v>233</v>
      </c>
      <c r="E86" s="27">
        <v>3750</v>
      </c>
      <c r="F86" s="27">
        <v>2713.23</v>
      </c>
      <c r="I86" s="27">
        <v>6463.23</v>
      </c>
    </row>
    <row r="87" spans="1:9" x14ac:dyDescent="0.25">
      <c r="A87" s="31" t="s">
        <v>253</v>
      </c>
      <c r="F87" s="27">
        <v>1597.03</v>
      </c>
      <c r="I87" s="27">
        <v>1597.03</v>
      </c>
    </row>
    <row r="88" spans="1:9" x14ac:dyDescent="0.25">
      <c r="A88" s="31" t="s">
        <v>234</v>
      </c>
      <c r="F88" s="27">
        <v>4071.26</v>
      </c>
      <c r="G88" s="27">
        <v>153.18</v>
      </c>
      <c r="I88" s="27">
        <v>4224.4399999999996</v>
      </c>
    </row>
    <row r="89" spans="1:9" x14ac:dyDescent="0.25">
      <c r="A89" s="31" t="s">
        <v>237</v>
      </c>
      <c r="F89" s="27">
        <v>515.82000000000005</v>
      </c>
      <c r="G89" s="27">
        <v>502.72</v>
      </c>
      <c r="H89" s="27">
        <v>9.99</v>
      </c>
      <c r="I89" s="27">
        <v>1028.53</v>
      </c>
    </row>
    <row r="90" spans="1:9" x14ac:dyDescent="0.25">
      <c r="A90" s="32" t="s">
        <v>238</v>
      </c>
      <c r="B90" s="30">
        <v>0</v>
      </c>
      <c r="C90" s="30">
        <v>0</v>
      </c>
      <c r="D90" s="30">
        <v>0</v>
      </c>
      <c r="E90" s="30">
        <v>9765.1</v>
      </c>
      <c r="F90" s="30">
        <v>10254.43</v>
      </c>
      <c r="G90" s="30">
        <v>655.9</v>
      </c>
      <c r="H90" s="30">
        <v>9.99</v>
      </c>
      <c r="I90" s="30">
        <v>20685.419999999998</v>
      </c>
    </row>
    <row r="91" spans="1:9" x14ac:dyDescent="0.25">
      <c r="A91" s="28" t="s">
        <v>193</v>
      </c>
      <c r="B91" s="27">
        <v>436.19</v>
      </c>
      <c r="C91" s="27">
        <v>399</v>
      </c>
      <c r="D91" s="27">
        <v>477.38</v>
      </c>
      <c r="E91" s="27">
        <v>399</v>
      </c>
      <c r="F91" s="27">
        <v>399</v>
      </c>
      <c r="G91" s="27">
        <v>399</v>
      </c>
      <c r="H91" s="27">
        <v>399</v>
      </c>
      <c r="I91" s="27">
        <v>2908.57</v>
      </c>
    </row>
    <row r="92" spans="1:9" x14ac:dyDescent="0.25">
      <c r="A92" s="29" t="s">
        <v>194</v>
      </c>
      <c r="B92" s="30">
        <v>6553.59</v>
      </c>
      <c r="C92" s="30">
        <v>6625.89</v>
      </c>
      <c r="D92" s="30">
        <v>8530.18</v>
      </c>
      <c r="E92" s="30">
        <v>18571.11</v>
      </c>
      <c r="F92" s="30">
        <v>18829.73</v>
      </c>
      <c r="G92" s="30">
        <v>9734.5300000000007</v>
      </c>
      <c r="H92" s="30">
        <v>20809.75</v>
      </c>
      <c r="I92" s="30">
        <v>89654.78</v>
      </c>
    </row>
    <row r="93" spans="1:9" x14ac:dyDescent="0.25">
      <c r="A93" s="17" t="s">
        <v>102</v>
      </c>
      <c r="B93" s="30">
        <v>70282.16</v>
      </c>
      <c r="C93" s="30">
        <v>69920.78</v>
      </c>
      <c r="D93" s="30">
        <v>106052.76</v>
      </c>
      <c r="E93" s="30">
        <v>121403.56</v>
      </c>
      <c r="F93" s="30">
        <v>117985.64</v>
      </c>
      <c r="G93" s="30">
        <v>99553.14</v>
      </c>
      <c r="H93" s="30">
        <v>126868.17</v>
      </c>
      <c r="I93" s="30">
        <v>712066.21</v>
      </c>
    </row>
    <row r="94" spans="1:9" x14ac:dyDescent="0.25">
      <c r="A94" s="17" t="s">
        <v>103</v>
      </c>
      <c r="B94" s="30">
        <v>31924.17</v>
      </c>
      <c r="C94" s="30">
        <v>70470.679999999993</v>
      </c>
      <c r="D94" s="30">
        <v>-8760.3800000000101</v>
      </c>
      <c r="E94" s="30">
        <v>-9300.3000000000302</v>
      </c>
      <c r="F94" s="30">
        <v>-90.189999999987805</v>
      </c>
      <c r="G94" s="30">
        <v>9930.9300000000203</v>
      </c>
      <c r="H94" s="30">
        <v>-16204.25</v>
      </c>
      <c r="I94" s="30">
        <v>77970.66</v>
      </c>
    </row>
    <row r="95" spans="1:9" x14ac:dyDescent="0.25">
      <c r="A95" s="17" t="s">
        <v>104</v>
      </c>
    </row>
    <row r="96" spans="1:9" x14ac:dyDescent="0.25">
      <c r="A96" s="26" t="s">
        <v>239</v>
      </c>
      <c r="B96" s="27">
        <v>10.3</v>
      </c>
      <c r="C96" s="27">
        <v>13.8</v>
      </c>
      <c r="D96" s="27">
        <v>9.25</v>
      </c>
      <c r="E96" s="27">
        <v>61.81</v>
      </c>
      <c r="F96" s="27">
        <v>33.159999999999997</v>
      </c>
      <c r="G96" s="27">
        <v>16.14</v>
      </c>
      <c r="H96" s="27">
        <v>11.41</v>
      </c>
      <c r="I96" s="27">
        <v>155.87</v>
      </c>
    </row>
    <row r="97" spans="1:9" x14ac:dyDescent="0.25">
      <c r="A97" s="17" t="s">
        <v>107</v>
      </c>
      <c r="B97" s="30">
        <v>10.3</v>
      </c>
      <c r="C97" s="30">
        <v>13.8</v>
      </c>
      <c r="D97" s="30">
        <v>9.25</v>
      </c>
      <c r="E97" s="30">
        <v>61.81</v>
      </c>
      <c r="F97" s="30">
        <v>33.159999999999997</v>
      </c>
      <c r="G97" s="30">
        <v>16.14</v>
      </c>
      <c r="H97" s="30">
        <v>11.41</v>
      </c>
      <c r="I97" s="30">
        <v>155.87</v>
      </c>
    </row>
    <row r="98" spans="1:9" x14ac:dyDescent="0.25">
      <c r="A98" s="17" t="s">
        <v>108</v>
      </c>
    </row>
    <row r="99" spans="1:9" x14ac:dyDescent="0.25">
      <c r="A99" s="26" t="s">
        <v>197</v>
      </c>
      <c r="B99" s="27">
        <v>288.7</v>
      </c>
      <c r="C99" s="27">
        <v>144.53</v>
      </c>
      <c r="E99" s="27">
        <v>150</v>
      </c>
      <c r="F99" s="27">
        <v>117.69</v>
      </c>
      <c r="G99" s="27">
        <v>110.11</v>
      </c>
      <c r="I99" s="27">
        <v>811.03</v>
      </c>
    </row>
    <row r="100" spans="1:9" x14ac:dyDescent="0.25">
      <c r="A100" s="26" t="s">
        <v>198</v>
      </c>
      <c r="D100" s="27">
        <v>5036</v>
      </c>
      <c r="E100" s="27">
        <v>-4864</v>
      </c>
      <c r="G100" s="27">
        <v>1000</v>
      </c>
      <c r="I100" s="27">
        <v>1172</v>
      </c>
    </row>
    <row r="101" spans="1:9" x14ac:dyDescent="0.25">
      <c r="A101" s="17" t="s">
        <v>113</v>
      </c>
      <c r="B101" s="30">
        <v>288.7</v>
      </c>
      <c r="C101" s="30">
        <v>144.53</v>
      </c>
      <c r="D101" s="30">
        <v>5036</v>
      </c>
      <c r="E101" s="30">
        <v>-4714</v>
      </c>
      <c r="F101" s="30">
        <v>117.69</v>
      </c>
      <c r="G101" s="30">
        <v>1110.1099999999999</v>
      </c>
      <c r="H101" s="30">
        <v>0</v>
      </c>
      <c r="I101" s="30">
        <v>1983.03</v>
      </c>
    </row>
    <row r="102" spans="1:9" x14ac:dyDescent="0.25">
      <c r="A102" s="17" t="s">
        <v>114</v>
      </c>
      <c r="B102" s="30">
        <v>-278.39999999999998</v>
      </c>
      <c r="C102" s="30">
        <v>-130.72999999999999</v>
      </c>
      <c r="D102" s="30">
        <v>-5026.75</v>
      </c>
      <c r="E102" s="30">
        <v>4775.8100000000004</v>
      </c>
      <c r="F102" s="30">
        <v>-84.53</v>
      </c>
      <c r="G102" s="30">
        <v>-1093.97</v>
      </c>
      <c r="H102" s="30">
        <v>11.41</v>
      </c>
      <c r="I102" s="30">
        <v>-1827.16</v>
      </c>
    </row>
    <row r="103" spans="1:9" x14ac:dyDescent="0.25">
      <c r="A103" s="17" t="s">
        <v>115</v>
      </c>
      <c r="B103" s="30">
        <v>31645.77</v>
      </c>
      <c r="C103" s="30">
        <v>70339.95</v>
      </c>
      <c r="D103" s="30">
        <v>-13787.13</v>
      </c>
      <c r="E103" s="30">
        <v>-4524.4900000000298</v>
      </c>
      <c r="F103" s="30">
        <v>-174.719999999988</v>
      </c>
      <c r="G103" s="30">
        <v>8836.9600000000191</v>
      </c>
      <c r="H103" s="30">
        <v>-16192.84</v>
      </c>
      <c r="I103" s="30">
        <v>76143.5</v>
      </c>
    </row>
    <row r="107" spans="1:9" x14ac:dyDescent="0.25">
      <c r="A107" s="14" t="s">
        <v>254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Cover</vt:lpstr>
      <vt:lpstr>P&amp;L Overview</vt:lpstr>
      <vt:lpstr>P&amp;L Forecast</vt:lpstr>
      <vt:lpstr>Combined P&amp;L</vt:lpstr>
      <vt:lpstr>Revenue Analysis</vt:lpstr>
      <vt:lpstr>Revenue Charts</vt:lpstr>
      <vt:lpstr>Raw Data --&gt;</vt:lpstr>
      <vt:lpstr>Raw - 2024 PL</vt:lpstr>
      <vt:lpstr>Raw - 2025 PL</vt:lpstr>
      <vt:lpstr>Raw - 2026 PL</vt:lpstr>
      <vt:lpstr>Cover!Print_Area</vt:lpstr>
      <vt:lpstr>'Revenue Analysis'!Print_Area</vt:lpstr>
      <vt:lpstr>'Combined P&amp;L'!Print_Titles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2026-09-02T00:55:39Z</cp:lastPrinted>
  <dcterms:created xsi:type="dcterms:W3CDTF">2015-06-05T18:17:20Z</dcterms:created>
  <dcterms:modified xsi:type="dcterms:W3CDTF">2026-09-02T20:58:57Z</dcterms:modified>
</cp:coreProperties>
</file>