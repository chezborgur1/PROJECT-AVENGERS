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EE5C7BD4-2801-42E4-B363-1A1DB62AC1C8}" xr6:coauthVersionLast="47" xr6:coauthVersionMax="47" xr10:uidLastSave="{00000000-0000-0000-0000-000000000000}"/>
  <bookViews>
    <workbookView xWindow="-120" yWindow="-120" windowWidth="51840" windowHeight="21840" xr2:uid="{00000000-000D-0000-FFFF-FFFF00000000}"/>
  </bookViews>
  <sheets>
    <sheet name="Cover" sheetId="1" r:id="rId1"/>
    <sheet name="P&amp;L Overview" sheetId="8" r:id="rId2"/>
    <sheet name="P&amp;L Forecast" sheetId="11" r:id="rId3"/>
    <sheet name="Revenue Analysis" sheetId="9" r:id="rId4"/>
    <sheet name="Revenue Charts" sheetId="10" r:id="rId5"/>
    <sheet name="Expense Charts" sheetId="16" r:id="rId6"/>
    <sheet name="Raw Data --&gt;" sheetId="6" r:id="rId7"/>
    <sheet name="Customer List" sheetId="15" r:id="rId8"/>
    <sheet name="Software" sheetId="12" r:id="rId9"/>
    <sheet name="Combined P&amp;L" sheetId="2" r:id="rId10"/>
    <sheet name="Raw - 2024 PL" sheetId="3" r:id="rId11"/>
    <sheet name="Raw - 2025 PL" sheetId="4" r:id="rId12"/>
    <sheet name="Raw - 2026 PL" sheetId="5" r:id="rId13"/>
  </sheets>
  <definedNames>
    <definedName name="_xlnm._FilterDatabase" localSheetId="8">Software!A5:H67</definedName>
    <definedName name="_xlnm.Print_Area" localSheetId="0">Cover!$B$2:$Q$39</definedName>
    <definedName name="_xlnm.Print_Area" localSheetId="5">'Expense Charts'!$B$2:$L$84</definedName>
    <definedName name="_xlnm.Print_Area" localSheetId="1">'P&amp;L Overview'!$B$2:$N$69</definedName>
    <definedName name="_xlnm.Print_Area" localSheetId="3">'Revenue Analysis'!$B$2:$R$46</definedName>
    <definedName name="_xlnm.Print_Area" localSheetId="4">'Revenue Charts'!$B$2:$L$44</definedName>
    <definedName name="_xlnm.Print_Titles" localSheetId="9">'Combined P&amp;L'!$5:$5</definedName>
    <definedName name="_xlnm.Print_Titles" localSheetId="5">'Expense Charts'!$2:$4</definedName>
  </definedNames>
  <calcPr calcId="191029" iterate="1" iterateCount="1000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9" l="1"/>
  <c r="G39" i="9"/>
  <c r="G40" i="9"/>
  <c r="G41" i="9"/>
  <c r="G42" i="9"/>
  <c r="G43" i="9"/>
  <c r="G44" i="9"/>
  <c r="G45" i="9"/>
  <c r="G38" i="9"/>
  <c r="G6" i="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8" i="8"/>
  <c r="B58" i="8"/>
  <c r="K51" i="8"/>
  <c r="J51" i="8"/>
  <c r="I51" i="8"/>
  <c r="G51" i="8"/>
  <c r="F51" i="8"/>
  <c r="D51" i="8"/>
  <c r="C51" i="8"/>
  <c r="B37" i="8"/>
  <c r="B38" i="8"/>
  <c r="B39" i="8"/>
  <c r="B40" i="8"/>
  <c r="B41" i="8"/>
  <c r="B42" i="8"/>
  <c r="B43" i="8"/>
  <c r="B36" i="8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B162" i="11"/>
  <c r="B161" i="11"/>
  <c r="B1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2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T100" i="11" s="1"/>
  <c r="AQ83" i="2"/>
  <c r="AS49" i="11" s="1"/>
  <c r="AS100" i="11" s="1"/>
  <c r="AP83" i="2"/>
  <c r="AR49" i="11" s="1"/>
  <c r="AR100" i="11" s="1"/>
  <c r="AO83" i="2"/>
  <c r="AQ49" i="11" s="1"/>
  <c r="AQ100" i="11" s="1"/>
  <c r="AN83" i="2"/>
  <c r="AP49" i="11" s="1"/>
  <c r="AP100" i="11" s="1"/>
  <c r="AM83" i="2"/>
  <c r="AO49" i="11" s="1"/>
  <c r="AO100" i="11" s="1"/>
  <c r="AL83" i="2"/>
  <c r="AN49" i="11" s="1"/>
  <c r="AN100" i="11" s="1"/>
  <c r="AK83" i="2"/>
  <c r="AM49" i="11" s="1"/>
  <c r="AM100" i="11" s="1"/>
  <c r="AJ83" i="2"/>
  <c r="AL49" i="11" s="1"/>
  <c r="AL100" i="11" s="1"/>
  <c r="AI83" i="2"/>
  <c r="AK49" i="11" s="1"/>
  <c r="AK100" i="11" s="1"/>
  <c r="AH83" i="2"/>
  <c r="AJ49" i="11" s="1"/>
  <c r="AJ100" i="11" s="1"/>
  <c r="AG83" i="2"/>
  <c r="AI49" i="11" s="1"/>
  <c r="AI100" i="11" s="1"/>
  <c r="AF83" i="2"/>
  <c r="AH49" i="11" s="1"/>
  <c r="AH100" i="11" s="1"/>
  <c r="AE83" i="2"/>
  <c r="AG49" i="11" s="1"/>
  <c r="AG100" i="11" s="1"/>
  <c r="AD83" i="2"/>
  <c r="AF49" i="11" s="1"/>
  <c r="AF100" i="11" s="1"/>
  <c r="AC83" i="2"/>
  <c r="AE49" i="11" s="1"/>
  <c r="AE100" i="11" s="1"/>
  <c r="AB83" i="2"/>
  <c r="AD49" i="11" s="1"/>
  <c r="AD100" i="11" s="1"/>
  <c r="AA83" i="2"/>
  <c r="AC49" i="11" s="1"/>
  <c r="AC100" i="11" s="1"/>
  <c r="Z83" i="2"/>
  <c r="AB49" i="11" s="1"/>
  <c r="AB100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AQ68" i="2"/>
  <c r="AS51" i="11" s="1"/>
  <c r="AP68" i="2"/>
  <c r="AR51" i="11" s="1"/>
  <c r="AO68" i="2"/>
  <c r="AQ51" i="11" s="1"/>
  <c r="AN68" i="2"/>
  <c r="AP51" i="11" s="1"/>
  <c r="AM68" i="2"/>
  <c r="AO51" i="11" s="1"/>
  <c r="AL68" i="2"/>
  <c r="AN51" i="11" s="1"/>
  <c r="AK68" i="2"/>
  <c r="AM51" i="11" s="1"/>
  <c r="AJ68" i="2"/>
  <c r="AL51" i="11" s="1"/>
  <c r="AI68" i="2"/>
  <c r="AK51" i="11" s="1"/>
  <c r="AH68" i="2"/>
  <c r="AJ51" i="11" s="1"/>
  <c r="AG68" i="2"/>
  <c r="AI51" i="11" s="1"/>
  <c r="AF68" i="2"/>
  <c r="AH51" i="11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W107" i="16" s="1"/>
  <c r="AG44" i="2"/>
  <c r="AI38" i="11" s="1"/>
  <c r="AF44" i="2"/>
  <c r="AH38" i="11" s="1"/>
  <c r="AE44" i="2"/>
  <c r="AG38" i="11" s="1"/>
  <c r="AD44" i="2"/>
  <c r="AF38" i="11" s="1"/>
  <c r="S107" i="16" s="1"/>
  <c r="AC44" i="2"/>
  <c r="AE38" i="11" s="1"/>
  <c r="R107" i="16" s="1"/>
  <c r="AB44" i="2"/>
  <c r="AD38" i="11" s="1"/>
  <c r="Q107" i="16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G107" i="16" s="1"/>
  <c r="Q44" i="2"/>
  <c r="S38" i="11" s="1"/>
  <c r="P44" i="2"/>
  <c r="R38" i="11" s="1"/>
  <c r="O44" i="2"/>
  <c r="Q38" i="11" s="1"/>
  <c r="N44" i="2"/>
  <c r="P38" i="11" s="1"/>
  <c r="C107" i="16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AQ32" i="2"/>
  <c r="AS50" i="11" s="1"/>
  <c r="AP32" i="2"/>
  <c r="AR50" i="11" s="1"/>
  <c r="AO32" i="2"/>
  <c r="AQ50" i="11" s="1"/>
  <c r="AN32" i="2"/>
  <c r="AP50" i="11" s="1"/>
  <c r="AM32" i="2"/>
  <c r="AO50" i="11" s="1"/>
  <c r="AL32" i="2"/>
  <c r="AN50" i="11" s="1"/>
  <c r="AK32" i="2"/>
  <c r="AM50" i="11" s="1"/>
  <c r="AJ32" i="2"/>
  <c r="AL50" i="11" s="1"/>
  <c r="AI32" i="2"/>
  <c r="AK50" i="11" s="1"/>
  <c r="AH32" i="2"/>
  <c r="AJ50" i="11" s="1"/>
  <c r="AG32" i="2"/>
  <c r="AI50" i="11" s="1"/>
  <c r="AF32" i="2"/>
  <c r="AH50" i="11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3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8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C10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6" i="11" s="1"/>
  <c r="AQ19" i="2"/>
  <c r="AF55" i="10" s="1"/>
  <c r="AP19" i="2"/>
  <c r="AR10" i="11" s="1"/>
  <c r="AR96" i="11" s="1"/>
  <c r="AO19" i="2"/>
  <c r="AQ10" i="11" s="1"/>
  <c r="AQ96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6" i="11" s="1"/>
  <c r="AI19" i="2"/>
  <c r="X55" i="10" s="1"/>
  <c r="AH19" i="2"/>
  <c r="AJ10" i="11" s="1"/>
  <c r="AJ96" i="11" s="1"/>
  <c r="AG19" i="2"/>
  <c r="AI10" i="11" s="1"/>
  <c r="AI96" i="11" s="1"/>
  <c r="AF19" i="2"/>
  <c r="U55" i="10" s="1"/>
  <c r="AE19" i="2"/>
  <c r="AG10" i="11" s="1"/>
  <c r="AG96" i="11" s="1"/>
  <c r="AD19" i="2"/>
  <c r="AF10" i="11" s="1"/>
  <c r="AF96" i="11" s="1"/>
  <c r="AC19" i="2"/>
  <c r="R55" i="10" s="1"/>
  <c r="AB19" i="2"/>
  <c r="AD10" i="11" s="1"/>
  <c r="AD96" i="11" s="1"/>
  <c r="AA19" i="2"/>
  <c r="P55" i="10" s="1"/>
  <c r="Z19" i="2"/>
  <c r="O55" i="10" s="1"/>
  <c r="Y19" i="2"/>
  <c r="AA10" i="11" s="1"/>
  <c r="AA96" i="11" s="1"/>
  <c r="X19" i="2"/>
  <c r="M55" i="10" s="1"/>
  <c r="W19" i="2"/>
  <c r="Y10" i="11" s="1"/>
  <c r="Y96" i="11" s="1"/>
  <c r="V19" i="2"/>
  <c r="K55" i="10" s="1"/>
  <c r="U19" i="2"/>
  <c r="J55" i="10" s="1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E55" i="10" s="1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F107" i="16" l="1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M51" i="8"/>
  <c r="N51" i="8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T46" i="11"/>
  <c r="AE61" i="11"/>
  <c r="AK35" i="11"/>
  <c r="Z61" i="11"/>
  <c r="Z62" i="11" s="1"/>
  <c r="AE46" i="11"/>
  <c r="AF61" i="11"/>
  <c r="AL35" i="11"/>
  <c r="W35" i="11"/>
  <c r="AA61" i="1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AA62" i="11" l="1"/>
  <c r="T62" i="11"/>
  <c r="AD62" i="11"/>
  <c r="AG57" i="10"/>
  <c r="AH56" i="10" s="1"/>
  <c r="AI52" i="10"/>
  <c r="X62" i="11"/>
  <c r="L42" i="9"/>
  <c r="AG101" i="11"/>
  <c r="O107" i="16"/>
  <c r="X101" i="11"/>
  <c r="AL101" i="11"/>
  <c r="AH101" i="11"/>
  <c r="K20" i="8"/>
  <c r="AQ62" i="11"/>
  <c r="K34" i="8"/>
  <c r="K21" i="8"/>
  <c r="N43" i="9"/>
  <c r="K26" i="8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AF62" i="11"/>
  <c r="AB62" i="11"/>
  <c r="U79" i="2"/>
  <c r="AK79" i="2"/>
  <c r="AA100" i="2"/>
  <c r="AB42" i="11"/>
  <c r="Q40" i="9"/>
  <c r="H43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V108" i="16" s="1"/>
  <c r="T15" i="11"/>
  <c r="G108" i="16" s="1"/>
  <c r="L40" i="9"/>
  <c r="AD15" i="11"/>
  <c r="Y15" i="11"/>
  <c r="L108" i="16" s="1"/>
  <c r="P41" i="9"/>
  <c r="R15" i="11"/>
  <c r="E108" i="16" s="1"/>
  <c r="C111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U108" i="16" s="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0" i="11"/>
  <c r="C123" i="11" s="1"/>
  <c r="AJ15" i="11"/>
  <c r="W108" i="16" s="1"/>
  <c r="K33" i="1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AH51" i="10" l="1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R29" i="9" s="1"/>
  <c r="I16" i="9"/>
  <c r="I35" i="9" s="1"/>
  <c r="K97" i="11"/>
  <c r="K62" i="8" s="1"/>
  <c r="K22" i="8"/>
  <c r="E14" i="9"/>
  <c r="K14" i="8"/>
  <c r="K98" i="11"/>
  <c r="K63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H2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P46" i="9"/>
  <c r="P32" i="9"/>
  <c r="P33" i="9"/>
  <c r="P31" i="9"/>
  <c r="P28" i="9"/>
  <c r="P34" i="9"/>
  <c r="P25" i="9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F122" i="2" l="1"/>
  <c r="R28" i="9"/>
  <c r="J46" i="9"/>
  <c r="I31" i="9"/>
  <c r="R35" i="9"/>
  <c r="I46" i="9"/>
  <c r="I32" i="9"/>
  <c r="I29" i="9"/>
  <c r="I28" i="9"/>
  <c r="I25" i="9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1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5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P75" i="11" l="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E31" i="9" s="1"/>
  <c r="K24" i="11"/>
  <c r="K16" i="8" s="1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AG78" i="11" l="1"/>
  <c r="F126" i="2"/>
  <c r="D162" i="2" s="1"/>
  <c r="AI78" i="11"/>
  <c r="H114" i="2"/>
  <c r="AB67" i="11"/>
  <c r="AJ79" i="11"/>
  <c r="AN78" i="11"/>
  <c r="K15" i="8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AF78" i="11" l="1"/>
  <c r="Z79" i="11"/>
  <c r="Q79" i="11"/>
  <c r="AF79" i="11"/>
  <c r="S78" i="11"/>
  <c r="AT79" i="11"/>
  <c r="S79" i="11"/>
  <c r="AO79" i="11"/>
  <c r="AH78" i="11"/>
  <c r="AL79" i="11"/>
  <c r="AB78" i="11"/>
  <c r="AD79" i="11"/>
  <c r="AB79" i="11"/>
  <c r="AQ78" i="11"/>
  <c r="AE78" i="11"/>
  <c r="AL78" i="11"/>
  <c r="AD78" i="11"/>
  <c r="AE79" i="11"/>
  <c r="AT78" i="11"/>
  <c r="V79" i="11"/>
  <c r="Y78" i="11"/>
  <c r="AM78" i="11"/>
  <c r="AR78" i="11"/>
  <c r="AM79" i="11"/>
  <c r="AH79" i="11"/>
  <c r="AR79" i="11"/>
  <c r="AK78" i="11"/>
  <c r="AA78" i="11"/>
  <c r="W78" i="11"/>
  <c r="R79" i="11"/>
  <c r="P79" i="11"/>
  <c r="AJ78" i="11"/>
  <c r="AJ80" i="11" s="1"/>
  <c r="AJ81" i="11" s="1"/>
  <c r="AN79" i="11"/>
  <c r="AN80" i="11" s="1"/>
  <c r="AN81" i="11" s="1"/>
  <c r="AG79" i="11"/>
  <c r="Y79" i="11"/>
  <c r="AO78" i="11"/>
  <c r="X78" i="11"/>
  <c r="AS78" i="11"/>
  <c r="U78" i="11"/>
  <c r="AA79" i="11"/>
  <c r="Z78" i="11"/>
  <c r="Z80" i="11" s="1"/>
  <c r="Z81" i="11" s="1"/>
  <c r="T78" i="11"/>
  <c r="AG80" i="11"/>
  <c r="AG81" i="11" s="1"/>
  <c r="AI79" i="11"/>
  <c r="AI80" i="11" s="1"/>
  <c r="AI81" i="11" s="1"/>
  <c r="AC79" i="11"/>
  <c r="P78" i="11"/>
  <c r="T79" i="11"/>
  <c r="V78" i="11"/>
  <c r="W79" i="11"/>
  <c r="R78" i="11"/>
  <c r="AP78" i="11"/>
  <c r="X79" i="11"/>
  <c r="AS79" i="11"/>
  <c r="Q78" i="11"/>
  <c r="Q80" i="11" s="1"/>
  <c r="Q81" i="11" s="1"/>
  <c r="AC78" i="11"/>
  <c r="AK79" i="11"/>
  <c r="AQ79" i="11"/>
  <c r="U79" i="11"/>
  <c r="AP79" i="11"/>
  <c r="X5" i="11"/>
  <c r="D166" i="2"/>
  <c r="W80" i="11" l="1"/>
  <c r="W81" i="11" s="1"/>
  <c r="AA80" i="11"/>
  <c r="AA81" i="11" s="1"/>
  <c r="AK80" i="11"/>
  <c r="AK81" i="11" s="1"/>
  <c r="AS80" i="11"/>
  <c r="AS81" i="11" s="1"/>
  <c r="AQ80" i="11"/>
  <c r="AQ81" i="11" s="1"/>
  <c r="P80" i="11"/>
  <c r="P81" i="11" s="1"/>
  <c r="V80" i="11"/>
  <c r="V81" i="11" s="1"/>
  <c r="T80" i="11"/>
  <c r="T81" i="11" s="1"/>
  <c r="X80" i="11"/>
  <c r="X81" i="11" s="1"/>
  <c r="AT80" i="11"/>
  <c r="AT81" i="11" s="1"/>
  <c r="AB80" i="11"/>
  <c r="AB81" i="11" s="1"/>
  <c r="AH80" i="11"/>
  <c r="AH81" i="11" s="1"/>
  <c r="U80" i="11"/>
  <c r="U81" i="11" s="1"/>
  <c r="AM80" i="11"/>
  <c r="AM81" i="11" s="1"/>
  <c r="Y80" i="11"/>
  <c r="Y81" i="11" s="1"/>
  <c r="AO80" i="11"/>
  <c r="AO81" i="11" s="1"/>
  <c r="AP80" i="11"/>
  <c r="AP81" i="11" s="1"/>
  <c r="S80" i="11"/>
  <c r="S81" i="11" s="1"/>
  <c r="AR80" i="11"/>
  <c r="AR81" i="11" s="1"/>
  <c r="AC80" i="11"/>
  <c r="AC81" i="11" s="1"/>
  <c r="AD80" i="11"/>
  <c r="AD81" i="11" s="1"/>
  <c r="R80" i="11"/>
  <c r="R81" i="11" s="1"/>
  <c r="AL80" i="11"/>
  <c r="AL81" i="11" s="1"/>
  <c r="AE80" i="11"/>
  <c r="AE81" i="11" s="1"/>
  <c r="AF80" i="11"/>
  <c r="AF81" i="11" s="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3" i="8" s="1"/>
  <c r="G79" i="11"/>
  <c r="G53" i="8" s="1"/>
  <c r="D79" i="11"/>
  <c r="C78" i="11"/>
  <c r="F79" i="11"/>
  <c r="F78" i="11"/>
  <c r="D78" i="11"/>
  <c r="D49" i="11"/>
  <c r="G49" i="11"/>
  <c r="F49" i="11"/>
  <c r="J49" i="11"/>
  <c r="J41" i="8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4" i="8" s="1"/>
  <c r="J52" i="11"/>
  <c r="F52" i="11"/>
  <c r="F71" i="11" s="1"/>
  <c r="F54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G48" i="11"/>
  <c r="G40" i="8" s="1"/>
  <c r="J48" i="11"/>
  <c r="J40" i="8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4" i="8" s="1"/>
  <c r="I37" i="8"/>
  <c r="F100" i="11"/>
  <c r="F65" i="8" s="1"/>
  <c r="F41" i="8"/>
  <c r="D36" i="8"/>
  <c r="F99" i="11"/>
  <c r="F64" i="8" s="1"/>
  <c r="F37" i="8"/>
  <c r="G100" i="11"/>
  <c r="G65" i="8" s="1"/>
  <c r="G41" i="8"/>
  <c r="C148" i="11"/>
  <c r="K47" i="11" s="1"/>
  <c r="J39" i="8"/>
  <c r="D100" i="11"/>
  <c r="D65" i="8" s="1"/>
  <c r="D41" i="8"/>
  <c r="J36" i="8"/>
  <c r="G99" i="11"/>
  <c r="G64" i="8" s="1"/>
  <c r="G37" i="8"/>
  <c r="F53" i="8"/>
  <c r="J99" i="11"/>
  <c r="J64" i="8" s="1"/>
  <c r="J37" i="8"/>
  <c r="C54" i="8"/>
  <c r="D99" i="11"/>
  <c r="D64" i="8" s="1"/>
  <c r="D37" i="8"/>
  <c r="I54" i="8"/>
  <c r="C152" i="11"/>
  <c r="K51" i="11" s="1"/>
  <c r="N51" i="11" s="1"/>
  <c r="J43" i="8"/>
  <c r="D53" i="8"/>
  <c r="F36" i="8"/>
  <c r="C99" i="11"/>
  <c r="C64" i="8" s="1"/>
  <c r="C37" i="8"/>
  <c r="D54" i="8"/>
  <c r="I36" i="8"/>
  <c r="C53" i="8"/>
  <c r="M50" i="11"/>
  <c r="J42" i="8"/>
  <c r="C167" i="11"/>
  <c r="AE86" i="11" s="1"/>
  <c r="AE90" i="11" s="1"/>
  <c r="AE92" i="11" s="1"/>
  <c r="C36" i="8"/>
  <c r="C100" i="11"/>
  <c r="C65" i="8" s="1"/>
  <c r="C41" i="8"/>
  <c r="I100" i="11"/>
  <c r="I65" i="8" s="1"/>
  <c r="I41" i="8"/>
  <c r="I53" i="8"/>
  <c r="D34" i="8"/>
  <c r="I34" i="8"/>
  <c r="C34" i="8"/>
  <c r="D9" i="9"/>
  <c r="J9" i="8"/>
  <c r="C8" i="9"/>
  <c r="I8" i="8"/>
  <c r="C97" i="11"/>
  <c r="C62" i="8" s="1"/>
  <c r="C22" i="8"/>
  <c r="I98" i="11"/>
  <c r="I63" i="8" s="1"/>
  <c r="I24" i="8"/>
  <c r="M59" i="11"/>
  <c r="C10" i="9"/>
  <c r="I10" i="8"/>
  <c r="F97" i="11"/>
  <c r="F62" i="8" s="1"/>
  <c r="F22" i="8"/>
  <c r="J33" i="8"/>
  <c r="M41" i="11"/>
  <c r="J97" i="11"/>
  <c r="J22" i="8"/>
  <c r="M30" i="11"/>
  <c r="D12" i="9"/>
  <c r="J12" i="8"/>
  <c r="D98" i="11"/>
  <c r="D63" i="8" s="1"/>
  <c r="D24" i="8"/>
  <c r="J98" i="11"/>
  <c r="J24" i="8"/>
  <c r="M32" i="11"/>
  <c r="C9" i="9"/>
  <c r="I9" i="8"/>
  <c r="I84" i="11"/>
  <c r="I23" i="8"/>
  <c r="F96" i="11"/>
  <c r="F61" i="8" s="1"/>
  <c r="F11" i="8"/>
  <c r="J26" i="8"/>
  <c r="M34" i="11"/>
  <c r="G97" i="11"/>
  <c r="G62" i="8" s="1"/>
  <c r="G22" i="8"/>
  <c r="D84" i="11"/>
  <c r="D55" i="8" s="1"/>
  <c r="D23" i="8"/>
  <c r="J20" i="8"/>
  <c r="M28" i="11"/>
  <c r="C84" i="11"/>
  <c r="C55" i="8" s="1"/>
  <c r="C23" i="8"/>
  <c r="G84" i="11"/>
  <c r="G55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1" i="8" s="1"/>
  <c r="G11" i="8"/>
  <c r="G98" i="11"/>
  <c r="G63" i="8" s="1"/>
  <c r="G24" i="8"/>
  <c r="C14" i="9"/>
  <c r="I14" i="8"/>
  <c r="C98" i="11"/>
  <c r="C63" i="8" s="1"/>
  <c r="C24" i="8"/>
  <c r="F98" i="11"/>
  <c r="F63" i="8" s="1"/>
  <c r="F24" i="8"/>
  <c r="C96" i="11"/>
  <c r="C61" i="8" s="1"/>
  <c r="C11" i="8"/>
  <c r="N11" i="8"/>
  <c r="M11" i="8"/>
  <c r="I97" i="11"/>
  <c r="I62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2" i="8" s="1"/>
  <c r="D22" i="8"/>
  <c r="J30" i="8"/>
  <c r="M38" i="11"/>
  <c r="I96" i="11"/>
  <c r="I61" i="8" s="1"/>
  <c r="C11" i="9"/>
  <c r="J96" i="11"/>
  <c r="J61" i="8" s="1"/>
  <c r="D11" i="9"/>
  <c r="G86" i="11"/>
  <c r="G52" i="8" s="1"/>
  <c r="G56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J100" i="11"/>
  <c r="J65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4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J15" i="11"/>
  <c r="N15" i="11" s="1"/>
  <c r="D15" i="11"/>
  <c r="I15" i="11"/>
  <c r="F15" i="11"/>
  <c r="C15" i="11"/>
  <c r="G15" i="11"/>
  <c r="F66" i="8" l="1"/>
  <c r="J86" i="11"/>
  <c r="J52" i="8" s="1"/>
  <c r="F86" i="11"/>
  <c r="F52" i="8" s="1"/>
  <c r="D28" i="8"/>
  <c r="C28" i="8"/>
  <c r="AO86" i="11"/>
  <c r="AO90" i="11" s="1"/>
  <c r="AO92" i="11" s="1"/>
  <c r="AO103" i="11" s="1"/>
  <c r="AO104" i="11" s="1"/>
  <c r="W86" i="11"/>
  <c r="W90" i="11" s="1"/>
  <c r="W92" i="11" s="1"/>
  <c r="V86" i="11"/>
  <c r="V90" i="11" s="1"/>
  <c r="V92" i="11" s="1"/>
  <c r="AM86" i="11"/>
  <c r="AM90" i="11" s="1"/>
  <c r="AM92" i="11" s="1"/>
  <c r="AM93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D103" i="11" s="1"/>
  <c r="AD104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6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2" i="8"/>
  <c r="J90" i="11"/>
  <c r="J55" i="8"/>
  <c r="G66" i="8"/>
  <c r="I55" i="8"/>
  <c r="M47" i="11"/>
  <c r="K39" i="8"/>
  <c r="M61" i="8"/>
  <c r="N61" i="8"/>
  <c r="M51" i="11"/>
  <c r="K43" i="8"/>
  <c r="F90" i="11"/>
  <c r="F55" i="8"/>
  <c r="F56" i="8" s="1"/>
  <c r="C66" i="8"/>
  <c r="D101" i="11"/>
  <c r="D61" i="8"/>
  <c r="D66" i="8" s="1"/>
  <c r="M98" i="11"/>
  <c r="J63" i="8"/>
  <c r="I44" i="8"/>
  <c r="D86" i="11"/>
  <c r="D52" i="8" s="1"/>
  <c r="D56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2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E103" i="11"/>
  <c r="AE104" i="11" s="1"/>
  <c r="AE93" i="11"/>
  <c r="AG103" i="11"/>
  <c r="AG104" i="11" s="1"/>
  <c r="AG93" i="11"/>
  <c r="AL103" i="11"/>
  <c r="AL104" i="11" s="1"/>
  <c r="AL93" i="11"/>
  <c r="Q103" i="11"/>
  <c r="Q104" i="11" s="1"/>
  <c r="Q93" i="11"/>
  <c r="N31" i="11"/>
  <c r="N49" i="11"/>
  <c r="K46" i="11"/>
  <c r="K38" i="8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J56" i="8" l="1"/>
  <c r="AO93" i="11"/>
  <c r="AM103" i="11"/>
  <c r="AM104" i="11" s="1"/>
  <c r="AD93" i="11"/>
  <c r="AC93" i="11"/>
  <c r="AQ93" i="1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6" i="8"/>
  <c r="P93" i="11"/>
  <c r="Z103" i="11"/>
  <c r="Z104" i="11" s="1"/>
  <c r="AJ93" i="11"/>
  <c r="AB93" i="11"/>
  <c r="R93" i="11"/>
  <c r="I56" i="8"/>
  <c r="K53" i="8"/>
  <c r="N53" i="8" s="1"/>
  <c r="AR103" i="11"/>
  <c r="AR104" i="11" s="1"/>
  <c r="M86" i="11"/>
  <c r="K52" i="8"/>
  <c r="I90" i="11"/>
  <c r="N63" i="8"/>
  <c r="M63" i="8"/>
  <c r="M84" i="11"/>
  <c r="K55" i="8"/>
  <c r="M39" i="8"/>
  <c r="N39" i="8"/>
  <c r="U103" i="11"/>
  <c r="U104" i="11" s="1"/>
  <c r="M45" i="11"/>
  <c r="K37" i="8"/>
  <c r="X93" i="11"/>
  <c r="M62" i="8"/>
  <c r="N62" i="8"/>
  <c r="N38" i="8"/>
  <c r="M38" i="8"/>
  <c r="Y93" i="11"/>
  <c r="M71" i="11"/>
  <c r="K54" i="8"/>
  <c r="N43" i="8"/>
  <c r="M43" i="8"/>
  <c r="AF93" i="11"/>
  <c r="M100" i="11"/>
  <c r="K65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P20" i="8" l="1"/>
  <c r="P21" i="8"/>
  <c r="P22" i="8"/>
  <c r="P24" i="8"/>
  <c r="P25" i="8"/>
  <c r="P26" i="8"/>
  <c r="P27" i="8"/>
  <c r="P19" i="8"/>
  <c r="P23" i="8"/>
  <c r="M90" i="11"/>
  <c r="M53" i="8"/>
  <c r="N65" i="8"/>
  <c r="M65" i="8"/>
  <c r="M55" i="8"/>
  <c r="N55" i="8"/>
  <c r="M99" i="11"/>
  <c r="M101" i="11" s="1"/>
  <c r="K64" i="8"/>
  <c r="N54" i="8"/>
  <c r="M54" i="8"/>
  <c r="K56" i="8"/>
  <c r="N56" i="8" s="1"/>
  <c r="M52" i="8"/>
  <c r="N52" i="8"/>
  <c r="K44" i="8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8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M56" i="8" l="1"/>
  <c r="F93" i="11"/>
  <c r="G93" i="11"/>
  <c r="J59" i="8"/>
  <c r="J68" i="8"/>
  <c r="J69" i="8" s="1"/>
  <c r="N44" i="8"/>
  <c r="M44" i="8"/>
  <c r="M45" i="8" s="1"/>
  <c r="J75" i="11"/>
  <c r="N64" i="8"/>
  <c r="M64" i="8"/>
  <c r="M66" i="8" s="1"/>
  <c r="K66" i="8"/>
  <c r="C75" i="11"/>
  <c r="G48" i="8"/>
  <c r="G58" i="8"/>
  <c r="F48" i="8"/>
  <c r="F58" i="8"/>
  <c r="K48" i="8"/>
  <c r="K58" i="8"/>
  <c r="N47" i="8"/>
  <c r="I48" i="8"/>
  <c r="I58" i="8"/>
  <c r="D48" i="8"/>
  <c r="D58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8" i="8" l="1"/>
  <c r="N66" i="8"/>
  <c r="D59" i="8"/>
  <c r="D68" i="8"/>
  <c r="D69" i="8" s="1"/>
  <c r="I59" i="8"/>
  <c r="I68" i="8"/>
  <c r="I69" i="8" s="1"/>
  <c r="F59" i="8"/>
  <c r="F68" i="8"/>
  <c r="F69" i="8" s="1"/>
  <c r="G59" i="8"/>
  <c r="G68" i="8"/>
  <c r="G69" i="8" s="1"/>
  <c r="K59" i="8"/>
  <c r="N58" i="8"/>
  <c r="M58" i="8"/>
  <c r="M59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9" i="8" l="1"/>
  <c r="N68" i="8"/>
  <c r="M68" i="8"/>
  <c r="M69" i="8" s="1"/>
  <c r="I103" i="11"/>
  <c r="I104" i="11" s="1"/>
  <c r="I93" i="11"/>
  <c r="N92" i="11"/>
  <c r="K93" i="11"/>
  <c r="C86" i="11" l="1"/>
  <c r="D90" i="11"/>
  <c r="D92" i="11" s="1"/>
  <c r="C90" i="11" l="1"/>
  <c r="C92" i="11" s="1"/>
  <c r="C93" i="11" s="1"/>
  <c r="C52" i="8"/>
  <c r="C56" i="8" s="1"/>
  <c r="C58" i="8" s="1"/>
  <c r="D103" i="11"/>
  <c r="D104" i="11" s="1"/>
  <c r="D93" i="11"/>
  <c r="C103" i="11" l="1"/>
  <c r="C104" i="11" s="1"/>
  <c r="C59" i="8"/>
  <c r="C68" i="8"/>
  <c r="C69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<sst xmlns="http://schemas.openxmlformats.org/spreadsheetml/2006/main" count="8820" uniqueCount="989">
  <si>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</si>
  <si>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</si>
  <si>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</si>
  <si>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</si>
  <si>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</si>
  <si>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</si>
  <si>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</si>
  <si>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</si>
  <si>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</si>
  <si>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</si>
  <si>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</si>
  <si>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</si>
  <si>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</si>
  <si>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</si>
  <si>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</si>
  <si>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</si>
  <si>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</si>
  <si>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</si>
  <si>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</si>
  <si>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</si>
  <si>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</si>
  <si>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</si>
  <si>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</si>
  <si>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</si>
  <si>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</si>
  <si>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</si>
  <si>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</si>
  <si>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</si>
  <si>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</si>
  <si>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</si>
  <si>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</si>
  <si>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</si>
  <si>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</si>
  <si>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</si>
  <si>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</si>
  <si>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</si>
  <si>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</si>
  <si>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</si>
  <si>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</si>
  <si>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</si>
  <si>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</si>
  <si>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</si>
  <si>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</si>
  <si>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</si>
  <si>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</si>
  <si>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</si>
  <si>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</si>
  <si>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</si>
  <si>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</si>
  <si>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</si>
  <si>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</si>
  <si>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</si>
  <si>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</si>
  <si>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</si>
  <si>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</si>
  <si>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</si>
  <si>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</si>
  <si>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</si>
  <si>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</si>
  <si>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</si>
  <si>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</si>
  <si>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</si>
  <si>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</si>
  <si>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</si>
  <si>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</si>
  <si>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</si>
  <si>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</si>
  <si>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</si>
  <si>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</si>
  <si>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</si>
  <si>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</si>
  <si>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</si>
  <si>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</si>
  <si>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</si>
  <si>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</si>
  <si>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</si>
  <si>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</si>
  <si>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</si>
  <si>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</si>
  <si>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</si>
  <si>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</si>
  <si>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</si>
  <si>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</si>
  <si>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</si>
  <si>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</si>
  <si>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</si>
  <si>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</si>
  <si>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</si>
  <si>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</si>
  <si>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</si>
  <si>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</si>
  <si>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</si>
  <si>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</si>
  <si>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</si>
  <si>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</si>
  <si>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</si>
  <si>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</si>
  <si>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</si>
  <si>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</si>
  <si>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</si>
  <si>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</si>
  <si>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</si>
  <si>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</si>
  <si>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</si>
  <si>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</si>
  <si>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</si>
  <si>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</si>
  <si>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</si>
  <si>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</si>
  <si>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</si>
  <si>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</si>
  <si>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</si>
  <si>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</si>
  <si>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</si>
  <si>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</si>
  <si>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</si>
  <si>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</si>
  <si>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</si>
  <si>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</si>
  <si>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</si>
  <si>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</si>
  <si>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</si>
  <si>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</si>
  <si>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</si>
  <si>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</si>
  <si>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</si>
  <si>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</si>
  <si>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</si>
  <si>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</si>
  <si>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</si>
  <si>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</si>
  <si>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</si>
  <si>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</si>
  <si>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</si>
  <si>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</si>
  <si>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</si>
  <si>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</si>
  <si>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</si>
  <si>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</si>
  <si>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</si>
  <si>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</si>
  <si>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</si>
  <si>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</si>
  <si>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</si>
  <si>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</si>
  <si>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</si>
  <si>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</si>
  <si>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</si>
  <si>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</si>
  <si>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</si>
  <si>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</si>
  <si>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</si>
  <si>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</si>
  <si>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</si>
  <si>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</si>
  <si>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</si>
  <si>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</si>
  <si>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</si>
  <si>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</si>
  <si>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</si>
  <si>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</si>
  <si>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</si>
  <si>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</si>
  <si>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</si>
  <si>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</si>
  <si>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</si>
  <si>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</si>
  <si>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</si>
  <si>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</si>
  <si>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</si>
  <si>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</si>
  <si>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</si>
  <si>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</si>
  <si>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</si>
  <si>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</si>
  <si>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</si>
  <si>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</si>
  <si>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</si>
  <si>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</si>
  <si>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</si>
  <si>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</si>
  <si>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</si>
  <si>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</si>
  <si>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</si>
  <si>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</si>
  <si>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</si>
  <si>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</si>
  <si>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</si>
  <si>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</si>
  <si>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</si>
  <si>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</si>
  <si>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</si>
  <si>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</si>
  <si>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</si>
  <si>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</si>
  <si>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</si>
  <si>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</si>
  <si>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</si>
  <si>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</si>
  <si>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</si>
  <si>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</si>
  <si>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</si>
  <si>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</si>
  <si>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</si>
  <si>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</si>
  <si>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</si>
  <si>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</si>
  <si>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</si>
  <si>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</si>
  <si>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</si>
  <si>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</si>
  <si>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</si>
  <si>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</si>
  <si>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</si>
  <si>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</si>
  <si>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</si>
  <si>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</si>
  <si>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</si>
  <si>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</si>
  <si>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</si>
  <si>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</si>
  <si>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</si>
  <si>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</si>
  <si>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</si>
  <si>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</si>
  <si>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</si>
  <si>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</si>
  <si>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</si>
  <si>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</si>
  <si>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</si>
  <si>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</si>
  <si>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</si>
  <si>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</si>
  <si>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</si>
  <si>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</si>
  <si>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</si>
  <si>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</si>
  <si>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</si>
  <si>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</si>
  <si>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</si>
  <si>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</si>
  <si>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</si>
  <si>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</si>
  <si>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</si>
  <si>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</si>
  <si>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</si>
  <si>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</si>
  <si>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</si>
  <si>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</si>
  <si>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</si>
  <si>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</si>
  <si>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</si>
  <si>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</si>
  <si>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</si>
  <si>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</si>
  <si>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</si>
  <si>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</si>
  <si>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</si>
  <si>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</si>
  <si>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</si>
  <si>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</si>
  <si>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</si>
  <si>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</si>
  <si>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</si>
  <si>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</si>
  <si>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</si>
  <si>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</si>
  <si>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</si>
  <si>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</si>
  <si>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</si>
  <si>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</si>
  <si>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</si>
  <si>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</si>
  <si>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</si>
  <si>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</si>
  <si>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</si>
  <si>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</si>
  <si>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</si>
  <si>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</si>
  <si>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</si>
  <si>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</si>
  <si>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</si>
  <si>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</si>
  <si>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</si>
  <si>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</si>
  <si>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</si>
  <si>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</si>
  <si>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</si>
  <si>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</si>
  <si>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</si>
  <si>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</si>
  <si>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</si>
  <si>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</si>
  <si>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</si>
  <si>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</si>
  <si>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</si>
  <si>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</si>
  <si>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</si>
  <si>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</si>
  <si>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</si>
  <si>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</si>
  <si>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</si>
  <si>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</si>
  <si>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</si>
  <si>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</si>
  <si>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</si>
  <si>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</si>
  <si>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</si>
  <si>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</si>
  <si>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</si>
  <si>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</si>
  <si>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</si>
  <si>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</si>
  <si>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</si>
  <si>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</si>
  <si>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</si>
  <si>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</si>
  <si>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</si>
  <si>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</si>
  <si>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</si>
  <si>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</si>
  <si>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</si>
  <si>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</si>
  <si>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</si>
  <si>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</si>
  <si>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</si>
  <si>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</si>
  <si>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</si>
  <si>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</si>
  <si>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</si>
  <si>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</si>
  <si>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</si>
  <si>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</si>
  <si>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</si>
  <si>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</si>
  <si>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</si>
  <si>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</si>
  <si>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</si>
  <si>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</si>
  <si>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</si>
  <si>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</si>
  <si>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</si>
  <si>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</si>
  <si>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</si>
  <si>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</si>
  <si>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</si>
  <si>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</si>
  <si>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</si>
  <si>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VR Platform (Ximplifi)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</si>
  <si>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</si>
  <si>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</si>
  <si>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</si>
  <si>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</si>
  <si>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</si>
  <si>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</si>
  <si>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</si>
  <si>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</si>
  <si>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</si>
  <si>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</si>
  <si>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</si>
  <si>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</si>
  <si>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QuickBooks Online (Intuit)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</si>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</sst>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</numFmts>
  <fonts count="46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</font>
    <font>
      <b/>
      <sz val="14"/>
      <color rgb="FF1F3864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rgb="FF808080"/>
      <name val="Calibri"/>
    </font>
    <font>
      <sz val="11"/>
      <color rgb="FFC00000"/>
      <name val="Calibri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</borders>
  <cellStyleXfs count="5">
    <xf numFmtId="0" fontId="0" fillId="0" borderId="0"/>
    <xf numFmtId="0" fontId="11" fillId="0" borderId="0"/>
    <xf numFmtId="9" fontId="17" fillId="0" borderId="0" applyFont="0" applyFill="0" applyBorder="0" applyAlignment="0" applyProtection="0"/>
    <xf numFmtId="0" fontId="37" fillId="0" borderId="0"/>
    <xf numFmtId="0" fontId="44" fillId="0" borderId="0"/>
  </cellStyleXfs>
  <cellXfs count="162">
    <xf numFmtId="0" fontId="0" fillId="0" borderId="0" xfId="0"/>
    <xf numFmtId="0" fontId="7" fillId="2" borderId="0" xfId="0" applyFont="1" applyFill="1"/>
    <xf numFmtId="0" fontId="7" fillId="0" borderId="0" xfId="0" applyFont="1"/>
    <xf numFmtId="0" fontId="7" fillId="0" borderId="1" xfId="0" applyFont="1" applyBorder="1"/>
    <xf numFmtId="0" fontId="7" fillId="0" borderId="2" xfId="0" applyFont="1" applyBorder="1"/>
    <xf numFmtId="0" fontId="12" fillId="0" borderId="0" xfId="1" applyFont="1"/>
    <xf numFmtId="0" fontId="6" fillId="0" borderId="0" xfId="1" applyFont="1"/>
    <xf numFmtId="0" fontId="13" fillId="0" borderId="3" xfId="1" applyFont="1" applyBorder="1"/>
    <xf numFmtId="0" fontId="6" fillId="0" borderId="3" xfId="1" applyFont="1" applyBorder="1"/>
    <xf numFmtId="0" fontId="14" fillId="3" borderId="0" xfId="1" applyFont="1" applyFill="1" applyAlignment="1">
      <alignment horizontal="left" vertical="center"/>
    </xf>
    <xf numFmtId="0" fontId="14" fillId="3" borderId="0" xfId="1" applyFont="1" applyFill="1" applyAlignment="1">
      <alignment horizontal="center" vertical="center"/>
    </xf>
    <xf numFmtId="17" fontId="14" fillId="3" borderId="0" xfId="1" applyNumberFormat="1" applyFont="1" applyFill="1" applyAlignment="1">
      <alignment horizontal="center" vertical="center"/>
    </xf>
    <xf numFmtId="0" fontId="15" fillId="4" borderId="0" xfId="1" applyFont="1" applyFill="1"/>
    <xf numFmtId="0" fontId="6" fillId="4" borderId="0" xfId="1" applyFont="1" applyFill="1"/>
    <xf numFmtId="0" fontId="16" fillId="0" borderId="0" xfId="1" applyFont="1"/>
    <xf numFmtId="164" fontId="16" fillId="0" borderId="0" xfId="1" applyNumberFormat="1" applyFont="1"/>
    <xf numFmtId="164" fontId="6" fillId="0" borderId="0" xfId="1" applyNumberFormat="1" applyFont="1"/>
    <xf numFmtId="0" fontId="15" fillId="0" borderId="0" xfId="1" applyFont="1"/>
    <xf numFmtId="164" fontId="15" fillId="0" borderId="2" xfId="1" applyNumberFormat="1" applyFont="1" applyBorder="1"/>
    <xf numFmtId="0" fontId="16" fillId="0" borderId="0" xfId="1" applyFont="1" applyAlignment="1">
      <alignment horizontal="left"/>
    </xf>
    <xf numFmtId="164" fontId="6" fillId="4" borderId="0" xfId="1" applyNumberFormat="1" applyFont="1" applyFill="1"/>
    <xf numFmtId="164" fontId="15" fillId="0" borderId="4" xfId="1" applyNumberFormat="1" applyFont="1" applyBorder="1"/>
    <xf numFmtId="0" fontId="15" fillId="4" borderId="0" xfId="1" applyFont="1" applyFill="1" applyAlignment="1">
      <alignment horizontal="center"/>
    </xf>
    <xf numFmtId="165" fontId="16" fillId="0" borderId="0" xfId="1" applyNumberFormat="1" applyFont="1"/>
    <xf numFmtId="0" fontId="11" fillId="0" borderId="0" xfId="1"/>
    <xf numFmtId="0" fontId="16" fillId="0" borderId="0" xfId="1" applyFont="1" applyAlignment="1">
      <alignment indent="1"/>
    </xf>
    <xf numFmtId="166" fontId="16" fillId="0" borderId="0" xfId="1" applyNumberFormat="1" applyFont="1"/>
    <xf numFmtId="0" fontId="16" fillId="0" borderId="0" xfId="1" applyFont="1" applyAlignment="1">
      <alignment indent="2"/>
    </xf>
    <xf numFmtId="0" fontId="15" fillId="0" borderId="0" xfId="1" applyFont="1" applyAlignment="1">
      <alignment indent="1"/>
    </xf>
    <xf numFmtId="166" fontId="15" fillId="0" borderId="0" xfId="1" applyNumberFormat="1" applyFont="1"/>
    <xf numFmtId="0" fontId="16" fillId="0" borderId="0" xfId="1" applyFont="1" applyAlignment="1">
      <alignment indent="3"/>
    </xf>
    <xf numFmtId="0" fontId="15" fillId="0" borderId="0" xfId="1" applyFont="1" applyAlignment="1">
      <alignment indent="2"/>
    </xf>
    <xf numFmtId="0" fontId="0" fillId="5" borderId="0" xfId="0" applyFill="1"/>
    <xf numFmtId="14" fontId="22" fillId="0" borderId="0" xfId="1" applyNumberFormat="1" applyFont="1"/>
    <xf numFmtId="14" fontId="16" fillId="0" borderId="0" xfId="1" applyNumberFormat="1" applyFont="1"/>
    <xf numFmtId="14" fontId="24" fillId="0" borderId="0" xfId="1" applyNumberFormat="1" applyFont="1"/>
    <xf numFmtId="0" fontId="5" fillId="0" borderId="0" xfId="0" applyFont="1"/>
    <xf numFmtId="0" fontId="25" fillId="0" borderId="0" xfId="0" applyFont="1"/>
    <xf numFmtId="0" fontId="26" fillId="0" borderId="3" xfId="0" applyFont="1" applyBorder="1"/>
    <xf numFmtId="0" fontId="5" fillId="0" borderId="3" xfId="0" applyFont="1" applyBorder="1"/>
    <xf numFmtId="0" fontId="14" fillId="6" borderId="0" xfId="1" applyFont="1" applyFill="1" applyAlignment="1">
      <alignment horizontal="left" vertical="center"/>
    </xf>
    <xf numFmtId="0" fontId="14" fillId="6" borderId="0" xfId="1" applyFont="1" applyFill="1" applyAlignment="1">
      <alignment horizontal="center" vertical="center"/>
    </xf>
    <xf numFmtId="0" fontId="15" fillId="7" borderId="0" xfId="1" applyFont="1" applyFill="1"/>
    <xf numFmtId="0" fontId="6" fillId="7" borderId="0" xfId="1" applyFont="1" applyFill="1"/>
    <xf numFmtId="17" fontId="14" fillId="6" borderId="0" xfId="1" applyNumberFormat="1" applyFont="1" applyFill="1" applyAlignment="1">
      <alignment horizontal="center" vertical="center"/>
    </xf>
    <xf numFmtId="167" fontId="5" fillId="0" borderId="0" xfId="0" applyNumberFormat="1" applyFont="1"/>
    <xf numFmtId="167" fontId="22" fillId="0" borderId="0" xfId="0" applyNumberFormat="1" applyFont="1"/>
    <xf numFmtId="167" fontId="23" fillId="0" borderId="0" xfId="0" applyNumberFormat="1" applyFont="1"/>
    <xf numFmtId="167" fontId="16" fillId="0" borderId="0" xfId="1" applyNumberFormat="1" applyFont="1"/>
    <xf numFmtId="167" fontId="23" fillId="0" borderId="0" xfId="1" applyNumberFormat="1" applyFont="1"/>
    <xf numFmtId="167" fontId="24" fillId="0" borderId="0" xfId="1" applyNumberFormat="1" applyFont="1"/>
    <xf numFmtId="0" fontId="14" fillId="0" borderId="0" xfId="1" applyFont="1" applyAlignment="1">
      <alignment horizontal="center" vertical="center"/>
    </xf>
    <xf numFmtId="165" fontId="5" fillId="0" borderId="0" xfId="0" applyNumberFormat="1" applyFont="1"/>
    <xf numFmtId="165" fontId="23" fillId="0" borderId="0" xfId="0" applyNumberFormat="1" applyFont="1"/>
    <xf numFmtId="0" fontId="27" fillId="0" borderId="0" xfId="1" applyFont="1" applyAlignment="1">
      <alignment horizontal="left"/>
    </xf>
    <xf numFmtId="0" fontId="27" fillId="0" borderId="0" xfId="1" applyFont="1"/>
    <xf numFmtId="0" fontId="16" fillId="0" borderId="0" xfId="1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0" fillId="0" borderId="2" xfId="0" applyFont="1" applyBorder="1"/>
    <xf numFmtId="167" fontId="20" fillId="0" borderId="2" xfId="0" applyNumberFormat="1" applyFont="1" applyBorder="1"/>
    <xf numFmtId="0" fontId="20" fillId="8" borderId="6" xfId="0" applyFont="1" applyFill="1" applyBorder="1"/>
    <xf numFmtId="167" fontId="20" fillId="8" borderId="7" xfId="0" applyNumberFormat="1" applyFont="1" applyFill="1" applyBorder="1"/>
    <xf numFmtId="167" fontId="20" fillId="8" borderId="8" xfId="0" applyNumberFormat="1" applyFont="1" applyFill="1" applyBorder="1"/>
    <xf numFmtId="167" fontId="20" fillId="8" borderId="6" xfId="0" applyNumberFormat="1" applyFont="1" applyFill="1" applyBorder="1"/>
    <xf numFmtId="165" fontId="23" fillId="0" borderId="0" xfId="1" applyNumberFormat="1" applyFont="1"/>
    <xf numFmtId="165" fontId="24" fillId="0" borderId="0" xfId="1" applyNumberFormat="1" applyFont="1"/>
    <xf numFmtId="168" fontId="16" fillId="0" borderId="0" xfId="1" applyNumberFormat="1" applyFont="1"/>
    <xf numFmtId="168" fontId="20" fillId="8" borderId="7" xfId="0" applyNumberFormat="1" applyFont="1" applyFill="1" applyBorder="1"/>
    <xf numFmtId="168" fontId="20" fillId="8" borderId="8" xfId="0" applyNumberFormat="1" applyFont="1" applyFill="1" applyBorder="1"/>
    <xf numFmtId="168" fontId="20" fillId="8" borderId="6" xfId="0" applyNumberFormat="1" applyFont="1" applyFill="1" applyBorder="1"/>
    <xf numFmtId="165" fontId="22" fillId="0" borderId="0" xfId="1" applyNumberFormat="1" applyFont="1"/>
    <xf numFmtId="167" fontId="20" fillId="0" borderId="0" xfId="0" applyNumberFormat="1" applyFont="1"/>
    <xf numFmtId="168" fontId="20" fillId="0" borderId="0" xfId="0" applyNumberFormat="1" applyFont="1"/>
    <xf numFmtId="0" fontId="5" fillId="9" borderId="0" xfId="0" applyFont="1" applyFill="1"/>
    <xf numFmtId="0" fontId="18" fillId="9" borderId="0" xfId="0" applyFont="1" applyFill="1" applyAlignment="1">
      <alignment horizontal="centerContinuous"/>
    </xf>
    <xf numFmtId="0" fontId="21" fillId="9" borderId="0" xfId="0" applyFont="1" applyFill="1" applyAlignment="1">
      <alignment horizontal="centerContinuous"/>
    </xf>
    <xf numFmtId="0" fontId="18" fillId="9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165" fontId="2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left"/>
    </xf>
    <xf numFmtId="0" fontId="27" fillId="0" borderId="0" xfId="1" applyFont="1" applyAlignment="1">
      <alignment horizontal="left" indent="1"/>
    </xf>
    <xf numFmtId="0" fontId="16" fillId="0" borderId="0" xfId="1" applyFont="1" applyAlignment="1">
      <alignment horizontal="left" indent="2"/>
    </xf>
    <xf numFmtId="165" fontId="22" fillId="0" borderId="0" xfId="0" applyNumberFormat="1" applyFont="1"/>
    <xf numFmtId="165" fontId="24" fillId="0" borderId="0" xfId="0" applyNumberFormat="1" applyFont="1"/>
    <xf numFmtId="165" fontId="19" fillId="0" borderId="0" xfId="1" applyNumberFormat="1" applyFont="1"/>
    <xf numFmtId="0" fontId="19" fillId="0" borderId="0" xfId="0" applyFont="1"/>
    <xf numFmtId="167" fontId="24" fillId="0" borderId="0" xfId="0" applyNumberFormat="1" applyFont="1"/>
    <xf numFmtId="168" fontId="15" fillId="8" borderId="8" xfId="1" applyNumberFormat="1" applyFont="1" applyFill="1" applyBorder="1"/>
    <xf numFmtId="168" fontId="30" fillId="0" borderId="0" xfId="1" applyNumberFormat="1" applyFont="1"/>
    <xf numFmtId="168" fontId="31" fillId="0" borderId="9" xfId="2" applyNumberFormat="1" applyFont="1" applyFill="1" applyBorder="1" applyAlignment="1"/>
    <xf numFmtId="168" fontId="15" fillId="0" borderId="2" xfId="2" applyNumberFormat="1" applyFont="1" applyBorder="1"/>
    <xf numFmtId="168" fontId="5" fillId="0" borderId="0" xfId="0" applyNumberFormat="1" applyFont="1"/>
    <xf numFmtId="0" fontId="15" fillId="0" borderId="2" xfId="0" applyFont="1" applyBorder="1"/>
    <xf numFmtId="0" fontId="4" fillId="0" borderId="0" xfId="0" applyFont="1" applyAlignment="1">
      <alignment horizontal="left" indent="1"/>
    </xf>
    <xf numFmtId="165" fontId="19" fillId="0" borderId="5" xfId="1" applyNumberFormat="1" applyFont="1" applyBorder="1"/>
    <xf numFmtId="167" fontId="13" fillId="0" borderId="0" xfId="0" applyNumberFormat="1" applyFont="1" applyAlignment="1">
      <alignment horizontal="left" indent="1"/>
    </xf>
    <xf numFmtId="0" fontId="4" fillId="0" borderId="0" xfId="0" applyFont="1"/>
    <xf numFmtId="0" fontId="26" fillId="0" borderId="0" xfId="0" applyFont="1"/>
    <xf numFmtId="164" fontId="15" fillId="0" borderId="0" xfId="1" applyNumberFormat="1" applyFont="1"/>
    <xf numFmtId="0" fontId="14" fillId="0" borderId="0" xfId="1" applyFont="1"/>
    <xf numFmtId="0" fontId="15" fillId="0" borderId="0" xfId="1" applyFont="1" applyAlignment="1">
      <alignment horizontal="center"/>
    </xf>
    <xf numFmtId="167" fontId="32" fillId="0" borderId="0" xfId="0" applyNumberFormat="1" applyFont="1"/>
    <xf numFmtId="167" fontId="33" fillId="0" borderId="0" xfId="0" applyNumberFormat="1" applyFont="1"/>
    <xf numFmtId="167" fontId="34" fillId="0" borderId="0" xfId="0" applyNumberFormat="1" applyFont="1"/>
    <xf numFmtId="0" fontId="20" fillId="8" borderId="10" xfId="0" applyFont="1" applyFill="1" applyBorder="1"/>
    <xf numFmtId="167" fontId="20" fillId="8" borderId="2" xfId="0" applyNumberFormat="1" applyFont="1" applyFill="1" applyBorder="1"/>
    <xf numFmtId="167" fontId="20" fillId="8" borderId="11" xfId="0" applyNumberFormat="1" applyFont="1" applyFill="1" applyBorder="1"/>
    <xf numFmtId="0" fontId="34" fillId="8" borderId="12" xfId="0" applyFont="1" applyFill="1" applyBorder="1"/>
    <xf numFmtId="169" fontId="34" fillId="8" borderId="3" xfId="0" applyNumberFormat="1" applyFont="1" applyFill="1" applyBorder="1"/>
    <xf numFmtId="169" fontId="34" fillId="8" borderId="13" xfId="0" applyNumberFormat="1" applyFont="1" applyFill="1" applyBorder="1"/>
    <xf numFmtId="167" fontId="20" fillId="8" borderId="10" xfId="0" applyNumberFormat="1" applyFont="1" applyFill="1" applyBorder="1"/>
    <xf numFmtId="169" fontId="34" fillId="8" borderId="12" xfId="0" applyNumberFormat="1" applyFont="1" applyFill="1" applyBorder="1"/>
    <xf numFmtId="168" fontId="15" fillId="8" borderId="11" xfId="1" applyNumberFormat="1" applyFont="1" applyFill="1" applyBorder="1"/>
    <xf numFmtId="168" fontId="35" fillId="8" borderId="13" xfId="1" applyNumberFormat="1" applyFont="1" applyFill="1" applyBorder="1"/>
    <xf numFmtId="165" fontId="36" fillId="0" borderId="0" xfId="0" applyNumberFormat="1" applyFont="1"/>
    <xf numFmtId="0" fontId="36" fillId="0" borderId="0" xfId="0" applyFont="1" applyAlignment="1">
      <alignment horizontal="left" indent="1"/>
    </xf>
    <xf numFmtId="165" fontId="19" fillId="0" borderId="0" xfId="0" applyNumberFormat="1" applyFont="1"/>
    <xf numFmtId="0" fontId="3" fillId="0" borderId="0" xfId="0" applyFont="1"/>
    <xf numFmtId="0" fontId="18" fillId="10" borderId="0" xfId="1" applyFont="1" applyFill="1"/>
    <xf numFmtId="0" fontId="21" fillId="10" borderId="0" xfId="1" applyFont="1" applyFill="1"/>
    <xf numFmtId="0" fontId="18" fillId="10" borderId="0" xfId="1" applyFont="1" applyFill="1" applyAlignment="1">
      <alignment horizontal="centerContinuous"/>
    </xf>
    <xf numFmtId="0" fontId="21" fillId="9" borderId="0" xfId="1" applyFont="1" applyFill="1" applyAlignment="1">
      <alignment horizontal="centerContinuous"/>
    </xf>
    <xf numFmtId="0" fontId="16" fillId="7" borderId="0" xfId="1" applyFont="1" applyFill="1"/>
    <xf numFmtId="0" fontId="3" fillId="0" borderId="0" xfId="0" applyFont="1" applyAlignment="1">
      <alignment horizontal="left" indent="1"/>
    </xf>
    <xf numFmtId="0" fontId="26" fillId="0" borderId="0" xfId="0" applyFont="1" applyAlignment="1">
      <alignment horizontal="left" indent="1"/>
    </xf>
    <xf numFmtId="0" fontId="2" fillId="0" borderId="0" xfId="0" applyFont="1"/>
    <xf numFmtId="0" fontId="2" fillId="0" borderId="0" xfId="0" applyFont="1" applyAlignment="1">
      <alignment horizontal="left" indent="1"/>
    </xf>
    <xf numFmtId="167" fontId="15" fillId="8" borderId="8" xfId="0" applyNumberFormat="1" applyFont="1" applyFill="1" applyBorder="1"/>
    <xf numFmtId="167" fontId="15" fillId="0" borderId="2" xfId="0" applyNumberFormat="1" applyFont="1" applyBorder="1"/>
    <xf numFmtId="0" fontId="34" fillId="0" borderId="0" xfId="0" applyFont="1"/>
    <xf numFmtId="169" fontId="34" fillId="0" borderId="0" xfId="0" applyNumberFormat="1" applyFont="1"/>
    <xf numFmtId="168" fontId="35" fillId="0" borderId="0" xfId="1" applyNumberFormat="1" applyFont="1"/>
    <xf numFmtId="0" fontId="38" fillId="0" borderId="0" xfId="3" applyFont="1"/>
    <xf numFmtId="0" fontId="37" fillId="0" borderId="0" xfId="3"/>
    <xf numFmtId="0" fontId="39" fillId="0" borderId="0" xfId="3" applyFont="1"/>
    <xf numFmtId="0" fontId="40" fillId="11" borderId="0" xfId="3" applyFont="1" applyFill="1" applyAlignment="1">
      <alignment vertical="center" wrapText="1"/>
    </xf>
    <xf numFmtId="0" fontId="41" fillId="0" borderId="0" xfId="3" applyFont="1" applyAlignment="1">
      <alignment vertical="top" wrapText="1"/>
    </xf>
    <xf numFmtId="0" fontId="37" fillId="0" borderId="0" xfId="3" applyAlignment="1">
      <alignment vertical="top" wrapText="1"/>
    </xf>
    <xf numFmtId="170" fontId="42" fillId="0" borderId="0" xfId="3" applyNumberFormat="1" applyFont="1" applyAlignment="1">
      <alignment horizontal="right"/>
    </xf>
    <xf numFmtId="4" fontId="37" fillId="0" borderId="0" xfId="3" applyNumberFormat="1" applyAlignment="1">
      <alignment horizontal="right"/>
    </xf>
    <xf numFmtId="0" fontId="43" fillId="0" borderId="0" xfId="3" applyFont="1" applyAlignment="1">
      <alignment vertical="top" wrapText="1"/>
    </xf>
    <xf numFmtId="0" fontId="41" fillId="0" borderId="14" xfId="3" applyFont="1" applyBorder="1"/>
    <xf numFmtId="4" fontId="41" fillId="0" borderId="14" xfId="3" applyNumberFormat="1" applyFont="1" applyBorder="1" applyAlignment="1">
      <alignment horizontal="right"/>
    </xf>
    <xf numFmtId="0" fontId="1" fillId="0" borderId="0" xfId="0" applyFont="1"/>
    <xf numFmtId="9" fontId="5" fillId="0" borderId="0" xfId="2" applyFont="1"/>
    <xf numFmtId="0" fontId="14" fillId="6" borderId="0" xfId="1" applyFont="1" applyFill="1" applyAlignment="1">
      <alignment horizontal="centerContinuous" vertical="center"/>
    </xf>
    <xf numFmtId="168" fontId="20" fillId="0" borderId="2" xfId="0" applyNumberFormat="1" applyFont="1" applyBorder="1"/>
    <xf numFmtId="165" fontId="16" fillId="0" borderId="0" xfId="0" applyNumberFormat="1" applyFont="1"/>
    <xf numFmtId="0" fontId="1" fillId="0" borderId="0" xfId="0" applyFont="1" applyAlignment="1">
      <alignment horizontal="left" indent="1"/>
    </xf>
    <xf numFmtId="0" fontId="44" fillId="0" borderId="0" xfId="4"/>
    <xf numFmtId="3" fontId="44" fillId="0" borderId="0" xfId="4" applyNumberFormat="1"/>
    <xf numFmtId="4" fontId="44" fillId="0" borderId="0" xfId="4" applyNumberFormat="1"/>
    <xf numFmtId="0" fontId="45" fillId="0" borderId="0" xfId="0" applyFont="1"/>
    <xf numFmtId="9" fontId="16" fillId="0" borderId="0" xfId="2" applyFont="1"/>
    <xf numFmtId="169" fontId="5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4" fillId="3" borderId="0" xfId="1" applyFont="1" applyFill="1"/>
    <xf numFmtId="168" fontId="16" fillId="0" borderId="0" xfId="1" quotePrefix="1" applyNumberFormat="1" applyFont="1" applyAlignment="1">
      <alignment horizontal="right"/>
    </xf>
    <xf numFmtId="0" fontId="14" fillId="3" borderId="0" xfId="1" applyFont="1" applyFill="1" applyAlignment="1">
      <alignment horizontal="centerContinuous"/>
    </xf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2"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7B0000"/>
      <color rgb="FFFFE1E1"/>
      <color rgb="FFFFC1C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tabSelected="1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9.28515625" customWidth="1"/>
  </cols>
  <sheetData>
    <row r="2" spans="2:17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 x14ac:dyDescent="0.25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 x14ac:dyDescent="0.25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 x14ac:dyDescent="0.25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 x14ac:dyDescent="0.25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 x14ac:dyDescent="0.25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 x14ac:dyDescent="0.5">
      <c r="B24" s="155" t="s">
        <v>0</v>
      </c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</row>
    <row r="25" spans="2:17" ht="25.5" x14ac:dyDescent="0.25">
      <c r="B25" s="157" t="s">
        <v>333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</row>
    <row r="26" spans="2:17" ht="23.25" x14ac:dyDescent="0.35">
      <c r="B26" s="158" t="str">
        <f ca="1">"As of "&amp;TEXT(TODAY(),"mm/dd/yy")</f>
        <v>As of 09/03/26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</row>
    <row r="27" spans="2:17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 x14ac:dyDescent="0.25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 x14ac:dyDescent="0.3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69"/>
  <sheetViews>
    <sheetView showGridLines="0" view="pageBreakPreview" zoomScaleNormal="100" zoomScaleSheetLayoutView="100" workbookViewId="0"/>
  </sheetViews>
  <sheetFormatPr defaultRowHeight="12" x14ac:dyDescent="0.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 x14ac:dyDescent="0.25">
      <c r="B2" s="37" t="str">
        <f>+Cover!B24</f>
        <v>Keystone Bookkeepers</v>
      </c>
    </row>
    <row r="3" spans="2:17" x14ac:dyDescent="0.2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 x14ac:dyDescent="0.2">
      <c r="B5" s="40"/>
      <c r="C5" s="145" t="s">
        <v>468</v>
      </c>
      <c r="D5" s="145"/>
      <c r="E5" s="51"/>
      <c r="F5" s="145" t="s">
        <v>469</v>
      </c>
      <c r="G5" s="145"/>
      <c r="H5" s="51"/>
      <c r="I5" s="145" t="s">
        <v>470</v>
      </c>
      <c r="J5" s="145"/>
      <c r="K5" s="41" t="s">
        <v>270</v>
      </c>
      <c r="M5" s="145" t="s">
        <v>473</v>
      </c>
      <c r="N5" s="145"/>
    </row>
    <row r="6" spans="2:17" x14ac:dyDescent="0.2">
      <c r="B6" s="40" t="s">
        <v>466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471</v>
      </c>
      <c r="N6" s="41" t="s">
        <v>472</v>
      </c>
    </row>
    <row r="7" spans="2:17" x14ac:dyDescent="0.2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 x14ac:dyDescent="0.2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 x14ac:dyDescent="0.2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 x14ac:dyDescent="0.2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4" si="1">IFERROR(K10/J10-1,0)</f>
        <v>-9.8164778206364378E-2</v>
      </c>
    </row>
    <row r="11" spans="2:17" x14ac:dyDescent="0.2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 x14ac:dyDescent="0.2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 x14ac:dyDescent="0.2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 x14ac:dyDescent="0.2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 x14ac:dyDescent="0.2">
      <c r="B15" s="56" t="s">
        <v>467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ref="M15" si="2">K15-J15</f>
        <v>-57.264019999999618</v>
      </c>
      <c r="N15" s="66">
        <f t="shared" ref="N15:N16" si="3">IFERROR(K15/J15-1,0)</f>
        <v>-0.68090198077912478</v>
      </c>
    </row>
    <row r="16" spans="2:17" x14ac:dyDescent="0.2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3"/>
        <v>0.2040148554813177</v>
      </c>
    </row>
    <row r="17" spans="2:46" ht="3.95" customHeight="1" x14ac:dyDescent="0.2"/>
    <row r="18" spans="2:46" x14ac:dyDescent="0.2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 x14ac:dyDescent="0.2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 x14ac:dyDescent="0.2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3">
        <f t="shared" ref="P20:P27" si="6">K20/$K$28</f>
        <v>0.24729809660153007</v>
      </c>
    </row>
    <row r="21" spans="2:46" x14ac:dyDescent="0.2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3">
        <f t="shared" si="6"/>
        <v>0.18201604848705</v>
      </c>
    </row>
    <row r="22" spans="2:46" x14ac:dyDescent="0.2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3">
        <f t="shared" si="6"/>
        <v>9.1326349473519114E-2</v>
      </c>
    </row>
    <row r="23" spans="2:46" s="14" customFormat="1" x14ac:dyDescent="0.2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3">
        <f t="shared" si="6"/>
        <v>5.0188610871925318E-2</v>
      </c>
    </row>
    <row r="24" spans="2:46" s="14" customFormat="1" x14ac:dyDescent="0.2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3">
        <f t="shared" si="6"/>
        <v>4.5558669116854043E-2</v>
      </c>
    </row>
    <row r="25" spans="2:46" x14ac:dyDescent="0.2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3">
        <f t="shared" si="6"/>
        <v>3.1552358997112562E-2</v>
      </c>
    </row>
    <row r="26" spans="2:46" x14ac:dyDescent="0.2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3">
        <f t="shared" si="6"/>
        <v>1.5324359456751995E-2</v>
      </c>
    </row>
    <row r="27" spans="2:46" x14ac:dyDescent="0.2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3">
        <f t="shared" si="6"/>
        <v>1.4906114624747139E-2</v>
      </c>
    </row>
    <row r="28" spans="2:46" ht="12" customHeight="1" x14ac:dyDescent="0.2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 x14ac:dyDescent="0.2">
      <c r="C29" s="33"/>
      <c r="D29" s="35"/>
      <c r="E29" s="35"/>
      <c r="F29" s="35"/>
      <c r="G29" s="35"/>
      <c r="H29" s="35"/>
      <c r="I29" s="33"/>
      <c r="J29" s="35"/>
      <c r="K29" s="35"/>
    </row>
    <row r="30" spans="2:46" x14ac:dyDescent="0.2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 x14ac:dyDescent="0.2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 x14ac:dyDescent="0.2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 x14ac:dyDescent="0.2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 x14ac:dyDescent="0.2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 x14ac:dyDescent="0.2">
      <c r="C35" s="34"/>
      <c r="D35" s="34"/>
      <c r="E35" s="34"/>
      <c r="F35" s="34"/>
      <c r="G35" s="34"/>
      <c r="H35" s="34"/>
      <c r="I35" s="34"/>
      <c r="J35" s="34"/>
      <c r="K35" s="34"/>
    </row>
    <row r="36" spans="2:46" x14ac:dyDescent="0.2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 x14ac:dyDescent="0.2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 x14ac:dyDescent="0.2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 x14ac:dyDescent="0.2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 x14ac:dyDescent="0.2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 x14ac:dyDescent="0.2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 x14ac:dyDescent="0.2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9"/>
        <v>-22.103000000000002</v>
      </c>
      <c r="N42" s="66">
        <f t="shared" si="10"/>
        <v>-0.68850263215275831</v>
      </c>
    </row>
    <row r="43" spans="2:46" x14ac:dyDescent="0.2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 x14ac:dyDescent="0.2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9"/>
        <v>-1.2125800000000027</v>
      </c>
      <c r="N44" s="66">
        <f t="shared" si="10"/>
        <v>-2.4097209180778845E-2</v>
      </c>
    </row>
    <row r="45" spans="2:46" ht="12" customHeight="1" x14ac:dyDescent="0.2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 x14ac:dyDescent="0.2"/>
    <row r="47" spans="2:46" x14ac:dyDescent="0.2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11">IFERROR(K47/J47-1,0)</f>
        <v>-6.5635812625337686E-2</v>
      </c>
    </row>
    <row r="48" spans="2:46" x14ac:dyDescent="0.2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  <row r="49" spans="2:46" ht="3.95" customHeight="1" x14ac:dyDescent="0.2"/>
    <row r="50" spans="2:46" x14ac:dyDescent="0.2">
      <c r="B50" s="42" t="s">
        <v>474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 x14ac:dyDescent="0.2">
      <c r="B51" s="148" t="s">
        <v>316</v>
      </c>
      <c r="C51" s="53">
        <f>+'P&amp;L Forecast'!C85</f>
        <v>0</v>
      </c>
      <c r="D51" s="53">
        <f>+'P&amp;L Forecast'!D85</f>
        <v>0</v>
      </c>
      <c r="F51" s="53">
        <f>+'P&amp;L Forecast'!F85</f>
        <v>0</v>
      </c>
      <c r="G51" s="53">
        <f>+'P&amp;L Forecast'!G85</f>
        <v>0</v>
      </c>
      <c r="I51" s="53">
        <f>+'P&amp;L Forecast'!I85</f>
        <v>0</v>
      </c>
      <c r="J51" s="53">
        <f>+'P&amp;L Forecast'!J85</f>
        <v>0</v>
      </c>
      <c r="K51" s="53">
        <f>+'P&amp;L Forecast'!K85</f>
        <v>100</v>
      </c>
      <c r="M51" s="23">
        <f>K51-J51</f>
        <v>100</v>
      </c>
      <c r="N51" s="66">
        <f>IFERROR(K51/J51-1,0)</f>
        <v>0</v>
      </c>
    </row>
    <row r="52" spans="2:46" x14ac:dyDescent="0.2">
      <c r="B52" s="148" t="s">
        <v>67</v>
      </c>
      <c r="C52" s="53">
        <f>+'P&amp;L Forecast'!C86</f>
        <v>0</v>
      </c>
      <c r="D52" s="53">
        <f>+'P&amp;L Forecast'!D86</f>
        <v>8.8067000000000029</v>
      </c>
      <c r="F52" s="53">
        <f>+'P&amp;L Forecast'!F86</f>
        <v>1.3773541666666684</v>
      </c>
      <c r="G52" s="53">
        <f>+'P&amp;L Forecast'!G86</f>
        <v>46.913354166666664</v>
      </c>
      <c r="I52" s="53">
        <f>+'P&amp;L Forecast'!I86</f>
        <v>3.5143300000000011</v>
      </c>
      <c r="J52" s="53">
        <f>+'P&amp;L Forecast'!J86</f>
        <v>54.342699999999994</v>
      </c>
      <c r="K52" s="53">
        <f>+'P&amp;L Forecast'!K86</f>
        <v>54.342699999999994</v>
      </c>
      <c r="M52" s="23">
        <f>K52-J52</f>
        <v>0</v>
      </c>
      <c r="N52" s="66">
        <f>IFERROR(K52/J52-1,0)</f>
        <v>0</v>
      </c>
    </row>
    <row r="53" spans="2:46" x14ac:dyDescent="0.2">
      <c r="B53" s="148" t="s">
        <v>306</v>
      </c>
      <c r="C53" s="53">
        <f>+'P&amp;L Forecast'!C79+'P&amp;L Forecast'!C78</f>
        <v>0</v>
      </c>
      <c r="D53" s="53">
        <f>+'P&amp;L Forecast'!D79+'P&amp;L Forecast'!D78</f>
        <v>32.465219999999995</v>
      </c>
      <c r="F53" s="53">
        <f>+'P&amp;L Forecast'!F79+'P&amp;L Forecast'!F78</f>
        <v>22.295579999999998</v>
      </c>
      <c r="G53" s="53">
        <f>+'P&amp;L Forecast'!G79+'P&amp;L Forecast'!G78</f>
        <v>20.685420000000001</v>
      </c>
      <c r="I53" s="53">
        <f>+'P&amp;L Forecast'!I79+'P&amp;L Forecast'!I78</f>
        <v>22.295579999999998</v>
      </c>
      <c r="J53" s="53">
        <f>+'P&amp;L Forecast'!J79+'P&amp;L Forecast'!J78</f>
        <v>30.855060000000002</v>
      </c>
      <c r="K53" s="53">
        <f>+'P&amp;L Forecast'!K79+'P&amp;L Forecast'!K78</f>
        <v>30.855060000000002</v>
      </c>
      <c r="M53" s="23">
        <f>K53-J53</f>
        <v>0</v>
      </c>
      <c r="N53" s="66">
        <f>IFERROR(K53/J53-1,0)</f>
        <v>0</v>
      </c>
    </row>
    <row r="54" spans="2:46" x14ac:dyDescent="0.2">
      <c r="B54" s="148" t="s">
        <v>475</v>
      </c>
      <c r="C54" s="53">
        <f>SUM('P&amp;L Forecast'!C71:C73)</f>
        <v>14.249639999999999</v>
      </c>
      <c r="D54" s="53">
        <f>SUM('P&amp;L Forecast'!D71:D73)</f>
        <v>18.07948</v>
      </c>
      <c r="F54" s="53">
        <f>SUM('P&amp;L Forecast'!F71:F73)</f>
        <v>6.9710400000000003</v>
      </c>
      <c r="G54" s="53">
        <f>SUM('P&amp;L Forecast'!G71:G73)</f>
        <v>1.9830299999999998</v>
      </c>
      <c r="I54" s="53">
        <f>SUM('P&amp;L Forecast'!I71:I73)</f>
        <v>12.50268</v>
      </c>
      <c r="J54" s="53">
        <f>SUM('P&amp;L Forecast'!J71:J73)</f>
        <v>13.091469999999999</v>
      </c>
      <c r="K54" s="53">
        <f>SUM('P&amp;L Forecast'!K71:K73)</f>
        <v>13.091469999999999</v>
      </c>
      <c r="M54" s="23">
        <f t="shared" ref="M54" si="12">K54-J54</f>
        <v>0</v>
      </c>
      <c r="N54" s="66">
        <f t="shared" ref="N54" si="13">IFERROR(K54/J54-1,0)</f>
        <v>0</v>
      </c>
    </row>
    <row r="55" spans="2:46" x14ac:dyDescent="0.2">
      <c r="B55" s="148" t="s">
        <v>476</v>
      </c>
      <c r="C55" s="53">
        <f>+'P&amp;L Forecast'!C84</f>
        <v>-200</v>
      </c>
      <c r="D55" s="53">
        <f>+'P&amp;L Forecast'!D84</f>
        <v>-109.33296</v>
      </c>
      <c r="F55" s="53">
        <f>+'P&amp;L Forecast'!F84</f>
        <v>-71.200546666666668</v>
      </c>
      <c r="G55" s="53">
        <f>+'P&amp;L Forecast'!G84</f>
        <v>-53.523646666666679</v>
      </c>
      <c r="I55" s="53">
        <f>+'P&amp;L Forecast'!I84</f>
        <v>-154.53388000000001</v>
      </c>
      <c r="J55" s="53">
        <f>+'P&amp;L Forecast'!J84</f>
        <v>-91.656059999999997</v>
      </c>
      <c r="K55" s="53">
        <f>+'P&amp;L Forecast'!K84</f>
        <v>-91.656059999999997</v>
      </c>
      <c r="M55" s="23">
        <f t="shared" ref="M55" si="14">K55-J55</f>
        <v>0</v>
      </c>
      <c r="N55" s="66">
        <f t="shared" ref="N55" si="15">IFERROR(K55/J55-1,0)</f>
        <v>0</v>
      </c>
    </row>
    <row r="56" spans="2:46" ht="12" customHeight="1" x14ac:dyDescent="0.2">
      <c r="B56" s="58" t="s">
        <v>336</v>
      </c>
      <c r="C56" s="59">
        <f>SUM(C51:C55)</f>
        <v>-185.75036</v>
      </c>
      <c r="D56" s="59">
        <f>SUM(D51:D55)</f>
        <v>-49.981560000000002</v>
      </c>
      <c r="F56" s="59">
        <f>SUM(F51:F55)</f>
        <v>-40.556572500000001</v>
      </c>
      <c r="G56" s="59">
        <f>SUM(G51:G55)</f>
        <v>16.058157499999979</v>
      </c>
      <c r="I56" s="59">
        <f>SUM(I51:I55)</f>
        <v>-116.22129000000001</v>
      </c>
      <c r="J56" s="59">
        <f>SUM(J51:J55)</f>
        <v>6.6331699999999927</v>
      </c>
      <c r="K56" s="59">
        <f>SUM(K51:K55)</f>
        <v>106.63316999999998</v>
      </c>
      <c r="L56" s="71"/>
      <c r="M56" s="59">
        <f>SUM(M51:M55)</f>
        <v>100</v>
      </c>
      <c r="N56" s="146">
        <f>K56/J56-1</f>
        <v>15.075748096309923</v>
      </c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</row>
    <row r="57" spans="2:46" ht="3.95" customHeight="1" x14ac:dyDescent="0.2"/>
    <row r="58" spans="2:46" x14ac:dyDescent="0.2">
      <c r="B58" s="104" t="str">
        <f>+'P&amp;L Forecast'!B92</f>
        <v>Near-Term Adj. EBITDA</v>
      </c>
      <c r="C58" s="105">
        <f>+C47+C56</f>
        <v>-40.278509999999898</v>
      </c>
      <c r="D58" s="106">
        <f>+D47+D56</f>
        <v>80.998739999999827</v>
      </c>
      <c r="F58" s="110">
        <f>+F47+F56</f>
        <v>63.279407499999721</v>
      </c>
      <c r="G58" s="106">
        <f>+G47+G56</f>
        <v>92.201657500000309</v>
      </c>
      <c r="I58" s="110">
        <f>+I47+I56</f>
        <v>18.79170999999991</v>
      </c>
      <c r="J58" s="105">
        <f>+J47+J56</f>
        <v>109.92098999999995</v>
      </c>
      <c r="K58" s="106">
        <f>+K47+K56</f>
        <v>203.14161000000033</v>
      </c>
      <c r="L58" s="71"/>
      <c r="M58" s="110">
        <f>+M47+M56</f>
        <v>93.220620000000565</v>
      </c>
      <c r="N58" s="112">
        <f t="shared" ref="N58" si="16">IFERROR(K58/J58-1,0)</f>
        <v>0.84806932688652492</v>
      </c>
    </row>
    <row r="59" spans="2:46" x14ac:dyDescent="0.2">
      <c r="B59" s="107" t="s">
        <v>305</v>
      </c>
      <c r="C59" s="108">
        <f>C58/C$16</f>
        <v>-3.548874179782581E-2</v>
      </c>
      <c r="D59" s="109">
        <f>D58/D$16</f>
        <v>4.309857777642169E-2</v>
      </c>
      <c r="E59" s="97"/>
      <c r="F59" s="111">
        <f>F58/F$16</f>
        <v>6.3414283339233948E-2</v>
      </c>
      <c r="G59" s="109">
        <f>G58/G$16</f>
        <v>5.5176832885184407E-2</v>
      </c>
      <c r="H59" s="97"/>
      <c r="I59" s="111">
        <f>I58/I$16</f>
        <v>1.2327196743213456E-2</v>
      </c>
      <c r="J59" s="108">
        <f>J58/J$16</f>
        <v>4.3063524045502059E-2</v>
      </c>
      <c r="K59" s="109">
        <f>K58/K$16</f>
        <v>6.6099166080735738E-2</v>
      </c>
      <c r="L59" s="103"/>
      <c r="M59" s="111">
        <f>M58/M$16</f>
        <v>0.1790107576454156</v>
      </c>
      <c r="N59" s="113">
        <v>0</v>
      </c>
    </row>
    <row r="60" spans="2:46" ht="3.95" customHeight="1" x14ac:dyDescent="0.2"/>
    <row r="61" spans="2:46" x14ac:dyDescent="0.2">
      <c r="B61" s="148" t="s">
        <v>17</v>
      </c>
      <c r="C61" s="53">
        <f>+'P&amp;L Forecast'!C96</f>
        <v>-44.058500000000002</v>
      </c>
      <c r="D61" s="53">
        <f>+'P&amp;L Forecast'!D96</f>
        <v>-74.519299999999987</v>
      </c>
      <c r="F61" s="53">
        <f>+'P&amp;L Forecast'!F96</f>
        <v>-42.254049999999999</v>
      </c>
      <c r="G61" s="53">
        <f>+'P&amp;L Forecast'!G96</f>
        <v>-59.055000000000007</v>
      </c>
      <c r="I61" s="53">
        <f>+'P&amp;L Forecast'!I96</f>
        <v>-57.492550000000001</v>
      </c>
      <c r="J61" s="53">
        <f>+'P&amp;L Forecast'!J96</f>
        <v>-91.320250000000001</v>
      </c>
      <c r="K61" s="53">
        <f>+'P&amp;L Forecast'!K96</f>
        <v>-103.5675</v>
      </c>
      <c r="M61" s="23">
        <f>K61-J61</f>
        <v>-12.247249999999994</v>
      </c>
      <c r="N61" s="66">
        <f>IFERROR(K61/J61-1,0)</f>
        <v>0.13411318957186369</v>
      </c>
    </row>
    <row r="62" spans="2:46" x14ac:dyDescent="0.2">
      <c r="B62" s="148" t="s">
        <v>37</v>
      </c>
      <c r="C62" s="53">
        <f>+'P&amp;L Forecast'!C97</f>
        <v>122.81254999999999</v>
      </c>
      <c r="D62" s="53">
        <f>+'P&amp;L Forecast'!D97</f>
        <v>152.16972000000001</v>
      </c>
      <c r="F62" s="53">
        <f>+'P&amp;L Forecast'!F97</f>
        <v>73.949619999999996</v>
      </c>
      <c r="G62" s="53">
        <f>+'P&amp;L Forecast'!G97</f>
        <v>111.27999</v>
      </c>
      <c r="I62" s="53">
        <f>+'P&amp;L Forecast'!I97</f>
        <v>121.30735</v>
      </c>
      <c r="J62" s="53">
        <f>+'P&amp;L Forecast'!J97</f>
        <v>189.50009</v>
      </c>
      <c r="K62" s="53">
        <f>+'P&amp;L Forecast'!K97</f>
        <v>197.14943999999997</v>
      </c>
      <c r="M62" s="23">
        <f>K62-J62</f>
        <v>7.6493499999999699</v>
      </c>
      <c r="N62" s="66">
        <f>IFERROR(K62/J62-1,0)</f>
        <v>4.0365943889525191E-2</v>
      </c>
    </row>
    <row r="63" spans="2:46" x14ac:dyDescent="0.2">
      <c r="B63" s="148" t="s">
        <v>278</v>
      </c>
      <c r="C63" s="53">
        <f>+'P&amp;L Forecast'!C98</f>
        <v>0</v>
      </c>
      <c r="D63" s="53">
        <f>+'P&amp;L Forecast'!D98</f>
        <v>19.149630000000002</v>
      </c>
      <c r="F63" s="53">
        <f>+'P&amp;L Forecast'!F98</f>
        <v>3.09945</v>
      </c>
      <c r="G63" s="53">
        <f>+'P&amp;L Forecast'!G98</f>
        <v>51.941310000000001</v>
      </c>
      <c r="I63" s="53">
        <f>+'P&amp;L Forecast'!I98</f>
        <v>3.09945</v>
      </c>
      <c r="J63" s="53">
        <f>+'P&amp;L Forecast'!J98</f>
        <v>67.991489999999999</v>
      </c>
      <c r="K63" s="53">
        <f>+'P&amp;L Forecast'!K98</f>
        <v>98.349119999999999</v>
      </c>
      <c r="M63" s="23">
        <f>K63-J63</f>
        <v>30.35763</v>
      </c>
      <c r="N63" s="66">
        <f>IFERROR(K63/J63-1,0)</f>
        <v>0.44649161240619972</v>
      </c>
    </row>
    <row r="64" spans="2:46" x14ac:dyDescent="0.2">
      <c r="B64" s="148" t="s">
        <v>42</v>
      </c>
      <c r="C64" s="53">
        <f>+'P&amp;L Forecast'!C99</f>
        <v>24.819999999999997</v>
      </c>
      <c r="D64" s="53">
        <f>+'P&amp;L Forecast'!D99</f>
        <v>27.153739999999999</v>
      </c>
      <c r="F64" s="53">
        <f>+'P&amp;L Forecast'!F99</f>
        <v>17.089500000000001</v>
      </c>
      <c r="G64" s="53">
        <f>+'P&amp;L Forecast'!G99</f>
        <v>20.62969</v>
      </c>
      <c r="I64" s="53">
        <f>+'P&amp;L Forecast'!I99</f>
        <v>26.209499999999998</v>
      </c>
      <c r="J64" s="53">
        <f>+'P&amp;L Forecast'!J99</f>
        <v>30.693929999999998</v>
      </c>
      <c r="K64" s="53">
        <f>+'P&amp;L Forecast'!K99</f>
        <v>30.693929999999998</v>
      </c>
      <c r="M64" s="23">
        <f t="shared" ref="M64:M65" si="17">K64-J64</f>
        <v>0</v>
      </c>
      <c r="N64" s="66">
        <f t="shared" ref="N64:N65" si="18">IFERROR(K64/J64-1,0)</f>
        <v>0</v>
      </c>
    </row>
    <row r="65" spans="2:14" x14ac:dyDescent="0.2">
      <c r="B65" s="148" t="s">
        <v>308</v>
      </c>
      <c r="C65" s="53">
        <f>+'P&amp;L Forecast'!C100</f>
        <v>0</v>
      </c>
      <c r="D65" s="53">
        <f>+'P&amp;L Forecast'!D100</f>
        <v>11.4983</v>
      </c>
      <c r="F65" s="53">
        <f>+'P&amp;L Forecast'!F100</f>
        <v>0</v>
      </c>
      <c r="G65" s="53">
        <f>+'P&amp;L Forecast'!G100</f>
        <v>11.84548</v>
      </c>
      <c r="I65" s="53">
        <f>+'P&amp;L Forecast'!I100</f>
        <v>0</v>
      </c>
      <c r="J65" s="53">
        <f>+'P&amp;L Forecast'!J100</f>
        <v>23.343780000000002</v>
      </c>
      <c r="K65" s="53">
        <f>+'P&amp;L Forecast'!K100</f>
        <v>23.343780000000002</v>
      </c>
      <c r="M65" s="23">
        <f t="shared" si="17"/>
        <v>0</v>
      </c>
      <c r="N65" s="66">
        <f t="shared" si="18"/>
        <v>0</v>
      </c>
    </row>
    <row r="66" spans="2:14" x14ac:dyDescent="0.2">
      <c r="B66" s="58" t="s">
        <v>319</v>
      </c>
      <c r="C66" s="59">
        <f>SUM(C61:C65)</f>
        <v>103.57404999999997</v>
      </c>
      <c r="D66" s="59">
        <f>SUM(D61:D65)</f>
        <v>135.45209000000003</v>
      </c>
      <c r="F66" s="59">
        <f>SUM(F61:F65)</f>
        <v>51.884519999999995</v>
      </c>
      <c r="G66" s="59">
        <f>SUM(G61:G65)</f>
        <v>136.64147</v>
      </c>
      <c r="I66" s="59">
        <f>SUM(I61:I65)</f>
        <v>93.123750000000001</v>
      </c>
      <c r="J66" s="59">
        <f>SUM(J61:J65)</f>
        <v>220.20904000000002</v>
      </c>
      <c r="K66" s="59">
        <f>SUM(K61:K65)</f>
        <v>245.96876999999998</v>
      </c>
      <c r="M66" s="59">
        <f>SUM(M61:M65)</f>
        <v>25.759729999999976</v>
      </c>
      <c r="N66" s="146">
        <f>K66/J66-1</f>
        <v>0.11697853094496002</v>
      </c>
    </row>
    <row r="67" spans="2:14" ht="3.95" customHeight="1" x14ac:dyDescent="0.2"/>
    <row r="68" spans="2:14" x14ac:dyDescent="0.2">
      <c r="B68" s="104" t="str">
        <f>+'P&amp;L Forecast'!B103</f>
        <v>Steady-State Adj. EBITDA</v>
      </c>
      <c r="C68" s="105">
        <f>+C66+C58</f>
        <v>63.295540000000074</v>
      </c>
      <c r="D68" s="106">
        <f>+D66+D58</f>
        <v>216.45082999999985</v>
      </c>
      <c r="F68" s="110">
        <f>+F66+F58</f>
        <v>115.16392749999972</v>
      </c>
      <c r="G68" s="106">
        <f>+G66+G58</f>
        <v>228.84312750000032</v>
      </c>
      <c r="I68" s="110">
        <f>+I66+I58</f>
        <v>111.91545999999991</v>
      </c>
      <c r="J68" s="105">
        <f>+J66+J58</f>
        <v>330.13002999999998</v>
      </c>
      <c r="K68" s="106">
        <f>+K66+K58</f>
        <v>449.1103800000003</v>
      </c>
      <c r="L68" s="71"/>
      <c r="M68" s="110">
        <f>+M66+M58</f>
        <v>118.98035000000054</v>
      </c>
      <c r="N68" s="112">
        <f t="shared" ref="N68" si="19">IFERROR(K68/J68-1,0)</f>
        <v>0.36040450485525466</v>
      </c>
    </row>
    <row r="69" spans="2:14" x14ac:dyDescent="0.2">
      <c r="B69" s="107" t="s">
        <v>305</v>
      </c>
      <c r="C69" s="108">
        <f>C68/C$16</f>
        <v>5.5768673568460297E-2</v>
      </c>
      <c r="D69" s="109">
        <f>D68/D$16</f>
        <v>0.11517121045989162</v>
      </c>
      <c r="E69" s="97"/>
      <c r="F69" s="111">
        <f>F68/F$16</f>
        <v>0.1154093917352815</v>
      </c>
      <c r="G69" s="109">
        <f>G68/G$16</f>
        <v>0.1369480695397523</v>
      </c>
      <c r="H69" s="97"/>
      <c r="I69" s="111">
        <f>I68/I$16</f>
        <v>7.3415558989961077E-2</v>
      </c>
      <c r="J69" s="108">
        <f>J68/J$16</f>
        <v>0.12933437449068938</v>
      </c>
      <c r="K69" s="109">
        <f>K68/K$16</f>
        <v>0.14613363355839462</v>
      </c>
      <c r="L69" s="103"/>
      <c r="M69" s="111">
        <f>M68/M$16</f>
        <v>0.22847694639251157</v>
      </c>
      <c r="N69" s="113">
        <v>0</v>
      </c>
    </row>
  </sheetData>
  <conditionalFormatting sqref="A7:XFD52 A53 C53:N53 O53:XFD54 A54:C54 D54:N55 C55 A56:XFD74">
    <cfRule type="expression" dxfId="1" priority="1">
      <formula>$Q$3=1</formula>
    </cfRule>
  </conditionalFormatting>
  <pageMargins left="0.7" right="0.7" top="0.75" bottom="0.75" header="0.3" footer="0.3"/>
  <pageSetup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="115" zoomScaleNormal="115" workbookViewId="0">
      <pane ySplit="5" topLeftCell="A6" activePane="bottomLeft" state="frozen"/>
      <selection pane="bottomLeft" activeCell="I172" sqref="I172"/>
    </sheetView>
  </sheetViews>
  <sheetFormatPr defaultRowHeight="12" x14ac:dyDescent="0.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 x14ac:dyDescent="0.25">
      <c r="B2" s="37" t="str">
        <f>+Cover!B24</f>
        <v>Keystone Bookkeepers</v>
      </c>
    </row>
    <row r="3" spans="1:46" x14ac:dyDescent="0.2">
      <c r="B3" s="38" t="s">
        <v>465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 x14ac:dyDescent="0.2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 x14ac:dyDescent="0.2">
      <c r="A6" s="143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 x14ac:dyDescent="0.2">
      <c r="B7" s="56" t="s">
        <v>274</v>
      </c>
      <c r="C7" s="48">
        <f t="shared" ref="C7:D14" si="1">SUMIFS($P7:$AT7,$P$5:$AT$5,"&gt;"&amp;C$172,$P$5:$AT$5,"&lt;"&amp;C$173)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SUMIFS($P7:$AT7,$P$5:$AT$5,"&gt;"&amp;F$172,$P$5:$AT$5,"&lt;"&amp;F$173)</f>
        <v>751.52859999999987</v>
      </c>
      <c r="G7" s="48">
        <f t="shared" si="2"/>
        <v>1261.47685</v>
      </c>
      <c r="H7" s="48"/>
      <c r="I7" s="48">
        <f t="shared" ref="I7:J14" si="3">SUMIFS($P7:$AT7,$P$5:$AT$5,"&gt;"&amp;I$172,$P$5:$AT$5,"&lt;"&amp;I$173)</f>
        <v>1152.3202500000002</v>
      </c>
      <c r="J7" s="48">
        <f t="shared" si="3"/>
        <v>1960.4406000000001</v>
      </c>
      <c r="K7" s="50">
        <f>+C108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 x14ac:dyDescent="0.2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+C110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 x14ac:dyDescent="0.2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+C109</f>
        <v>119.706</v>
      </c>
      <c r="L9" s="65"/>
      <c r="M9" s="23">
        <f t="shared" si="4"/>
        <v>-13.029999999999987</v>
      </c>
      <c r="N9" s="66">
        <f t="shared" ref="N9:N15" si="5">IFERROR(K9/J9-1,0)</f>
        <v>-9.8164778206364378E-2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 x14ac:dyDescent="0.2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+C111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 x14ac:dyDescent="0.2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+C113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 x14ac:dyDescent="0.2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+C112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 x14ac:dyDescent="0.2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+C114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 x14ac:dyDescent="0.2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+C115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 x14ac:dyDescent="0.2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3046.4493000000002</v>
      </c>
      <c r="L15" s="71"/>
      <c r="M15" s="63">
        <f>SUM(M7:M14)</f>
        <v>577.42331000000013</v>
      </c>
      <c r="N15" s="87">
        <f t="shared" si="5"/>
        <v>0.23386684155560467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 x14ac:dyDescent="0.2"/>
    <row r="17" spans="2:46" ht="12" customHeight="1" x14ac:dyDescent="0.2">
      <c r="B17" s="57" t="s">
        <v>15</v>
      </c>
      <c r="C17" s="23">
        <f t="shared" ref="C17:D21" si="7">SUMIFS($P17:$AT17,$P$5:$AT$5,"&gt;"&amp;C$172,$P$5:$AT$5,"&lt;"&amp;C$173)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SUMIFS($P17:$AT17,$P$5:$AT$5,"&gt;"&amp;F$172,$P$5:$AT$5,"&lt;"&amp;F$173)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SUMIFS($P17:$AT17,$P$5:$AT$5,"&gt;"&amp;I$172,$P$5:$AT$5,"&lt;"&amp;I$173)</f>
        <v>18.329350000000002</v>
      </c>
      <c r="J17" s="23">
        <f t="shared" si="9"/>
        <v>16.836220000000001</v>
      </c>
      <c r="K17" s="65">
        <f>+C120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 x14ac:dyDescent="0.2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+C118</f>
        <v>10</v>
      </c>
      <c r="L18" s="65"/>
      <c r="M18" s="23">
        <f>K18-J18</f>
        <v>-28.761499999999998</v>
      </c>
      <c r="N18" s="88">
        <f t="shared" ref="N18:N22" si="10">IFERROR(K18/J18-1,0)</f>
        <v>-0.74201204803735665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 x14ac:dyDescent="0.2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+C119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 x14ac:dyDescent="0.2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+C121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 x14ac:dyDescent="0.2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+C122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 x14ac:dyDescent="0.2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26.836220000000001</v>
      </c>
      <c r="L22" s="71"/>
      <c r="M22" s="59">
        <f t="shared" si="12"/>
        <v>-56.669019999999996</v>
      </c>
      <c r="N22" s="89">
        <f t="shared" si="10"/>
        <v>-0.6786283112293312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 x14ac:dyDescent="0.2"/>
    <row r="24" spans="2:46" x14ac:dyDescent="0.2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3073.2855200000004</v>
      </c>
      <c r="L24" s="71"/>
      <c r="M24" s="63">
        <f>+M22+M15</f>
        <v>520.75429000000008</v>
      </c>
      <c r="N24" s="87">
        <f>IFERROR(K24/J24-1,0)</f>
        <v>0.2040148554813177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 x14ac:dyDescent="0.2"/>
    <row r="26" spans="2:46" x14ac:dyDescent="0.2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 x14ac:dyDescent="0.2">
      <c r="B27" s="56" t="s">
        <v>63</v>
      </c>
      <c r="C27" s="23">
        <f t="shared" ref="C27:D35" si="45">SUMIFS($P27:$AT27,$P$5:$AT$5,"&gt;"&amp;C$172,$P$5:$AT$5,"&lt;"&amp;C$173)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SUMIFS($P27:$AT27,$P$5:$AT$5,"&gt;"&amp;F$172,$P$5:$AT$5,"&lt;"&amp;F$173)</f>
        <v>136.29648</v>
      </c>
      <c r="G27" s="23">
        <f t="shared" si="46"/>
        <v>357.27472</v>
      </c>
      <c r="H27" s="23"/>
      <c r="I27" s="23">
        <f t="shared" ref="I27:J35" si="47">SUMIFS($P27:$AT27,$P$5:$AT$5,"&gt;"&amp;I$172,$P$5:$AT$5,"&lt;"&amp;I$173)</f>
        <v>202.41598000000002</v>
      </c>
      <c r="J27" s="23">
        <f t="shared" si="47"/>
        <v>502.21877999999998</v>
      </c>
      <c r="K27" s="65">
        <f>+C126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 x14ac:dyDescent="0.2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+C127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 x14ac:dyDescent="0.2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+C129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 x14ac:dyDescent="0.2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+C133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 x14ac:dyDescent="0.2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+C128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 x14ac:dyDescent="0.2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+C130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 x14ac:dyDescent="0.2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+C131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 x14ac:dyDescent="0.2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+C132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 x14ac:dyDescent="0.2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+C134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 x14ac:dyDescent="0.2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 x14ac:dyDescent="0.2">
      <c r="K37" s="45"/>
      <c r="L37" s="45"/>
      <c r="N37" s="91"/>
    </row>
    <row r="38" spans="2:46" x14ac:dyDescent="0.2">
      <c r="B38" s="57" t="s">
        <v>44</v>
      </c>
      <c r="C38" s="23">
        <f t="shared" ref="C38:D41" si="52">SUMIFS($P38:$AT38,$P$5:$AT$5,"&gt;"&amp;C$172,$P$5:$AT$5,"&lt;"&amp;C$173)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SUMIFS($P38:$AT38,$P$5:$AT$5,"&gt;"&amp;F$172,$P$5:$AT$5,"&lt;"&amp;F$173)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SUMIFS($P38:$AT38,$P$5:$AT$5,"&gt;"&amp;I$172,$P$5:$AT$5,"&lt;"&amp;I$173)</f>
        <v>142.28344999999999</v>
      </c>
      <c r="J38" s="23">
        <f t="shared" si="54"/>
        <v>224.80769000000001</v>
      </c>
      <c r="K38" s="65">
        <f>+C138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 x14ac:dyDescent="0.2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+C139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 x14ac:dyDescent="0.2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+C140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 x14ac:dyDescent="0.2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+C141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 x14ac:dyDescent="0.2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 x14ac:dyDescent="0.2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 x14ac:dyDescent="0.2">
      <c r="B44" s="57" t="s">
        <v>67</v>
      </c>
      <c r="C44" s="23">
        <f t="shared" ref="C44:D61" si="62">SUMIFS($P44:$AT44,$P$5:$AT$5,"&gt;"&amp;C$172,$P$5:$AT$5,"&lt;"&amp;C$173)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SUMIFS($P44:$AT44,$P$5:$AT$5,"&gt;"&amp;F$172,$P$5:$AT$5,"&lt;"&amp;F$173)</f>
        <v>12.014000000000001</v>
      </c>
      <c r="G44" s="23">
        <f t="shared" si="63"/>
        <v>57.55</v>
      </c>
      <c r="H44" s="23"/>
      <c r="I44" s="23">
        <f t="shared" ref="I44:J61" si="64">SUMIFS($P44:$AT44,$P$5:$AT$5,"&gt;"&amp;I$172,$P$5:$AT$5,"&lt;"&amp;I$173)</f>
        <v>21.74858</v>
      </c>
      <c r="J44" s="23">
        <f t="shared" si="64"/>
        <v>72.576949999999997</v>
      </c>
      <c r="K44" s="65">
        <f t="shared" ref="K44:K49" si="65">+C145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 x14ac:dyDescent="0.2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 x14ac:dyDescent="0.2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 x14ac:dyDescent="0.2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 x14ac:dyDescent="0.2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 x14ac:dyDescent="0.2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 x14ac:dyDescent="0.2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+C151</f>
        <v>10</v>
      </c>
      <c r="L50" s="65"/>
      <c r="M50" s="23">
        <f>K50-J50</f>
        <v>-22.103000000000002</v>
      </c>
      <c r="N50" s="66">
        <f>IFERROR(K50/J50-1,0)</f>
        <v>-0.68850263215275831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 x14ac:dyDescent="0.2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+C152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 x14ac:dyDescent="0.2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+C153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 x14ac:dyDescent="0.2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 x14ac:dyDescent="0.2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 x14ac:dyDescent="0.2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 x14ac:dyDescent="0.2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 x14ac:dyDescent="0.2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 x14ac:dyDescent="0.2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+C160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 x14ac:dyDescent="0.2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+C159</f>
        <v>1.3459299999999998</v>
      </c>
      <c r="L59" s="65"/>
      <c r="M59" s="23">
        <f t="shared" si="66"/>
        <v>-1.9721300000000002</v>
      </c>
      <c r="N59" s="66">
        <f t="shared" ref="N59" si="81">IFERROR(K59/J59-1,0)</f>
        <v>-0.59436236837187995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 x14ac:dyDescent="0.2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+C161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 x14ac:dyDescent="0.2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+C162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 x14ac:dyDescent="0.2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249.92694</v>
      </c>
      <c r="L62" s="71"/>
      <c r="M62" s="59">
        <f>SUM(M44:M61)</f>
        <v>-23.315580000000001</v>
      </c>
      <c r="N62" s="90">
        <f t="shared" ref="N62:N64" si="83">IFERROR(K62/J62-1,0)</f>
        <v>-8.5329252562888147E-2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 x14ac:dyDescent="0.2"/>
    <row r="64" spans="2:46" x14ac:dyDescent="0.2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96.508440000000348</v>
      </c>
      <c r="L64" s="71"/>
      <c r="M64" s="110">
        <f>M24-M36-M42-M62</f>
        <v>-6.7793799999999003</v>
      </c>
      <c r="N64" s="112">
        <f t="shared" si="83"/>
        <v>-6.5635812625337686E-2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 x14ac:dyDescent="0.2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3.1402367066760639E-2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 x14ac:dyDescent="0.2"/>
    <row r="67" spans="1:46" s="97" customFormat="1" ht="12" customHeight="1" x14ac:dyDescent="0.2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 x14ac:dyDescent="0.2"/>
    <row r="69" spans="1:46" x14ac:dyDescent="0.2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 x14ac:dyDescent="0.2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96.508440000000348</v>
      </c>
      <c r="L70" s="6"/>
      <c r="M70" s="65">
        <f>+M64</f>
        <v>-6.7793799999999003</v>
      </c>
      <c r="N70" s="66">
        <f t="shared" ref="N70:N74" si="87">IFERROR(K70/J70-1,0)</f>
        <v>-6.5635812625337686E-2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 x14ac:dyDescent="0.2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 x14ac:dyDescent="0.2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 x14ac:dyDescent="0.2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 x14ac:dyDescent="0.2">
      <c r="B74" s="92" t="s">
        <v>334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109.59991000000035</v>
      </c>
      <c r="L74" s="71"/>
      <c r="M74" s="59">
        <f>SUM(M70:M73)</f>
        <v>-6.7793799999999003</v>
      </c>
      <c r="N74" s="90">
        <f t="shared" si="87"/>
        <v>-5.8252460553760099E-2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 x14ac:dyDescent="0.2">
      <c r="B75" s="129" t="s">
        <v>305</v>
      </c>
      <c r="C75" s="130">
        <f>C74/C$24</f>
        <v>0.14072801397504611</v>
      </c>
      <c r="D75" s="130">
        <f>D74/D$24</f>
        <v>7.9313141434870629E-2</v>
      </c>
      <c r="F75" s="130">
        <f>F74/F$24</f>
        <v>0.11104319777735239</v>
      </c>
      <c r="G75" s="130">
        <f>G74/G$24</f>
        <v>4.6753763507010167E-2</v>
      </c>
      <c r="I75" s="130">
        <f>I74/I$24</f>
        <v>9.6768990691582957E-2</v>
      </c>
      <c r="J75" s="130">
        <f>J74/J$24</f>
        <v>4.5593679180959502E-2</v>
      </c>
      <c r="K75" s="130">
        <f>K74/K$24</f>
        <v>3.5662130734927723E-2</v>
      </c>
      <c r="L75" s="103"/>
      <c r="M75" s="130">
        <v>0</v>
      </c>
      <c r="N75" s="131">
        <v>0</v>
      </c>
      <c r="P75" s="130">
        <f t="shared" ref="P75:AT75" si="94">P74/P$24</f>
        <v>0.39907678731874074</v>
      </c>
      <c r="Q75" s="130">
        <f t="shared" si="94"/>
        <v>0.29112505338087064</v>
      </c>
      <c r="R75" s="130">
        <f t="shared" si="94"/>
        <v>0.23055348588312713</v>
      </c>
      <c r="S75" s="130">
        <f t="shared" si="94"/>
        <v>0.11456894927975236</v>
      </c>
      <c r="T75" s="130">
        <f t="shared" si="94"/>
        <v>1.0771856670157455E-2</v>
      </c>
      <c r="U75" s="130">
        <f t="shared" si="94"/>
        <v>0.13901116377766753</v>
      </c>
      <c r="V75" s="130">
        <f t="shared" si="94"/>
        <v>0.24872554559258261</v>
      </c>
      <c r="W75" s="130">
        <f t="shared" si="94"/>
        <v>0.27722551846845006</v>
      </c>
      <c r="X75" s="130">
        <f t="shared" si="94"/>
        <v>0.13527902798285099</v>
      </c>
      <c r="Y75" s="130">
        <f t="shared" si="94"/>
        <v>0.11999981828992633</v>
      </c>
      <c r="Z75" s="130">
        <f t="shared" si="94"/>
        <v>-0.10520518174652793</v>
      </c>
      <c r="AA75" s="130">
        <f t="shared" si="94"/>
        <v>-5.0605238706767766E-2</v>
      </c>
      <c r="AB75" s="130">
        <f t="shared" si="94"/>
        <v>0.16559222371144891</v>
      </c>
      <c r="AC75" s="130">
        <f t="shared" si="94"/>
        <v>6.0338600310165809E-2</v>
      </c>
      <c r="AD75" s="130">
        <f t="shared" si="94"/>
        <v>0.15273468961636139</v>
      </c>
      <c r="AE75" s="130">
        <f t="shared" si="94"/>
        <v>3.4404702020069261E-3</v>
      </c>
      <c r="AF75" s="130">
        <f t="shared" si="94"/>
        <v>0.10363218633312275</v>
      </c>
      <c r="AG75" s="130">
        <f t="shared" si="94"/>
        <v>0.17816113769298694</v>
      </c>
      <c r="AH75" s="130">
        <f t="shared" si="94"/>
        <v>0.10311938194672461</v>
      </c>
      <c r="AI75" s="130">
        <f t="shared" si="94"/>
        <v>0.11451660602281841</v>
      </c>
      <c r="AJ75" s="130">
        <f t="shared" si="94"/>
        <v>2.978459469408426E-2</v>
      </c>
      <c r="AK75" s="130">
        <f t="shared" si="94"/>
        <v>1.4553494159700791E-2</v>
      </c>
      <c r="AL75" s="130">
        <f t="shared" si="94"/>
        <v>7.4466546366905945E-2</v>
      </c>
      <c r="AM75" s="130">
        <f t="shared" si="94"/>
        <v>-5.4830976375106382E-3</v>
      </c>
      <c r="AN75" s="130">
        <f t="shared" si="94"/>
        <v>0.15050224802767362</v>
      </c>
      <c r="AO75" s="130">
        <f t="shared" si="94"/>
        <v>0.29138294669808606</v>
      </c>
      <c r="AP75" s="130">
        <f t="shared" si="94"/>
        <v>-3.7802616769624181E-2</v>
      </c>
      <c r="AQ75" s="130">
        <f t="shared" si="94"/>
        <v>-3.8442536511919E-2</v>
      </c>
      <c r="AR75" s="130">
        <f t="shared" si="94"/>
        <v>-2.316420243230245E-4</v>
      </c>
      <c r="AS75" s="130">
        <f t="shared" si="94"/>
        <v>4.019029548770469E-2</v>
      </c>
      <c r="AT75" s="130">
        <f t="shared" si="94"/>
        <v>-6.4404038009615944E-2</v>
      </c>
    </row>
    <row r="76" spans="1:46" ht="3.95" customHeight="1" x14ac:dyDescent="0.2"/>
    <row r="77" spans="1:46" x14ac:dyDescent="0.2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 x14ac:dyDescent="0.2">
      <c r="B78" s="123" t="s">
        <v>320</v>
      </c>
      <c r="C78" s="23">
        <f>SUMIFS($P78:$AT78,$P$5:$AT$5,"&gt;"&amp;C$172,$P$5:$AT$5,"&lt;"&amp;C$173)</f>
        <v>0</v>
      </c>
      <c r="D78" s="23">
        <f>SUMIFS($P78:$AT78,$P$5:$AT$5,"&gt;"&amp;D$172,$P$5:$AT$5,"&lt;"&amp;D$173)</f>
        <v>29.761219999999998</v>
      </c>
      <c r="E78" s="23"/>
      <c r="F78" s="23">
        <f>SUMIFS($P78:$AT78,$P$5:$AT$5,"&gt;"&amp;F$172,$P$5:$AT$5,"&lt;"&amp;F$173)</f>
        <v>22.295579999999998</v>
      </c>
      <c r="G78" s="23">
        <f>SUMIFS($P78:$AT78,$P$5:$AT$5,"&gt;"&amp;G$172,$P$5:$AT$5,"&lt;"&amp;G$173)</f>
        <v>20.685420000000001</v>
      </c>
      <c r="H78" s="23"/>
      <c r="I78" s="23">
        <f>SUMIFS($P78:$AT78,$P$5:$AT$5,"&gt;"&amp;I$172,$P$5:$AT$5,"&lt;"&amp;I$173)</f>
        <v>22.295579999999998</v>
      </c>
      <c r="J78" s="23">
        <f>SUMIFS($P78:$AT78,$P$5:$AT$5,"&gt;"&amp;J$172,$P$5:$AT$5,"&lt;"&amp;J$173)</f>
        <v>28.151060000000001</v>
      </c>
      <c r="K78" s="65">
        <f>+C147</f>
        <v>28.151060000000001</v>
      </c>
      <c r="L78" s="65"/>
      <c r="M78" s="23">
        <f t="shared" ref="M78:M79" si="95">K78-J78</f>
        <v>0</v>
      </c>
      <c r="N78" s="66">
        <f t="shared" ref="N78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6.9100000000000003E-3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11.40629</v>
      </c>
      <c r="AF78" s="53">
        <f>SUMIFS('Combined P&amp;L'!AD:AD,'Combined P&amp;L'!$D:$D,'P&amp;L Forecast'!$B78)</f>
        <v>10.784719999999997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9.7659999999999997E-2</v>
      </c>
      <c r="AI78" s="53">
        <f>SUMIFS('Combined P&amp;L'!AG:AG,'Combined P&amp;L'!$D:$D,'P&amp;L Forecast'!$B78)</f>
        <v>0.92152000000000001</v>
      </c>
      <c r="AJ78" s="53">
        <f>SUMIFS('Combined P&amp;L'!AH:AH,'Combined P&amp;L'!$D:$D,'P&amp;L Forecast'!$B78)</f>
        <v>2.9642300000000006</v>
      </c>
      <c r="AK78" s="53">
        <f>SUMIFS('Combined P&amp;L'!AI:AI,'Combined P&amp;L'!$D:$D,'P&amp;L Forecast'!$B78)</f>
        <v>1.0367900000000001</v>
      </c>
      <c r="AL78" s="53">
        <f>SUMIFS('Combined P&amp;L'!AJ:AJ,'Combined P&amp;L'!$D:$D,'P&amp;L Forecast'!$B78)</f>
        <v>2.11036</v>
      </c>
      <c r="AM78" s="53">
        <f>SUMIFS('Combined P&amp;L'!AK:AK,'Combined P&amp;L'!$D:$D,'P&amp;L Forecast'!$B78)</f>
        <v>0.43274000000000001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9.7651000000000003</v>
      </c>
      <c r="AR78" s="53">
        <f>SUMIFS('Combined P&amp;L'!AP:AP,'Combined P&amp;L'!$D:$D,'P&amp;L Forecast'!$B78)</f>
        <v>10.254430000000001</v>
      </c>
      <c r="AS78" s="53">
        <f>SUMIFS('Combined P&amp;L'!AQ:AQ,'Combined P&amp;L'!$D:$D,'P&amp;L Forecast'!$B78)</f>
        <v>0.65590000000000004</v>
      </c>
      <c r="AT78" s="53">
        <f>SUMIFS('Combined P&amp;L'!AR:AR,'Combined P&amp;L'!$D:$D,'P&amp;L Forecast'!$B78)</f>
        <v>9.9900000000000006E-3</v>
      </c>
    </row>
    <row r="79" spans="1:46" x14ac:dyDescent="0.2">
      <c r="B79" s="123" t="s">
        <v>321</v>
      </c>
      <c r="C79" s="23">
        <f>SUMIFS($P79:$AT79,$P$5:$AT$5,"&gt;"&amp;C$172,$P$5:$AT$5,"&lt;"&amp;C$173)</f>
        <v>0</v>
      </c>
      <c r="D79" s="23">
        <f>SUMIFS($P79:$AT79,$P$5:$AT$5,"&gt;"&amp;D$172,$P$5:$AT$5,"&lt;"&amp;D$173)</f>
        <v>2.7040000000000002</v>
      </c>
      <c r="E79" s="23"/>
      <c r="F79" s="23">
        <f>SUMIFS($P79:$AT79,$P$5:$AT$5,"&gt;"&amp;F$172,$P$5:$AT$5,"&lt;"&amp;F$173)</f>
        <v>0</v>
      </c>
      <c r="G79" s="23">
        <f>SUMIFS($P79:$AT79,$P$5:$AT$5,"&gt;"&amp;G$172,$P$5:$AT$5,"&lt;"&amp;G$173)</f>
        <v>0</v>
      </c>
      <c r="H79" s="23"/>
      <c r="I79" s="23">
        <f>SUMIFS($P79:$AT79,$P$5:$AT$5,"&gt;"&amp;I$172,$P$5:$AT$5,"&lt;"&amp;I$173)</f>
        <v>0</v>
      </c>
      <c r="J79" s="23">
        <f>SUMIFS($P79:$AT79,$P$5:$AT$5,"&gt;"&amp;J$172,$P$5:$AT$5,"&lt;"&amp;J$173)</f>
        <v>2.7040000000000002</v>
      </c>
      <c r="K79" s="65">
        <f>J79</f>
        <v>2.7040000000000002</v>
      </c>
      <c r="L79" s="65"/>
      <c r="M79" s="23">
        <f t="shared" si="95"/>
        <v>0</v>
      </c>
      <c r="N79" s="66">
        <f t="shared" ref="N79:N80" si="97">IFERROR(K79/J79-1,0)</f>
        <v>0</v>
      </c>
      <c r="O79" s="52"/>
      <c r="P79" s="53">
        <f>SUMIFS('Combined P&amp;L'!N:N,'Combined P&amp;L'!$D:$D,'P&amp;L Forecast'!$B79)</f>
        <v>0</v>
      </c>
      <c r="Q79" s="53">
        <f>SUMIFS('Combined P&amp;L'!O:O,'Combined P&amp;L'!$D:$D,'P&amp;L Forecast'!$B79)</f>
        <v>0</v>
      </c>
      <c r="R79" s="53">
        <f>SUMIFS('Combined P&amp;L'!P:P,'Combined P&amp;L'!$D:$D,'P&amp;L Forecast'!$B79)</f>
        <v>0</v>
      </c>
      <c r="S79" s="53">
        <f>SUMIFS('Combined P&amp;L'!Q:Q,'Combined P&amp;L'!$D:$D,'P&amp;L Forecast'!$B79)</f>
        <v>0</v>
      </c>
      <c r="T79" s="53">
        <f>SUMIFS('Combined P&amp;L'!R:R,'Combined P&amp;L'!$D:$D,'P&amp;L Forecast'!$B79)</f>
        <v>0</v>
      </c>
      <c r="U79" s="53">
        <f>SUMIFS('Combined P&amp;L'!S:S,'Combined P&amp;L'!$D:$D,'P&amp;L Forecast'!$B79)</f>
        <v>0</v>
      </c>
      <c r="V79" s="53">
        <f>SUMIFS('Combined P&amp;L'!T:T,'Combined P&amp;L'!$D:$D,'P&amp;L Forecast'!$B79)</f>
        <v>0</v>
      </c>
      <c r="W79" s="53">
        <f>SUMIFS('Combined P&amp;L'!U:U,'Combined P&amp;L'!$D:$D,'P&amp;L Forecast'!$B79)</f>
        <v>0</v>
      </c>
      <c r="X79" s="53">
        <f>SUMIFS('Combined P&amp;L'!V:V,'Combined P&amp;L'!$D:$D,'P&amp;L Forecast'!$B79)</f>
        <v>0</v>
      </c>
      <c r="Y79" s="53">
        <f>SUMIFS('Combined P&amp;L'!W:W,'Combined P&amp;L'!$D:$D,'P&amp;L Forecast'!$B79)</f>
        <v>0</v>
      </c>
      <c r="Z79" s="53">
        <f>SUMIFS('Combined P&amp;L'!X:X,'Combined P&amp;L'!$D:$D,'P&amp;L Forecast'!$B79)</f>
        <v>0</v>
      </c>
      <c r="AA79" s="53">
        <f>SUMIFS('Combined P&amp;L'!Y:Y,'Combined P&amp;L'!$D:$D,'P&amp;L Forecast'!$B79)</f>
        <v>0</v>
      </c>
      <c r="AB79" s="53">
        <f>SUMIFS('Combined P&amp;L'!Z:Z,'Combined P&amp;L'!$D:$D,'P&amp;L Forecast'!$B79)</f>
        <v>0</v>
      </c>
      <c r="AC79" s="53">
        <f>SUMIFS('Combined P&amp;L'!AA:AA,'Combined P&amp;L'!$D:$D,'P&amp;L Forecast'!$B79)</f>
        <v>0</v>
      </c>
      <c r="AD79" s="53">
        <f>SUMIFS('Combined P&amp;L'!AB:AB,'Combined P&amp;L'!$D:$D,'P&amp;L Forecast'!$B79)</f>
        <v>0</v>
      </c>
      <c r="AE79" s="53">
        <f>SUMIFS('Combined P&amp;L'!AC:AC,'Combined P&amp;L'!$D:$D,'P&amp;L Forecast'!$B79)</f>
        <v>0</v>
      </c>
      <c r="AF79" s="53">
        <f>SUMIFS('Combined P&amp;L'!AD:AD,'Combined P&amp;L'!$D:$D,'P&amp;L Forecast'!$B79)</f>
        <v>0</v>
      </c>
      <c r="AG79" s="53">
        <f>SUMIFS('Combined P&amp;L'!AE:AE,'Combined P&amp;L'!$D:$D,'P&amp;L Forecast'!$B79)</f>
        <v>0</v>
      </c>
      <c r="AH79" s="53">
        <f>SUMIFS('Combined P&amp;L'!AF:AF,'Combined P&amp;L'!$D:$D,'P&amp;L Forecast'!$B79)</f>
        <v>0</v>
      </c>
      <c r="AI79" s="53">
        <f>SUMIFS('Combined P&amp;L'!AG:AG,'Combined P&amp;L'!$D:$D,'P&amp;L Forecast'!$B79)</f>
        <v>0</v>
      </c>
      <c r="AJ79" s="53">
        <f>SUMIFS('Combined P&amp;L'!AH:AH,'Combined P&amp;L'!$D:$D,'P&amp;L Forecast'!$B79)</f>
        <v>0</v>
      </c>
      <c r="AK79" s="53">
        <f>SUMIFS('Combined P&amp;L'!AI:AI,'Combined P&amp;L'!$D:$D,'P&amp;L Forecast'!$B79)</f>
        <v>0</v>
      </c>
      <c r="AL79" s="53">
        <f>SUMIFS('Combined P&amp;L'!AJ:AJ,'Combined P&amp;L'!$D:$D,'P&amp;L Forecast'!$B79)</f>
        <v>0</v>
      </c>
      <c r="AM79" s="53">
        <f>SUMIFS('Combined P&amp;L'!AK:AK,'Combined P&amp;L'!$D:$D,'P&amp;L Forecast'!$B79)</f>
        <v>2.7040000000000002</v>
      </c>
      <c r="AN79" s="53">
        <f>SUMIFS('Combined P&amp;L'!AL:AL,'Combined P&amp;L'!$D:$D,'P&amp;L Forecast'!$B79)</f>
        <v>0</v>
      </c>
      <c r="AO79" s="53">
        <f>SUMIFS('Combined P&amp;L'!AM:AM,'Combined P&amp;L'!$D:$D,'P&amp;L Forecast'!$B79)</f>
        <v>0</v>
      </c>
      <c r="AP79" s="53">
        <f>SUMIFS('Combined P&amp;L'!AN:AN,'Combined P&amp;L'!$D:$D,'P&amp;L Forecast'!$B79)</f>
        <v>0</v>
      </c>
      <c r="AQ79" s="53">
        <f>SUMIFS('Combined P&amp;L'!AO:AO,'Combined P&amp;L'!$D:$D,'P&amp;L Forecast'!$B79)</f>
        <v>0</v>
      </c>
      <c r="AR79" s="53">
        <f>SUMIFS('Combined P&amp;L'!AP:AP,'Combined P&amp;L'!$D:$D,'P&amp;L Forecast'!$B79)</f>
        <v>0</v>
      </c>
      <c r="AS79" s="53">
        <f>SUMIFS('Combined P&amp;L'!AQ:AQ,'Combined P&amp;L'!$D:$D,'P&amp;L Forecast'!$B79)</f>
        <v>0</v>
      </c>
      <c r="AT79" s="53">
        <f>SUMIFS('Combined P&amp;L'!AR:AR,'Combined P&amp;L'!$D:$D,'P&amp;L Forecast'!$B79)</f>
        <v>0</v>
      </c>
    </row>
    <row r="80" spans="1:46" x14ac:dyDescent="0.2">
      <c r="B80" s="104" t="s">
        <v>310</v>
      </c>
      <c r="C80" s="105">
        <f>+C74+C78+C79</f>
        <v>159.7214900000001</v>
      </c>
      <c r="D80" s="106">
        <f t="shared" ref="D80" si="98">+D74+D78+D79</f>
        <v>181.52499999999986</v>
      </c>
      <c r="F80" s="110">
        <f t="shared" ref="F80:G80" si="99">+F74+F78+F79</f>
        <v>133.10259999999971</v>
      </c>
      <c r="G80" s="106">
        <f t="shared" si="99"/>
        <v>98.811950000000337</v>
      </c>
      <c r="I80" s="110">
        <f t="shared" ref="I80:K80" si="100">+I74+I78+I79</f>
        <v>169.81125999999992</v>
      </c>
      <c r="J80" s="105">
        <f t="shared" si="100"/>
        <v>147.23434999999995</v>
      </c>
      <c r="K80" s="106">
        <f t="shared" si="100"/>
        <v>140.45497000000034</v>
      </c>
      <c r="L80" s="71"/>
      <c r="M80" s="110">
        <f>+M74+M78+M79</f>
        <v>-6.7793799999999003</v>
      </c>
      <c r="N80" s="112">
        <f t="shared" si="97"/>
        <v>-4.6044825816798918E-2</v>
      </c>
      <c r="P80" s="110">
        <f t="shared" ref="P80" si="101">+P74+P78+P79</f>
        <v>32.29054</v>
      </c>
      <c r="Q80" s="105">
        <f t="shared" ref="Q80" si="102">+Q74+Q78+Q79</f>
        <v>23.655570000000012</v>
      </c>
      <c r="R80" s="105">
        <f t="shared" ref="R80" si="103">+R74+R78+R79</f>
        <v>18.009040000000002</v>
      </c>
      <c r="S80" s="105">
        <f t="shared" ref="S80" si="104">+S74+S78+S79</f>
        <v>9.5496999999999819</v>
      </c>
      <c r="T80" s="105">
        <f t="shared" ref="T80" si="105">+T74+T78+T79</f>
        <v>0.97158000000002254</v>
      </c>
      <c r="U80" s="105">
        <f t="shared" ref="U80" si="106">+U74+U78+U79</f>
        <v>12.499299999999998</v>
      </c>
      <c r="V80" s="105">
        <f t="shared" ref="V80" si="107">+V74+V78+V79</f>
        <v>26.037100000000013</v>
      </c>
      <c r="W80" s="105">
        <f t="shared" ref="W80" si="108">+W74+W78+W79</f>
        <v>28.863819999999997</v>
      </c>
      <c r="X80" s="105">
        <f t="shared" ref="X80" si="109">+X74+X78+X79</f>
        <v>13.307770000000003</v>
      </c>
      <c r="Y80" s="105">
        <f t="shared" ref="Y80" si="110">+Y74+Y78+Y79</f>
        <v>11.887049999999981</v>
      </c>
      <c r="Z80" s="105">
        <f t="shared" ref="Z80" si="111">+Z74+Z78+Z79</f>
        <v>-11.492329999999995</v>
      </c>
      <c r="AA80" s="105">
        <f t="shared" ref="AA80" si="112">+AA74+AA78+AA79</f>
        <v>-5.8576499999999774</v>
      </c>
      <c r="AB80" s="105">
        <f t="shared" ref="AB80" si="113">+AB74+AB78+AB79</f>
        <v>22.968349999999969</v>
      </c>
      <c r="AC80" s="105">
        <f t="shared" ref="AC80" si="114">+AC74+AC78+AC79</f>
        <v>7.7114299999999965</v>
      </c>
      <c r="AD80" s="105">
        <f t="shared" ref="AD80" si="115">+AD74+AD78+AD79</f>
        <v>20.569610000000004</v>
      </c>
      <c r="AE80" s="105">
        <f t="shared" ref="AE80" si="116">+AE74+AE78+AE79</f>
        <v>11.874110000000014</v>
      </c>
      <c r="AF80" s="105">
        <f t="shared" ref="AF80" si="117">+AF74+AF78+AF79</f>
        <v>26.542110000000005</v>
      </c>
      <c r="AG80" s="105">
        <f t="shared" ref="AG80" si="118">+AG74+AG78+AG79</f>
        <v>27.316559999999978</v>
      </c>
      <c r="AH80" s="105">
        <f t="shared" ref="AH80" si="119">+AH74+AH78+AH79</f>
        <v>16.120429999999988</v>
      </c>
      <c r="AI80" s="105">
        <f t="shared" ref="AI80" si="120">+AI74+AI78+AI79</f>
        <v>19.229669999999974</v>
      </c>
      <c r="AJ80" s="105">
        <f t="shared" ref="AJ80" si="121">+AJ74+AJ78+AJ79</f>
        <v>7.848880000000011</v>
      </c>
      <c r="AK80" s="105">
        <f t="shared" ref="AK80" si="122">+AK74+AK78+AK79</f>
        <v>3.6454200000000077</v>
      </c>
      <c r="AL80" s="105">
        <f t="shared" ref="AL80" si="123">+AL74+AL78+AL79</f>
        <v>15.640230000000038</v>
      </c>
      <c r="AM80" s="105">
        <f t="shared" ref="AM80" si="124">+AM74+AM78+AM79</f>
        <v>2.0581999999999891</v>
      </c>
      <c r="AN80" s="105">
        <f t="shared" ref="AN80" si="125">+AN74+AN78+AN79</f>
        <v>31.934469999999948</v>
      </c>
      <c r="AO80" s="105">
        <f t="shared" ref="AO80" si="126">+AO74+AO78+AO79</f>
        <v>70.484479999999976</v>
      </c>
      <c r="AP80" s="105">
        <f t="shared" ref="AP80" si="127">+AP74+AP78+AP79</f>
        <v>-8.7511300000000194</v>
      </c>
      <c r="AQ80" s="105">
        <f t="shared" ref="AQ80" si="128">+AQ74+AQ78+AQ79</f>
        <v>0.52660999999997848</v>
      </c>
      <c r="AR80" s="105">
        <f t="shared" ref="AR80" si="129">+AR74+AR78+AR79</f>
        <v>10.1974</v>
      </c>
      <c r="AS80" s="105">
        <f t="shared" ref="AS80" si="130">+AS74+AS78+AS79</f>
        <v>10.60297000000007</v>
      </c>
      <c r="AT80" s="106">
        <f t="shared" ref="AT80" si="131">+AT74+AT78+AT79</f>
        <v>-16.182849999999998</v>
      </c>
    </row>
    <row r="81" spans="2:46" s="97" customFormat="1" x14ac:dyDescent="0.2">
      <c r="B81" s="107" t="s">
        <v>305</v>
      </c>
      <c r="C81" s="108">
        <f>C80/C$24</f>
        <v>0.14072801397504611</v>
      </c>
      <c r="D81" s="109">
        <f>D80/D$24</f>
        <v>9.6587543594689962E-2</v>
      </c>
      <c r="F81" s="111">
        <f>F80/F$24</f>
        <v>0.13338629932002349</v>
      </c>
      <c r="G81" s="109">
        <f>G80/G$24</f>
        <v>5.9132672882905579E-2</v>
      </c>
      <c r="I81" s="111">
        <f>I80/I$24</f>
        <v>0.11139469538604962</v>
      </c>
      <c r="J81" s="108">
        <f>J80/J$24</f>
        <v>5.7681703663229986E-2</v>
      </c>
      <c r="K81" s="109">
        <f>K80/K$24</f>
        <v>4.5701894303657259E-2</v>
      </c>
      <c r="L81" s="103"/>
      <c r="M81" s="111">
        <v>0</v>
      </c>
      <c r="N81" s="113">
        <v>0</v>
      </c>
      <c r="P81" s="111">
        <f t="shared" ref="P81" si="132">P80/P$24</f>
        <v>0.39907678731874074</v>
      </c>
      <c r="Q81" s="108">
        <f t="shared" ref="Q81" si="133">Q80/Q$24</f>
        <v>0.29112505338087064</v>
      </c>
      <c r="R81" s="108">
        <f t="shared" ref="R81" si="134">R80/R$24</f>
        <v>0.23055348588312713</v>
      </c>
      <c r="S81" s="108">
        <f t="shared" ref="S81" si="135">S80/S$24</f>
        <v>0.11456894927975236</v>
      </c>
      <c r="T81" s="108">
        <f t="shared" ref="T81" si="136">T80/T$24</f>
        <v>1.0771856670157455E-2</v>
      </c>
      <c r="U81" s="108">
        <f t="shared" ref="U81" si="137">U80/U$24</f>
        <v>0.13901116377766753</v>
      </c>
      <c r="V81" s="108">
        <f t="shared" ref="V81" si="138">V80/V$24</f>
        <v>0.24872554559258261</v>
      </c>
      <c r="W81" s="108">
        <f t="shared" ref="W81" si="139">W80/W$24</f>
        <v>0.27722551846845006</v>
      </c>
      <c r="X81" s="108">
        <f t="shared" ref="X81" si="140">X80/X$24</f>
        <v>0.13527902798285099</v>
      </c>
      <c r="Y81" s="108">
        <f t="shared" ref="Y81" si="141">Y80/Y$24</f>
        <v>0.11999981828992633</v>
      </c>
      <c r="Z81" s="108">
        <f t="shared" ref="Z81" si="142">Z80/Z$24</f>
        <v>-0.10520518174652793</v>
      </c>
      <c r="AA81" s="108">
        <f t="shared" ref="AA81" si="143">AA80/AA$24</f>
        <v>-5.0605238706767766E-2</v>
      </c>
      <c r="AB81" s="108">
        <f t="shared" ref="AB81" si="144">AB80/AB$24</f>
        <v>0.16564205692164158</v>
      </c>
      <c r="AC81" s="108">
        <f t="shared" ref="AC81" si="145">AC80/AC$24</f>
        <v>6.0338600310165809E-2</v>
      </c>
      <c r="AD81" s="108">
        <f t="shared" ref="AD81" si="146">AD80/AD$24</f>
        <v>0.15273468961636139</v>
      </c>
      <c r="AE81" s="108">
        <f t="shared" ref="AE81" si="147">AE80/AE$24</f>
        <v>8.7325299539035034E-2</v>
      </c>
      <c r="AF81" s="108">
        <f t="shared" ref="AF81" si="148">AF80/AF$24</f>
        <v>0.17456043730555884</v>
      </c>
      <c r="AG81" s="108">
        <f t="shared" ref="AG81" si="149">AG80/AG$24</f>
        <v>0.17816113769298694</v>
      </c>
      <c r="AH81" s="108">
        <f t="shared" ref="AH81" si="150">AH80/AH$24</f>
        <v>0.10374790241109608</v>
      </c>
      <c r="AI81" s="108">
        <f t="shared" ref="AI81" si="151">AI80/AI$24</f>
        <v>0.12028066972025087</v>
      </c>
      <c r="AJ81" s="108">
        <f t="shared" ref="AJ81" si="152">AJ80/AJ$24</f>
        <v>4.7859254931776868E-2</v>
      </c>
      <c r="AK81" s="108">
        <f t="shared" ref="AK81" si="153">AK80/AK$24</f>
        <v>2.0337724659938904E-2</v>
      </c>
      <c r="AL81" s="108">
        <f t="shared" ref="AL81" si="154">AL80/AL$24</f>
        <v>8.6081677982425039E-2</v>
      </c>
      <c r="AM81" s="108">
        <f t="shared" ref="AM81" si="155">AM80/AM$24</f>
        <v>1.0463507665477609E-2</v>
      </c>
      <c r="AN81" s="108">
        <f t="shared" ref="AN81" si="156">AN80/AN$24</f>
        <v>0.15050224802767362</v>
      </c>
      <c r="AO81" s="108">
        <f t="shared" ref="AO81" si="157">AO80/AO$24</f>
        <v>0.29138294669808606</v>
      </c>
      <c r="AP81" s="108">
        <f t="shared" ref="AP81" si="158">AP80/AP$24</f>
        <v>-3.7802616769624181E-2</v>
      </c>
      <c r="AQ81" s="108">
        <f t="shared" ref="AQ81" si="159">AQ80/AQ$24</f>
        <v>2.1912914505011955E-3</v>
      </c>
      <c r="AR81" s="108">
        <f t="shared" ref="AR81" si="160">AR80/AR$24</f>
        <v>4.1419364875181185E-2</v>
      </c>
      <c r="AS81" s="108">
        <f t="shared" ref="AS81" si="161">AS80/AS$24</f>
        <v>4.2840403993062083E-2</v>
      </c>
      <c r="AT81" s="109">
        <f t="shared" ref="AT81" si="162">AT80/AT$24</f>
        <v>-6.4364304625001756E-2</v>
      </c>
    </row>
    <row r="82" spans="2:46" ht="3.95" customHeight="1" x14ac:dyDescent="0.2"/>
    <row r="83" spans="2:46" x14ac:dyDescent="0.2">
      <c r="B83" s="42" t="s">
        <v>335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 x14ac:dyDescent="0.2">
      <c r="B84" s="123" t="s">
        <v>322</v>
      </c>
      <c r="C84" s="65">
        <f>-$C$165+C$31</f>
        <v>-200</v>
      </c>
      <c r="D84" s="65">
        <f>-$C$165+D$31</f>
        <v>-109.33296</v>
      </c>
      <c r="E84" s="23"/>
      <c r="F84" s="65">
        <f>-$C$165/12*7+F$31</f>
        <v>-71.200546666666668</v>
      </c>
      <c r="G84" s="65">
        <f>-$C$165/12*7+G$31</f>
        <v>-53.523646666666679</v>
      </c>
      <c r="H84" s="23"/>
      <c r="I84" s="65">
        <f>-$C$165+I$31</f>
        <v>-154.53388000000001</v>
      </c>
      <c r="J84" s="65">
        <f>-$C$165+J$31</f>
        <v>-91.656059999999997</v>
      </c>
      <c r="K84" s="65">
        <f>-$C$165+K$31</f>
        <v>-91.656059999999997</v>
      </c>
      <c r="L84" s="65"/>
      <c r="M84" s="23">
        <f t="shared" ref="M84:M89" si="163">K84-J84</f>
        <v>0</v>
      </c>
      <c r="N84" s="66">
        <f t="shared" ref="N84" si="164">IFERROR(K84/J84-1,0)</f>
        <v>0</v>
      </c>
      <c r="P84" s="65">
        <f t="shared" ref="P84:AT84" si="165">-$C$165/12+P$31</f>
        <v>-16.666666666666668</v>
      </c>
      <c r="Q84" s="65">
        <f t="shared" si="165"/>
        <v>-16.666666666666668</v>
      </c>
      <c r="R84" s="65">
        <f t="shared" si="165"/>
        <v>-16.666666666666668</v>
      </c>
      <c r="S84" s="65">
        <f t="shared" si="165"/>
        <v>-16.666666666666668</v>
      </c>
      <c r="T84" s="65">
        <f t="shared" si="165"/>
        <v>-16.666666666666668</v>
      </c>
      <c r="U84" s="65">
        <f t="shared" si="165"/>
        <v>-16.666666666666668</v>
      </c>
      <c r="V84" s="65">
        <f t="shared" si="165"/>
        <v>-16.666666666666668</v>
      </c>
      <c r="W84" s="65">
        <f t="shared" si="165"/>
        <v>-16.666666666666668</v>
      </c>
      <c r="X84" s="65">
        <f t="shared" si="165"/>
        <v>-16.666666666666668</v>
      </c>
      <c r="Y84" s="65">
        <f t="shared" si="165"/>
        <v>-16.666666666666668</v>
      </c>
      <c r="Z84" s="65">
        <f t="shared" si="165"/>
        <v>-16.666666666666668</v>
      </c>
      <c r="AA84" s="65">
        <f t="shared" si="165"/>
        <v>-16.666666666666668</v>
      </c>
      <c r="AB84" s="65">
        <f t="shared" si="165"/>
        <v>-16.666666666666668</v>
      </c>
      <c r="AC84" s="65">
        <f t="shared" si="165"/>
        <v>-16.666666666666668</v>
      </c>
      <c r="AD84" s="65">
        <f t="shared" si="165"/>
        <v>-7.7602766666666678</v>
      </c>
      <c r="AE84" s="65">
        <f t="shared" si="165"/>
        <v>-7.4334366666666689</v>
      </c>
      <c r="AF84" s="65">
        <f t="shared" si="165"/>
        <v>-7.5578266666666671</v>
      </c>
      <c r="AG84" s="65">
        <f t="shared" si="165"/>
        <v>-7.9718766666666667</v>
      </c>
      <c r="AH84" s="65">
        <f t="shared" si="165"/>
        <v>-7.1437966666666668</v>
      </c>
      <c r="AI84" s="65">
        <f t="shared" si="165"/>
        <v>-7.9718566666666675</v>
      </c>
      <c r="AJ84" s="65">
        <f t="shared" si="165"/>
        <v>-7.5578266666666671</v>
      </c>
      <c r="AK84" s="65">
        <f t="shared" si="165"/>
        <v>-7.1437966666666668</v>
      </c>
      <c r="AL84" s="65">
        <f t="shared" si="165"/>
        <v>-8.3859066666666671</v>
      </c>
      <c r="AM84" s="65">
        <f t="shared" si="165"/>
        <v>-7.073026666666669</v>
      </c>
      <c r="AN84" s="65">
        <f t="shared" si="165"/>
        <v>-7.3904566666666689</v>
      </c>
      <c r="AO84" s="65">
        <f t="shared" si="165"/>
        <v>-8.3440366666666694</v>
      </c>
      <c r="AP84" s="65">
        <f t="shared" si="165"/>
        <v>-7.5578366666666685</v>
      </c>
      <c r="AQ84" s="65">
        <f t="shared" si="165"/>
        <v>-7.5578366666666685</v>
      </c>
      <c r="AR84" s="65">
        <f t="shared" si="165"/>
        <v>-7.9718566666666675</v>
      </c>
      <c r="AS84" s="65">
        <f t="shared" si="165"/>
        <v>-7.5578266666666671</v>
      </c>
      <c r="AT84" s="65">
        <f t="shared" si="165"/>
        <v>-7.1437966666666668</v>
      </c>
    </row>
    <row r="85" spans="2:46" ht="12" customHeight="1" x14ac:dyDescent="0.2">
      <c r="B85" s="115" t="s">
        <v>315</v>
      </c>
      <c r="C85" s="116">
        <v>0</v>
      </c>
      <c r="D85" s="116">
        <v>0</v>
      </c>
      <c r="F85" s="116">
        <v>0</v>
      </c>
      <c r="G85" s="116">
        <v>0</v>
      </c>
      <c r="I85" s="116">
        <v>0</v>
      </c>
      <c r="J85" s="116">
        <v>0</v>
      </c>
      <c r="K85" s="116">
        <v>100</v>
      </c>
      <c r="M85" s="23">
        <f t="shared" si="163"/>
        <v>100</v>
      </c>
      <c r="N85" s="66">
        <f t="shared" ref="N85" si="166">IFERROR(K85/J85-1,0)</f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</row>
    <row r="86" spans="2:46" ht="12" customHeight="1" x14ac:dyDescent="0.2">
      <c r="B86" s="115" t="s">
        <v>330</v>
      </c>
      <c r="C86" s="65">
        <f>+C44-$C$167</f>
        <v>0</v>
      </c>
      <c r="D86" s="65">
        <f>+D44-$C$167</f>
        <v>8.8067000000000029</v>
      </c>
      <c r="F86" s="65">
        <f>+F44-$C$167/12*7</f>
        <v>1.3773541666666684</v>
      </c>
      <c r="G86" s="65">
        <f>+G44-$C$167/12*7</f>
        <v>46.913354166666664</v>
      </c>
      <c r="I86" s="65">
        <f>+I44-$C$167</f>
        <v>3.5143300000000011</v>
      </c>
      <c r="J86" s="65">
        <f>+J44-$C$167</f>
        <v>54.342699999999994</v>
      </c>
      <c r="K86" s="65">
        <f>+K44-$C$167</f>
        <v>54.342699999999994</v>
      </c>
      <c r="M86" s="23">
        <f t="shared" si="163"/>
        <v>0</v>
      </c>
      <c r="N86" s="66"/>
      <c r="P86" s="65">
        <f t="shared" ref="P86:AT86" si="167">+P44-$C$167/12</f>
        <v>-1.5195208333333332</v>
      </c>
      <c r="Q86" s="65">
        <f t="shared" si="167"/>
        <v>-0.35302083333333312</v>
      </c>
      <c r="R86" s="65">
        <f t="shared" si="167"/>
        <v>-0.35302083333333312</v>
      </c>
      <c r="S86" s="65">
        <f t="shared" si="167"/>
        <v>-0.35285083333333311</v>
      </c>
      <c r="T86" s="65">
        <f t="shared" si="167"/>
        <v>-0.35285083333333311</v>
      </c>
      <c r="U86" s="65">
        <f t="shared" si="167"/>
        <v>1.1471391666666666</v>
      </c>
      <c r="V86" s="65">
        <f t="shared" si="167"/>
        <v>-0.35285083333333311</v>
      </c>
      <c r="W86" s="65">
        <f t="shared" si="167"/>
        <v>-0.35285083333333311</v>
      </c>
      <c r="X86" s="65">
        <f t="shared" si="167"/>
        <v>1.5483891666666667</v>
      </c>
      <c r="Y86" s="65">
        <f t="shared" si="167"/>
        <v>-0.35285083333333311</v>
      </c>
      <c r="Z86" s="65">
        <f t="shared" si="167"/>
        <v>0.64714916666666666</v>
      </c>
      <c r="AA86" s="65">
        <f t="shared" si="167"/>
        <v>0.6471391666666666</v>
      </c>
      <c r="AB86" s="65">
        <f t="shared" si="167"/>
        <v>0.64714916666666666</v>
      </c>
      <c r="AC86" s="65">
        <f t="shared" si="167"/>
        <v>0.64714916666666666</v>
      </c>
      <c r="AD86" s="65">
        <f t="shared" si="167"/>
        <v>0.6471391666666666</v>
      </c>
      <c r="AE86" s="65">
        <f t="shared" si="167"/>
        <v>1.241149166666667</v>
      </c>
      <c r="AF86" s="65">
        <f t="shared" si="167"/>
        <v>6.7149166666666815E-2</v>
      </c>
      <c r="AG86" s="65">
        <f t="shared" si="167"/>
        <v>-0.35286083333333318</v>
      </c>
      <c r="AH86" s="65">
        <f t="shared" si="167"/>
        <v>-1.5195208333333332</v>
      </c>
      <c r="AI86" s="65">
        <f t="shared" si="167"/>
        <v>-1.3195208333333333</v>
      </c>
      <c r="AJ86" s="65">
        <f t="shared" si="167"/>
        <v>-0.19257083333333314</v>
      </c>
      <c r="AK86" s="65">
        <f t="shared" si="167"/>
        <v>-1.5195208333333332</v>
      </c>
      <c r="AL86" s="65">
        <f t="shared" si="167"/>
        <v>4.480479166666667</v>
      </c>
      <c r="AM86" s="65">
        <f t="shared" si="167"/>
        <v>5.980479166666667</v>
      </c>
      <c r="AN86" s="65">
        <f t="shared" si="167"/>
        <v>-1.5195208333333332</v>
      </c>
      <c r="AO86" s="65">
        <f t="shared" si="167"/>
        <v>-1.5195208333333332</v>
      </c>
      <c r="AP86" s="65">
        <f t="shared" si="167"/>
        <v>5.0804791666666667</v>
      </c>
      <c r="AQ86" s="65">
        <f t="shared" si="167"/>
        <v>12.480479166666667</v>
      </c>
      <c r="AR86" s="65">
        <f t="shared" si="167"/>
        <v>16.480479166666665</v>
      </c>
      <c r="AS86" s="65">
        <f t="shared" si="167"/>
        <v>-1.5195208333333332</v>
      </c>
      <c r="AT86" s="65">
        <f t="shared" si="167"/>
        <v>17.430479166666665</v>
      </c>
    </row>
    <row r="87" spans="2:46" x14ac:dyDescent="0.2">
      <c r="B87" s="115" t="s">
        <v>327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63"/>
        <v>0</v>
      </c>
      <c r="N87" s="66">
        <f t="shared" ref="N87" si="168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 x14ac:dyDescent="0.2">
      <c r="B88" s="115" t="s">
        <v>332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63"/>
        <v>0</v>
      </c>
      <c r="N88" s="66">
        <f t="shared" ref="N88" si="169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 x14ac:dyDescent="0.2">
      <c r="B89" s="123" t="s">
        <v>328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63"/>
        <v>0</v>
      </c>
      <c r="N89" s="66">
        <f t="shared" ref="N89:N92" si="170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 x14ac:dyDescent="0.2">
      <c r="B90" s="92" t="s">
        <v>336</v>
      </c>
      <c r="C90" s="59">
        <f>SUM(C84:C89)</f>
        <v>-200</v>
      </c>
      <c r="D90" s="59">
        <f>SUM(D84:D89)</f>
        <v>-100.52625999999999</v>
      </c>
      <c r="F90" s="59">
        <f t="shared" ref="F90:G90" si="171">SUM(F84:F89)</f>
        <v>-69.823192500000005</v>
      </c>
      <c r="G90" s="59">
        <f t="shared" si="171"/>
        <v>-6.6102925000000141</v>
      </c>
      <c r="I90" s="59">
        <f t="shared" ref="I90:K90" si="172">SUM(I84:I89)</f>
        <v>-151.01955000000001</v>
      </c>
      <c r="J90" s="59">
        <f t="shared" si="172"/>
        <v>-37.313360000000003</v>
      </c>
      <c r="K90" s="59">
        <f t="shared" si="172"/>
        <v>62.686639999999997</v>
      </c>
      <c r="L90" s="71"/>
      <c r="M90" s="59">
        <f>SUM(M84:M89)</f>
        <v>100</v>
      </c>
      <c r="N90" s="90">
        <f t="shared" si="170"/>
        <v>-2.6800052313702114</v>
      </c>
      <c r="P90" s="59">
        <f t="shared" ref="P90:AT90" si="173">SUM(P84:P89)</f>
        <v>-18.186187500000003</v>
      </c>
      <c r="Q90" s="59">
        <f t="shared" si="173"/>
        <v>-17.0196875</v>
      </c>
      <c r="R90" s="59">
        <f t="shared" si="173"/>
        <v>-17.0196875</v>
      </c>
      <c r="S90" s="59">
        <f t="shared" si="173"/>
        <v>-17.019517499999999</v>
      </c>
      <c r="T90" s="59">
        <f t="shared" si="173"/>
        <v>-17.019517499999999</v>
      </c>
      <c r="U90" s="59">
        <f t="shared" si="173"/>
        <v>-15.519527500000001</v>
      </c>
      <c r="V90" s="59">
        <f t="shared" si="173"/>
        <v>-17.019517499999999</v>
      </c>
      <c r="W90" s="59">
        <f t="shared" si="173"/>
        <v>-17.019517499999999</v>
      </c>
      <c r="X90" s="59">
        <f t="shared" si="173"/>
        <v>-15.118277500000001</v>
      </c>
      <c r="Y90" s="59">
        <f t="shared" si="173"/>
        <v>-17.019517499999999</v>
      </c>
      <c r="Z90" s="59">
        <f t="shared" si="173"/>
        <v>-16.019517500000003</v>
      </c>
      <c r="AA90" s="59">
        <f t="shared" si="173"/>
        <v>-16.019527500000002</v>
      </c>
      <c r="AB90" s="59">
        <f t="shared" si="173"/>
        <v>-16.019517500000003</v>
      </c>
      <c r="AC90" s="59">
        <f t="shared" si="173"/>
        <v>-16.019517500000003</v>
      </c>
      <c r="AD90" s="59">
        <f t="shared" si="173"/>
        <v>-7.1131375000000014</v>
      </c>
      <c r="AE90" s="59">
        <f t="shared" si="173"/>
        <v>-6.1922875000000017</v>
      </c>
      <c r="AF90" s="59">
        <f t="shared" si="173"/>
        <v>-7.4906775000000003</v>
      </c>
      <c r="AG90" s="59">
        <f t="shared" si="173"/>
        <v>-8.3247374999999995</v>
      </c>
      <c r="AH90" s="59">
        <f t="shared" si="173"/>
        <v>-8.6633174999999998</v>
      </c>
      <c r="AI90" s="59">
        <f t="shared" si="173"/>
        <v>-9.2913775000000012</v>
      </c>
      <c r="AJ90" s="59">
        <f t="shared" si="173"/>
        <v>-7.7503975000000001</v>
      </c>
      <c r="AK90" s="59">
        <f t="shared" si="173"/>
        <v>-8.6633174999999998</v>
      </c>
      <c r="AL90" s="59">
        <f t="shared" si="173"/>
        <v>-3.9054275000000001</v>
      </c>
      <c r="AM90" s="59">
        <f t="shared" si="173"/>
        <v>-1.092547500000002</v>
      </c>
      <c r="AN90" s="59">
        <f t="shared" si="173"/>
        <v>-8.9099775000000019</v>
      </c>
      <c r="AO90" s="59">
        <f t="shared" si="173"/>
        <v>-9.8635575000000024</v>
      </c>
      <c r="AP90" s="59">
        <f t="shared" si="173"/>
        <v>-2.4773575000000019</v>
      </c>
      <c r="AQ90" s="59">
        <f t="shared" si="173"/>
        <v>4.9226424999999985</v>
      </c>
      <c r="AR90" s="59">
        <f t="shared" si="173"/>
        <v>8.5086224999999978</v>
      </c>
      <c r="AS90" s="59">
        <f t="shared" si="173"/>
        <v>-9.0773475000000001</v>
      </c>
      <c r="AT90" s="59">
        <f t="shared" si="173"/>
        <v>10.286682499999998</v>
      </c>
    </row>
    <row r="91" spans="2:46" ht="3.95" customHeight="1" x14ac:dyDescent="0.2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 x14ac:dyDescent="0.2">
      <c r="B92" s="104" t="s">
        <v>478</v>
      </c>
      <c r="C92" s="105">
        <f>+C90+C80</f>
        <v>-40.278509999999898</v>
      </c>
      <c r="D92" s="106">
        <f>+D90+D80</f>
        <v>80.99873999999987</v>
      </c>
      <c r="F92" s="110">
        <f t="shared" ref="F92:G92" si="174">+F90+F80</f>
        <v>63.279407499999706</v>
      </c>
      <c r="G92" s="106">
        <f t="shared" si="174"/>
        <v>92.201657500000323</v>
      </c>
      <c r="I92" s="110">
        <f t="shared" ref="I92:K92" si="175">+I90+I80</f>
        <v>18.79170999999991</v>
      </c>
      <c r="J92" s="105">
        <f t="shared" si="175"/>
        <v>109.92098999999995</v>
      </c>
      <c r="K92" s="106">
        <f t="shared" si="175"/>
        <v>203.14161000000036</v>
      </c>
      <c r="L92" s="71"/>
      <c r="M92" s="110">
        <f>+M90+M80</f>
        <v>93.220620000000096</v>
      </c>
      <c r="N92" s="112">
        <f t="shared" si="170"/>
        <v>0.84806932688652514</v>
      </c>
      <c r="P92" s="110">
        <f t="shared" ref="P92:AT92" si="176">+P90+P80</f>
        <v>14.104352499999997</v>
      </c>
      <c r="Q92" s="105">
        <f t="shared" si="176"/>
        <v>6.6358825000000117</v>
      </c>
      <c r="R92" s="105">
        <f t="shared" si="176"/>
        <v>0.98935250000000252</v>
      </c>
      <c r="S92" s="105">
        <f t="shared" si="176"/>
        <v>-7.4698175000000173</v>
      </c>
      <c r="T92" s="105">
        <f t="shared" si="176"/>
        <v>-16.047937499999975</v>
      </c>
      <c r="U92" s="105">
        <f t="shared" si="176"/>
        <v>-3.0202275000000025</v>
      </c>
      <c r="V92" s="105">
        <f t="shared" si="176"/>
        <v>9.0175825000000138</v>
      </c>
      <c r="W92" s="105">
        <f t="shared" si="176"/>
        <v>11.844302499999998</v>
      </c>
      <c r="X92" s="105">
        <f t="shared" si="176"/>
        <v>-1.8105074999999982</v>
      </c>
      <c r="Y92" s="105">
        <f t="shared" si="176"/>
        <v>-5.1324675000000184</v>
      </c>
      <c r="Z92" s="105">
        <f t="shared" si="176"/>
        <v>-27.511847499999998</v>
      </c>
      <c r="AA92" s="105">
        <f t="shared" si="176"/>
        <v>-21.877177499999981</v>
      </c>
      <c r="AB92" s="105">
        <f t="shared" si="176"/>
        <v>6.9488324999999662</v>
      </c>
      <c r="AC92" s="105">
        <f t="shared" si="176"/>
        <v>-8.3080875000000063</v>
      </c>
      <c r="AD92" s="105">
        <f t="shared" si="176"/>
        <v>13.456472500000004</v>
      </c>
      <c r="AE92" s="105">
        <f t="shared" si="176"/>
        <v>5.6818225000000124</v>
      </c>
      <c r="AF92" s="105">
        <f t="shared" si="176"/>
        <v>19.051432500000004</v>
      </c>
      <c r="AG92" s="105">
        <f t="shared" si="176"/>
        <v>18.991822499999977</v>
      </c>
      <c r="AH92" s="105">
        <f t="shared" si="176"/>
        <v>7.4571124999999885</v>
      </c>
      <c r="AI92" s="105">
        <f t="shared" si="176"/>
        <v>9.9382924999999727</v>
      </c>
      <c r="AJ92" s="105">
        <f t="shared" si="176"/>
        <v>9.8482500000010909E-2</v>
      </c>
      <c r="AK92" s="105">
        <f t="shared" si="176"/>
        <v>-5.0178974999999921</v>
      </c>
      <c r="AL92" s="105">
        <f t="shared" si="176"/>
        <v>11.734802500000038</v>
      </c>
      <c r="AM92" s="105">
        <f t="shared" si="176"/>
        <v>0.96565249999998715</v>
      </c>
      <c r="AN92" s="105">
        <f t="shared" si="176"/>
        <v>23.024492499999944</v>
      </c>
      <c r="AO92" s="105">
        <f t="shared" si="176"/>
        <v>60.620922499999978</v>
      </c>
      <c r="AP92" s="105">
        <f t="shared" si="176"/>
        <v>-11.228487500000021</v>
      </c>
      <c r="AQ92" s="105">
        <f t="shared" si="176"/>
        <v>5.449252499999977</v>
      </c>
      <c r="AR92" s="105">
        <f t="shared" si="176"/>
        <v>18.706022499999996</v>
      </c>
      <c r="AS92" s="105">
        <f t="shared" si="176"/>
        <v>1.52562250000007</v>
      </c>
      <c r="AT92" s="106">
        <f t="shared" si="176"/>
        <v>-5.8961675000000007</v>
      </c>
    </row>
    <row r="93" spans="2:46" s="97" customFormat="1" x14ac:dyDescent="0.2">
      <c r="B93" s="107" t="s">
        <v>305</v>
      </c>
      <c r="C93" s="108">
        <f>C92/C$24</f>
        <v>-3.548874179782581E-2</v>
      </c>
      <c r="D93" s="109">
        <f>D92/D$24</f>
        <v>4.3098577776421711E-2</v>
      </c>
      <c r="F93" s="111">
        <f>F92/F$24</f>
        <v>6.3414283339233934E-2</v>
      </c>
      <c r="G93" s="109">
        <f>G92/G$24</f>
        <v>5.5176832885184421E-2</v>
      </c>
      <c r="I93" s="111">
        <f>I92/I$24</f>
        <v>1.2327196743213456E-2</v>
      </c>
      <c r="J93" s="108">
        <f>J92/J$24</f>
        <v>4.3063524045502059E-2</v>
      </c>
      <c r="K93" s="109">
        <f>K92/K$24</f>
        <v>6.6099166080735752E-2</v>
      </c>
      <c r="L93" s="103"/>
      <c r="M93" s="111">
        <v>0</v>
      </c>
      <c r="N93" s="113">
        <v>0</v>
      </c>
      <c r="P93" s="111">
        <f t="shared" ref="P93:AT93" si="177">P92/P$24</f>
        <v>0.17431482046788466</v>
      </c>
      <c r="Q93" s="108">
        <f t="shared" si="177"/>
        <v>8.1666670768943114E-2</v>
      </c>
      <c r="R93" s="108">
        <f t="shared" si="177"/>
        <v>1.2665787162568748E-2</v>
      </c>
      <c r="S93" s="108">
        <f t="shared" si="177"/>
        <v>-8.961633792543329E-2</v>
      </c>
      <c r="T93" s="108">
        <f t="shared" si="177"/>
        <v>-0.17792264414833639</v>
      </c>
      <c r="U93" s="108">
        <f t="shared" si="177"/>
        <v>-3.3589508184323581E-2</v>
      </c>
      <c r="V93" s="108">
        <f t="shared" si="177"/>
        <v>8.614258604985299E-2</v>
      </c>
      <c r="W93" s="108">
        <f t="shared" si="177"/>
        <v>0.11375981770464405</v>
      </c>
      <c r="X93" s="108">
        <f t="shared" si="177"/>
        <v>-1.8404563255576347E-2</v>
      </c>
      <c r="Y93" s="108">
        <f t="shared" si="177"/>
        <v>-5.1812280370567607E-2</v>
      </c>
      <c r="Z93" s="108">
        <f t="shared" si="177"/>
        <v>-0.25185396837893281</v>
      </c>
      <c r="AA93" s="108">
        <f t="shared" si="177"/>
        <v>-0.18900067255944486</v>
      </c>
      <c r="AB93" s="108">
        <f t="shared" si="177"/>
        <v>5.0113260573961517E-2</v>
      </c>
      <c r="AC93" s="108">
        <f t="shared" si="177"/>
        <v>-6.5007186864743022E-2</v>
      </c>
      <c r="AD93" s="108">
        <f t="shared" si="177"/>
        <v>9.9917798666022475E-2</v>
      </c>
      <c r="AE93" s="108">
        <f t="shared" si="177"/>
        <v>4.1785603446500785E-2</v>
      </c>
      <c r="AF93" s="108">
        <f t="shared" si="177"/>
        <v>0.12529623260913833</v>
      </c>
      <c r="AG93" s="108">
        <f t="shared" si="177"/>
        <v>0.12386642767110011</v>
      </c>
      <c r="AH93" s="108">
        <f t="shared" si="177"/>
        <v>4.7992502676328368E-2</v>
      </c>
      <c r="AI93" s="108">
        <f t="shared" si="177"/>
        <v>6.2163546112634513E-2</v>
      </c>
      <c r="AJ93" s="108">
        <f t="shared" si="177"/>
        <v>6.0050594146161373E-4</v>
      </c>
      <c r="AK93" s="108">
        <f t="shared" si="177"/>
        <v>-2.7994748952602278E-2</v>
      </c>
      <c r="AL93" s="108">
        <f t="shared" si="177"/>
        <v>6.458674137096175E-2</v>
      </c>
      <c r="AM93" s="108">
        <f t="shared" si="177"/>
        <v>4.9091984918557654E-3</v>
      </c>
      <c r="AN93" s="108">
        <f t="shared" si="177"/>
        <v>0.10851089374416761</v>
      </c>
      <c r="AO93" s="108">
        <f t="shared" si="177"/>
        <v>0.25060698510659801</v>
      </c>
      <c r="AP93" s="108">
        <f t="shared" si="177"/>
        <v>-4.850416001876505E-2</v>
      </c>
      <c r="AQ93" s="108">
        <f t="shared" si="177"/>
        <v>2.2675035443445249E-2</v>
      </c>
      <c r="AR93" s="108">
        <f t="shared" si="177"/>
        <v>7.5979325248676011E-2</v>
      </c>
      <c r="AS93" s="108">
        <f t="shared" si="177"/>
        <v>6.1641487470876482E-3</v>
      </c>
      <c r="AT93" s="109">
        <f t="shared" si="177"/>
        <v>-2.3450920022742291E-2</v>
      </c>
    </row>
    <row r="94" spans="2:46" ht="3.95" customHeight="1" x14ac:dyDescent="0.2"/>
    <row r="95" spans="2:46" x14ac:dyDescent="0.2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 x14ac:dyDescent="0.2">
      <c r="B96" s="93" t="s">
        <v>311</v>
      </c>
      <c r="C96" s="65">
        <f>-C10</f>
        <v>-44.058500000000002</v>
      </c>
      <c r="D96" s="65">
        <f>-D10</f>
        <v>-74.519299999999987</v>
      </c>
      <c r="E96" s="23"/>
      <c r="F96" s="65">
        <f>-F10</f>
        <v>-42.254049999999999</v>
      </c>
      <c r="G96" s="65">
        <f>-G10</f>
        <v>-59.055000000000007</v>
      </c>
      <c r="H96" s="23"/>
      <c r="I96" s="65">
        <f>-I10</f>
        <v>-57.492550000000001</v>
      </c>
      <c r="J96" s="65">
        <f>-J10</f>
        <v>-91.320250000000001</v>
      </c>
      <c r="K96" s="65">
        <f>-K10</f>
        <v>-103.5675</v>
      </c>
      <c r="L96" s="65"/>
      <c r="M96" s="23">
        <f t="shared" ref="M96:M100" si="178">K96-J96</f>
        <v>-12.247249999999994</v>
      </c>
      <c r="N96" s="66">
        <f t="shared" ref="N96" si="179">IFERROR(K96/J96-1,0)</f>
        <v>0.13411318957186369</v>
      </c>
      <c r="P96" s="83">
        <f t="shared" ref="P96:AT96" si="180">-P10</f>
        <v>-5.4649999999999999</v>
      </c>
      <c r="Q96" s="83">
        <f t="shared" si="180"/>
        <v>-3.9</v>
      </c>
      <c r="R96" s="83">
        <f t="shared" si="180"/>
        <v>-2.7549999999999999</v>
      </c>
      <c r="S96" s="83">
        <f t="shared" si="180"/>
        <v>-3.5019999999999998</v>
      </c>
      <c r="T96" s="83">
        <f t="shared" si="180"/>
        <v>-4.6589999999999998</v>
      </c>
      <c r="U96" s="83">
        <f t="shared" si="180"/>
        <v>-3.9369999999999998</v>
      </c>
      <c r="V96" s="83">
        <f t="shared" si="180"/>
        <v>-4.6020000000000003</v>
      </c>
      <c r="W96" s="83">
        <f t="shared" si="180"/>
        <v>-4.7380000000000004</v>
      </c>
      <c r="X96" s="83">
        <f t="shared" si="180"/>
        <v>-2.1190000000000002</v>
      </c>
      <c r="Y96" s="83">
        <f t="shared" si="180"/>
        <v>-2.0640000000000001</v>
      </c>
      <c r="Z96" s="83">
        <f t="shared" si="180"/>
        <v>-3.0125000000000002</v>
      </c>
      <c r="AA96" s="83">
        <f t="shared" si="180"/>
        <v>-3.3050000000000002</v>
      </c>
      <c r="AB96" s="83">
        <f t="shared" si="180"/>
        <v>-3.0790000000000002</v>
      </c>
      <c r="AC96" s="83">
        <f t="shared" si="180"/>
        <v>-0.7</v>
      </c>
      <c r="AD96" s="83">
        <f t="shared" si="180"/>
        <v>-10.438549999999999</v>
      </c>
      <c r="AE96" s="83">
        <f t="shared" si="180"/>
        <v>-4.3</v>
      </c>
      <c r="AF96" s="83">
        <f t="shared" si="180"/>
        <v>-11.14</v>
      </c>
      <c r="AG96" s="83">
        <f t="shared" si="180"/>
        <v>-6.1624999999999996</v>
      </c>
      <c r="AH96" s="83">
        <f t="shared" si="180"/>
        <v>-6.4340000000000002</v>
      </c>
      <c r="AI96" s="83">
        <f t="shared" si="180"/>
        <v>-3.9649999999999999</v>
      </c>
      <c r="AJ96" s="83">
        <f t="shared" si="180"/>
        <v>-3.92</v>
      </c>
      <c r="AK96" s="83">
        <f t="shared" si="180"/>
        <v>-9.1364999999999998</v>
      </c>
      <c r="AL96" s="83">
        <f t="shared" si="180"/>
        <v>-5.2537500000000001</v>
      </c>
      <c r="AM96" s="83">
        <f t="shared" si="180"/>
        <v>-9.99</v>
      </c>
      <c r="AN96" s="83">
        <f t="shared" si="180"/>
        <v>-10.2105</v>
      </c>
      <c r="AO96" s="83">
        <f t="shared" si="180"/>
        <v>-6.6749999999999998</v>
      </c>
      <c r="AP96" s="83">
        <f t="shared" si="180"/>
        <v>-9.0990000000000002</v>
      </c>
      <c r="AQ96" s="83">
        <f t="shared" si="180"/>
        <v>-8.9544999999999995</v>
      </c>
      <c r="AR96" s="83">
        <f t="shared" si="180"/>
        <v>-12.606</v>
      </c>
      <c r="AS96" s="83">
        <f t="shared" si="180"/>
        <v>-5.4115000000000002</v>
      </c>
      <c r="AT96" s="83">
        <f t="shared" si="180"/>
        <v>-6.0984999999999996</v>
      </c>
    </row>
    <row r="97" spans="1:46" x14ac:dyDescent="0.2">
      <c r="B97" s="93" t="s">
        <v>312</v>
      </c>
      <c r="C97" s="83">
        <f>+C30</f>
        <v>122.81254999999999</v>
      </c>
      <c r="D97" s="83">
        <f>+D30</f>
        <v>152.16972000000001</v>
      </c>
      <c r="F97" s="83">
        <f>+F30</f>
        <v>73.949619999999996</v>
      </c>
      <c r="G97" s="83">
        <f>+G30</f>
        <v>111.27999</v>
      </c>
      <c r="I97" s="83">
        <f>+I30</f>
        <v>121.30735</v>
      </c>
      <c r="J97" s="83">
        <f>+J30</f>
        <v>189.50009</v>
      </c>
      <c r="K97" s="83">
        <f>+K30</f>
        <v>197.14943999999997</v>
      </c>
      <c r="M97" s="23">
        <f t="shared" si="178"/>
        <v>7.6493499999999699</v>
      </c>
      <c r="N97" s="66">
        <f t="shared" ref="N97" si="181">IFERROR(K97/J97-1,0)</f>
        <v>4.0365943889525191E-2</v>
      </c>
      <c r="P97" s="83">
        <f t="shared" ref="P97:AT97" si="182">+P30</f>
        <v>9.1372800000000005</v>
      </c>
      <c r="Q97" s="83">
        <f t="shared" si="182"/>
        <v>8.9629599999999989</v>
      </c>
      <c r="R97" s="83">
        <f t="shared" si="182"/>
        <v>10.19584</v>
      </c>
      <c r="S97" s="83">
        <f t="shared" si="182"/>
        <v>15.04429</v>
      </c>
      <c r="T97" s="83">
        <f t="shared" si="182"/>
        <v>16.637439999999998</v>
      </c>
      <c r="U97" s="83">
        <f t="shared" si="182"/>
        <v>7.4949899999999996</v>
      </c>
      <c r="V97" s="83">
        <f t="shared" si="182"/>
        <v>7.9820200000000003</v>
      </c>
      <c r="W97" s="83">
        <f t="shared" si="182"/>
        <v>5.9027399999999997</v>
      </c>
      <c r="X97" s="83">
        <f t="shared" si="182"/>
        <v>7.7676300000000005</v>
      </c>
      <c r="Y97" s="83">
        <f t="shared" si="182"/>
        <v>8.2141699999999993</v>
      </c>
      <c r="Z97" s="83">
        <f t="shared" si="182"/>
        <v>12.622719999999999</v>
      </c>
      <c r="AA97" s="83">
        <f t="shared" si="182"/>
        <v>12.85047</v>
      </c>
      <c r="AB97" s="83">
        <f t="shared" si="182"/>
        <v>10.345559999999999</v>
      </c>
      <c r="AC97" s="83">
        <f t="shared" si="182"/>
        <v>8.0879799999999999</v>
      </c>
      <c r="AD97" s="83">
        <f t="shared" si="182"/>
        <v>9.7528700000000015</v>
      </c>
      <c r="AE97" s="83">
        <f t="shared" si="182"/>
        <v>10.28</v>
      </c>
      <c r="AF97" s="83">
        <f t="shared" si="182"/>
        <v>11.13632</v>
      </c>
      <c r="AG97" s="83">
        <f t="shared" si="182"/>
        <v>10.874319999999999</v>
      </c>
      <c r="AH97" s="83">
        <f t="shared" si="182"/>
        <v>13.472569999999999</v>
      </c>
      <c r="AI97" s="83">
        <f t="shared" si="182"/>
        <v>12.70407</v>
      </c>
      <c r="AJ97" s="83">
        <f t="shared" si="182"/>
        <v>14.698840000000001</v>
      </c>
      <c r="AK97" s="83">
        <f t="shared" si="182"/>
        <v>15.543059999999999</v>
      </c>
      <c r="AL97" s="83">
        <f t="shared" si="182"/>
        <v>14.34361</v>
      </c>
      <c r="AM97" s="83">
        <f t="shared" si="182"/>
        <v>20.930520000000001</v>
      </c>
      <c r="AN97" s="83">
        <f t="shared" si="182"/>
        <v>16.553939999999997</v>
      </c>
      <c r="AO97" s="83">
        <f t="shared" si="182"/>
        <v>11.52661</v>
      </c>
      <c r="AP97" s="83">
        <f t="shared" si="182"/>
        <v>14.938829999999999</v>
      </c>
      <c r="AQ97" s="83">
        <f t="shared" si="182"/>
        <v>15.58352</v>
      </c>
      <c r="AR97" s="83">
        <f t="shared" si="182"/>
        <v>19.603400000000001</v>
      </c>
      <c r="AS97" s="83">
        <f t="shared" si="182"/>
        <v>16.644569999999998</v>
      </c>
      <c r="AT97" s="83">
        <f t="shared" si="182"/>
        <v>16.429119999999998</v>
      </c>
    </row>
    <row r="98" spans="1:46" x14ac:dyDescent="0.2">
      <c r="B98" s="93" t="s">
        <v>313</v>
      </c>
      <c r="C98" s="83">
        <f>+C32</f>
        <v>0</v>
      </c>
      <c r="D98" s="83">
        <f>+D32</f>
        <v>19.149630000000002</v>
      </c>
      <c r="F98" s="83">
        <f>+F32</f>
        <v>3.09945</v>
      </c>
      <c r="G98" s="83">
        <f>+G32</f>
        <v>51.941310000000001</v>
      </c>
      <c r="I98" s="83">
        <f>+I32</f>
        <v>3.09945</v>
      </c>
      <c r="J98" s="83">
        <f>+J32</f>
        <v>67.991489999999999</v>
      </c>
      <c r="K98" s="83">
        <f>+K32</f>
        <v>98.349119999999999</v>
      </c>
      <c r="M98" s="23">
        <f t="shared" si="178"/>
        <v>30.35763</v>
      </c>
      <c r="N98" s="66">
        <f t="shared" ref="N98" si="183">IFERROR(K98/J98-1,0)</f>
        <v>0.44649161240619972</v>
      </c>
      <c r="P98" s="83">
        <f t="shared" ref="P98:AT98" si="184">+P32</f>
        <v>0</v>
      </c>
      <c r="Q98" s="83">
        <f t="shared" si="184"/>
        <v>0</v>
      </c>
      <c r="R98" s="83">
        <f t="shared" si="184"/>
        <v>0</v>
      </c>
      <c r="S98" s="83">
        <f t="shared" si="184"/>
        <v>0</v>
      </c>
      <c r="T98" s="83">
        <f t="shared" si="184"/>
        <v>0</v>
      </c>
      <c r="U98" s="83">
        <f t="shared" si="184"/>
        <v>0</v>
      </c>
      <c r="V98" s="83">
        <f t="shared" si="184"/>
        <v>0</v>
      </c>
      <c r="W98" s="83">
        <f t="shared" si="184"/>
        <v>0</v>
      </c>
      <c r="X98" s="83">
        <f t="shared" si="184"/>
        <v>0</v>
      </c>
      <c r="Y98" s="83">
        <f t="shared" si="184"/>
        <v>0</v>
      </c>
      <c r="Z98" s="83">
        <f t="shared" si="184"/>
        <v>0</v>
      </c>
      <c r="AA98" s="83">
        <f t="shared" si="184"/>
        <v>0</v>
      </c>
      <c r="AB98" s="83">
        <f t="shared" si="184"/>
        <v>0</v>
      </c>
      <c r="AC98" s="83">
        <f t="shared" si="184"/>
        <v>0</v>
      </c>
      <c r="AD98" s="83">
        <f t="shared" si="184"/>
        <v>0</v>
      </c>
      <c r="AE98" s="83">
        <f t="shared" si="184"/>
        <v>0</v>
      </c>
      <c r="AF98" s="83">
        <f t="shared" si="184"/>
        <v>0</v>
      </c>
      <c r="AG98" s="83">
        <f t="shared" si="184"/>
        <v>1.4667999999999999</v>
      </c>
      <c r="AH98" s="83">
        <f t="shared" si="184"/>
        <v>1.6326500000000002</v>
      </c>
      <c r="AI98" s="83">
        <f t="shared" si="184"/>
        <v>1.7180499999999999</v>
      </c>
      <c r="AJ98" s="83">
        <f t="shared" si="184"/>
        <v>1.9145999999999999</v>
      </c>
      <c r="AK98" s="83">
        <f t="shared" si="184"/>
        <v>2.3529</v>
      </c>
      <c r="AL98" s="83">
        <f t="shared" si="184"/>
        <v>2.2452399999999999</v>
      </c>
      <c r="AM98" s="83">
        <f t="shared" si="184"/>
        <v>7.8193900000000003</v>
      </c>
      <c r="AN98" s="83">
        <f t="shared" si="184"/>
        <v>5.6533999999999995</v>
      </c>
      <c r="AO98" s="83">
        <f t="shared" si="184"/>
        <v>5.9568900000000005</v>
      </c>
      <c r="AP98" s="83">
        <f t="shared" si="184"/>
        <v>7.7827999999999999</v>
      </c>
      <c r="AQ98" s="83">
        <f t="shared" si="184"/>
        <v>8.1370100000000001</v>
      </c>
      <c r="AR98" s="83">
        <f t="shared" si="184"/>
        <v>7.8082500000000001</v>
      </c>
      <c r="AS98" s="83">
        <f t="shared" si="184"/>
        <v>8.4072000000000013</v>
      </c>
      <c r="AT98" s="83">
        <f t="shared" si="184"/>
        <v>8.1957599999999999</v>
      </c>
    </row>
    <row r="99" spans="1:46" x14ac:dyDescent="0.2">
      <c r="B99" s="93" t="s">
        <v>318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78"/>
        <v>0</v>
      </c>
      <c r="N99" s="66">
        <f t="shared" ref="N99" si="185">IFERROR(K99/J99-1,0)</f>
        <v>0</v>
      </c>
      <c r="P99" s="83">
        <f t="shared" ref="P99:AT99" si="186">+P45</f>
        <v>2.21</v>
      </c>
      <c r="Q99" s="83">
        <f t="shared" si="186"/>
        <v>2.7349999999999999</v>
      </c>
      <c r="R99" s="83">
        <f t="shared" si="186"/>
        <v>2.7149999999999999</v>
      </c>
      <c r="S99" s="83">
        <f t="shared" si="186"/>
        <v>2.7349999999999999</v>
      </c>
      <c r="T99" s="83">
        <f t="shared" si="186"/>
        <v>0.78</v>
      </c>
      <c r="U99" s="83">
        <f t="shared" si="186"/>
        <v>3.2450000000000001</v>
      </c>
      <c r="V99" s="83">
        <f t="shared" si="186"/>
        <v>1.28</v>
      </c>
      <c r="W99" s="83">
        <f t="shared" si="186"/>
        <v>1.3</v>
      </c>
      <c r="X99" s="83">
        <f t="shared" si="186"/>
        <v>1.81</v>
      </c>
      <c r="Y99" s="83">
        <f t="shared" si="186"/>
        <v>1.82</v>
      </c>
      <c r="Z99" s="83">
        <f t="shared" si="186"/>
        <v>1.835</v>
      </c>
      <c r="AA99" s="83">
        <f t="shared" si="186"/>
        <v>2.355</v>
      </c>
      <c r="AB99" s="83">
        <f t="shared" si="186"/>
        <v>1.4702500000000001</v>
      </c>
      <c r="AC99" s="83">
        <f t="shared" si="186"/>
        <v>1.665</v>
      </c>
      <c r="AD99" s="83">
        <f t="shared" si="186"/>
        <v>2.6277499999999998</v>
      </c>
      <c r="AE99" s="83">
        <f t="shared" si="186"/>
        <v>1.24875</v>
      </c>
      <c r="AF99" s="83">
        <f t="shared" si="186"/>
        <v>2.1539999999999999</v>
      </c>
      <c r="AG99" s="83">
        <f t="shared" si="186"/>
        <v>4.1539999999999999</v>
      </c>
      <c r="AH99" s="83">
        <f t="shared" si="186"/>
        <v>3.7697500000000002</v>
      </c>
      <c r="AI99" s="83">
        <f t="shared" si="186"/>
        <v>1.696</v>
      </c>
      <c r="AJ99" s="83">
        <f t="shared" si="186"/>
        <v>2.2275</v>
      </c>
      <c r="AK99" s="83">
        <f t="shared" si="186"/>
        <v>1.6645000000000001</v>
      </c>
      <c r="AL99" s="83">
        <f t="shared" si="186"/>
        <v>1.71879</v>
      </c>
      <c r="AM99" s="83">
        <f t="shared" si="186"/>
        <v>2.75745</v>
      </c>
      <c r="AN99" s="83">
        <f t="shared" si="186"/>
        <v>1.8688</v>
      </c>
      <c r="AO99" s="83">
        <f t="shared" si="186"/>
        <v>4.4399100000000002</v>
      </c>
      <c r="AP99" s="83">
        <f t="shared" si="186"/>
        <v>2.3936100000000002</v>
      </c>
      <c r="AQ99" s="83">
        <f t="shared" si="186"/>
        <v>3.6578600000000003</v>
      </c>
      <c r="AR99" s="83">
        <f t="shared" si="186"/>
        <v>2.9337900000000001</v>
      </c>
      <c r="AS99" s="83">
        <f t="shared" si="186"/>
        <v>1.5662</v>
      </c>
      <c r="AT99" s="83">
        <f t="shared" si="186"/>
        <v>3.76952</v>
      </c>
    </row>
    <row r="100" spans="1:46" x14ac:dyDescent="0.2">
      <c r="B100" s="93" t="s">
        <v>314</v>
      </c>
      <c r="C100" s="83">
        <f>+C49</f>
        <v>0</v>
      </c>
      <c r="D100" s="83">
        <f>+D49</f>
        <v>11.4983</v>
      </c>
      <c r="F100" s="83">
        <f>+F49</f>
        <v>0</v>
      </c>
      <c r="G100" s="83">
        <f>+G49</f>
        <v>11.84548</v>
      </c>
      <c r="I100" s="83">
        <f>+I49</f>
        <v>0</v>
      </c>
      <c r="J100" s="83">
        <f>+J49</f>
        <v>23.343780000000002</v>
      </c>
      <c r="K100" s="83">
        <f>+K49</f>
        <v>23.343780000000002</v>
      </c>
      <c r="M100" s="23">
        <f t="shared" si="178"/>
        <v>0</v>
      </c>
      <c r="N100" s="66">
        <f t="shared" ref="N100:N101" si="187">IFERROR(K100/J100-1,0)</f>
        <v>0</v>
      </c>
      <c r="P100" s="83">
        <f t="shared" ref="P100:AT100" si="188">+P49</f>
        <v>0</v>
      </c>
      <c r="Q100" s="83">
        <f t="shared" si="188"/>
        <v>0</v>
      </c>
      <c r="R100" s="83">
        <f t="shared" si="188"/>
        <v>0</v>
      </c>
      <c r="S100" s="83">
        <f t="shared" si="188"/>
        <v>0</v>
      </c>
      <c r="T100" s="83">
        <f t="shared" si="188"/>
        <v>0</v>
      </c>
      <c r="U100" s="83">
        <f t="shared" si="188"/>
        <v>0</v>
      </c>
      <c r="V100" s="83">
        <f t="shared" si="188"/>
        <v>0</v>
      </c>
      <c r="W100" s="83">
        <f t="shared" si="188"/>
        <v>0</v>
      </c>
      <c r="X100" s="83">
        <f t="shared" si="188"/>
        <v>0</v>
      </c>
      <c r="Y100" s="83">
        <f t="shared" si="188"/>
        <v>0</v>
      </c>
      <c r="Z100" s="83">
        <f t="shared" si="188"/>
        <v>0</v>
      </c>
      <c r="AA100" s="83">
        <f t="shared" si="188"/>
        <v>0</v>
      </c>
      <c r="AB100" s="83">
        <f t="shared" si="188"/>
        <v>0</v>
      </c>
      <c r="AC100" s="83">
        <f t="shared" si="188"/>
        <v>0</v>
      </c>
      <c r="AD100" s="83">
        <f t="shared" si="188"/>
        <v>0</v>
      </c>
      <c r="AE100" s="83">
        <f t="shared" si="188"/>
        <v>0</v>
      </c>
      <c r="AF100" s="83">
        <f t="shared" si="188"/>
        <v>0</v>
      </c>
      <c r="AG100" s="83">
        <f t="shared" si="188"/>
        <v>0</v>
      </c>
      <c r="AH100" s="83">
        <f t="shared" si="188"/>
        <v>0</v>
      </c>
      <c r="AI100" s="83">
        <f t="shared" si="188"/>
        <v>7.17</v>
      </c>
      <c r="AJ100" s="83">
        <f t="shared" si="188"/>
        <v>1.6495</v>
      </c>
      <c r="AK100" s="83">
        <f t="shared" si="188"/>
        <v>2.6788000000000003</v>
      </c>
      <c r="AL100" s="83">
        <f t="shared" si="188"/>
        <v>0</v>
      </c>
      <c r="AM100" s="83">
        <f t="shared" si="188"/>
        <v>0</v>
      </c>
      <c r="AN100" s="83">
        <f t="shared" si="188"/>
        <v>0.05</v>
      </c>
      <c r="AO100" s="83">
        <f t="shared" si="188"/>
        <v>0</v>
      </c>
      <c r="AP100" s="83">
        <f t="shared" si="188"/>
        <v>0</v>
      </c>
      <c r="AQ100" s="83">
        <f t="shared" si="188"/>
        <v>0</v>
      </c>
      <c r="AR100" s="83">
        <f t="shared" si="188"/>
        <v>9.8049999999999998E-2</v>
      </c>
      <c r="AS100" s="83">
        <f t="shared" si="188"/>
        <v>2.4300000000000003E-3</v>
      </c>
      <c r="AT100" s="83">
        <f t="shared" si="188"/>
        <v>11.695</v>
      </c>
    </row>
    <row r="101" spans="1:46" x14ac:dyDescent="0.2">
      <c r="B101" s="92" t="s">
        <v>319</v>
      </c>
      <c r="C101" s="59">
        <f>SUM(C96:C100)</f>
        <v>103.57404999999997</v>
      </c>
      <c r="D101" s="59">
        <f>SUM(D96:D100)</f>
        <v>135.45209000000003</v>
      </c>
      <c r="F101" s="59">
        <f>SUM(F96:F100)</f>
        <v>51.884519999999995</v>
      </c>
      <c r="G101" s="59">
        <f>SUM(G96:G100)</f>
        <v>136.64147</v>
      </c>
      <c r="I101" s="59">
        <f>SUM(I96:I100)</f>
        <v>93.123750000000001</v>
      </c>
      <c r="J101" s="59">
        <f>SUM(J96:J100)</f>
        <v>220.20904000000002</v>
      </c>
      <c r="K101" s="59">
        <f>SUM(K96:K100)</f>
        <v>245.96876999999998</v>
      </c>
      <c r="L101" s="71"/>
      <c r="M101" s="59">
        <f>SUM(M96:M100)</f>
        <v>25.759729999999976</v>
      </c>
      <c r="N101" s="90">
        <f t="shared" si="187"/>
        <v>0.11697853094496002</v>
      </c>
      <c r="P101" s="59">
        <f t="shared" ref="P101:AT101" si="189">SUM(P96:P100)</f>
        <v>5.8822800000000006</v>
      </c>
      <c r="Q101" s="59">
        <f t="shared" si="189"/>
        <v>7.797959999999998</v>
      </c>
      <c r="R101" s="59">
        <f t="shared" si="189"/>
        <v>10.155840000000001</v>
      </c>
      <c r="S101" s="59">
        <f t="shared" si="189"/>
        <v>14.277290000000001</v>
      </c>
      <c r="T101" s="59">
        <f t="shared" si="189"/>
        <v>12.758439999999998</v>
      </c>
      <c r="U101" s="59">
        <f t="shared" si="189"/>
        <v>6.8029899999999994</v>
      </c>
      <c r="V101" s="59">
        <f t="shared" si="189"/>
        <v>4.6600200000000003</v>
      </c>
      <c r="W101" s="59">
        <f t="shared" si="189"/>
        <v>2.464739999999999</v>
      </c>
      <c r="X101" s="59">
        <f t="shared" si="189"/>
        <v>7.4586300000000012</v>
      </c>
      <c r="Y101" s="59">
        <f t="shared" si="189"/>
        <v>7.9701699999999995</v>
      </c>
      <c r="Z101" s="59">
        <f t="shared" si="189"/>
        <v>11.445219999999999</v>
      </c>
      <c r="AA101" s="59">
        <f t="shared" si="189"/>
        <v>11.90047</v>
      </c>
      <c r="AB101" s="59">
        <f t="shared" si="189"/>
        <v>8.7368099999999984</v>
      </c>
      <c r="AC101" s="59">
        <f t="shared" si="189"/>
        <v>9.0529799999999998</v>
      </c>
      <c r="AD101" s="59">
        <f t="shared" si="189"/>
        <v>1.942070000000002</v>
      </c>
      <c r="AE101" s="59">
        <f t="shared" si="189"/>
        <v>7.2287499999999998</v>
      </c>
      <c r="AF101" s="59">
        <f t="shared" si="189"/>
        <v>2.1503199999999989</v>
      </c>
      <c r="AG101" s="59">
        <f t="shared" si="189"/>
        <v>10.332619999999999</v>
      </c>
      <c r="AH101" s="59">
        <f t="shared" si="189"/>
        <v>12.44097</v>
      </c>
      <c r="AI101" s="59">
        <f t="shared" si="189"/>
        <v>19.323119999999999</v>
      </c>
      <c r="AJ101" s="59">
        <f t="shared" si="189"/>
        <v>16.570440000000001</v>
      </c>
      <c r="AK101" s="59">
        <f t="shared" si="189"/>
        <v>13.10276</v>
      </c>
      <c r="AL101" s="59">
        <f t="shared" si="189"/>
        <v>13.053890000000001</v>
      </c>
      <c r="AM101" s="59">
        <f t="shared" si="189"/>
        <v>21.51736</v>
      </c>
      <c r="AN101" s="59">
        <f t="shared" si="189"/>
        <v>13.915639999999998</v>
      </c>
      <c r="AO101" s="59">
        <f t="shared" si="189"/>
        <v>15.24841</v>
      </c>
      <c r="AP101" s="59">
        <f t="shared" si="189"/>
        <v>16.01624</v>
      </c>
      <c r="AQ101" s="59">
        <f t="shared" si="189"/>
        <v>18.42389</v>
      </c>
      <c r="AR101" s="59">
        <f t="shared" si="189"/>
        <v>17.837490000000003</v>
      </c>
      <c r="AS101" s="59">
        <f t="shared" si="189"/>
        <v>21.2089</v>
      </c>
      <c r="AT101" s="59">
        <f t="shared" si="189"/>
        <v>33.990899999999996</v>
      </c>
    </row>
    <row r="102" spans="1:46" ht="3.95" customHeight="1" x14ac:dyDescent="0.2"/>
    <row r="103" spans="1:46" x14ac:dyDescent="0.2">
      <c r="B103" s="104" t="s">
        <v>477</v>
      </c>
      <c r="C103" s="105">
        <f t="shared" ref="C103:D103" si="190">+C92+C101</f>
        <v>63.295540000000074</v>
      </c>
      <c r="D103" s="106">
        <f t="shared" si="190"/>
        <v>216.45082999999988</v>
      </c>
      <c r="F103" s="110">
        <f t="shared" ref="F103:G103" si="191">+F92+F101</f>
        <v>115.1639274999997</v>
      </c>
      <c r="G103" s="106">
        <f t="shared" si="191"/>
        <v>228.84312750000032</v>
      </c>
      <c r="I103" s="110">
        <f t="shared" ref="I103:J103" si="192">+I92+I101</f>
        <v>111.91545999999991</v>
      </c>
      <c r="J103" s="105">
        <f t="shared" si="192"/>
        <v>330.13002999999998</v>
      </c>
      <c r="K103" s="106">
        <f>+K92+K101</f>
        <v>449.1103800000003</v>
      </c>
      <c r="L103" s="71"/>
      <c r="M103" s="110">
        <f>+M92+M101</f>
        <v>118.98035000000007</v>
      </c>
      <c r="N103" s="112">
        <f t="shared" ref="N103" si="193">IFERROR(K103/J103-1,0)</f>
        <v>0.36040450485525466</v>
      </c>
      <c r="P103" s="110">
        <f t="shared" ref="P103:AT103" si="194">+P92+P101</f>
        <v>19.986632499999999</v>
      </c>
      <c r="Q103" s="105">
        <f t="shared" si="194"/>
        <v>14.43384250000001</v>
      </c>
      <c r="R103" s="105">
        <f t="shared" si="194"/>
        <v>11.145192500000004</v>
      </c>
      <c r="S103" s="105">
        <f t="shared" si="194"/>
        <v>6.8074724999999834</v>
      </c>
      <c r="T103" s="105">
        <f t="shared" si="194"/>
        <v>-3.2894974999999764</v>
      </c>
      <c r="U103" s="105">
        <f t="shared" si="194"/>
        <v>3.7827624999999969</v>
      </c>
      <c r="V103" s="105">
        <f t="shared" si="194"/>
        <v>13.677602500000013</v>
      </c>
      <c r="W103" s="105">
        <f t="shared" si="194"/>
        <v>14.309042499999997</v>
      </c>
      <c r="X103" s="105">
        <f t="shared" si="194"/>
        <v>5.648122500000003</v>
      </c>
      <c r="Y103" s="105">
        <f t="shared" si="194"/>
        <v>2.8377024999999811</v>
      </c>
      <c r="Z103" s="105">
        <f t="shared" si="194"/>
        <v>-16.066627499999999</v>
      </c>
      <c r="AA103" s="105">
        <f t="shared" si="194"/>
        <v>-9.9767074999999803</v>
      </c>
      <c r="AB103" s="105">
        <f t="shared" si="194"/>
        <v>15.685642499999965</v>
      </c>
      <c r="AC103" s="105">
        <f t="shared" si="194"/>
        <v>0.74489249999999352</v>
      </c>
      <c r="AD103" s="105">
        <f t="shared" si="194"/>
        <v>15.398542500000005</v>
      </c>
      <c r="AE103" s="105">
        <f t="shared" si="194"/>
        <v>12.910572500000011</v>
      </c>
      <c r="AF103" s="105">
        <f t="shared" si="194"/>
        <v>21.201752500000005</v>
      </c>
      <c r="AG103" s="105">
        <f t="shared" si="194"/>
        <v>29.324442499999975</v>
      </c>
      <c r="AH103" s="105">
        <f t="shared" si="194"/>
        <v>19.898082499999987</v>
      </c>
      <c r="AI103" s="105">
        <f t="shared" si="194"/>
        <v>29.26141249999997</v>
      </c>
      <c r="AJ103" s="105">
        <f t="shared" si="194"/>
        <v>16.668922500000011</v>
      </c>
      <c r="AK103" s="105">
        <f t="shared" si="194"/>
        <v>8.0848625000000069</v>
      </c>
      <c r="AL103" s="105">
        <f t="shared" si="194"/>
        <v>24.788692500000039</v>
      </c>
      <c r="AM103" s="105">
        <f t="shared" si="194"/>
        <v>22.483012499999987</v>
      </c>
      <c r="AN103" s="105">
        <f t="shared" si="194"/>
        <v>36.94013249999994</v>
      </c>
      <c r="AO103" s="105">
        <f t="shared" si="194"/>
        <v>75.869332499999985</v>
      </c>
      <c r="AP103" s="105">
        <f t="shared" si="194"/>
        <v>4.7877524999999785</v>
      </c>
      <c r="AQ103" s="105">
        <f t="shared" si="194"/>
        <v>23.873142499999979</v>
      </c>
      <c r="AR103" s="105">
        <f t="shared" si="194"/>
        <v>36.543512499999999</v>
      </c>
      <c r="AS103" s="105">
        <f t="shared" si="194"/>
        <v>22.734522500000068</v>
      </c>
      <c r="AT103" s="106">
        <f t="shared" si="194"/>
        <v>28.094732499999996</v>
      </c>
    </row>
    <row r="104" spans="1:46" s="97" customFormat="1" x14ac:dyDescent="0.2">
      <c r="B104" s="107" t="s">
        <v>305</v>
      </c>
      <c r="C104" s="108">
        <f>C103/C$24</f>
        <v>5.5768673568460297E-2</v>
      </c>
      <c r="D104" s="109">
        <f>D103/D$24</f>
        <v>0.11517121045989163</v>
      </c>
      <c r="F104" s="111">
        <f>F103/F$24</f>
        <v>0.11540939173528149</v>
      </c>
      <c r="G104" s="109">
        <f>G103/G$24</f>
        <v>0.1369480695397523</v>
      </c>
      <c r="I104" s="111">
        <f>I103/I$24</f>
        <v>7.3415558989961077E-2</v>
      </c>
      <c r="J104" s="108">
        <f>J103/J$24</f>
        <v>0.12933437449068938</v>
      </c>
      <c r="K104" s="109">
        <f>K103/K$24</f>
        <v>0.14613363355839462</v>
      </c>
      <c r="L104" s="103"/>
      <c r="M104" s="111">
        <v>0</v>
      </c>
      <c r="N104" s="113">
        <v>0</v>
      </c>
      <c r="P104" s="111">
        <f t="shared" ref="P104" si="195">P103/P$24</f>
        <v>0.24701355528338426</v>
      </c>
      <c r="Q104" s="108">
        <f t="shared" ref="Q104" si="196">Q103/Q$24</f>
        <v>0.17763483054111906</v>
      </c>
      <c r="R104" s="108">
        <f t="shared" ref="R104" si="197">R103/R$24</f>
        <v>0.14268184099282832</v>
      </c>
      <c r="S104" s="108">
        <f t="shared" ref="S104" si="198">S103/S$24</f>
        <v>8.1670101843598089E-2</v>
      </c>
      <c r="T104" s="108">
        <f t="shared" ref="T104" si="199">T103/T$24</f>
        <v>-3.6470486822330839E-2</v>
      </c>
      <c r="U104" s="108">
        <f t="shared" ref="U104" si="200">U103/U$24</f>
        <v>4.2070053316547222E-2</v>
      </c>
      <c r="V104" s="108">
        <f t="shared" ref="V104" si="201">V103/V$24</f>
        <v>0.13065852741706924</v>
      </c>
      <c r="W104" s="108">
        <f t="shared" ref="W104" si="202">W103/W$24</f>
        <v>0.13743266573341942</v>
      </c>
      <c r="X104" s="108">
        <f t="shared" ref="X104" si="203">X103/X$24</f>
        <v>5.7415519033472209E-2</v>
      </c>
      <c r="Y104" s="108">
        <f t="shared" ref="Y104" si="204">Y103/Y$24</f>
        <v>2.8646618325056928E-2</v>
      </c>
      <c r="Z104" s="108">
        <f t="shared" ref="Z104" si="205">Z103/Z$24</f>
        <v>-0.14708004958013424</v>
      </c>
      <c r="AA104" s="108">
        <f t="shared" ref="AA104" si="206">AA103/AA$24</f>
        <v>-8.6190479892977762E-2</v>
      </c>
      <c r="AB104" s="108">
        <f t="shared" ref="AB104" si="207">AB103/AB$24</f>
        <v>0.11312097246156202</v>
      </c>
      <c r="AC104" s="108">
        <f t="shared" ref="AC104" si="208">AC103/AC$24</f>
        <v>5.8284612363128253E-3</v>
      </c>
      <c r="AD104" s="108">
        <f t="shared" ref="AD104" si="209">AD103/AD$24</f>
        <v>0.1143381721521142</v>
      </c>
      <c r="AE104" s="108">
        <f t="shared" ref="AE104" si="210">AE103/AE$24</f>
        <v>9.4947714884141055E-2</v>
      </c>
      <c r="AF104" s="108">
        <f t="shared" ref="AF104" si="211">AF103/AF$24</f>
        <v>0.13943831850761773</v>
      </c>
      <c r="AG104" s="108">
        <f t="shared" ref="AG104" si="212">AG103/AG$24</f>
        <v>0.19125673357159828</v>
      </c>
      <c r="AH104" s="108">
        <f t="shared" ref="AH104" si="213">AH103/AH$24</f>
        <v>0.12806012751384044</v>
      </c>
      <c r="AI104" s="108">
        <f t="shared" ref="AI104" si="214">AI103/AI$24</f>
        <v>0.18302874113079015</v>
      </c>
      <c r="AJ104" s="108">
        <f t="shared" ref="AJ104" si="215">AJ103/AJ$24</f>
        <v>0.10164026095003757</v>
      </c>
      <c r="AK104" s="108">
        <f t="shared" ref="AK104" si="216">AK103/AK$24</f>
        <v>4.510528483369957E-2</v>
      </c>
      <c r="AL104" s="108">
        <f t="shared" ref="AL104" si="217">AL103/AL$24</f>
        <v>0.13643355918617264</v>
      </c>
      <c r="AM104" s="108">
        <f t="shared" ref="AM104" si="218">AM103/AM$24</f>
        <v>0.11429947217800993</v>
      </c>
      <c r="AN104" s="108">
        <f t="shared" ref="AN104" si="219">AN103/AN$24</f>
        <v>0.17409316590161439</v>
      </c>
      <c r="AO104" s="108">
        <f t="shared" ref="AO104" si="220">AO103/AO$24</f>
        <v>0.31364393506012778</v>
      </c>
      <c r="AP104" s="108">
        <f t="shared" ref="AP104" si="221">AP103/AP$24</f>
        <v>2.0681851708900325E-2</v>
      </c>
      <c r="AQ104" s="108">
        <f t="shared" ref="AQ104" si="222">AQ103/AQ$24</f>
        <v>9.9339194198455827E-2</v>
      </c>
      <c r="AR104" s="108">
        <f t="shared" ref="AR104" si="223">AR103/AR$24</f>
        <v>0.14843088219136688</v>
      </c>
      <c r="AS104" s="108">
        <f t="shared" ref="AS104" si="224">AS103/AS$24</f>
        <v>9.1856916362996047E-2</v>
      </c>
      <c r="AT104" s="109">
        <f t="shared" ref="AT104" si="225">AT103/AT$24</f>
        <v>0.1117416228283607</v>
      </c>
    </row>
    <row r="106" spans="1:46" x14ac:dyDescent="0.2">
      <c r="A106" s="117" t="s">
        <v>294</v>
      </c>
      <c r="B106" s="118" t="s">
        <v>329</v>
      </c>
      <c r="C106" s="119"/>
      <c r="D106" s="120" t="s">
        <v>287</v>
      </c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</row>
    <row r="107" spans="1:46" x14ac:dyDescent="0.2">
      <c r="A107" s="117"/>
      <c r="B107" s="42" t="s">
        <v>279</v>
      </c>
      <c r="C107" s="122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46" x14ac:dyDescent="0.2">
      <c r="B108" s="57" t="str">
        <f>+B7</f>
        <v>STR Subscription</v>
      </c>
      <c r="C108" s="46">
        <f>+AT7*12</f>
        <v>2410.0500000000002</v>
      </c>
      <c r="D108" s="95" t="s">
        <v>288</v>
      </c>
      <c r="E108" s="45"/>
      <c r="F108" s="86"/>
      <c r="G108" s="86"/>
      <c r="H108" s="45"/>
      <c r="I108" s="86"/>
      <c r="J108" s="86"/>
      <c r="K108" s="86"/>
      <c r="L108" s="86"/>
      <c r="M108" s="86"/>
      <c r="N108" s="86"/>
    </row>
    <row r="109" spans="1:46" x14ac:dyDescent="0.2">
      <c r="B109" s="57" t="str">
        <f>+B9</f>
        <v>SMB Subscription</v>
      </c>
      <c r="C109" s="82">
        <f>+AT9*12</f>
        <v>119.706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 x14ac:dyDescent="0.2">
      <c r="B110" s="57" t="str">
        <f>+B8</f>
        <v>Occupancy Taxes</v>
      </c>
      <c r="C110" s="82">
        <f>+AT8*12</f>
        <v>192.82980000000001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 x14ac:dyDescent="0.2">
      <c r="B111" s="57" t="str">
        <f>+B10</f>
        <v>Onboarding</v>
      </c>
      <c r="C111" s="82">
        <f>AVERAGE(AM10:AT10)*12</f>
        <v>103.5675</v>
      </c>
      <c r="D111" s="95" t="s">
        <v>289</v>
      </c>
      <c r="F111" s="83"/>
      <c r="G111" s="83"/>
      <c r="I111" s="83"/>
      <c r="J111" s="83"/>
      <c r="K111" s="83"/>
      <c r="L111" s="83"/>
      <c r="M111" s="83"/>
      <c r="N111" s="83"/>
    </row>
    <row r="112" spans="1:46" x14ac:dyDescent="0.2">
      <c r="B112" s="57" t="str">
        <f>+B12</f>
        <v>STR Bill Pay</v>
      </c>
      <c r="C112" s="82">
        <f>+AT12*12</f>
        <v>83.460000000000008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 x14ac:dyDescent="0.2">
      <c r="B113" s="57" t="str">
        <f>+B11</f>
        <v>Topkey Subscription</v>
      </c>
      <c r="C113" s="82">
        <f>+AT11*12</f>
        <v>94.835999999999999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 x14ac:dyDescent="0.2">
      <c r="B114" s="57" t="str">
        <f>+B13</f>
        <v>Controller Services</v>
      </c>
      <c r="C114" s="82">
        <f>+AT13*12</f>
        <v>42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 x14ac:dyDescent="0.2">
      <c r="B115" s="57" t="str">
        <f>+B14</f>
        <v>Historical Cleanup</v>
      </c>
      <c r="C115" s="82">
        <f>+AT14*12</f>
        <v>0</v>
      </c>
      <c r="D115" s="95" t="s">
        <v>290</v>
      </c>
      <c r="F115" s="83"/>
      <c r="G115" s="83"/>
      <c r="I115" s="83"/>
      <c r="J115" s="83"/>
      <c r="K115" s="83"/>
      <c r="L115" s="83"/>
      <c r="M115" s="83"/>
      <c r="N115" s="83"/>
    </row>
    <row r="116" spans="2:14" x14ac:dyDescent="0.2">
      <c r="B116" s="58" t="str">
        <f>+B15</f>
        <v>Total Recurring Revenue</v>
      </c>
      <c r="C116" s="59">
        <f>SUM(C108:C115)</f>
        <v>3046.4493000000002</v>
      </c>
      <c r="D116" s="71"/>
      <c r="F116" s="71"/>
      <c r="G116" s="71"/>
      <c r="I116" s="71"/>
      <c r="J116" s="71"/>
      <c r="K116" s="71"/>
      <c r="L116" s="71"/>
      <c r="M116" s="71"/>
      <c r="N116" s="71"/>
    </row>
    <row r="117" spans="2:14" ht="3.95" customHeight="1" x14ac:dyDescent="0.2"/>
    <row r="118" spans="2:14" x14ac:dyDescent="0.2">
      <c r="B118" s="57" t="str">
        <f>+B18</f>
        <v>1099 Filing</v>
      </c>
      <c r="C118" s="82">
        <v>10</v>
      </c>
      <c r="D118" s="95" t="s">
        <v>291</v>
      </c>
    </row>
    <row r="119" spans="2:14" x14ac:dyDescent="0.2">
      <c r="B119" s="57" t="str">
        <f>+B19</f>
        <v>Income Tax</v>
      </c>
      <c r="C119" s="82">
        <v>0</v>
      </c>
      <c r="D119" s="95" t="s">
        <v>291</v>
      </c>
    </row>
    <row r="120" spans="2:14" x14ac:dyDescent="0.2">
      <c r="B120" s="57" t="str">
        <f>+B17</f>
        <v>Profit Share</v>
      </c>
      <c r="C120" s="82">
        <f>AVERAGE(AI17:AT17)*12</f>
        <v>16.836220000000001</v>
      </c>
      <c r="D120" s="95" t="s">
        <v>292</v>
      </c>
    </row>
    <row r="121" spans="2:14" x14ac:dyDescent="0.2">
      <c r="B121" s="57" t="str">
        <f>+B20</f>
        <v>Billable Expense Income</v>
      </c>
      <c r="C121" s="82">
        <v>0</v>
      </c>
      <c r="D121" s="95" t="s">
        <v>291</v>
      </c>
    </row>
    <row r="122" spans="2:14" x14ac:dyDescent="0.2">
      <c r="B122" s="57" t="str">
        <f>+B21</f>
        <v>Offshore Recruiting</v>
      </c>
      <c r="C122" s="82">
        <v>0</v>
      </c>
      <c r="D122" s="95" t="s">
        <v>291</v>
      </c>
    </row>
    <row r="123" spans="2:14" x14ac:dyDescent="0.2">
      <c r="B123" s="58" t="str">
        <f>+B22</f>
        <v>Total Nonrecurring Revenue</v>
      </c>
      <c r="C123" s="59">
        <f>SUM(C118:C122)</f>
        <v>26.836220000000001</v>
      </c>
    </row>
    <row r="125" spans="2:14" x14ac:dyDescent="0.2">
      <c r="B125" s="42" t="s">
        <v>280</v>
      </c>
      <c r="C125" s="4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">
      <c r="B126" s="56" t="s">
        <v>63</v>
      </c>
      <c r="C126" s="82">
        <f>AT27*12</f>
        <v>694.74455999999998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 x14ac:dyDescent="0.2">
      <c r="B127" s="57" t="s">
        <v>34</v>
      </c>
      <c r="C127" s="82">
        <f>AT28*12</f>
        <v>533.85120000000006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 x14ac:dyDescent="0.2">
      <c r="B128" s="93" t="s">
        <v>277</v>
      </c>
      <c r="C128" s="83">
        <f>+J31</f>
        <v>108.34394</v>
      </c>
      <c r="D128" s="95" t="s">
        <v>324</v>
      </c>
      <c r="F128" s="83"/>
      <c r="G128" s="83"/>
      <c r="I128" s="83"/>
      <c r="J128" s="83"/>
      <c r="K128" s="83"/>
      <c r="L128" s="83"/>
      <c r="M128" s="83"/>
      <c r="N128" s="83"/>
    </row>
    <row r="129" spans="2:14" x14ac:dyDescent="0.2">
      <c r="B129" s="57" t="s">
        <v>35</v>
      </c>
      <c r="C129" s="82">
        <f>AT29*12</f>
        <v>392.92452000000003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 x14ac:dyDescent="0.2">
      <c r="B130" s="57" t="s">
        <v>278</v>
      </c>
      <c r="C130" s="82">
        <f>AT32*12</f>
        <v>98.349119999999999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 x14ac:dyDescent="0.2">
      <c r="B131" s="57" t="s">
        <v>36</v>
      </c>
      <c r="C131" s="82">
        <f>AT33*12</f>
        <v>68.113200000000006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 x14ac:dyDescent="0.2">
      <c r="B132" s="57" t="s">
        <v>38</v>
      </c>
      <c r="C132" s="82">
        <f>AT34*12</f>
        <v>33.081240000000001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 x14ac:dyDescent="0.2">
      <c r="B133" s="57" t="s">
        <v>37</v>
      </c>
      <c r="C133" s="82">
        <f>AT30*12</f>
        <v>197.14943999999997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 x14ac:dyDescent="0.2">
      <c r="B134" s="56" t="str">
        <f>+B35</f>
        <v>Employee Benefits</v>
      </c>
      <c r="C134" s="82">
        <f>+AT35*12</f>
        <v>32.178359999999998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 x14ac:dyDescent="0.2">
      <c r="B135" s="58" t="str">
        <f>+B36</f>
        <v>Total Payroll Expenses</v>
      </c>
      <c r="C135" s="59">
        <f>SUM(C126:C134)</f>
        <v>2158.73558</v>
      </c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 x14ac:dyDescent="0.2"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 x14ac:dyDescent="0.2">
      <c r="B137" s="42" t="s">
        <v>303</v>
      </c>
      <c r="C137" s="43"/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 x14ac:dyDescent="0.2">
      <c r="B138" s="56" t="str">
        <f>+B38</f>
        <v>Software &amp; Apps - COGS</v>
      </c>
      <c r="C138" s="82">
        <f>+AT38*12</f>
        <v>335.70816000000002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 x14ac:dyDescent="0.2">
      <c r="B139" s="56" t="str">
        <f>+B39</f>
        <v>Software &amp; Apps - G&amp;A</v>
      </c>
      <c r="C139" s="82">
        <f>+AT39*12</f>
        <v>155.82264000000001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 x14ac:dyDescent="0.2">
      <c r="B140" s="56" t="str">
        <f>+B40</f>
        <v>Software &amp; Apps - Topkey</v>
      </c>
      <c r="C140" s="82">
        <f>AT40*12</f>
        <v>60.84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 x14ac:dyDescent="0.2">
      <c r="B141" s="56" t="str">
        <f>+B41</f>
        <v>Software &amp; Apps - AI tools</v>
      </c>
      <c r="C141" s="82">
        <f>+AT41*12</f>
        <v>15.743759999999998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 x14ac:dyDescent="0.2">
      <c r="B142" s="58" t="str">
        <f>+B42</f>
        <v>Total Software Expenses</v>
      </c>
      <c r="C142" s="59">
        <f>SUM(C138:C141)</f>
        <v>568.11455999999998</v>
      </c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 x14ac:dyDescent="0.2">
      <c r="B143" s="56"/>
      <c r="C143" s="82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 x14ac:dyDescent="0.2">
      <c r="B144" s="42" t="s">
        <v>283</v>
      </c>
      <c r="C144" s="43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 x14ac:dyDescent="0.2">
      <c r="B145" s="56" t="str">
        <f>+B44</f>
        <v>Other Professional Fees</v>
      </c>
      <c r="C145" s="83">
        <f t="shared" ref="C145:C150" si="226">+J44</f>
        <v>72.576949999999997</v>
      </c>
      <c r="D145" s="95" t="s">
        <v>293</v>
      </c>
      <c r="F145" s="83"/>
      <c r="G145" s="83"/>
      <c r="I145" s="83"/>
      <c r="J145" s="83"/>
      <c r="K145" s="114"/>
      <c r="L145" s="83"/>
      <c r="M145" s="83"/>
      <c r="N145" s="83"/>
    </row>
    <row r="146" spans="2:14" x14ac:dyDescent="0.2">
      <c r="B146" s="57" t="s">
        <v>42</v>
      </c>
      <c r="C146" s="83">
        <f t="shared" si="226"/>
        <v>30.693929999999998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 x14ac:dyDescent="0.2">
      <c r="B147" s="56" t="str">
        <f t="shared" ref="B147:B152" si="227">+B46</f>
        <v>Travel, Meals &amp; Entertainment</v>
      </c>
      <c r="C147" s="83">
        <f t="shared" si="226"/>
        <v>28.151060000000001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 x14ac:dyDescent="0.2">
      <c r="B148" s="56" t="str">
        <f t="shared" si="227"/>
        <v>Payment Collection Fees</v>
      </c>
      <c r="C148" s="83">
        <f t="shared" si="226"/>
        <v>15.573919999999999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 x14ac:dyDescent="0.2">
      <c r="B149" s="56" t="str">
        <f t="shared" si="227"/>
        <v>Professional Organizations</v>
      </c>
      <c r="C149" s="83">
        <f t="shared" si="226"/>
        <v>11.61077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 x14ac:dyDescent="0.2">
      <c r="B150" s="56" t="str">
        <f t="shared" si="227"/>
        <v>S&amp;M Events</v>
      </c>
      <c r="C150" s="83">
        <f t="shared" si="226"/>
        <v>23.343780000000002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 x14ac:dyDescent="0.2">
      <c r="B151" s="56" t="str">
        <f t="shared" si="227"/>
        <v>Contract Labor - Tax</v>
      </c>
      <c r="C151" s="83">
        <f>+C118</f>
        <v>10</v>
      </c>
      <c r="D151" s="95" t="s">
        <v>326</v>
      </c>
      <c r="F151" s="83"/>
      <c r="G151" s="83"/>
      <c r="I151" s="83"/>
      <c r="J151" s="83"/>
      <c r="K151" s="83"/>
      <c r="L151" s="83"/>
      <c r="M151" s="83"/>
      <c r="N151" s="83"/>
    </row>
    <row r="152" spans="2:14" x14ac:dyDescent="0.2">
      <c r="B152" s="56" t="str">
        <f t="shared" si="227"/>
        <v>Recruiting Fees</v>
      </c>
      <c r="C152" s="83">
        <f>+J51</f>
        <v>8.86876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 x14ac:dyDescent="0.2">
      <c r="B153" s="56" t="str">
        <f t="shared" ref="B153:B158" si="228">+B52</f>
        <v>Amortization</v>
      </c>
      <c r="C153" s="83">
        <f>+J52</f>
        <v>6.673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 x14ac:dyDescent="0.2">
      <c r="B154" s="56" t="str">
        <f t="shared" si="228"/>
        <v>Website</v>
      </c>
      <c r="C154" s="83">
        <f>+J53</f>
        <v>4.9035700000000002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 x14ac:dyDescent="0.2">
      <c r="B155" s="56" t="str">
        <f t="shared" si="228"/>
        <v>State Taxes</v>
      </c>
      <c r="C155" s="83">
        <f>+J54</f>
        <v>5.2619999999999996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 x14ac:dyDescent="0.2">
      <c r="B156" s="56" t="str">
        <f t="shared" si="228"/>
        <v>Insurance</v>
      </c>
      <c r="C156" s="83">
        <f>+J55</f>
        <v>4.8890399999999996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 x14ac:dyDescent="0.2">
      <c r="B157" s="56" t="str">
        <f t="shared" si="228"/>
        <v>Occupancy Tax Filing Fees</v>
      </c>
      <c r="C157" s="82">
        <f>+AT57*12</f>
        <v>3.516</v>
      </c>
      <c r="D157" s="95" t="s">
        <v>288</v>
      </c>
      <c r="F157" s="83"/>
      <c r="G157" s="83"/>
      <c r="I157" s="83"/>
      <c r="J157" s="83"/>
      <c r="K157" s="83"/>
      <c r="L157" s="83"/>
      <c r="M157" s="83"/>
      <c r="N157" s="83"/>
    </row>
    <row r="158" spans="2:14" x14ac:dyDescent="0.2">
      <c r="B158" s="56" t="str">
        <f t="shared" si="228"/>
        <v>Utilities</v>
      </c>
      <c r="C158" s="83">
        <f>+J57</f>
        <v>3.2080000000000002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 x14ac:dyDescent="0.2">
      <c r="B159" s="56" t="str">
        <f>+B59</f>
        <v>1099 Filing Fees</v>
      </c>
      <c r="C159" s="83">
        <f>+C59</f>
        <v>1.3459299999999998</v>
      </c>
      <c r="D159" s="95" t="s">
        <v>325</v>
      </c>
      <c r="F159" s="83"/>
      <c r="G159" s="83"/>
      <c r="I159" s="83"/>
      <c r="J159" s="83"/>
      <c r="K159" s="83"/>
      <c r="L159" s="83"/>
      <c r="M159" s="83"/>
      <c r="N159" s="83"/>
    </row>
    <row r="160" spans="2:14" x14ac:dyDescent="0.2">
      <c r="B160" s="56" t="str">
        <f>+B58</f>
        <v>Interest</v>
      </c>
      <c r="C160" s="83">
        <f>+J58</f>
        <v>1.1564699999999999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 x14ac:dyDescent="0.2">
      <c r="B161" s="56" t="str">
        <f>+B60</f>
        <v>Other Income</v>
      </c>
      <c r="C161" s="83">
        <f>+J60</f>
        <v>-0.25575999999999999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 x14ac:dyDescent="0.2">
      <c r="B162" s="56" t="str">
        <f>+B61</f>
        <v>Other Expenses</v>
      </c>
      <c r="C162" s="83">
        <f>+J61</f>
        <v>18.409520000000001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 x14ac:dyDescent="0.2">
      <c r="B163" s="56"/>
      <c r="C163" s="8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1:14" x14ac:dyDescent="0.2">
      <c r="B164" s="42" t="str">
        <f>+B83</f>
        <v>Near-Term Adjustments</v>
      </c>
      <c r="C164" s="4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 x14ac:dyDescent="0.2">
      <c r="B165" s="93" t="s">
        <v>277</v>
      </c>
      <c r="C165" s="82">
        <v>200</v>
      </c>
      <c r="D165" s="124" t="s">
        <v>323</v>
      </c>
      <c r="F165" s="83"/>
      <c r="G165" s="83"/>
      <c r="I165" s="83"/>
      <c r="J165" s="83"/>
      <c r="K165" s="83"/>
      <c r="L165" s="83"/>
      <c r="M165" s="83"/>
      <c r="N165" s="83"/>
    </row>
    <row r="166" spans="1:14" x14ac:dyDescent="0.2">
      <c r="B166" s="56" t="s">
        <v>316</v>
      </c>
      <c r="C166" s="82">
        <v>100</v>
      </c>
      <c r="D166" s="95" t="s">
        <v>317</v>
      </c>
    </row>
    <row r="167" spans="1:14" x14ac:dyDescent="0.2">
      <c r="B167" s="126" t="s">
        <v>331</v>
      </c>
      <c r="C167" s="83">
        <f>+C44</f>
        <v>18.234249999999999</v>
      </c>
      <c r="D167" s="95" t="s">
        <v>325</v>
      </c>
    </row>
    <row r="168" spans="1:14" x14ac:dyDescent="0.2">
      <c r="A168" s="125"/>
    </row>
    <row r="172" spans="1:14" x14ac:dyDescent="0.2">
      <c r="C172" s="33">
        <v>45291</v>
      </c>
      <c r="D172" s="35">
        <f>C173</f>
        <v>45657</v>
      </c>
      <c r="E172" s="35"/>
      <c r="F172" s="33">
        <v>45657</v>
      </c>
      <c r="G172" s="33">
        <v>46022</v>
      </c>
      <c r="H172" s="33"/>
      <c r="I172" s="33">
        <v>45504</v>
      </c>
      <c r="J172" s="35">
        <f>I173</f>
        <v>45869</v>
      </c>
    </row>
    <row r="173" spans="1:14" x14ac:dyDescent="0.2">
      <c r="A173" s="143" t="s">
        <v>294</v>
      </c>
      <c r="C173" s="34">
        <f>EOMONTH(C172,12)</f>
        <v>45657</v>
      </c>
      <c r="D173" s="34">
        <f>EOMONTH(D172,12)</f>
        <v>46022</v>
      </c>
      <c r="E173" s="34"/>
      <c r="F173" s="34">
        <v>45869</v>
      </c>
      <c r="G173" s="34">
        <f>EOMONTH(G172,12)</f>
        <v>46387</v>
      </c>
      <c r="H173" s="34"/>
      <c r="I173" s="34">
        <f>EOMONTH(I172,12)</f>
        <v>45869</v>
      </c>
      <c r="J173" s="34">
        <f>EOMONTH(J172,12)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RowHeight="12" x14ac:dyDescent="0.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 x14ac:dyDescent="0.25">
      <c r="B2" s="37" t="str">
        <f>+Cover!B24</f>
        <v>Keystone Bookkeepers</v>
      </c>
    </row>
    <row r="3" spans="2:21" x14ac:dyDescent="0.2">
      <c r="B3" s="38" t="s">
        <v>987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 x14ac:dyDescent="0.2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 x14ac:dyDescent="0.2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 x14ac:dyDescent="0.2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 x14ac:dyDescent="0.2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 x14ac:dyDescent="0.2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 x14ac:dyDescent="0.2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119.706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 x14ac:dyDescent="0.2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 x14ac:dyDescent="0.2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 x14ac:dyDescent="0.2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 x14ac:dyDescent="0.2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 x14ac:dyDescent="0.2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 x14ac:dyDescent="0.2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7">
        <f>SUM(E8:E15)</f>
        <v>3046.4493000000002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 x14ac:dyDescent="0.2">
      <c r="E17" s="85"/>
    </row>
    <row r="18" spans="2:18" x14ac:dyDescent="0.2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 x14ac:dyDescent="0.2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10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 x14ac:dyDescent="0.2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 x14ac:dyDescent="0.2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 x14ac:dyDescent="0.2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 x14ac:dyDescent="0.2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8">
        <f t="shared" si="3"/>
        <v>26.836220000000001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 x14ac:dyDescent="0.2">
      <c r="E24" s="85"/>
    </row>
    <row r="25" spans="2:18" x14ac:dyDescent="0.2">
      <c r="B25" s="60" t="s">
        <v>262</v>
      </c>
      <c r="C25" s="61">
        <f>+C23+C16</f>
        <v>1524.41065</v>
      </c>
      <c r="D25" s="61">
        <f>+D23+D16</f>
        <v>2552.5312300000001</v>
      </c>
      <c r="E25" s="127">
        <f>+E23+E16</f>
        <v>3073.2855200000004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 x14ac:dyDescent="0.2"/>
    <row r="27" spans="2:18" x14ac:dyDescent="0.2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 x14ac:dyDescent="0.2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0.79110129947017338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 x14ac:dyDescent="0.2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6.3296572833166795E-2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 x14ac:dyDescent="0.2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3.9293613059636343E-2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 x14ac:dyDescent="0.2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3.3996134450686569E-2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 x14ac:dyDescent="0.2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3.1130010927803719E-2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 x14ac:dyDescent="0.2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2.7395827660745907E-2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 x14ac:dyDescent="0.2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1.3786541597787298E-2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 x14ac:dyDescent="0.2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 x14ac:dyDescent="0.2"/>
    <row r="37" spans="2:18" x14ac:dyDescent="0.2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 x14ac:dyDescent="0.2">
      <c r="B38" s="56" t="str">
        <f>+B8</f>
        <v>STR Subscription</v>
      </c>
      <c r="C38" s="160" t="s">
        <v>988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 x14ac:dyDescent="0.2">
      <c r="B39" s="56" t="str">
        <f t="shared" ref="B39:B45" si="25">+B9</f>
        <v>Occupancy Taxes</v>
      </c>
      <c r="C39" s="160" t="s">
        <v>988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 x14ac:dyDescent="0.2">
      <c r="B40" s="56" t="str">
        <f t="shared" si="25"/>
        <v>SMB Subscription</v>
      </c>
      <c r="C40" s="160" t="s">
        <v>988</v>
      </c>
      <c r="D40" s="66">
        <f t="shared" si="23"/>
        <v>-0.21711152987528493</v>
      </c>
      <c r="E40" s="66">
        <f t="shared" si="23"/>
        <v>-9.8164778206364378E-2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 x14ac:dyDescent="0.2">
      <c r="B41" s="56" t="str">
        <f t="shared" si="25"/>
        <v>Onboarding</v>
      </c>
      <c r="C41" s="160" t="s">
        <v>988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 x14ac:dyDescent="0.2">
      <c r="B42" s="56" t="str">
        <f t="shared" si="25"/>
        <v>Topkey Subscription</v>
      </c>
      <c r="C42" s="160" t="s">
        <v>988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 x14ac:dyDescent="0.2">
      <c r="B43" s="56" t="str">
        <f t="shared" si="25"/>
        <v>STR Bill Pay</v>
      </c>
      <c r="C43" s="160" t="s">
        <v>988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 x14ac:dyDescent="0.2">
      <c r="B44" s="56" t="str">
        <f t="shared" si="25"/>
        <v>Controller Services</v>
      </c>
      <c r="C44" s="160" t="s">
        <v>988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 x14ac:dyDescent="0.2">
      <c r="B45" s="56" t="str">
        <f t="shared" si="25"/>
        <v>Historical Cleanup</v>
      </c>
      <c r="C45" s="160" t="s">
        <v>988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 x14ac:dyDescent="0.2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0.23386684155560467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 x14ac:dyDescent="0.2">
      <c r="C52" s="33">
        <v>45473</v>
      </c>
      <c r="D52" s="35">
        <f>C53</f>
        <v>45838</v>
      </c>
    </row>
    <row r="53" spans="3:4" x14ac:dyDescent="0.2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RowHeight="12" x14ac:dyDescent="0.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 x14ac:dyDescent="0.2">
      <c r="B1" s="143"/>
    </row>
    <row r="2" spans="2:40" ht="16.5" x14ac:dyDescent="0.25">
      <c r="B2" s="37" t="str">
        <f>+Cover!B24</f>
        <v>Keystone Bookkeepers</v>
      </c>
    </row>
    <row r="3" spans="2:40" x14ac:dyDescent="0.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2">
      <c r="B5" s="152" t="s">
        <v>978</v>
      </c>
    </row>
    <row r="19" spans="2:7" x14ac:dyDescent="0.2">
      <c r="C19" s="33"/>
      <c r="D19" s="33"/>
      <c r="E19" s="33"/>
      <c r="F19" s="33"/>
      <c r="G19" s="35"/>
    </row>
    <row r="20" spans="2:7" x14ac:dyDescent="0.2">
      <c r="C20" s="34"/>
      <c r="D20" s="34"/>
      <c r="E20" s="34"/>
      <c r="F20" s="34"/>
      <c r="G20" s="34"/>
    </row>
    <row r="25" spans="2:7" x14ac:dyDescent="0.2">
      <c r="B25" s="152" t="s">
        <v>979</v>
      </c>
    </row>
    <row r="47" spans="2:33" x14ac:dyDescent="0.2">
      <c r="B47" s="40" t="s">
        <v>464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 x14ac:dyDescent="0.2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 x14ac:dyDescent="0.2">
      <c r="B50" s="40" t="s">
        <v>464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 x14ac:dyDescent="0.2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4">
        <f t="shared" ref="AH51:AH56" si="58">AG51/$AG$57</f>
        <v>0.31819374410285706</v>
      </c>
    </row>
    <row r="52" spans="2:35" x14ac:dyDescent="0.2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4">
        <f t="shared" si="58"/>
        <v>0.19753015525389025</v>
      </c>
      <c r="AI52" s="144">
        <f>AG52/C52-1</f>
        <v>-0.54658879141857186</v>
      </c>
    </row>
    <row r="53" spans="2:35" x14ac:dyDescent="0.2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4">
        <f t="shared" si="58"/>
        <v>0.15649148583745121</v>
      </c>
    </row>
    <row r="54" spans="2:35" x14ac:dyDescent="0.2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4">
        <f t="shared" si="58"/>
        <v>0.13771963608749502</v>
      </c>
    </row>
    <row r="55" spans="2:35" x14ac:dyDescent="0.2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4">
        <f t="shared" si="58"/>
        <v>0.1207596262659365</v>
      </c>
    </row>
    <row r="56" spans="2:35" x14ac:dyDescent="0.2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4">
        <f t="shared" si="58"/>
        <v>6.9305352452369892E-2</v>
      </c>
    </row>
    <row r="57" spans="2:35" x14ac:dyDescent="0.2">
      <c r="B57" s="144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RowHeight="12" x14ac:dyDescent="0.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 x14ac:dyDescent="0.2">
      <c r="B1" s="143"/>
    </row>
    <row r="2" spans="2:40" ht="16.5" x14ac:dyDescent="0.25">
      <c r="B2" s="37" t="str">
        <f>+Cover!B24</f>
        <v>Keystone Bookkeepers</v>
      </c>
    </row>
    <row r="3" spans="2:40" x14ac:dyDescent="0.2">
      <c r="B3" s="38" t="s">
        <v>981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 x14ac:dyDescent="0.2">
      <c r="B5" s="152" t="s">
        <v>982</v>
      </c>
    </row>
    <row r="18" spans="2:7" ht="15.75" customHeight="1" x14ac:dyDescent="0.2"/>
    <row r="19" spans="2:7" x14ac:dyDescent="0.2">
      <c r="C19" s="33"/>
      <c r="D19" s="33"/>
      <c r="E19" s="33"/>
      <c r="F19" s="33"/>
      <c r="G19" s="35"/>
    </row>
    <row r="20" spans="2:7" x14ac:dyDescent="0.2">
      <c r="C20" s="34"/>
      <c r="D20" s="34"/>
      <c r="E20" s="34"/>
      <c r="F20" s="34"/>
      <c r="G20" s="34"/>
    </row>
    <row r="23" spans="2:7" x14ac:dyDescent="0.2">
      <c r="B23" s="152" t="s">
        <v>984</v>
      </c>
    </row>
    <row r="35" spans="2:2" ht="24.75" customHeight="1" x14ac:dyDescent="0.2"/>
    <row r="44" spans="2:2" x14ac:dyDescent="0.2">
      <c r="B44" s="152" t="s">
        <v>985</v>
      </c>
    </row>
    <row r="64" ht="2.25" customHeight="1" x14ac:dyDescent="0.2"/>
    <row r="65" spans="2:2" x14ac:dyDescent="0.2">
      <c r="B65" s="152" t="s">
        <v>986</v>
      </c>
    </row>
    <row r="95" spans="2:33" x14ac:dyDescent="0.2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 x14ac:dyDescent="0.2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 x14ac:dyDescent="0.2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 x14ac:dyDescent="0.2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 x14ac:dyDescent="0.2">
      <c r="B100" s="143" t="s">
        <v>983</v>
      </c>
      <c r="C100" s="154">
        <f>C99/'P&amp;L Forecast'!P$15</f>
        <v>0.13026673665123822</v>
      </c>
      <c r="D100" s="154">
        <f>D99/'P&amp;L Forecast'!Q$15</f>
        <v>0.127835492912522</v>
      </c>
      <c r="E100" s="154">
        <f>E99/'P&amp;L Forecast'!R$15</f>
        <v>0.13330427201394945</v>
      </c>
      <c r="F100" s="154">
        <f>F99/'P&amp;L Forecast'!S$15</f>
        <v>0.18025698000425419</v>
      </c>
      <c r="G100" s="154">
        <f>G99/'P&amp;L Forecast'!T$15</f>
        <v>0.20795539243789118</v>
      </c>
      <c r="H100" s="154">
        <f>H99/'P&amp;L Forecast'!U$15</f>
        <v>0.15688550325262016</v>
      </c>
      <c r="I100" s="154">
        <f>I99/'P&amp;L Forecast'!V$15</f>
        <v>0.15070510396468445</v>
      </c>
      <c r="J100" s="154">
        <f>J99/'P&amp;L Forecast'!W$15</f>
        <v>0.13837108313222324</v>
      </c>
      <c r="K100" s="154">
        <f>K99/'P&amp;L Forecast'!X$15</f>
        <v>0.15202625711263995</v>
      </c>
      <c r="L100" s="154">
        <f>L99/'P&amp;L Forecast'!Y$15</f>
        <v>0.16016508090174311</v>
      </c>
      <c r="M100" s="154">
        <f>M99/'P&amp;L Forecast'!Z$15</f>
        <v>0.25009745907316833</v>
      </c>
      <c r="N100" s="154">
        <f>N99/'P&amp;L Forecast'!AA$15</f>
        <v>0.18857556444501775</v>
      </c>
      <c r="O100" s="154">
        <f>O99/'P&amp;L Forecast'!AB$15</f>
        <v>0.16485381813794489</v>
      </c>
      <c r="P100" s="154">
        <f>P99/'P&amp;L Forecast'!AC$15</f>
        <v>0.14114703215681618</v>
      </c>
      <c r="Q100" s="154">
        <f>Q99/'P&amp;L Forecast'!AD$15</f>
        <v>0.1465387866902389</v>
      </c>
      <c r="R100" s="154">
        <f>R99/'P&amp;L Forecast'!AE$15</f>
        <v>0.164373052381659</v>
      </c>
      <c r="S100" s="154">
        <f>S99/'P&amp;L Forecast'!AF$15</f>
        <v>0.1376765899259853</v>
      </c>
      <c r="T100" s="154">
        <f>T99/'P&amp;L Forecast'!AG$15</f>
        <v>0.13877890362846379</v>
      </c>
      <c r="U100" s="154">
        <f>U99/'P&amp;L Forecast'!AH$15</f>
        <v>0.18117492404767471</v>
      </c>
      <c r="V100" s="154">
        <f>V99/'P&amp;L Forecast'!AI$15</f>
        <v>0.18760863595308358</v>
      </c>
      <c r="W100" s="154">
        <f>W99/'P&amp;L Forecast'!AJ$15</f>
        <v>0.20651817137776457</v>
      </c>
      <c r="X100" s="154">
        <f>X99/'P&amp;L Forecast'!AK$15</f>
        <v>0.21525412917188744</v>
      </c>
      <c r="Y100" s="154">
        <f>Y99/'P&amp;L Forecast'!AL$15</f>
        <v>0.18882839134556215</v>
      </c>
      <c r="Z100" s="154">
        <f>Z99/'P&amp;L Forecast'!AM$15</f>
        <v>0.17601273156371144</v>
      </c>
      <c r="AA100" s="154">
        <f>AA99/'P&amp;L Forecast'!AN$15</f>
        <v>0.1888321840048667</v>
      </c>
      <c r="AB100" s="154">
        <f>AB99/'P&amp;L Forecast'!AO$15</f>
        <v>0.14253135301352249</v>
      </c>
      <c r="AC100" s="154">
        <f>AC99/'P&amp;L Forecast'!AP$15</f>
        <v>0.17345889954587118</v>
      </c>
      <c r="AD100" s="154">
        <f>AD99/'P&amp;L Forecast'!AQ$15</f>
        <v>0.16709597484632888</v>
      </c>
      <c r="AE100" s="154">
        <f>AE99/'P&amp;L Forecast'!AR$15</f>
        <v>0.15596739648877184</v>
      </c>
      <c r="AF100" s="154">
        <f>AF99/'P&amp;L Forecast'!AS$15</f>
        <v>0.1669461419651932</v>
      </c>
      <c r="AG100" s="154">
        <f>AG99/'P&amp;L Forecast'!AT$15</f>
        <v>0.17700262176151577</v>
      </c>
    </row>
    <row r="102" spans="2:33" x14ac:dyDescent="0.2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 x14ac:dyDescent="0.2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 x14ac:dyDescent="0.2">
      <c r="B104" s="143" t="s">
        <v>983</v>
      </c>
      <c r="C104" s="154">
        <f>C103/'P&amp;L Forecast'!P$15</f>
        <v>0.12457181030545539</v>
      </c>
      <c r="D104" s="154">
        <f>D103/'P&amp;L Forecast'!Q$15</f>
        <v>0.11991464254895007</v>
      </c>
      <c r="E104" s="154">
        <f>E103/'P&amp;L Forecast'!R$15</f>
        <v>0.13072260115903381</v>
      </c>
      <c r="F104" s="154">
        <f>F103/'P&amp;L Forecast'!S$15</f>
        <v>0.18079319623086385</v>
      </c>
      <c r="G104" s="154">
        <f>G103/'P&amp;L Forecast'!T$15</f>
        <v>0.19210903865461407</v>
      </c>
      <c r="H104" s="154">
        <f>H103/'P&amp;L Forecast'!U$15</f>
        <v>8.464706812432235E-2</v>
      </c>
      <c r="I104" s="154">
        <f>I103/'P&amp;L Forecast'!V$15</f>
        <v>8.5628602155728456E-2</v>
      </c>
      <c r="J104" s="154">
        <f>J103/'P&amp;L Forecast'!W$15</f>
        <v>6.0994251118699126E-2</v>
      </c>
      <c r="K104" s="154">
        <f>K103/'P&amp;L Forecast'!X$15</f>
        <v>8.0500290438736077E-2</v>
      </c>
      <c r="L104" s="154">
        <f>L103/'P&amp;L Forecast'!Y$15</f>
        <v>8.2834611525410065E-2</v>
      </c>
      <c r="M104" s="154">
        <f>M103/'P&amp;L Forecast'!Z$15</f>
        <v>0.11611124040241996</v>
      </c>
      <c r="N104" s="154">
        <f>N103/'P&amp;L Forecast'!AA$15</f>
        <v>0.11125461614016008</v>
      </c>
      <c r="O104" s="154">
        <f>O103/'P&amp;L Forecast'!AB$15</f>
        <v>8.7902074996930604E-2</v>
      </c>
      <c r="P104" s="154">
        <f>P103/'P&amp;L Forecast'!AC$15</f>
        <v>6.9607163496770291E-2</v>
      </c>
      <c r="Q104" s="154">
        <f>Q103/'P&amp;L Forecast'!AD$15</f>
        <v>7.302944054943912E-2</v>
      </c>
      <c r="R104" s="154">
        <f>R103/'P&amp;L Forecast'!AE$15</f>
        <v>7.6272443982786764E-2</v>
      </c>
      <c r="S104" s="154">
        <f>S103/'P&amp;L Forecast'!AF$15</f>
        <v>7.3742039402783455E-2</v>
      </c>
      <c r="T104" s="154">
        <f>T103/'P&amp;L Forecast'!AG$15</f>
        <v>7.1723837712608526E-2</v>
      </c>
      <c r="U104" s="154">
        <f>U103/'P&amp;L Forecast'!AH$15</f>
        <v>8.7459232427098757E-2</v>
      </c>
      <c r="V104" s="154">
        <f>V103/'P&amp;L Forecast'!AI$15</f>
        <v>8.0664475031390348E-2</v>
      </c>
      <c r="W104" s="154">
        <f>W103/'P&amp;L Forecast'!AJ$15</f>
        <v>9.0757109867990474E-2</v>
      </c>
      <c r="X104" s="154">
        <f>X103/'P&amp;L Forecast'!AK$15</f>
        <v>8.8524091582184744E-2</v>
      </c>
      <c r="Y104" s="154">
        <f>Y103/'P&amp;L Forecast'!AL$15</f>
        <v>7.9513118579989231E-2</v>
      </c>
      <c r="Z104" s="154">
        <f>Z103/'P&amp;L Forecast'!AM$15</f>
        <v>0.10814863997292479</v>
      </c>
      <c r="AA104" s="154">
        <f>AA103/'P&amp;L Forecast'!AN$15</f>
        <v>8.1448876154945712E-2</v>
      </c>
      <c r="AB104" s="154">
        <f>AB103/'P&amp;L Forecast'!AO$15</f>
        <v>5.5313779192418373E-2</v>
      </c>
      <c r="AC104" s="154">
        <f>AC103/'P&amp;L Forecast'!AP$15</f>
        <v>6.9243717343920014E-2</v>
      </c>
      <c r="AD104" s="154">
        <f>AD103/'P&amp;L Forecast'!AQ$15</f>
        <v>6.7159891622041071E-2</v>
      </c>
      <c r="AE104" s="154">
        <f>AE103/'P&amp;L Forecast'!AR$15</f>
        <v>7.9840961581124262E-2</v>
      </c>
      <c r="AF104" s="154">
        <f>AF103/'P&amp;L Forecast'!AS$15</f>
        <v>6.8274161001891043E-2</v>
      </c>
      <c r="AG104" s="154">
        <f>AG103/'P&amp;L Forecast'!AT$15</f>
        <v>6.536646870666328E-2</v>
      </c>
    </row>
    <row r="106" spans="2:33" x14ac:dyDescent="0.2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 x14ac:dyDescent="0.2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 x14ac:dyDescent="0.2">
      <c r="B108" s="143" t="s">
        <v>983</v>
      </c>
      <c r="C108" s="154">
        <f>C107/'P&amp;L Forecast'!P$15</f>
        <v>0.14350268236320629</v>
      </c>
      <c r="D108" s="154">
        <f>D107/'P&amp;L Forecast'!Q$15</f>
        <v>0.14229421562790573</v>
      </c>
      <c r="E108" s="154">
        <f>E107/'P&amp;L Forecast'!R$15</f>
        <v>0.15067375250012824</v>
      </c>
      <c r="F108" s="154">
        <f>F107/'P&amp;L Forecast'!S$15</f>
        <v>0.14402717373670126</v>
      </c>
      <c r="G108" s="154">
        <f>G107/'P&amp;L Forecast'!T$15</f>
        <v>0.14797743526147417</v>
      </c>
      <c r="H108" s="154">
        <f>H107/'P&amp;L Forecast'!U$15</f>
        <v>0.16089345410191541</v>
      </c>
      <c r="I108" s="154">
        <f>I107/'P&amp;L Forecast'!V$15</f>
        <v>0.17550890800204896</v>
      </c>
      <c r="J108" s="154">
        <f>J107/'P&amp;L Forecast'!W$15</f>
        <v>0.16912188899342653</v>
      </c>
      <c r="K108" s="154">
        <f>K107/'P&amp;L Forecast'!X$15</f>
        <v>0.17152436032228593</v>
      </c>
      <c r="L108" s="154">
        <f>L107/'P&amp;L Forecast'!Y$15</f>
        <v>0.18007331326546563</v>
      </c>
      <c r="M108" s="154">
        <f>M107/'P&amp;L Forecast'!Z$15</f>
        <v>0.16187570311731056</v>
      </c>
      <c r="N108" s="154">
        <f>N107/'P&amp;L Forecast'!AA$15</f>
        <v>0.16143121015055181</v>
      </c>
      <c r="O108" s="154">
        <f>O107/'P&amp;L Forecast'!AB$15</f>
        <v>0.15799417388204939</v>
      </c>
      <c r="P108" s="154">
        <f>P107/'P&amp;L Forecast'!AC$15</f>
        <v>0.17302793200891781</v>
      </c>
      <c r="Q108" s="154">
        <f>Q107/'P&amp;L Forecast'!AD$15</f>
        <v>0.1457352499605008</v>
      </c>
      <c r="R108" s="154">
        <f>R107/'P&amp;L Forecast'!AE$15</f>
        <v>0.14575975664045113</v>
      </c>
      <c r="S108" s="154">
        <f>S107/'P&amp;L Forecast'!AF$15</f>
        <v>0.13669206663477185</v>
      </c>
      <c r="T108" s="154">
        <f>T107/'P&amp;L Forecast'!AG$15</f>
        <v>0.13988948891508851</v>
      </c>
      <c r="U108" s="154">
        <f>U107/'P&amp;L Forecast'!AH$15</f>
        <v>0.14359618031211865</v>
      </c>
      <c r="V108" s="154">
        <f>V107/'P&amp;L Forecast'!AI$15</f>
        <v>0.15311022253405318</v>
      </c>
      <c r="W108" s="154">
        <f>W107/'P&amp;L Forecast'!AJ$15</f>
        <v>0.15021814297533931</v>
      </c>
      <c r="X108" s="154">
        <f>X107/'P&amp;L Forecast'!AK$15</f>
        <v>0.13917877890420322</v>
      </c>
      <c r="Y108" s="154">
        <f>Y107/'P&amp;L Forecast'!AL$15</f>
        <v>0.15723248684815927</v>
      </c>
      <c r="Z108" s="154">
        <f>Z107/'P&amp;L Forecast'!AM$15</f>
        <v>0.16291570376896142</v>
      </c>
      <c r="AA108" s="154">
        <f>AA107/'P&amp;L Forecast'!AN$15</f>
        <v>0.15671590092112256</v>
      </c>
      <c r="AB108" s="154">
        <f>AB107/'P&amp;L Forecast'!AO$15</f>
        <v>0.15721013137790968</v>
      </c>
      <c r="AC108" s="154">
        <f>AC107/'P&amp;L Forecast'!AP$15</f>
        <v>0.1580652884048247</v>
      </c>
      <c r="AD108" s="154">
        <f>AD107/'P&amp;L Forecast'!AQ$15</f>
        <v>0.16523160985589699</v>
      </c>
      <c r="AE108" s="154">
        <f>AE107/'P&amp;L Forecast'!AR$15</f>
        <v>0.15309663426486828</v>
      </c>
      <c r="AF108" s="154">
        <f>AF107/'P&amp;L Forecast'!AS$15</f>
        <v>0.15973288997940771</v>
      </c>
      <c r="AG108" s="15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RowHeight="15" x14ac:dyDescent="0.25"/>
  <cols>
    <col min="1" max="16384" width="9.140625" style="32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ECB7-420C-440E-B9C2-DE538857A733}">
  <sheetPr>
    <tabColor theme="7" tint="0.79998168889431442"/>
  </sheetPr>
  <dimension ref="A1:AF312"/>
  <sheetViews>
    <sheetView topLeftCell="I1" workbookViewId="0">
      <selection activeCell="Y3" sqref="Y3"/>
    </sheetView>
  </sheetViews>
  <sheetFormatPr defaultRowHeight="15.75" x14ac:dyDescent="0.25"/>
  <cols>
    <col min="1" max="1" width="13.5703125" style="149" customWidth="1"/>
    <col min="2" max="2" width="18.140625" style="149" customWidth="1"/>
    <col min="3" max="3" width="19.28515625" style="149" customWidth="1"/>
    <col min="4" max="4" width="17" style="149" customWidth="1"/>
    <col min="5" max="5" width="14.7109375" style="149" customWidth="1"/>
    <col min="6" max="6" width="17" style="149" customWidth="1"/>
    <col min="7" max="7" width="19.28515625" style="149" customWidth="1"/>
    <col min="8" max="8" width="15.85546875" style="149" customWidth="1"/>
    <col min="9" max="9" width="14.7109375" style="149" customWidth="1"/>
    <col min="10" max="10" width="21.5703125" style="149" customWidth="1"/>
    <col min="11" max="11" width="14.7109375" style="149" customWidth="1"/>
    <col min="12" max="12" width="51.28515625" style="149" customWidth="1"/>
    <col min="13" max="14" width="13.5703125" style="149" customWidth="1"/>
    <col min="15" max="18" width="15.85546875" style="149" customWidth="1"/>
    <col min="19" max="19" width="17" style="149" customWidth="1"/>
    <col min="20" max="21" width="13.5703125" style="149" customWidth="1"/>
    <col min="22" max="22" width="11.28515625" style="149" customWidth="1"/>
    <col min="23" max="23" width="21.5703125" style="149" customWidth="1"/>
    <col min="24" max="25" width="17" style="149" customWidth="1"/>
    <col min="26" max="26" width="15.85546875" style="149" customWidth="1"/>
    <col min="27" max="28" width="22.7109375" style="149" customWidth="1"/>
    <col min="29" max="30" width="21.5703125" style="149" customWidth="1"/>
    <col min="31" max="31" width="11.28515625" style="149" customWidth="1"/>
    <col min="32" max="32" width="18.140625" style="149" customWidth="1"/>
    <col min="33" max="16384" width="9.140625" style="149"/>
  </cols>
  <sheetData>
    <row r="1" spans="1:32" x14ac:dyDescent="0.25">
      <c r="A1" s="149" t="s">
        <v>479</v>
      </c>
    </row>
    <row r="3" spans="1:32" x14ac:dyDescent="0.25">
      <c r="A3" s="149" t="s">
        <v>480</v>
      </c>
      <c r="B3" s="149" t="s">
        <v>116</v>
      </c>
      <c r="C3" s="149" t="s">
        <v>481</v>
      </c>
      <c r="D3" s="149" t="s">
        <v>482</v>
      </c>
      <c r="E3" s="149" t="s">
        <v>483</v>
      </c>
      <c r="F3" s="149" t="s">
        <v>484</v>
      </c>
      <c r="G3" s="149" t="s">
        <v>485</v>
      </c>
      <c r="H3" s="149" t="s">
        <v>486</v>
      </c>
      <c r="I3" s="149" t="s">
        <v>487</v>
      </c>
      <c r="J3" s="149" t="s">
        <v>488</v>
      </c>
      <c r="K3" s="149" t="s">
        <v>489</v>
      </c>
      <c r="L3" s="149" t="s">
        <v>490</v>
      </c>
      <c r="M3" s="149" t="s">
        <v>491</v>
      </c>
      <c r="N3" s="149" t="s">
        <v>492</v>
      </c>
      <c r="O3" s="149" t="s">
        <v>493</v>
      </c>
      <c r="P3" s="149" t="s">
        <v>494</v>
      </c>
      <c r="Q3" s="149" t="s">
        <v>4</v>
      </c>
      <c r="R3" s="149" t="s">
        <v>495</v>
      </c>
      <c r="S3" s="149" t="s">
        <v>496</v>
      </c>
      <c r="T3" s="149" t="s">
        <v>497</v>
      </c>
      <c r="U3" s="149" t="s">
        <v>498</v>
      </c>
      <c r="V3" s="149" t="s">
        <v>499</v>
      </c>
      <c r="W3" s="149" t="s">
        <v>500</v>
      </c>
      <c r="X3" s="149" t="s">
        <v>501</v>
      </c>
      <c r="Y3" s="149" t="s">
        <v>502</v>
      </c>
      <c r="Z3" s="149" t="s">
        <v>503</v>
      </c>
      <c r="AA3" s="149" t="s">
        <v>504</v>
      </c>
      <c r="AB3" s="149" t="s">
        <v>505</v>
      </c>
      <c r="AC3" s="149" t="s">
        <v>506</v>
      </c>
      <c r="AD3" s="149" t="s">
        <v>507</v>
      </c>
      <c r="AE3" s="149" t="s">
        <v>508</v>
      </c>
      <c r="AF3" s="149" t="s">
        <v>509</v>
      </c>
    </row>
    <row r="4" spans="1:32" x14ac:dyDescent="0.25">
      <c r="A4" s="149" t="s">
        <v>510</v>
      </c>
      <c r="B4" s="149" t="s">
        <v>511</v>
      </c>
      <c r="C4" s="149" t="s">
        <v>512</v>
      </c>
      <c r="D4" s="149" t="s">
        <v>513</v>
      </c>
      <c r="E4" s="149" t="s">
        <v>514</v>
      </c>
      <c r="F4" s="149" t="s">
        <v>515</v>
      </c>
      <c r="G4" s="149" t="s">
        <v>132</v>
      </c>
      <c r="H4" s="149">
        <v>21</v>
      </c>
      <c r="I4" s="149" t="s">
        <v>351</v>
      </c>
      <c r="J4" s="150">
        <v>9193.0300000000007</v>
      </c>
      <c r="K4" s="149">
        <v>206</v>
      </c>
      <c r="L4" s="149" t="s">
        <v>516</v>
      </c>
      <c r="M4" s="149">
        <v>206</v>
      </c>
      <c r="N4" s="149" t="s">
        <v>517</v>
      </c>
      <c r="O4" s="150">
        <v>97706.59</v>
      </c>
      <c r="P4" s="150">
        <v>9490</v>
      </c>
      <c r="Q4" s="150">
        <v>61957.5</v>
      </c>
      <c r="R4" s="150">
        <v>66239.09</v>
      </c>
      <c r="S4" s="151">
        <v>39.525319579288023</v>
      </c>
      <c r="T4" s="149" t="s">
        <v>518</v>
      </c>
      <c r="U4" s="149" t="s">
        <v>351</v>
      </c>
      <c r="V4" s="149" t="s">
        <v>519</v>
      </c>
      <c r="W4" s="149" t="s">
        <v>520</v>
      </c>
      <c r="X4" s="149" t="s">
        <v>351</v>
      </c>
      <c r="Y4" s="149" t="s">
        <v>355</v>
      </c>
      <c r="Z4" s="149" t="s">
        <v>521</v>
      </c>
      <c r="AA4" s="149" t="s">
        <v>522</v>
      </c>
      <c r="AB4" s="149" t="s">
        <v>523</v>
      </c>
      <c r="AC4" s="149" t="s">
        <v>524</v>
      </c>
      <c r="AD4" s="149" t="s">
        <v>525</v>
      </c>
      <c r="AE4" s="149" t="s">
        <v>518</v>
      </c>
      <c r="AF4" s="149" t="s">
        <v>351</v>
      </c>
    </row>
    <row r="5" spans="1:32" x14ac:dyDescent="0.25">
      <c r="A5" s="149" t="s">
        <v>526</v>
      </c>
      <c r="B5" s="149" t="s">
        <v>511</v>
      </c>
      <c r="C5" s="149" t="s">
        <v>512</v>
      </c>
      <c r="D5" s="149" t="s">
        <v>513</v>
      </c>
      <c r="E5" s="149" t="s">
        <v>514</v>
      </c>
      <c r="F5" s="149" t="s">
        <v>515</v>
      </c>
      <c r="G5" s="149" t="s">
        <v>209</v>
      </c>
      <c r="H5" s="149">
        <v>10</v>
      </c>
      <c r="I5" s="149" t="s">
        <v>351</v>
      </c>
      <c r="J5" s="150">
        <v>8686</v>
      </c>
      <c r="K5" s="149">
        <v>163</v>
      </c>
      <c r="L5" s="149" t="s">
        <v>516</v>
      </c>
      <c r="M5" s="149">
        <v>163</v>
      </c>
      <c r="N5" s="149" t="s">
        <v>517</v>
      </c>
      <c r="O5" s="150">
        <v>84889</v>
      </c>
      <c r="P5" s="150">
        <v>8792</v>
      </c>
      <c r="Q5" s="150">
        <v>24345</v>
      </c>
      <c r="R5" s="150">
        <v>60544</v>
      </c>
      <c r="S5" s="151">
        <v>43.399284253578728</v>
      </c>
      <c r="T5" s="149" t="s">
        <v>518</v>
      </c>
      <c r="U5" s="149">
        <v>160</v>
      </c>
      <c r="V5" s="149" t="s">
        <v>518</v>
      </c>
      <c r="W5" s="149" t="s">
        <v>527</v>
      </c>
      <c r="X5" s="149" t="s">
        <v>528</v>
      </c>
      <c r="Y5" s="149" t="s">
        <v>355</v>
      </c>
      <c r="Z5" s="149" t="s">
        <v>521</v>
      </c>
      <c r="AA5" s="149" t="s">
        <v>529</v>
      </c>
      <c r="AB5" s="149" t="s">
        <v>530</v>
      </c>
      <c r="AC5" s="149" t="s">
        <v>531</v>
      </c>
      <c r="AD5" s="149" t="s">
        <v>532</v>
      </c>
      <c r="AE5" s="149" t="s">
        <v>519</v>
      </c>
      <c r="AF5" s="149" t="s">
        <v>351</v>
      </c>
    </row>
    <row r="6" spans="1:32" x14ac:dyDescent="0.25">
      <c r="A6" s="149" t="s">
        <v>533</v>
      </c>
      <c r="B6" s="149" t="s">
        <v>511</v>
      </c>
      <c r="C6" s="149" t="s">
        <v>512</v>
      </c>
      <c r="D6" s="149" t="s">
        <v>513</v>
      </c>
      <c r="E6" s="149" t="s">
        <v>514</v>
      </c>
      <c r="F6" s="149" t="s">
        <v>515</v>
      </c>
      <c r="G6" s="149" t="s">
        <v>534</v>
      </c>
      <c r="H6" s="149">
        <v>56</v>
      </c>
      <c r="I6" s="149" t="s">
        <v>351</v>
      </c>
      <c r="J6" s="150">
        <v>3750</v>
      </c>
      <c r="K6" s="149">
        <v>85</v>
      </c>
      <c r="L6" s="149" t="s">
        <v>516</v>
      </c>
      <c r="M6" s="149">
        <v>85</v>
      </c>
      <c r="N6" s="149" t="s">
        <v>517</v>
      </c>
      <c r="O6" s="150">
        <v>50392</v>
      </c>
      <c r="P6" s="150">
        <v>3890</v>
      </c>
      <c r="Q6" s="150">
        <v>54535</v>
      </c>
      <c r="R6" s="150">
        <v>27242</v>
      </c>
      <c r="S6" s="151">
        <v>49.403921568627446</v>
      </c>
      <c r="T6" s="149" t="s">
        <v>519</v>
      </c>
      <c r="U6" s="149" t="s">
        <v>351</v>
      </c>
      <c r="V6" s="149" t="s">
        <v>518</v>
      </c>
      <c r="W6" s="149" t="s">
        <v>520</v>
      </c>
      <c r="X6" s="149" t="s">
        <v>528</v>
      </c>
      <c r="Y6" s="149" t="s">
        <v>355</v>
      </c>
      <c r="Z6" s="149" t="s">
        <v>521</v>
      </c>
      <c r="AA6" s="149" t="s">
        <v>535</v>
      </c>
      <c r="AB6" s="149" t="s">
        <v>536</v>
      </c>
      <c r="AC6" s="149" t="s">
        <v>524</v>
      </c>
      <c r="AD6" s="149" t="s">
        <v>537</v>
      </c>
      <c r="AE6" s="149" t="s">
        <v>518</v>
      </c>
      <c r="AF6" s="149" t="s">
        <v>351</v>
      </c>
    </row>
    <row r="7" spans="1:32" x14ac:dyDescent="0.25">
      <c r="A7" s="149" t="s">
        <v>538</v>
      </c>
      <c r="B7" s="149" t="s">
        <v>511</v>
      </c>
      <c r="C7" s="149" t="s">
        <v>512</v>
      </c>
      <c r="D7" s="149" t="s">
        <v>513</v>
      </c>
      <c r="E7" s="149" t="s">
        <v>514</v>
      </c>
      <c r="F7" s="149" t="s">
        <v>515</v>
      </c>
      <c r="G7" s="149" t="s">
        <v>202</v>
      </c>
      <c r="H7" s="149">
        <v>17</v>
      </c>
      <c r="I7" s="149" t="s">
        <v>351</v>
      </c>
      <c r="J7" s="150">
        <v>3773</v>
      </c>
      <c r="K7" s="149">
        <v>99</v>
      </c>
      <c r="L7" s="149" t="s">
        <v>516</v>
      </c>
      <c r="M7" s="149">
        <v>99</v>
      </c>
      <c r="N7" s="149" t="s">
        <v>517</v>
      </c>
      <c r="O7" s="150">
        <v>49344</v>
      </c>
      <c r="P7" s="150">
        <v>3847</v>
      </c>
      <c r="Q7" s="150">
        <v>44944</v>
      </c>
      <c r="R7" s="150">
        <v>28852</v>
      </c>
      <c r="S7" s="151">
        <v>41.535353535353536</v>
      </c>
      <c r="T7" s="149" t="s">
        <v>519</v>
      </c>
      <c r="U7" s="149" t="s">
        <v>351</v>
      </c>
      <c r="V7" s="149" t="s">
        <v>518</v>
      </c>
      <c r="W7" s="149" t="s">
        <v>520</v>
      </c>
      <c r="X7" s="149" t="s">
        <v>539</v>
      </c>
      <c r="Y7" s="149" t="s">
        <v>355</v>
      </c>
      <c r="Z7" s="149" t="s">
        <v>521</v>
      </c>
      <c r="AA7" s="149" t="s">
        <v>540</v>
      </c>
      <c r="AB7" s="149" t="s">
        <v>541</v>
      </c>
      <c r="AC7" s="149" t="s">
        <v>531</v>
      </c>
      <c r="AD7" s="149" t="s">
        <v>525</v>
      </c>
      <c r="AE7" s="149" t="s">
        <v>518</v>
      </c>
      <c r="AF7" s="149" t="s">
        <v>351</v>
      </c>
    </row>
    <row r="8" spans="1:32" x14ac:dyDescent="0.25">
      <c r="A8" s="149" t="s">
        <v>542</v>
      </c>
      <c r="B8" s="149" t="s">
        <v>511</v>
      </c>
      <c r="C8" s="149" t="s">
        <v>512</v>
      </c>
      <c r="D8" s="149" t="s">
        <v>513</v>
      </c>
      <c r="E8" s="149" t="s">
        <v>514</v>
      </c>
      <c r="F8" s="149" t="s">
        <v>515</v>
      </c>
      <c r="G8" s="149" t="s">
        <v>543</v>
      </c>
      <c r="H8" s="149">
        <v>50</v>
      </c>
      <c r="I8" s="149" t="s">
        <v>351</v>
      </c>
      <c r="J8" s="150">
        <v>3651</v>
      </c>
      <c r="K8" s="149">
        <v>73</v>
      </c>
      <c r="L8" s="149" t="s">
        <v>516</v>
      </c>
      <c r="M8" s="149">
        <v>73</v>
      </c>
      <c r="N8" s="149" t="s">
        <v>517</v>
      </c>
      <c r="O8" s="150">
        <v>47328</v>
      </c>
      <c r="P8" s="150">
        <v>3353</v>
      </c>
      <c r="Q8" s="150">
        <v>42300</v>
      </c>
      <c r="R8" s="150">
        <v>28308</v>
      </c>
      <c r="S8" s="151">
        <v>54.027397260273972</v>
      </c>
      <c r="T8" s="149" t="s">
        <v>519</v>
      </c>
      <c r="U8" s="149" t="s">
        <v>351</v>
      </c>
      <c r="V8" s="149" t="s">
        <v>519</v>
      </c>
      <c r="W8" s="149" t="s">
        <v>520</v>
      </c>
      <c r="X8" s="149" t="s">
        <v>544</v>
      </c>
      <c r="Y8" s="149" t="s">
        <v>351</v>
      </c>
      <c r="Z8" s="149" t="s">
        <v>521</v>
      </c>
      <c r="AA8" s="149" t="s">
        <v>545</v>
      </c>
      <c r="AB8" s="149" t="s">
        <v>546</v>
      </c>
      <c r="AC8" s="149" t="s">
        <v>547</v>
      </c>
      <c r="AD8" s="149" t="s">
        <v>532</v>
      </c>
      <c r="AE8" s="149" t="s">
        <v>518</v>
      </c>
      <c r="AF8" s="149" t="s">
        <v>351</v>
      </c>
    </row>
    <row r="9" spans="1:32" x14ac:dyDescent="0.25">
      <c r="A9" s="149" t="s">
        <v>548</v>
      </c>
      <c r="B9" s="149" t="s">
        <v>511</v>
      </c>
      <c r="C9" s="149" t="s">
        <v>512</v>
      </c>
      <c r="D9" s="149" t="s">
        <v>513</v>
      </c>
      <c r="E9" s="149" t="s">
        <v>514</v>
      </c>
      <c r="F9" s="149" t="s">
        <v>515</v>
      </c>
      <c r="G9" s="149" t="s">
        <v>127</v>
      </c>
      <c r="H9" s="149">
        <v>26</v>
      </c>
      <c r="I9" s="149" t="s">
        <v>351</v>
      </c>
      <c r="J9" s="150">
        <v>3487.3333333333335</v>
      </c>
      <c r="K9" s="149">
        <v>54</v>
      </c>
      <c r="L9" s="149" t="s">
        <v>516</v>
      </c>
      <c r="M9" s="149">
        <v>54</v>
      </c>
      <c r="N9" s="149" t="s">
        <v>517</v>
      </c>
      <c r="O9" s="150">
        <v>45758</v>
      </c>
      <c r="P9" s="150">
        <v>3318</v>
      </c>
      <c r="Q9" s="150">
        <v>42302</v>
      </c>
      <c r="R9" s="150">
        <v>27357</v>
      </c>
      <c r="S9" s="151">
        <v>70.614197530864189</v>
      </c>
      <c r="T9" s="149" t="s">
        <v>519</v>
      </c>
      <c r="U9" s="149" t="s">
        <v>351</v>
      </c>
      <c r="V9" s="149" t="s">
        <v>519</v>
      </c>
      <c r="W9" s="149" t="s">
        <v>520</v>
      </c>
      <c r="X9" s="149" t="s">
        <v>528</v>
      </c>
      <c r="Y9" s="149" t="s">
        <v>368</v>
      </c>
      <c r="Z9" s="149" t="s">
        <v>521</v>
      </c>
      <c r="AA9" s="149" t="s">
        <v>549</v>
      </c>
      <c r="AB9" s="149" t="s">
        <v>550</v>
      </c>
      <c r="AC9" s="149" t="s">
        <v>531</v>
      </c>
      <c r="AD9" s="149" t="s">
        <v>532</v>
      </c>
      <c r="AE9" s="149" t="s">
        <v>518</v>
      </c>
      <c r="AF9" s="149" t="s">
        <v>351</v>
      </c>
    </row>
    <row r="10" spans="1:32" x14ac:dyDescent="0.25">
      <c r="A10" s="149" t="s">
        <v>551</v>
      </c>
      <c r="B10" s="149" t="s">
        <v>511</v>
      </c>
      <c r="C10" s="149" t="s">
        <v>512</v>
      </c>
      <c r="D10" s="149" t="s">
        <v>513</v>
      </c>
      <c r="E10" s="149" t="s">
        <v>514</v>
      </c>
      <c r="F10" s="149" t="s">
        <v>515</v>
      </c>
      <c r="G10" s="149" t="s">
        <v>202</v>
      </c>
      <c r="H10" s="149">
        <v>17</v>
      </c>
      <c r="I10" s="149" t="s">
        <v>351</v>
      </c>
      <c r="J10" s="150">
        <v>6357</v>
      </c>
      <c r="K10" s="149">
        <v>81</v>
      </c>
      <c r="L10" s="149" t="s">
        <v>516</v>
      </c>
      <c r="M10" s="149">
        <v>81</v>
      </c>
      <c r="N10" s="149" t="s">
        <v>517</v>
      </c>
      <c r="O10" s="150">
        <v>38990</v>
      </c>
      <c r="P10" s="150">
        <v>6557</v>
      </c>
      <c r="Q10" s="150">
        <v>22145</v>
      </c>
      <c r="R10" s="150">
        <v>28490</v>
      </c>
      <c r="S10" s="151">
        <v>40.113168724279831</v>
      </c>
      <c r="T10" s="149" t="s">
        <v>518</v>
      </c>
      <c r="U10" s="149">
        <v>21</v>
      </c>
      <c r="V10" s="149" t="s">
        <v>518</v>
      </c>
      <c r="W10" s="149" t="s">
        <v>527</v>
      </c>
      <c r="X10" s="149" t="s">
        <v>528</v>
      </c>
      <c r="Y10" s="149" t="s">
        <v>355</v>
      </c>
      <c r="Z10" s="149" t="s">
        <v>521</v>
      </c>
      <c r="AA10" s="149" t="s">
        <v>552</v>
      </c>
      <c r="AB10" s="149" t="s">
        <v>546</v>
      </c>
      <c r="AC10" s="149" t="s">
        <v>547</v>
      </c>
      <c r="AD10" s="149" t="s">
        <v>532</v>
      </c>
      <c r="AE10" s="149" t="s">
        <v>519</v>
      </c>
      <c r="AF10" s="149" t="s">
        <v>351</v>
      </c>
    </row>
    <row r="11" spans="1:32" x14ac:dyDescent="0.25">
      <c r="A11" s="149" t="s">
        <v>553</v>
      </c>
      <c r="B11" s="149" t="s">
        <v>511</v>
      </c>
      <c r="C11" s="149" t="s">
        <v>512</v>
      </c>
      <c r="D11" s="149" t="s">
        <v>513</v>
      </c>
      <c r="E11" s="149" t="s">
        <v>514</v>
      </c>
      <c r="F11" s="149" t="s">
        <v>515</v>
      </c>
      <c r="G11" s="149" t="s">
        <v>123</v>
      </c>
      <c r="H11" s="149">
        <v>30</v>
      </c>
      <c r="I11" s="149" t="s">
        <v>351</v>
      </c>
      <c r="J11" s="150">
        <v>2752.6666666666665</v>
      </c>
      <c r="K11" s="149">
        <v>33</v>
      </c>
      <c r="L11" s="149" t="s">
        <v>516</v>
      </c>
      <c r="M11" s="149">
        <v>33</v>
      </c>
      <c r="N11" s="149" t="s">
        <v>517</v>
      </c>
      <c r="O11" s="150">
        <v>33223</v>
      </c>
      <c r="P11" s="150">
        <v>2813</v>
      </c>
      <c r="Q11" s="150">
        <v>29267</v>
      </c>
      <c r="R11" s="150">
        <v>20296</v>
      </c>
      <c r="S11" s="151">
        <v>83.896464646464651</v>
      </c>
      <c r="T11" s="149" t="s">
        <v>518</v>
      </c>
      <c r="U11" s="149">
        <v>26</v>
      </c>
      <c r="V11" s="149" t="s">
        <v>518</v>
      </c>
      <c r="W11" s="149" t="s">
        <v>520</v>
      </c>
      <c r="X11" s="149" t="s">
        <v>554</v>
      </c>
      <c r="Y11" s="149" t="s">
        <v>355</v>
      </c>
      <c r="Z11" s="149" t="s">
        <v>521</v>
      </c>
      <c r="AA11" s="149" t="s">
        <v>555</v>
      </c>
      <c r="AB11" s="149" t="s">
        <v>523</v>
      </c>
      <c r="AC11" s="149" t="s">
        <v>524</v>
      </c>
      <c r="AD11" s="149" t="s">
        <v>525</v>
      </c>
      <c r="AE11" s="149" t="s">
        <v>518</v>
      </c>
      <c r="AF11" s="149" t="s">
        <v>351</v>
      </c>
    </row>
    <row r="12" spans="1:32" x14ac:dyDescent="0.25">
      <c r="A12" s="149" t="s">
        <v>556</v>
      </c>
      <c r="B12" s="149" t="s">
        <v>511</v>
      </c>
      <c r="C12" s="149" t="s">
        <v>512</v>
      </c>
      <c r="D12" s="149" t="s">
        <v>513</v>
      </c>
      <c r="E12" s="149" t="s">
        <v>514</v>
      </c>
      <c r="F12" s="149" t="s">
        <v>515</v>
      </c>
      <c r="G12" s="149" t="s">
        <v>543</v>
      </c>
      <c r="H12" s="149">
        <v>50</v>
      </c>
      <c r="I12" s="149" t="s">
        <v>351</v>
      </c>
      <c r="J12" s="150">
        <v>2708.7833333333333</v>
      </c>
      <c r="K12" s="149">
        <v>36</v>
      </c>
      <c r="L12" s="149" t="s">
        <v>516</v>
      </c>
      <c r="M12" s="149">
        <v>36</v>
      </c>
      <c r="N12" s="149" t="s">
        <v>517</v>
      </c>
      <c r="O12" s="150">
        <v>32640.98</v>
      </c>
      <c r="P12" s="150">
        <v>2465.35</v>
      </c>
      <c r="Q12" s="150">
        <v>31130</v>
      </c>
      <c r="R12" s="150">
        <v>18781.98</v>
      </c>
      <c r="S12" s="151">
        <v>75.557824074074063</v>
      </c>
      <c r="T12" s="149" t="s">
        <v>518</v>
      </c>
      <c r="U12" s="149">
        <v>4</v>
      </c>
      <c r="V12" s="149" t="s">
        <v>518</v>
      </c>
      <c r="W12" s="149" t="s">
        <v>520</v>
      </c>
      <c r="X12" s="149" t="s">
        <v>528</v>
      </c>
      <c r="Y12" s="149" t="s">
        <v>355</v>
      </c>
      <c r="Z12" s="149" t="s">
        <v>521</v>
      </c>
      <c r="AA12" s="149" t="s">
        <v>557</v>
      </c>
      <c r="AB12" s="149" t="s">
        <v>530</v>
      </c>
      <c r="AC12" s="149" t="s">
        <v>531</v>
      </c>
      <c r="AD12" s="149" t="s">
        <v>532</v>
      </c>
      <c r="AE12" s="149" t="s">
        <v>518</v>
      </c>
      <c r="AF12" s="149" t="s">
        <v>351</v>
      </c>
    </row>
    <row r="13" spans="1:32" x14ac:dyDescent="0.25">
      <c r="A13" s="149" t="s">
        <v>558</v>
      </c>
      <c r="B13" s="149" t="s">
        <v>511</v>
      </c>
      <c r="C13" s="149" t="s">
        <v>512</v>
      </c>
      <c r="D13" s="149" t="s">
        <v>513</v>
      </c>
      <c r="E13" s="149" t="s">
        <v>514</v>
      </c>
      <c r="F13" s="149" t="s">
        <v>515</v>
      </c>
      <c r="G13" s="149" t="s">
        <v>126</v>
      </c>
      <c r="H13" s="149">
        <v>27</v>
      </c>
      <c r="I13" s="149" t="s">
        <v>351</v>
      </c>
      <c r="J13" s="150">
        <v>3075</v>
      </c>
      <c r="K13" s="149">
        <v>38</v>
      </c>
      <c r="L13" s="149" t="s">
        <v>516</v>
      </c>
      <c r="M13" s="149">
        <v>38</v>
      </c>
      <c r="N13" s="149" t="s">
        <v>517</v>
      </c>
      <c r="O13" s="150">
        <v>32225</v>
      </c>
      <c r="P13" s="150">
        <v>2975</v>
      </c>
      <c r="Q13" s="150">
        <v>17918.75</v>
      </c>
      <c r="R13" s="150">
        <v>25020</v>
      </c>
      <c r="S13" s="151">
        <v>70.668859649122808</v>
      </c>
      <c r="T13" s="149" t="s">
        <v>518</v>
      </c>
      <c r="U13" s="149" t="s">
        <v>351</v>
      </c>
      <c r="V13" s="149" t="s">
        <v>519</v>
      </c>
      <c r="W13" s="149" t="s">
        <v>520</v>
      </c>
      <c r="X13" s="149" t="s">
        <v>528</v>
      </c>
      <c r="Y13" s="149" t="s">
        <v>355</v>
      </c>
      <c r="Z13" s="149" t="s">
        <v>521</v>
      </c>
      <c r="AA13" s="149" t="s">
        <v>559</v>
      </c>
      <c r="AB13" s="149" t="s">
        <v>560</v>
      </c>
      <c r="AC13" s="149" t="s">
        <v>547</v>
      </c>
      <c r="AD13" s="149" t="s">
        <v>537</v>
      </c>
      <c r="AE13" s="149" t="s">
        <v>518</v>
      </c>
      <c r="AF13" s="149" t="s">
        <v>351</v>
      </c>
    </row>
    <row r="14" spans="1:32" x14ac:dyDescent="0.25">
      <c r="A14" s="149" t="s">
        <v>561</v>
      </c>
      <c r="B14" s="149" t="s">
        <v>511</v>
      </c>
      <c r="C14" s="149" t="s">
        <v>512</v>
      </c>
      <c r="D14" s="149" t="s">
        <v>513</v>
      </c>
      <c r="E14" s="149" t="s">
        <v>514</v>
      </c>
      <c r="F14" s="149" t="s">
        <v>515</v>
      </c>
      <c r="G14" s="149" t="s">
        <v>562</v>
      </c>
      <c r="H14" s="149">
        <v>34</v>
      </c>
      <c r="I14" s="149" t="s">
        <v>351</v>
      </c>
      <c r="J14" s="150">
        <v>2881.6666666666665</v>
      </c>
      <c r="K14" s="149">
        <v>61</v>
      </c>
      <c r="L14" s="149" t="s">
        <v>516</v>
      </c>
      <c r="M14" s="149">
        <v>61</v>
      </c>
      <c r="N14" s="149" t="s">
        <v>517</v>
      </c>
      <c r="O14" s="150">
        <v>29627</v>
      </c>
      <c r="P14" s="150">
        <v>2978</v>
      </c>
      <c r="Q14" s="150">
        <v>23070</v>
      </c>
      <c r="R14" s="150">
        <v>19035</v>
      </c>
      <c r="S14" s="151">
        <v>40.474043715846989</v>
      </c>
      <c r="T14" s="149" t="s">
        <v>519</v>
      </c>
      <c r="U14" s="149" t="s">
        <v>351</v>
      </c>
      <c r="V14" s="149" t="s">
        <v>518</v>
      </c>
      <c r="W14" s="149" t="s">
        <v>527</v>
      </c>
      <c r="X14" s="149" t="s">
        <v>554</v>
      </c>
      <c r="Y14" s="149" t="s">
        <v>355</v>
      </c>
      <c r="Z14" s="149" t="s">
        <v>521</v>
      </c>
      <c r="AA14" s="149" t="s">
        <v>563</v>
      </c>
      <c r="AB14" s="149" t="s">
        <v>564</v>
      </c>
      <c r="AC14" s="149" t="s">
        <v>524</v>
      </c>
      <c r="AD14" s="149" t="s">
        <v>537</v>
      </c>
      <c r="AE14" s="149" t="s">
        <v>519</v>
      </c>
      <c r="AF14" s="149" t="s">
        <v>351</v>
      </c>
    </row>
    <row r="15" spans="1:32" x14ac:dyDescent="0.25">
      <c r="A15" s="149" t="s">
        <v>565</v>
      </c>
      <c r="B15" s="149" t="s">
        <v>511</v>
      </c>
      <c r="C15" s="149" t="s">
        <v>512</v>
      </c>
      <c r="D15" s="149" t="s">
        <v>513</v>
      </c>
      <c r="E15" s="149" t="s">
        <v>514</v>
      </c>
      <c r="F15" s="149" t="s">
        <v>515</v>
      </c>
      <c r="G15" s="149" t="s">
        <v>125</v>
      </c>
      <c r="H15" s="149">
        <v>28</v>
      </c>
      <c r="I15" s="149" t="s">
        <v>351</v>
      </c>
      <c r="J15" s="150">
        <v>2432.8733333333334</v>
      </c>
      <c r="K15" s="149">
        <v>27</v>
      </c>
      <c r="L15" s="149" t="s">
        <v>516</v>
      </c>
      <c r="M15" s="149">
        <v>27</v>
      </c>
      <c r="N15" s="149" t="s">
        <v>517</v>
      </c>
      <c r="O15" s="150">
        <v>28951.62</v>
      </c>
      <c r="P15" s="150">
        <v>2594</v>
      </c>
      <c r="Q15" s="150">
        <v>28526</v>
      </c>
      <c r="R15" s="150">
        <v>17372.62</v>
      </c>
      <c r="S15" s="151">
        <v>89.356851851851843</v>
      </c>
      <c r="T15" s="149" t="s">
        <v>518</v>
      </c>
      <c r="U15" s="149">
        <v>36</v>
      </c>
      <c r="V15" s="149" t="s">
        <v>519</v>
      </c>
      <c r="W15" s="149" t="s">
        <v>520</v>
      </c>
      <c r="X15" s="149" t="s">
        <v>528</v>
      </c>
      <c r="Y15" s="149" t="s">
        <v>351</v>
      </c>
      <c r="Z15" s="149" t="s">
        <v>521</v>
      </c>
      <c r="AA15" s="149" t="s">
        <v>555</v>
      </c>
      <c r="AB15" s="149" t="s">
        <v>523</v>
      </c>
      <c r="AC15" s="149" t="s">
        <v>524</v>
      </c>
      <c r="AD15" s="149" t="s">
        <v>525</v>
      </c>
      <c r="AE15" s="149" t="s">
        <v>518</v>
      </c>
      <c r="AF15" s="149" t="s">
        <v>351</v>
      </c>
    </row>
    <row r="16" spans="1:32" x14ac:dyDescent="0.25">
      <c r="A16" s="149" t="s">
        <v>566</v>
      </c>
      <c r="B16" s="149" t="s">
        <v>511</v>
      </c>
      <c r="C16" s="149" t="s">
        <v>512</v>
      </c>
      <c r="D16" s="149" t="s">
        <v>513</v>
      </c>
      <c r="E16" s="149" t="s">
        <v>514</v>
      </c>
      <c r="F16" s="149" t="s">
        <v>515</v>
      </c>
      <c r="G16" s="149" t="s">
        <v>128</v>
      </c>
      <c r="H16" s="149">
        <v>25</v>
      </c>
      <c r="I16" s="149" t="s">
        <v>351</v>
      </c>
      <c r="J16" s="150">
        <v>2035.6666666666667</v>
      </c>
      <c r="K16" s="149">
        <v>21</v>
      </c>
      <c r="L16" s="149" t="s">
        <v>516</v>
      </c>
      <c r="M16" s="149">
        <v>21</v>
      </c>
      <c r="N16" s="149" t="s">
        <v>517</v>
      </c>
      <c r="O16" s="150">
        <v>28873</v>
      </c>
      <c r="P16" s="150">
        <v>1852</v>
      </c>
      <c r="Q16" s="150">
        <v>32127.5</v>
      </c>
      <c r="R16" s="150">
        <v>17117</v>
      </c>
      <c r="S16" s="151">
        <v>114.57539682539684</v>
      </c>
      <c r="T16" s="149" t="s">
        <v>519</v>
      </c>
      <c r="U16" s="149" t="s">
        <v>351</v>
      </c>
      <c r="V16" s="149" t="s">
        <v>519</v>
      </c>
      <c r="W16" s="149" t="s">
        <v>520</v>
      </c>
      <c r="X16" s="149" t="s">
        <v>554</v>
      </c>
      <c r="Y16" s="149" t="s">
        <v>351</v>
      </c>
      <c r="Z16" s="149" t="s">
        <v>521</v>
      </c>
      <c r="AA16" s="149" t="s">
        <v>567</v>
      </c>
      <c r="AB16" s="149" t="s">
        <v>550</v>
      </c>
      <c r="AC16" s="149" t="s">
        <v>531</v>
      </c>
      <c r="AD16" s="149" t="s">
        <v>532</v>
      </c>
      <c r="AE16" s="149" t="s">
        <v>518</v>
      </c>
      <c r="AF16" s="149" t="s">
        <v>351</v>
      </c>
    </row>
    <row r="17" spans="1:32" x14ac:dyDescent="0.25">
      <c r="A17" s="149" t="s">
        <v>568</v>
      </c>
      <c r="B17" s="149" t="s">
        <v>511</v>
      </c>
      <c r="C17" s="149" t="s">
        <v>512</v>
      </c>
      <c r="D17" s="149" t="s">
        <v>513</v>
      </c>
      <c r="E17" s="149" t="s">
        <v>514</v>
      </c>
      <c r="F17" s="149" t="s">
        <v>515</v>
      </c>
      <c r="G17" s="149" t="s">
        <v>122</v>
      </c>
      <c r="H17" s="149">
        <v>31</v>
      </c>
      <c r="I17" s="149" t="s">
        <v>351</v>
      </c>
      <c r="J17" s="150">
        <v>2285</v>
      </c>
      <c r="K17" s="149">
        <v>25</v>
      </c>
      <c r="L17" s="149" t="s">
        <v>569</v>
      </c>
      <c r="M17" s="149" t="s">
        <v>351</v>
      </c>
      <c r="N17" s="149" t="s">
        <v>351</v>
      </c>
      <c r="O17" s="150">
        <v>27920</v>
      </c>
      <c r="P17" s="150">
        <v>2285</v>
      </c>
      <c r="Q17" s="150">
        <v>27160</v>
      </c>
      <c r="R17" s="150">
        <v>16295</v>
      </c>
      <c r="S17" s="151">
        <v>93.066666666666663</v>
      </c>
      <c r="T17" s="149" t="s">
        <v>519</v>
      </c>
      <c r="U17" s="149" t="s">
        <v>351</v>
      </c>
      <c r="V17" s="149" t="s">
        <v>518</v>
      </c>
      <c r="W17" s="149" t="s">
        <v>520</v>
      </c>
      <c r="X17" s="149" t="s">
        <v>539</v>
      </c>
      <c r="Y17" s="149" t="s">
        <v>368</v>
      </c>
      <c r="Z17" s="149" t="s">
        <v>521</v>
      </c>
      <c r="AA17" s="149" t="s">
        <v>570</v>
      </c>
      <c r="AB17" s="149" t="s">
        <v>571</v>
      </c>
      <c r="AC17" s="149" t="s">
        <v>524</v>
      </c>
      <c r="AD17" s="149" t="s">
        <v>572</v>
      </c>
      <c r="AE17" s="149" t="s">
        <v>518</v>
      </c>
      <c r="AF17" s="149" t="s">
        <v>351</v>
      </c>
    </row>
    <row r="18" spans="1:32" x14ac:dyDescent="0.25">
      <c r="A18" s="149" t="s">
        <v>573</v>
      </c>
      <c r="B18" s="149" t="s">
        <v>511</v>
      </c>
      <c r="C18" s="149" t="s">
        <v>512</v>
      </c>
      <c r="D18" s="149" t="s">
        <v>513</v>
      </c>
      <c r="E18" s="149" t="s">
        <v>514</v>
      </c>
      <c r="F18" s="149" t="s">
        <v>515</v>
      </c>
      <c r="G18" s="149" t="s">
        <v>204</v>
      </c>
      <c r="H18" s="149">
        <v>15</v>
      </c>
      <c r="I18" s="149" t="s">
        <v>351</v>
      </c>
      <c r="J18" s="150">
        <v>2644.6666666666665</v>
      </c>
      <c r="K18" s="149">
        <v>60</v>
      </c>
      <c r="L18" s="149" t="s">
        <v>516</v>
      </c>
      <c r="M18" s="149">
        <v>60</v>
      </c>
      <c r="N18" s="149" t="s">
        <v>517</v>
      </c>
      <c r="O18" s="150">
        <v>27140</v>
      </c>
      <c r="P18" s="150">
        <v>2742</v>
      </c>
      <c r="Q18" s="150">
        <v>16414</v>
      </c>
      <c r="R18" s="150">
        <v>17190</v>
      </c>
      <c r="S18" s="151">
        <v>37.694444444444443</v>
      </c>
      <c r="T18" s="149" t="s">
        <v>519</v>
      </c>
      <c r="U18" s="149" t="s">
        <v>351</v>
      </c>
      <c r="V18" s="149" t="s">
        <v>518</v>
      </c>
      <c r="W18" s="149" t="s">
        <v>520</v>
      </c>
      <c r="X18" s="149" t="s">
        <v>554</v>
      </c>
      <c r="Y18" s="149" t="s">
        <v>355</v>
      </c>
      <c r="Z18" s="149" t="s">
        <v>521</v>
      </c>
      <c r="AA18" s="149" t="s">
        <v>574</v>
      </c>
      <c r="AB18" s="149" t="s">
        <v>571</v>
      </c>
      <c r="AC18" s="149" t="s">
        <v>524</v>
      </c>
      <c r="AD18" s="149" t="s">
        <v>572</v>
      </c>
      <c r="AE18" s="149" t="s">
        <v>518</v>
      </c>
      <c r="AF18" s="149" t="s">
        <v>351</v>
      </c>
    </row>
    <row r="19" spans="1:32" x14ac:dyDescent="0.25">
      <c r="A19" s="149" t="s">
        <v>575</v>
      </c>
      <c r="B19" s="149" t="s">
        <v>576</v>
      </c>
      <c r="C19" s="149" t="s">
        <v>512</v>
      </c>
      <c r="D19" s="149" t="s">
        <v>513</v>
      </c>
      <c r="E19" s="149" t="s">
        <v>514</v>
      </c>
      <c r="F19" s="149" t="s">
        <v>515</v>
      </c>
      <c r="G19" s="149" t="s">
        <v>207</v>
      </c>
      <c r="H19" s="149">
        <v>9</v>
      </c>
      <c r="I19" s="149" t="s">
        <v>246</v>
      </c>
      <c r="J19" s="150">
        <v>3006.6666666666665</v>
      </c>
      <c r="K19" s="149">
        <v>73</v>
      </c>
      <c r="L19" s="149" t="s">
        <v>577</v>
      </c>
      <c r="M19" s="149">
        <v>78</v>
      </c>
      <c r="N19" s="149" t="s">
        <v>578</v>
      </c>
      <c r="O19" s="150">
        <v>26019.5</v>
      </c>
      <c r="P19" s="149" t="s">
        <v>351</v>
      </c>
      <c r="Q19" s="150">
        <v>14379.5</v>
      </c>
      <c r="R19" s="150">
        <v>11640</v>
      </c>
      <c r="S19" s="151">
        <v>29.702625570776252</v>
      </c>
      <c r="T19" s="149" t="s">
        <v>519</v>
      </c>
      <c r="U19" s="149" t="s">
        <v>351</v>
      </c>
      <c r="V19" s="149" t="s">
        <v>519</v>
      </c>
      <c r="W19" s="149" t="s">
        <v>527</v>
      </c>
      <c r="X19" s="149" t="s">
        <v>351</v>
      </c>
      <c r="Y19" s="149" t="s">
        <v>351</v>
      </c>
      <c r="Z19" s="149" t="s">
        <v>521</v>
      </c>
      <c r="AA19" s="149" t="s">
        <v>579</v>
      </c>
      <c r="AB19" s="149" t="s">
        <v>560</v>
      </c>
      <c r="AC19" s="149" t="s">
        <v>580</v>
      </c>
      <c r="AD19" s="149" t="s">
        <v>537</v>
      </c>
      <c r="AE19" s="149" t="s">
        <v>519</v>
      </c>
      <c r="AF19" s="149" t="s">
        <v>518</v>
      </c>
    </row>
    <row r="20" spans="1:32" x14ac:dyDescent="0.25">
      <c r="A20" s="149" t="s">
        <v>581</v>
      </c>
      <c r="B20" s="149" t="s">
        <v>511</v>
      </c>
      <c r="C20" s="149" t="s">
        <v>512</v>
      </c>
      <c r="D20" s="149" t="s">
        <v>513</v>
      </c>
      <c r="E20" s="149" t="s">
        <v>514</v>
      </c>
      <c r="F20" s="149" t="s">
        <v>515</v>
      </c>
      <c r="G20" s="149" t="s">
        <v>206</v>
      </c>
      <c r="H20" s="149">
        <v>13</v>
      </c>
      <c r="I20" s="149" t="s">
        <v>351</v>
      </c>
      <c r="J20" s="150">
        <v>2335.6666666666665</v>
      </c>
      <c r="K20" s="149">
        <v>42</v>
      </c>
      <c r="L20" s="149" t="s">
        <v>516</v>
      </c>
      <c r="M20" s="149">
        <v>42</v>
      </c>
      <c r="N20" s="149" t="s">
        <v>517</v>
      </c>
      <c r="O20" s="150">
        <v>25552</v>
      </c>
      <c r="P20" s="150">
        <v>2242</v>
      </c>
      <c r="Q20" s="150">
        <v>13910</v>
      </c>
      <c r="R20" s="150">
        <v>15482</v>
      </c>
      <c r="S20" s="151">
        <v>50.698412698412703</v>
      </c>
      <c r="T20" s="149" t="s">
        <v>519</v>
      </c>
      <c r="U20" s="149" t="s">
        <v>351</v>
      </c>
      <c r="V20" s="149" t="s">
        <v>519</v>
      </c>
      <c r="W20" s="149" t="s">
        <v>528</v>
      </c>
      <c r="X20" s="149" t="s">
        <v>528</v>
      </c>
      <c r="Y20" s="149" t="s">
        <v>351</v>
      </c>
      <c r="Z20" s="149" t="s">
        <v>521</v>
      </c>
      <c r="AA20" s="149" t="s">
        <v>582</v>
      </c>
      <c r="AB20" s="149" t="s">
        <v>571</v>
      </c>
      <c r="AC20" s="149" t="s">
        <v>524</v>
      </c>
      <c r="AD20" s="149" t="s">
        <v>572</v>
      </c>
      <c r="AE20" s="149" t="s">
        <v>519</v>
      </c>
      <c r="AF20" s="149" t="s">
        <v>351</v>
      </c>
    </row>
    <row r="21" spans="1:32" x14ac:dyDescent="0.25">
      <c r="A21" s="149" t="s">
        <v>583</v>
      </c>
      <c r="B21" s="149" t="s">
        <v>511</v>
      </c>
      <c r="C21" s="149" t="s">
        <v>512</v>
      </c>
      <c r="D21" s="149" t="s">
        <v>513</v>
      </c>
      <c r="E21" s="149" t="s">
        <v>514</v>
      </c>
      <c r="F21" s="149" t="s">
        <v>515</v>
      </c>
      <c r="G21" s="149" t="s">
        <v>584</v>
      </c>
      <c r="H21" s="149">
        <v>33</v>
      </c>
      <c r="I21" s="149" t="s">
        <v>351</v>
      </c>
      <c r="J21" s="150">
        <v>3262.6666666666665</v>
      </c>
      <c r="K21" s="149">
        <v>47</v>
      </c>
      <c r="L21" s="149" t="s">
        <v>516</v>
      </c>
      <c r="M21" s="149">
        <v>47</v>
      </c>
      <c r="N21" s="149" t="s">
        <v>517</v>
      </c>
      <c r="O21" s="150">
        <v>25527</v>
      </c>
      <c r="P21" s="150">
        <v>2789</v>
      </c>
      <c r="Q21" s="150">
        <v>14986</v>
      </c>
      <c r="R21" s="150">
        <v>17639</v>
      </c>
      <c r="S21" s="151">
        <v>45.26063829787234</v>
      </c>
      <c r="T21" s="149" t="s">
        <v>519</v>
      </c>
      <c r="U21" s="149" t="s">
        <v>351</v>
      </c>
      <c r="V21" s="149" t="s">
        <v>519</v>
      </c>
      <c r="W21" s="149" t="s">
        <v>520</v>
      </c>
      <c r="X21" s="149" t="s">
        <v>544</v>
      </c>
      <c r="Y21" s="149" t="s">
        <v>351</v>
      </c>
      <c r="Z21" s="149" t="s">
        <v>521</v>
      </c>
      <c r="AA21" s="149" t="s">
        <v>559</v>
      </c>
      <c r="AB21" s="149" t="s">
        <v>560</v>
      </c>
      <c r="AC21" s="149" t="s">
        <v>547</v>
      </c>
      <c r="AD21" s="149" t="s">
        <v>537</v>
      </c>
      <c r="AE21" s="149" t="s">
        <v>518</v>
      </c>
      <c r="AF21" s="149" t="s">
        <v>351</v>
      </c>
    </row>
    <row r="22" spans="1:32" x14ac:dyDescent="0.25">
      <c r="A22" s="149" t="s">
        <v>585</v>
      </c>
      <c r="B22" s="149" t="s">
        <v>511</v>
      </c>
      <c r="C22" s="149" t="s">
        <v>512</v>
      </c>
      <c r="D22" s="149" t="s">
        <v>513</v>
      </c>
      <c r="E22" s="149" t="s">
        <v>514</v>
      </c>
      <c r="F22" s="149" t="s">
        <v>515</v>
      </c>
      <c r="G22" s="149" t="s">
        <v>586</v>
      </c>
      <c r="H22" s="149">
        <v>42</v>
      </c>
      <c r="I22" s="149" t="s">
        <v>351</v>
      </c>
      <c r="J22" s="150">
        <v>2095.6666666666665</v>
      </c>
      <c r="K22" s="149">
        <v>26</v>
      </c>
      <c r="L22" s="149" t="s">
        <v>516</v>
      </c>
      <c r="M22" s="149">
        <v>26</v>
      </c>
      <c r="N22" s="149" t="s">
        <v>517</v>
      </c>
      <c r="O22" s="150">
        <v>25309</v>
      </c>
      <c r="P22" s="150">
        <v>2051</v>
      </c>
      <c r="Q22" s="150">
        <v>19847</v>
      </c>
      <c r="R22" s="150">
        <v>15569</v>
      </c>
      <c r="S22" s="151">
        <v>81.118589743589752</v>
      </c>
      <c r="T22" s="149" t="s">
        <v>519</v>
      </c>
      <c r="U22" s="149" t="s">
        <v>351</v>
      </c>
      <c r="V22" s="149" t="s">
        <v>519</v>
      </c>
      <c r="W22" s="149" t="s">
        <v>527</v>
      </c>
      <c r="X22" s="149" t="s">
        <v>587</v>
      </c>
      <c r="Y22" s="149" t="s">
        <v>355</v>
      </c>
      <c r="Z22" s="149" t="s">
        <v>521</v>
      </c>
      <c r="AA22" s="149" t="s">
        <v>588</v>
      </c>
      <c r="AB22" s="149" t="s">
        <v>530</v>
      </c>
      <c r="AC22" s="149" t="s">
        <v>531</v>
      </c>
      <c r="AD22" s="149" t="s">
        <v>532</v>
      </c>
      <c r="AE22" s="149" t="s">
        <v>519</v>
      </c>
      <c r="AF22" s="149" t="s">
        <v>351</v>
      </c>
    </row>
    <row r="23" spans="1:32" x14ac:dyDescent="0.25">
      <c r="A23" s="149" t="s">
        <v>589</v>
      </c>
      <c r="B23" s="149" t="s">
        <v>511</v>
      </c>
      <c r="C23" s="149" t="s">
        <v>512</v>
      </c>
      <c r="D23" s="149" t="s">
        <v>513</v>
      </c>
      <c r="E23" s="149" t="s">
        <v>514</v>
      </c>
      <c r="F23" s="149" t="s">
        <v>515</v>
      </c>
      <c r="G23" s="149" t="s">
        <v>200</v>
      </c>
      <c r="H23" s="149">
        <v>19</v>
      </c>
      <c r="I23" s="149" t="s">
        <v>351</v>
      </c>
      <c r="J23" s="150">
        <v>1808.3333333333333</v>
      </c>
      <c r="K23" s="149">
        <v>26</v>
      </c>
      <c r="L23" s="149" t="s">
        <v>516</v>
      </c>
      <c r="M23" s="149">
        <v>26</v>
      </c>
      <c r="N23" s="149" t="s">
        <v>517</v>
      </c>
      <c r="O23" s="150">
        <v>24880.2</v>
      </c>
      <c r="P23" s="150">
        <v>1885</v>
      </c>
      <c r="Q23" s="150">
        <v>21350</v>
      </c>
      <c r="R23" s="150">
        <v>14941.2</v>
      </c>
      <c r="S23" s="151">
        <v>79.744230769230768</v>
      </c>
      <c r="T23" s="149" t="s">
        <v>518</v>
      </c>
      <c r="U23" s="149" t="s">
        <v>351</v>
      </c>
      <c r="V23" s="149" t="s">
        <v>518</v>
      </c>
      <c r="W23" s="149" t="s">
        <v>520</v>
      </c>
      <c r="X23" s="149" t="s">
        <v>544</v>
      </c>
      <c r="Y23" s="149" t="s">
        <v>355</v>
      </c>
      <c r="Z23" s="149" t="s">
        <v>521</v>
      </c>
      <c r="AA23" s="149" t="s">
        <v>590</v>
      </c>
      <c r="AB23" s="149" t="s">
        <v>564</v>
      </c>
      <c r="AC23" s="149" t="s">
        <v>524</v>
      </c>
      <c r="AD23" s="149" t="s">
        <v>537</v>
      </c>
      <c r="AE23" s="149" t="s">
        <v>518</v>
      </c>
      <c r="AF23" s="149" t="s">
        <v>351</v>
      </c>
    </row>
    <row r="24" spans="1:32" x14ac:dyDescent="0.25">
      <c r="A24" s="149" t="s">
        <v>591</v>
      </c>
      <c r="B24" s="149" t="s">
        <v>511</v>
      </c>
      <c r="C24" s="149" t="s">
        <v>512</v>
      </c>
      <c r="D24" s="149" t="s">
        <v>513</v>
      </c>
      <c r="E24" s="149" t="s">
        <v>514</v>
      </c>
      <c r="F24" s="149" t="s">
        <v>515</v>
      </c>
      <c r="G24" s="149" t="s">
        <v>584</v>
      </c>
      <c r="H24" s="149">
        <v>33</v>
      </c>
      <c r="I24" s="149" t="s">
        <v>351</v>
      </c>
      <c r="J24" s="150">
        <v>1933.3333333333333</v>
      </c>
      <c r="K24" s="149">
        <v>34</v>
      </c>
      <c r="L24" s="149" t="s">
        <v>516</v>
      </c>
      <c r="M24" s="149">
        <v>34</v>
      </c>
      <c r="N24" s="149" t="s">
        <v>517</v>
      </c>
      <c r="O24" s="150">
        <v>24265</v>
      </c>
      <c r="P24" s="150">
        <v>1640</v>
      </c>
      <c r="Q24" s="150">
        <v>19650</v>
      </c>
      <c r="R24" s="150">
        <v>15760</v>
      </c>
      <c r="S24" s="151">
        <v>59.473039215686271</v>
      </c>
      <c r="T24" s="149" t="s">
        <v>519</v>
      </c>
      <c r="U24" s="149" t="s">
        <v>351</v>
      </c>
      <c r="V24" s="149" t="s">
        <v>519</v>
      </c>
      <c r="W24" s="149" t="s">
        <v>520</v>
      </c>
      <c r="X24" s="149" t="s">
        <v>528</v>
      </c>
      <c r="Y24" s="149" t="s">
        <v>351</v>
      </c>
      <c r="Z24" s="149" t="s">
        <v>521</v>
      </c>
      <c r="AA24" s="149" t="s">
        <v>588</v>
      </c>
      <c r="AB24" s="149" t="s">
        <v>530</v>
      </c>
      <c r="AC24" s="149" t="s">
        <v>531</v>
      </c>
      <c r="AD24" s="149" t="s">
        <v>532</v>
      </c>
      <c r="AE24" s="149" t="s">
        <v>518</v>
      </c>
      <c r="AF24" s="149" t="s">
        <v>351</v>
      </c>
    </row>
    <row r="25" spans="1:32" x14ac:dyDescent="0.25">
      <c r="A25" s="149" t="s">
        <v>592</v>
      </c>
      <c r="B25" s="149" t="s">
        <v>511</v>
      </c>
      <c r="C25" s="149" t="s">
        <v>512</v>
      </c>
      <c r="D25" s="149" t="s">
        <v>513</v>
      </c>
      <c r="E25" s="149" t="s">
        <v>514</v>
      </c>
      <c r="F25" s="149" t="s">
        <v>515</v>
      </c>
      <c r="G25" s="149" t="s">
        <v>586</v>
      </c>
      <c r="H25" s="149">
        <v>42</v>
      </c>
      <c r="I25" s="149" t="s">
        <v>351</v>
      </c>
      <c r="J25" s="150">
        <v>1973.3333333333333</v>
      </c>
      <c r="K25" s="149">
        <v>28</v>
      </c>
      <c r="L25" s="149" t="s">
        <v>569</v>
      </c>
      <c r="M25" s="149">
        <v>28</v>
      </c>
      <c r="N25" s="149" t="s">
        <v>593</v>
      </c>
      <c r="O25" s="150">
        <v>24064</v>
      </c>
      <c r="P25" s="150">
        <v>1951</v>
      </c>
      <c r="Q25" s="150">
        <v>28169</v>
      </c>
      <c r="R25" s="150">
        <v>14427</v>
      </c>
      <c r="S25" s="151">
        <v>71.61904761904762</v>
      </c>
      <c r="T25" s="149" t="s">
        <v>519</v>
      </c>
      <c r="U25" s="149" t="s">
        <v>351</v>
      </c>
      <c r="V25" s="149" t="s">
        <v>519</v>
      </c>
      <c r="W25" s="149" t="s">
        <v>520</v>
      </c>
      <c r="X25" s="149" t="s">
        <v>528</v>
      </c>
      <c r="Y25" s="149" t="s">
        <v>355</v>
      </c>
      <c r="Z25" s="149" t="s">
        <v>521</v>
      </c>
      <c r="AA25" s="149" t="s">
        <v>594</v>
      </c>
      <c r="AB25" s="149" t="s">
        <v>595</v>
      </c>
      <c r="AC25" s="149" t="s">
        <v>524</v>
      </c>
      <c r="AD25" s="149" t="s">
        <v>537</v>
      </c>
      <c r="AE25" s="149" t="s">
        <v>518</v>
      </c>
      <c r="AF25" s="149" t="s">
        <v>351</v>
      </c>
    </row>
    <row r="26" spans="1:32" x14ac:dyDescent="0.25">
      <c r="A26" s="149" t="s">
        <v>596</v>
      </c>
      <c r="B26" s="149" t="s">
        <v>511</v>
      </c>
      <c r="C26" s="149" t="s">
        <v>512</v>
      </c>
      <c r="D26" s="149" t="s">
        <v>513</v>
      </c>
      <c r="E26" s="149" t="s">
        <v>514</v>
      </c>
      <c r="F26" s="149" t="s">
        <v>515</v>
      </c>
      <c r="G26" s="149" t="s">
        <v>597</v>
      </c>
      <c r="H26" s="149">
        <v>37</v>
      </c>
      <c r="I26" s="149" t="s">
        <v>351</v>
      </c>
      <c r="J26" s="150">
        <v>2051</v>
      </c>
      <c r="K26" s="149">
        <v>24</v>
      </c>
      <c r="L26" s="149" t="s">
        <v>516</v>
      </c>
      <c r="M26" s="149">
        <v>24</v>
      </c>
      <c r="N26" s="149" t="s">
        <v>517</v>
      </c>
      <c r="O26" s="150">
        <v>23603</v>
      </c>
      <c r="P26" s="150">
        <v>1958</v>
      </c>
      <c r="Q26" s="150">
        <v>19729</v>
      </c>
      <c r="R26" s="150">
        <v>14773</v>
      </c>
      <c r="S26" s="151">
        <v>81.954861111111114</v>
      </c>
      <c r="T26" s="149" t="s">
        <v>519</v>
      </c>
      <c r="U26" s="149" t="s">
        <v>351</v>
      </c>
      <c r="V26" s="149" t="s">
        <v>518</v>
      </c>
      <c r="W26" s="149" t="s">
        <v>527</v>
      </c>
      <c r="X26" s="149" t="s">
        <v>544</v>
      </c>
      <c r="Y26" s="149" t="s">
        <v>368</v>
      </c>
      <c r="Z26" s="149" t="s">
        <v>521</v>
      </c>
      <c r="AA26" s="149" t="s">
        <v>598</v>
      </c>
      <c r="AB26" s="149" t="s">
        <v>595</v>
      </c>
      <c r="AC26" s="149" t="s">
        <v>524</v>
      </c>
      <c r="AD26" s="149" t="s">
        <v>537</v>
      </c>
      <c r="AE26" s="149" t="s">
        <v>519</v>
      </c>
      <c r="AF26" s="149" t="s">
        <v>351</v>
      </c>
    </row>
    <row r="27" spans="1:32" x14ac:dyDescent="0.25">
      <c r="A27" s="149" t="s">
        <v>599</v>
      </c>
      <c r="B27" s="149" t="s">
        <v>511</v>
      </c>
      <c r="C27" s="149" t="s">
        <v>512</v>
      </c>
      <c r="D27" s="149" t="s">
        <v>513</v>
      </c>
      <c r="E27" s="149" t="s">
        <v>514</v>
      </c>
      <c r="F27" s="149" t="s">
        <v>515</v>
      </c>
      <c r="G27" s="149" t="s">
        <v>204</v>
      </c>
      <c r="H27" s="149">
        <v>15</v>
      </c>
      <c r="I27" s="149" t="s">
        <v>351</v>
      </c>
      <c r="J27" s="150">
        <v>2461</v>
      </c>
      <c r="K27" s="149">
        <v>30</v>
      </c>
      <c r="L27" s="149" t="s">
        <v>516</v>
      </c>
      <c r="M27" s="149">
        <v>30</v>
      </c>
      <c r="N27" s="149" t="s">
        <v>517</v>
      </c>
      <c r="O27" s="150">
        <v>23175</v>
      </c>
      <c r="P27" s="150">
        <v>2515</v>
      </c>
      <c r="Q27" s="150">
        <v>13703</v>
      </c>
      <c r="R27" s="150">
        <v>15292</v>
      </c>
      <c r="S27" s="151">
        <v>64.375</v>
      </c>
      <c r="T27" s="149" t="s">
        <v>519</v>
      </c>
      <c r="U27" s="149" t="s">
        <v>351</v>
      </c>
      <c r="V27" s="149" t="s">
        <v>518</v>
      </c>
      <c r="W27" s="149" t="s">
        <v>520</v>
      </c>
      <c r="X27" s="149" t="s">
        <v>554</v>
      </c>
      <c r="Y27" s="149" t="s">
        <v>355</v>
      </c>
      <c r="Z27" s="149" t="s">
        <v>521</v>
      </c>
      <c r="AA27" s="149" t="s">
        <v>535</v>
      </c>
      <c r="AB27" s="149" t="s">
        <v>536</v>
      </c>
      <c r="AC27" s="149" t="s">
        <v>524</v>
      </c>
      <c r="AD27" s="149" t="s">
        <v>537</v>
      </c>
      <c r="AE27" s="149" t="s">
        <v>518</v>
      </c>
      <c r="AF27" s="149" t="s">
        <v>351</v>
      </c>
    </row>
    <row r="28" spans="1:32" x14ac:dyDescent="0.25">
      <c r="A28" s="149" t="s">
        <v>600</v>
      </c>
      <c r="B28" s="149" t="s">
        <v>511</v>
      </c>
      <c r="C28" s="149" t="s">
        <v>512</v>
      </c>
      <c r="D28" s="149" t="s">
        <v>513</v>
      </c>
      <c r="E28" s="149" t="s">
        <v>514</v>
      </c>
      <c r="F28" s="149" t="s">
        <v>601</v>
      </c>
      <c r="G28" s="149" t="s">
        <v>602</v>
      </c>
      <c r="H28" s="149">
        <v>32</v>
      </c>
      <c r="I28" s="149" t="s">
        <v>351</v>
      </c>
      <c r="J28" s="150">
        <v>1596.3333333333333</v>
      </c>
      <c r="K28" s="149">
        <v>18</v>
      </c>
      <c r="L28" s="149" t="s">
        <v>516</v>
      </c>
      <c r="M28" s="149">
        <v>18</v>
      </c>
      <c r="N28" s="149" t="s">
        <v>517</v>
      </c>
      <c r="O28" s="150">
        <v>22977</v>
      </c>
      <c r="P28" s="150">
        <v>1406</v>
      </c>
      <c r="Q28" s="150">
        <v>19155</v>
      </c>
      <c r="R28" s="150">
        <v>12479</v>
      </c>
      <c r="S28" s="151">
        <v>106.375</v>
      </c>
      <c r="T28" s="149" t="s">
        <v>518</v>
      </c>
      <c r="U28" s="149" t="s">
        <v>351</v>
      </c>
      <c r="V28" s="149" t="s">
        <v>519</v>
      </c>
      <c r="W28" s="149" t="s">
        <v>527</v>
      </c>
      <c r="X28" s="149" t="s">
        <v>554</v>
      </c>
      <c r="Y28" s="149" t="s">
        <v>351</v>
      </c>
      <c r="Z28" s="149" t="s">
        <v>521</v>
      </c>
      <c r="AA28" s="149" t="s">
        <v>603</v>
      </c>
      <c r="AB28" s="149" t="s">
        <v>595</v>
      </c>
      <c r="AC28" s="149" t="s">
        <v>524</v>
      </c>
      <c r="AD28" s="149" t="s">
        <v>537</v>
      </c>
      <c r="AE28" s="149" t="s">
        <v>519</v>
      </c>
      <c r="AF28" s="149" t="s">
        <v>351</v>
      </c>
    </row>
    <row r="29" spans="1:32" x14ac:dyDescent="0.25">
      <c r="A29" s="149" t="s">
        <v>604</v>
      </c>
      <c r="B29" s="149" t="s">
        <v>511</v>
      </c>
      <c r="C29" s="149" t="s">
        <v>512</v>
      </c>
      <c r="D29" s="149" t="s">
        <v>513</v>
      </c>
      <c r="E29" s="149" t="s">
        <v>514</v>
      </c>
      <c r="F29" s="149" t="s">
        <v>515</v>
      </c>
      <c r="G29" s="149" t="s">
        <v>211</v>
      </c>
      <c r="H29" s="149">
        <v>8</v>
      </c>
      <c r="I29" s="149" t="s">
        <v>351</v>
      </c>
      <c r="J29" s="150">
        <v>2784.6666666666665</v>
      </c>
      <c r="K29" s="149">
        <v>55</v>
      </c>
      <c r="L29" s="149" t="s">
        <v>516</v>
      </c>
      <c r="M29" s="149">
        <v>55</v>
      </c>
      <c r="N29" s="149" t="s">
        <v>517</v>
      </c>
      <c r="O29" s="150">
        <v>22944</v>
      </c>
      <c r="P29" s="150">
        <v>3148</v>
      </c>
      <c r="Q29" s="150">
        <v>3748</v>
      </c>
      <c r="R29" s="150">
        <v>19196</v>
      </c>
      <c r="S29" s="151">
        <v>34.763636363636365</v>
      </c>
      <c r="T29" s="149" t="s">
        <v>519</v>
      </c>
      <c r="U29" s="149" t="s">
        <v>351</v>
      </c>
      <c r="V29" s="149" t="s">
        <v>518</v>
      </c>
      <c r="W29" s="149" t="s">
        <v>527</v>
      </c>
      <c r="X29" s="149" t="s">
        <v>539</v>
      </c>
      <c r="Y29" s="149" t="s">
        <v>355</v>
      </c>
      <c r="Z29" s="149" t="s">
        <v>521</v>
      </c>
      <c r="AA29" s="149" t="s">
        <v>605</v>
      </c>
      <c r="AB29" s="149" t="s">
        <v>541</v>
      </c>
      <c r="AC29" s="149" t="s">
        <v>531</v>
      </c>
      <c r="AD29" s="149" t="s">
        <v>525</v>
      </c>
      <c r="AE29" s="149" t="s">
        <v>519</v>
      </c>
      <c r="AF29" s="149" t="s">
        <v>351</v>
      </c>
    </row>
    <row r="30" spans="1:32" x14ac:dyDescent="0.25">
      <c r="A30" s="149" t="s">
        <v>606</v>
      </c>
      <c r="B30" s="149" t="s">
        <v>511</v>
      </c>
      <c r="C30" s="149" t="s">
        <v>512</v>
      </c>
      <c r="D30" s="149" t="s">
        <v>513</v>
      </c>
      <c r="E30" s="149" t="s">
        <v>514</v>
      </c>
      <c r="F30" s="149" t="s">
        <v>515</v>
      </c>
      <c r="G30" s="149" t="s">
        <v>131</v>
      </c>
      <c r="H30" s="149">
        <v>22</v>
      </c>
      <c r="I30" s="149" t="s">
        <v>351</v>
      </c>
      <c r="J30" s="150">
        <v>1826.6666666666667</v>
      </c>
      <c r="K30" s="149">
        <v>34</v>
      </c>
      <c r="L30" s="149" t="s">
        <v>516</v>
      </c>
      <c r="M30" s="149">
        <v>34</v>
      </c>
      <c r="N30" s="149" t="s">
        <v>517</v>
      </c>
      <c r="O30" s="150">
        <v>22540</v>
      </c>
      <c r="P30" s="150">
        <v>1845</v>
      </c>
      <c r="Q30" s="150">
        <v>15417</v>
      </c>
      <c r="R30" s="150">
        <v>14160</v>
      </c>
      <c r="S30" s="151">
        <v>55.245098039215684</v>
      </c>
      <c r="T30" s="149" t="s">
        <v>518</v>
      </c>
      <c r="U30" s="149">
        <v>6</v>
      </c>
      <c r="V30" s="149" t="s">
        <v>519</v>
      </c>
      <c r="W30" s="149" t="s">
        <v>520</v>
      </c>
      <c r="X30" s="149" t="s">
        <v>544</v>
      </c>
      <c r="Y30" s="149" t="s">
        <v>351</v>
      </c>
      <c r="Z30" s="149" t="s">
        <v>521</v>
      </c>
      <c r="AA30" s="149" t="s">
        <v>559</v>
      </c>
      <c r="AB30" s="149" t="s">
        <v>560</v>
      </c>
      <c r="AC30" s="149" t="s">
        <v>547</v>
      </c>
      <c r="AD30" s="149" t="s">
        <v>537</v>
      </c>
      <c r="AE30" s="149" t="s">
        <v>518</v>
      </c>
      <c r="AF30" s="149" t="s">
        <v>351</v>
      </c>
    </row>
    <row r="31" spans="1:32" x14ac:dyDescent="0.25">
      <c r="A31" s="149" t="s">
        <v>607</v>
      </c>
      <c r="B31" s="149" t="s">
        <v>511</v>
      </c>
      <c r="C31" s="149" t="s">
        <v>512</v>
      </c>
      <c r="D31" s="149" t="s">
        <v>513</v>
      </c>
      <c r="E31" s="149" t="s">
        <v>351</v>
      </c>
      <c r="F31" s="149" t="s">
        <v>608</v>
      </c>
      <c r="G31" s="149" t="s">
        <v>597</v>
      </c>
      <c r="H31" s="149">
        <v>37</v>
      </c>
      <c r="I31" s="149" t="s">
        <v>351</v>
      </c>
      <c r="J31" s="150">
        <v>1640</v>
      </c>
      <c r="K31" s="149">
        <v>90</v>
      </c>
      <c r="L31" s="149" t="s">
        <v>516</v>
      </c>
      <c r="M31" s="149">
        <v>90</v>
      </c>
      <c r="N31" s="149" t="s">
        <v>517</v>
      </c>
      <c r="O31" s="150">
        <v>22290</v>
      </c>
      <c r="P31" s="150">
        <v>1540</v>
      </c>
      <c r="Q31" s="150">
        <v>22990</v>
      </c>
      <c r="R31" s="150">
        <v>12648.5</v>
      </c>
      <c r="S31" s="151">
        <v>20.638888888888889</v>
      </c>
      <c r="T31" s="149" t="s">
        <v>519</v>
      </c>
      <c r="U31" s="149" t="s">
        <v>351</v>
      </c>
      <c r="V31" s="149" t="s">
        <v>519</v>
      </c>
      <c r="W31" s="149" t="s">
        <v>520</v>
      </c>
      <c r="X31" s="149" t="s">
        <v>351</v>
      </c>
      <c r="Y31" s="149" t="s">
        <v>351</v>
      </c>
      <c r="Z31" s="149" t="s">
        <v>609</v>
      </c>
      <c r="AA31" s="149" t="s">
        <v>595</v>
      </c>
      <c r="AB31" s="149" t="s">
        <v>595</v>
      </c>
      <c r="AC31" s="149" t="s">
        <v>524</v>
      </c>
      <c r="AD31" s="149" t="s">
        <v>537</v>
      </c>
      <c r="AE31" s="149" t="s">
        <v>518</v>
      </c>
      <c r="AF31" s="149" t="s">
        <v>351</v>
      </c>
    </row>
    <row r="32" spans="1:32" x14ac:dyDescent="0.25">
      <c r="A32" s="149" t="s">
        <v>610</v>
      </c>
      <c r="B32" s="149" t="s">
        <v>511</v>
      </c>
      <c r="C32" s="149" t="s">
        <v>512</v>
      </c>
      <c r="D32" s="149" t="s">
        <v>513</v>
      </c>
      <c r="E32" s="149" t="s">
        <v>514</v>
      </c>
      <c r="F32" s="149" t="s">
        <v>515</v>
      </c>
      <c r="G32" s="149" t="s">
        <v>611</v>
      </c>
      <c r="H32" s="149">
        <v>35</v>
      </c>
      <c r="I32" s="149" t="s">
        <v>351</v>
      </c>
      <c r="J32" s="150">
        <v>1825</v>
      </c>
      <c r="K32" s="149">
        <v>22</v>
      </c>
      <c r="L32" s="149" t="s">
        <v>516</v>
      </c>
      <c r="M32" s="149">
        <v>22</v>
      </c>
      <c r="N32" s="149" t="s">
        <v>517</v>
      </c>
      <c r="O32" s="150">
        <v>22143</v>
      </c>
      <c r="P32" s="150">
        <v>1750</v>
      </c>
      <c r="Q32" s="150">
        <v>21346</v>
      </c>
      <c r="R32" s="150">
        <v>13255</v>
      </c>
      <c r="S32" s="151">
        <v>83.875</v>
      </c>
      <c r="T32" s="149" t="s">
        <v>519</v>
      </c>
      <c r="U32" s="149" t="s">
        <v>351</v>
      </c>
      <c r="V32" s="149" t="s">
        <v>519</v>
      </c>
      <c r="W32" s="149" t="s">
        <v>527</v>
      </c>
      <c r="X32" s="149" t="s">
        <v>612</v>
      </c>
      <c r="Y32" s="149" t="s">
        <v>351</v>
      </c>
      <c r="Z32" s="149" t="s">
        <v>521</v>
      </c>
      <c r="AA32" s="149" t="s">
        <v>557</v>
      </c>
      <c r="AB32" s="149" t="s">
        <v>530</v>
      </c>
      <c r="AC32" s="149" t="s">
        <v>531</v>
      </c>
      <c r="AD32" s="149" t="s">
        <v>532</v>
      </c>
      <c r="AE32" s="149" t="s">
        <v>519</v>
      </c>
      <c r="AF32" s="149" t="s">
        <v>351</v>
      </c>
    </row>
    <row r="33" spans="1:32" x14ac:dyDescent="0.25">
      <c r="A33" s="149" t="s">
        <v>613</v>
      </c>
      <c r="B33" s="149" t="s">
        <v>511</v>
      </c>
      <c r="C33" s="149" t="s">
        <v>512</v>
      </c>
      <c r="D33" s="149" t="s">
        <v>513</v>
      </c>
      <c r="E33" s="149" t="s">
        <v>514</v>
      </c>
      <c r="F33" s="149" t="s">
        <v>515</v>
      </c>
      <c r="G33" s="149" t="s">
        <v>131</v>
      </c>
      <c r="H33" s="149">
        <v>22</v>
      </c>
      <c r="I33" s="149" t="s">
        <v>351</v>
      </c>
      <c r="J33" s="150">
        <v>2176.3333333333335</v>
      </c>
      <c r="K33" s="149">
        <v>32</v>
      </c>
      <c r="L33" s="149" t="s">
        <v>516</v>
      </c>
      <c r="M33" s="149">
        <v>32</v>
      </c>
      <c r="N33" s="149" t="s">
        <v>517</v>
      </c>
      <c r="O33" s="150">
        <v>21929</v>
      </c>
      <c r="P33" s="150">
        <v>2102</v>
      </c>
      <c r="Q33" s="150">
        <v>13718</v>
      </c>
      <c r="R33" s="150">
        <v>14572</v>
      </c>
      <c r="S33" s="151">
        <v>57.106770833333336</v>
      </c>
      <c r="T33" s="149" t="s">
        <v>519</v>
      </c>
      <c r="U33" s="149" t="s">
        <v>351</v>
      </c>
      <c r="V33" s="149" t="s">
        <v>518</v>
      </c>
      <c r="W33" s="149" t="s">
        <v>520</v>
      </c>
      <c r="X33" s="149" t="s">
        <v>539</v>
      </c>
      <c r="Y33" s="149" t="s">
        <v>355</v>
      </c>
      <c r="Z33" s="149" t="s">
        <v>521</v>
      </c>
      <c r="AA33" s="149" t="s">
        <v>614</v>
      </c>
      <c r="AB33" s="149" t="s">
        <v>541</v>
      </c>
      <c r="AC33" s="149" t="s">
        <v>531</v>
      </c>
      <c r="AD33" s="149" t="s">
        <v>525</v>
      </c>
      <c r="AE33" s="149" t="s">
        <v>518</v>
      </c>
      <c r="AF33" s="149" t="s">
        <v>351</v>
      </c>
    </row>
    <row r="34" spans="1:32" x14ac:dyDescent="0.25">
      <c r="A34" s="149" t="s">
        <v>615</v>
      </c>
      <c r="B34" s="149" t="s">
        <v>576</v>
      </c>
      <c r="C34" s="149" t="s">
        <v>512</v>
      </c>
      <c r="D34" s="149" t="s">
        <v>513</v>
      </c>
      <c r="E34" s="149" t="s">
        <v>514</v>
      </c>
      <c r="F34" s="149" t="s">
        <v>515</v>
      </c>
      <c r="G34" s="149" t="s">
        <v>597</v>
      </c>
      <c r="H34" s="149">
        <v>37</v>
      </c>
      <c r="I34" s="149" t="s">
        <v>351</v>
      </c>
      <c r="J34" s="150">
        <v>2735.3333333333335</v>
      </c>
      <c r="K34" s="149">
        <v>32</v>
      </c>
      <c r="L34" s="149" t="s">
        <v>577</v>
      </c>
      <c r="M34" s="149" t="s">
        <v>351</v>
      </c>
      <c r="N34" s="149" t="s">
        <v>351</v>
      </c>
      <c r="O34" s="150">
        <v>21093</v>
      </c>
      <c r="P34" s="149" t="s">
        <v>351</v>
      </c>
      <c r="Q34" s="150">
        <v>24338</v>
      </c>
      <c r="R34" s="150">
        <v>10616</v>
      </c>
      <c r="S34" s="151">
        <v>54.9296875</v>
      </c>
      <c r="T34" s="149" t="s">
        <v>519</v>
      </c>
      <c r="U34" s="149" t="s">
        <v>351</v>
      </c>
      <c r="V34" s="149" t="s">
        <v>518</v>
      </c>
      <c r="W34" s="149" t="s">
        <v>527</v>
      </c>
      <c r="X34" s="149" t="s">
        <v>351</v>
      </c>
      <c r="Y34" s="149" t="s">
        <v>355</v>
      </c>
      <c r="Z34" s="149" t="s">
        <v>521</v>
      </c>
      <c r="AA34" s="149" t="s">
        <v>535</v>
      </c>
      <c r="AB34" s="149" t="s">
        <v>616</v>
      </c>
      <c r="AC34" s="149" t="s">
        <v>524</v>
      </c>
      <c r="AD34" s="149" t="s">
        <v>537</v>
      </c>
      <c r="AE34" s="149" t="s">
        <v>519</v>
      </c>
      <c r="AF34" s="149" t="s">
        <v>351</v>
      </c>
    </row>
    <row r="35" spans="1:32" x14ac:dyDescent="0.25">
      <c r="A35" s="149" t="s">
        <v>617</v>
      </c>
      <c r="B35" s="149" t="s">
        <v>576</v>
      </c>
      <c r="C35" s="149" t="s">
        <v>512</v>
      </c>
      <c r="D35" s="149" t="s">
        <v>351</v>
      </c>
      <c r="E35" s="149" t="s">
        <v>351</v>
      </c>
      <c r="F35" s="149" t="s">
        <v>351</v>
      </c>
      <c r="G35" s="149" t="s">
        <v>132</v>
      </c>
      <c r="H35" s="149">
        <v>21</v>
      </c>
      <c r="I35" s="149" t="s">
        <v>351</v>
      </c>
      <c r="J35" s="150">
        <v>2319</v>
      </c>
      <c r="K35" s="149">
        <v>25</v>
      </c>
      <c r="L35" s="149" t="s">
        <v>577</v>
      </c>
      <c r="M35" s="149" t="s">
        <v>351</v>
      </c>
      <c r="N35" s="149" t="s">
        <v>351</v>
      </c>
      <c r="O35" s="150">
        <v>20320</v>
      </c>
      <c r="P35" s="149" t="s">
        <v>351</v>
      </c>
      <c r="Q35" s="150">
        <v>19102</v>
      </c>
      <c r="R35" s="150">
        <v>11878</v>
      </c>
      <c r="S35" s="151">
        <v>67.733333333333334</v>
      </c>
      <c r="T35" s="149" t="s">
        <v>351</v>
      </c>
      <c r="U35" s="149" t="s">
        <v>351</v>
      </c>
      <c r="V35" s="149" t="s">
        <v>351</v>
      </c>
      <c r="W35" s="149" t="s">
        <v>351</v>
      </c>
      <c r="X35" s="149" t="s">
        <v>351</v>
      </c>
      <c r="Y35" s="149" t="s">
        <v>351</v>
      </c>
      <c r="Z35" s="149" t="s">
        <v>351</v>
      </c>
      <c r="AA35" s="149" t="s">
        <v>351</v>
      </c>
      <c r="AB35" s="149" t="s">
        <v>351</v>
      </c>
      <c r="AC35" s="149" t="s">
        <v>351</v>
      </c>
      <c r="AD35" s="149" t="s">
        <v>351</v>
      </c>
      <c r="AE35" s="149" t="s">
        <v>351</v>
      </c>
      <c r="AF35" s="149" t="s">
        <v>351</v>
      </c>
    </row>
    <row r="36" spans="1:32" x14ac:dyDescent="0.25">
      <c r="A36" s="149" t="s">
        <v>618</v>
      </c>
      <c r="B36" s="149" t="s">
        <v>511</v>
      </c>
      <c r="C36" s="149" t="s">
        <v>512</v>
      </c>
      <c r="D36" s="149" t="s">
        <v>513</v>
      </c>
      <c r="E36" s="149" t="s">
        <v>514</v>
      </c>
      <c r="F36" s="149" t="s">
        <v>515</v>
      </c>
      <c r="G36" s="149" t="s">
        <v>122</v>
      </c>
      <c r="H36" s="149">
        <v>31</v>
      </c>
      <c r="I36" s="149" t="s">
        <v>351</v>
      </c>
      <c r="J36" s="150">
        <v>1581.6666666666667</v>
      </c>
      <c r="K36" s="149">
        <v>16</v>
      </c>
      <c r="L36" s="149" t="s">
        <v>516</v>
      </c>
      <c r="M36" s="149">
        <v>16</v>
      </c>
      <c r="N36" s="149" t="s">
        <v>517</v>
      </c>
      <c r="O36" s="150">
        <v>19956.5</v>
      </c>
      <c r="P36" s="150">
        <v>1535</v>
      </c>
      <c r="Q36" s="150">
        <v>22245.5</v>
      </c>
      <c r="R36" s="150">
        <v>11023</v>
      </c>
      <c r="S36" s="151">
        <v>103.94010416666667</v>
      </c>
      <c r="T36" s="149" t="s">
        <v>518</v>
      </c>
      <c r="U36" s="149">
        <v>10</v>
      </c>
      <c r="V36" s="149" t="s">
        <v>518</v>
      </c>
      <c r="W36" s="149" t="s">
        <v>520</v>
      </c>
      <c r="X36" s="149" t="s">
        <v>528</v>
      </c>
      <c r="Y36" s="149" t="s">
        <v>368</v>
      </c>
      <c r="Z36" s="149" t="s">
        <v>521</v>
      </c>
      <c r="AA36" s="149" t="s">
        <v>574</v>
      </c>
      <c r="AB36" s="149" t="s">
        <v>571</v>
      </c>
      <c r="AC36" s="149" t="s">
        <v>524</v>
      </c>
      <c r="AD36" s="149" t="s">
        <v>572</v>
      </c>
      <c r="AE36" s="149" t="s">
        <v>518</v>
      </c>
      <c r="AF36" s="149" t="s">
        <v>351</v>
      </c>
    </row>
    <row r="37" spans="1:32" x14ac:dyDescent="0.25">
      <c r="A37" s="149" t="s">
        <v>619</v>
      </c>
      <c r="B37" s="149" t="s">
        <v>511</v>
      </c>
      <c r="C37" s="149" t="s">
        <v>512</v>
      </c>
      <c r="D37" s="149" t="s">
        <v>513</v>
      </c>
      <c r="E37" s="149" t="s">
        <v>514</v>
      </c>
      <c r="F37" s="149" t="s">
        <v>515</v>
      </c>
      <c r="G37" s="149" t="s">
        <v>210</v>
      </c>
      <c r="H37" s="149">
        <v>9</v>
      </c>
      <c r="I37" s="149" t="s">
        <v>351</v>
      </c>
      <c r="J37" s="150">
        <v>2935</v>
      </c>
      <c r="K37" s="149">
        <v>84</v>
      </c>
      <c r="L37" s="149" t="s">
        <v>516</v>
      </c>
      <c r="M37" s="149">
        <v>84</v>
      </c>
      <c r="N37" s="149" t="s">
        <v>517</v>
      </c>
      <c r="O37" s="150">
        <v>19885</v>
      </c>
      <c r="P37" s="150">
        <v>3005</v>
      </c>
      <c r="Q37" s="149" t="s">
        <v>351</v>
      </c>
      <c r="R37" s="150">
        <v>19885</v>
      </c>
      <c r="S37" s="151">
        <v>19.727182539682538</v>
      </c>
      <c r="T37" s="149" t="s">
        <v>519</v>
      </c>
      <c r="U37" s="149" t="s">
        <v>351</v>
      </c>
      <c r="V37" s="149" t="s">
        <v>519</v>
      </c>
      <c r="W37" s="149" t="s">
        <v>520</v>
      </c>
      <c r="X37" s="149" t="s">
        <v>544</v>
      </c>
      <c r="Y37" s="149" t="s">
        <v>351</v>
      </c>
      <c r="Z37" s="149" t="s">
        <v>521</v>
      </c>
      <c r="AA37" s="149" t="s">
        <v>579</v>
      </c>
      <c r="AB37" s="149" t="s">
        <v>560</v>
      </c>
      <c r="AC37" s="149" t="s">
        <v>547</v>
      </c>
      <c r="AD37" s="149" t="s">
        <v>537</v>
      </c>
      <c r="AE37" s="149" t="s">
        <v>518</v>
      </c>
      <c r="AF37" s="149" t="s">
        <v>351</v>
      </c>
    </row>
    <row r="38" spans="1:32" x14ac:dyDescent="0.25">
      <c r="A38" s="149" t="s">
        <v>620</v>
      </c>
      <c r="B38" s="149" t="s">
        <v>511</v>
      </c>
      <c r="C38" s="149" t="s">
        <v>512</v>
      </c>
      <c r="D38" s="149" t="s">
        <v>513</v>
      </c>
      <c r="E38" s="149" t="s">
        <v>621</v>
      </c>
      <c r="F38" s="149" t="s">
        <v>608</v>
      </c>
      <c r="G38" s="149" t="s">
        <v>124</v>
      </c>
      <c r="H38" s="149">
        <v>29</v>
      </c>
      <c r="I38" s="149" t="s">
        <v>351</v>
      </c>
      <c r="J38" s="150">
        <v>2225</v>
      </c>
      <c r="K38" s="149">
        <v>66</v>
      </c>
      <c r="L38" s="149" t="s">
        <v>569</v>
      </c>
      <c r="M38" s="149">
        <v>62</v>
      </c>
      <c r="N38" s="149" t="s">
        <v>593</v>
      </c>
      <c r="O38" s="150">
        <v>19389</v>
      </c>
      <c r="P38" s="150">
        <v>1550</v>
      </c>
      <c r="Q38" s="150">
        <v>15880</v>
      </c>
      <c r="R38" s="150">
        <v>13014</v>
      </c>
      <c r="S38" s="151">
        <v>24.481060606060606</v>
      </c>
      <c r="T38" s="149" t="s">
        <v>519</v>
      </c>
      <c r="U38" s="149" t="s">
        <v>351</v>
      </c>
      <c r="V38" s="149" t="s">
        <v>519</v>
      </c>
      <c r="W38" s="149" t="s">
        <v>520</v>
      </c>
      <c r="X38" s="149" t="s">
        <v>528</v>
      </c>
      <c r="Y38" s="149" t="s">
        <v>351</v>
      </c>
      <c r="Z38" s="149" t="s">
        <v>521</v>
      </c>
      <c r="AA38" s="149" t="s">
        <v>622</v>
      </c>
      <c r="AB38" s="149" t="s">
        <v>546</v>
      </c>
      <c r="AC38" s="149" t="s">
        <v>547</v>
      </c>
      <c r="AD38" s="149" t="s">
        <v>532</v>
      </c>
      <c r="AE38" s="149" t="s">
        <v>518</v>
      </c>
      <c r="AF38" s="149" t="s">
        <v>351</v>
      </c>
    </row>
    <row r="39" spans="1:32" x14ac:dyDescent="0.25">
      <c r="A39" s="149" t="s">
        <v>623</v>
      </c>
      <c r="B39" s="149" t="s">
        <v>511</v>
      </c>
      <c r="C39" s="149" t="s">
        <v>512</v>
      </c>
      <c r="D39" s="149" t="s">
        <v>513</v>
      </c>
      <c r="E39" s="149" t="s">
        <v>514</v>
      </c>
      <c r="F39" s="149" t="s">
        <v>515</v>
      </c>
      <c r="G39" s="149" t="s">
        <v>208</v>
      </c>
      <c r="H39" s="149">
        <v>11</v>
      </c>
      <c r="I39" s="149" t="s">
        <v>351</v>
      </c>
      <c r="J39" s="150">
        <v>1915</v>
      </c>
      <c r="K39" s="149">
        <v>39</v>
      </c>
      <c r="L39" s="149" t="s">
        <v>516</v>
      </c>
      <c r="M39" s="149">
        <v>39</v>
      </c>
      <c r="N39" s="149" t="s">
        <v>517</v>
      </c>
      <c r="O39" s="150">
        <v>18630</v>
      </c>
      <c r="P39" s="150">
        <v>1970</v>
      </c>
      <c r="Q39" s="150">
        <v>5645</v>
      </c>
      <c r="R39" s="150">
        <v>12985</v>
      </c>
      <c r="S39" s="151">
        <v>39.807692307692307</v>
      </c>
      <c r="T39" s="149" t="s">
        <v>519</v>
      </c>
      <c r="U39" s="149" t="s">
        <v>351</v>
      </c>
      <c r="V39" s="149" t="s">
        <v>519</v>
      </c>
      <c r="W39" s="149" t="s">
        <v>520</v>
      </c>
      <c r="X39" s="149" t="s">
        <v>624</v>
      </c>
      <c r="Y39" s="149" t="s">
        <v>368</v>
      </c>
      <c r="Z39" s="149" t="s">
        <v>351</v>
      </c>
      <c r="AA39" s="149" t="s">
        <v>598</v>
      </c>
      <c r="AB39" s="149" t="s">
        <v>595</v>
      </c>
      <c r="AC39" s="149" t="s">
        <v>524</v>
      </c>
      <c r="AD39" s="149" t="s">
        <v>537</v>
      </c>
      <c r="AE39" s="149" t="s">
        <v>518</v>
      </c>
      <c r="AF39" s="149" t="s">
        <v>351</v>
      </c>
    </row>
    <row r="40" spans="1:32" x14ac:dyDescent="0.25">
      <c r="A40" s="149" t="s">
        <v>625</v>
      </c>
      <c r="B40" s="149" t="s">
        <v>511</v>
      </c>
      <c r="C40" s="149" t="s">
        <v>512</v>
      </c>
      <c r="D40" s="149" t="s">
        <v>513</v>
      </c>
      <c r="E40" s="149" t="s">
        <v>514</v>
      </c>
      <c r="F40" s="149" t="s">
        <v>515</v>
      </c>
      <c r="G40" s="149" t="s">
        <v>242</v>
      </c>
      <c r="H40" s="149">
        <v>7</v>
      </c>
      <c r="I40" s="149" t="s">
        <v>351</v>
      </c>
      <c r="J40" s="150">
        <v>2458</v>
      </c>
      <c r="K40" s="149">
        <v>45</v>
      </c>
      <c r="L40" s="149" t="s">
        <v>516</v>
      </c>
      <c r="M40" s="149">
        <v>45</v>
      </c>
      <c r="N40" s="149" t="s">
        <v>517</v>
      </c>
      <c r="O40" s="150">
        <v>18603</v>
      </c>
      <c r="P40" s="150">
        <v>872</v>
      </c>
      <c r="Q40" s="149" t="s">
        <v>351</v>
      </c>
      <c r="R40" s="150">
        <v>18603</v>
      </c>
      <c r="S40" s="151">
        <v>34.450000000000003</v>
      </c>
      <c r="T40" s="149" t="s">
        <v>519</v>
      </c>
      <c r="U40" s="149" t="s">
        <v>351</v>
      </c>
      <c r="V40" s="149" t="s">
        <v>518</v>
      </c>
      <c r="W40" s="149" t="s">
        <v>520</v>
      </c>
      <c r="X40" s="149" t="s">
        <v>528</v>
      </c>
      <c r="Y40" s="149" t="s">
        <v>355</v>
      </c>
      <c r="Z40" s="149" t="s">
        <v>521</v>
      </c>
      <c r="AA40" s="149" t="s">
        <v>626</v>
      </c>
      <c r="AB40" s="149" t="s">
        <v>627</v>
      </c>
      <c r="AC40" s="149" t="s">
        <v>547</v>
      </c>
      <c r="AD40" s="149" t="s">
        <v>525</v>
      </c>
      <c r="AE40" s="149" t="s">
        <v>518</v>
      </c>
      <c r="AF40" s="149" t="s">
        <v>351</v>
      </c>
    </row>
    <row r="41" spans="1:32" x14ac:dyDescent="0.25">
      <c r="A41" s="149" t="s">
        <v>628</v>
      </c>
      <c r="B41" s="149" t="s">
        <v>511</v>
      </c>
      <c r="C41" s="149" t="s">
        <v>512</v>
      </c>
      <c r="D41" s="149" t="s">
        <v>513</v>
      </c>
      <c r="E41" s="149" t="s">
        <v>514</v>
      </c>
      <c r="F41" s="149" t="s">
        <v>515</v>
      </c>
      <c r="G41" s="149" t="s">
        <v>127</v>
      </c>
      <c r="H41" s="149">
        <v>26</v>
      </c>
      <c r="I41" s="149" t="s">
        <v>351</v>
      </c>
      <c r="J41" s="150">
        <v>1551</v>
      </c>
      <c r="K41" s="149">
        <v>18</v>
      </c>
      <c r="L41" s="149" t="s">
        <v>516</v>
      </c>
      <c r="M41" s="149">
        <v>18</v>
      </c>
      <c r="N41" s="149" t="s">
        <v>517</v>
      </c>
      <c r="O41" s="150">
        <v>17833</v>
      </c>
      <c r="P41" s="150">
        <v>1509</v>
      </c>
      <c r="Q41" s="150">
        <v>15292</v>
      </c>
      <c r="R41" s="150">
        <v>10818</v>
      </c>
      <c r="S41" s="151">
        <v>82.560185185185176</v>
      </c>
      <c r="T41" s="149" t="s">
        <v>519</v>
      </c>
      <c r="U41" s="149">
        <v>13</v>
      </c>
      <c r="V41" s="149" t="s">
        <v>519</v>
      </c>
      <c r="W41" s="149" t="s">
        <v>527</v>
      </c>
      <c r="X41" s="149" t="s">
        <v>544</v>
      </c>
      <c r="Y41" s="149" t="s">
        <v>351</v>
      </c>
      <c r="Z41" s="149" t="s">
        <v>521</v>
      </c>
      <c r="AA41" s="149" t="s">
        <v>622</v>
      </c>
      <c r="AB41" s="149" t="s">
        <v>546</v>
      </c>
      <c r="AC41" s="149" t="s">
        <v>547</v>
      </c>
      <c r="AD41" s="149" t="s">
        <v>532</v>
      </c>
      <c r="AE41" s="149" t="s">
        <v>519</v>
      </c>
      <c r="AF41" s="149" t="s">
        <v>351</v>
      </c>
    </row>
    <row r="42" spans="1:32" x14ac:dyDescent="0.25">
      <c r="A42" s="149" t="s">
        <v>629</v>
      </c>
      <c r="B42" s="149" t="s">
        <v>511</v>
      </c>
      <c r="C42" s="149" t="s">
        <v>512</v>
      </c>
      <c r="D42" s="149" t="s">
        <v>513</v>
      </c>
      <c r="E42" s="149" t="s">
        <v>630</v>
      </c>
      <c r="F42" s="149" t="s">
        <v>601</v>
      </c>
      <c r="G42" s="149" t="s">
        <v>211</v>
      </c>
      <c r="H42" s="149">
        <v>8</v>
      </c>
      <c r="I42" s="149" t="s">
        <v>351</v>
      </c>
      <c r="J42" s="150">
        <v>2476.15</v>
      </c>
      <c r="K42" s="149">
        <v>48</v>
      </c>
      <c r="L42" s="149" t="s">
        <v>516</v>
      </c>
      <c r="M42" s="149">
        <v>48</v>
      </c>
      <c r="N42" s="149" t="s">
        <v>517</v>
      </c>
      <c r="O42" s="150">
        <v>17818.900000000001</v>
      </c>
      <c r="P42" s="150">
        <v>2464</v>
      </c>
      <c r="Q42" s="150">
        <v>1805</v>
      </c>
      <c r="R42" s="150">
        <v>16013.900000000001</v>
      </c>
      <c r="S42" s="151">
        <v>30.935590277777781</v>
      </c>
      <c r="T42" s="149" t="s">
        <v>519</v>
      </c>
      <c r="U42" s="149" t="s">
        <v>351</v>
      </c>
      <c r="V42" s="149" t="s">
        <v>518</v>
      </c>
      <c r="W42" s="149" t="s">
        <v>527</v>
      </c>
      <c r="X42" s="149" t="s">
        <v>631</v>
      </c>
      <c r="Y42" s="149" t="s">
        <v>355</v>
      </c>
      <c r="Z42" s="149" t="s">
        <v>521</v>
      </c>
      <c r="AA42" s="149" t="s">
        <v>603</v>
      </c>
      <c r="AB42" s="149" t="s">
        <v>595</v>
      </c>
      <c r="AC42" s="149" t="s">
        <v>524</v>
      </c>
      <c r="AD42" s="149" t="s">
        <v>537</v>
      </c>
      <c r="AE42" s="149" t="s">
        <v>519</v>
      </c>
      <c r="AF42" s="149" t="s">
        <v>351</v>
      </c>
    </row>
    <row r="43" spans="1:32" x14ac:dyDescent="0.25">
      <c r="A43" s="149" t="s">
        <v>632</v>
      </c>
      <c r="B43" s="149" t="s">
        <v>511</v>
      </c>
      <c r="C43" s="149" t="s">
        <v>512</v>
      </c>
      <c r="D43" s="149" t="s">
        <v>513</v>
      </c>
      <c r="E43" s="149" t="s">
        <v>514</v>
      </c>
      <c r="F43" s="149" t="s">
        <v>515</v>
      </c>
      <c r="G43" s="149" t="s">
        <v>124</v>
      </c>
      <c r="H43" s="149">
        <v>29</v>
      </c>
      <c r="I43" s="149" t="s">
        <v>351</v>
      </c>
      <c r="J43" s="150">
        <v>1947.3333333333333</v>
      </c>
      <c r="K43" s="149">
        <v>20</v>
      </c>
      <c r="L43" s="149" t="s">
        <v>516</v>
      </c>
      <c r="M43" s="149">
        <v>20</v>
      </c>
      <c r="N43" s="149" t="s">
        <v>517</v>
      </c>
      <c r="O43" s="150">
        <v>17727</v>
      </c>
      <c r="P43" s="150">
        <v>2130</v>
      </c>
      <c r="Q43" s="150">
        <v>11802.5</v>
      </c>
      <c r="R43" s="150">
        <v>12052</v>
      </c>
      <c r="S43" s="151">
        <v>73.862499999999997</v>
      </c>
      <c r="T43" s="149" t="s">
        <v>518</v>
      </c>
      <c r="U43" s="149">
        <v>15</v>
      </c>
      <c r="V43" s="149" t="s">
        <v>519</v>
      </c>
      <c r="W43" s="149" t="s">
        <v>520</v>
      </c>
      <c r="X43" s="149" t="s">
        <v>554</v>
      </c>
      <c r="Y43" s="149" t="s">
        <v>351</v>
      </c>
      <c r="Z43" s="149" t="s">
        <v>521</v>
      </c>
      <c r="AA43" s="149" t="s">
        <v>579</v>
      </c>
      <c r="AB43" s="149" t="s">
        <v>560</v>
      </c>
      <c r="AC43" s="149" t="s">
        <v>547</v>
      </c>
      <c r="AD43" s="149" t="s">
        <v>537</v>
      </c>
      <c r="AE43" s="149" t="s">
        <v>518</v>
      </c>
      <c r="AF43" s="149" t="s">
        <v>351</v>
      </c>
    </row>
    <row r="44" spans="1:32" x14ac:dyDescent="0.25">
      <c r="A44" s="149" t="s">
        <v>633</v>
      </c>
      <c r="B44" s="149" t="s">
        <v>511</v>
      </c>
      <c r="C44" s="149" t="s">
        <v>512</v>
      </c>
      <c r="D44" s="149" t="s">
        <v>513</v>
      </c>
      <c r="E44" s="149" t="s">
        <v>514</v>
      </c>
      <c r="F44" s="149" t="s">
        <v>515</v>
      </c>
      <c r="G44" s="149" t="s">
        <v>634</v>
      </c>
      <c r="H44" s="149">
        <v>49</v>
      </c>
      <c r="I44" s="149" t="s">
        <v>351</v>
      </c>
      <c r="J44" s="150">
        <v>1651</v>
      </c>
      <c r="K44" s="149">
        <v>24</v>
      </c>
      <c r="L44" s="149" t="s">
        <v>516</v>
      </c>
      <c r="M44" s="149">
        <v>24</v>
      </c>
      <c r="N44" s="149" t="s">
        <v>517</v>
      </c>
      <c r="O44" s="150">
        <v>17725</v>
      </c>
      <c r="P44" s="150">
        <v>1718</v>
      </c>
      <c r="Q44" s="150">
        <v>15497</v>
      </c>
      <c r="R44" s="150">
        <v>11100</v>
      </c>
      <c r="S44" s="151">
        <v>61.545138888888886</v>
      </c>
      <c r="T44" s="149" t="s">
        <v>519</v>
      </c>
      <c r="U44" s="149" t="s">
        <v>351</v>
      </c>
      <c r="V44" s="149" t="s">
        <v>519</v>
      </c>
      <c r="W44" s="149" t="s">
        <v>520</v>
      </c>
      <c r="X44" s="149" t="s">
        <v>528</v>
      </c>
      <c r="Y44" s="149" t="s">
        <v>351</v>
      </c>
      <c r="Z44" s="149" t="s">
        <v>521</v>
      </c>
      <c r="AA44" s="149" t="s">
        <v>594</v>
      </c>
      <c r="AB44" s="149" t="s">
        <v>595</v>
      </c>
      <c r="AC44" s="149" t="s">
        <v>524</v>
      </c>
      <c r="AD44" s="149" t="s">
        <v>537</v>
      </c>
      <c r="AE44" s="149" t="s">
        <v>518</v>
      </c>
      <c r="AF44" s="149" t="s">
        <v>351</v>
      </c>
    </row>
    <row r="45" spans="1:32" x14ac:dyDescent="0.25">
      <c r="A45" s="149" t="s">
        <v>635</v>
      </c>
      <c r="B45" s="149" t="s">
        <v>576</v>
      </c>
      <c r="C45" s="149" t="s">
        <v>512</v>
      </c>
      <c r="D45" s="149" t="s">
        <v>513</v>
      </c>
      <c r="E45" s="149" t="s">
        <v>514</v>
      </c>
      <c r="F45" s="149" t="s">
        <v>515</v>
      </c>
      <c r="G45" s="149" t="s">
        <v>200</v>
      </c>
      <c r="H45" s="149">
        <v>19</v>
      </c>
      <c r="I45" s="149" t="s">
        <v>636</v>
      </c>
      <c r="J45" s="150">
        <v>2556.6666666666665</v>
      </c>
      <c r="K45" s="149">
        <v>26</v>
      </c>
      <c r="L45" s="149" t="s">
        <v>516</v>
      </c>
      <c r="M45" s="149">
        <v>26</v>
      </c>
      <c r="N45" s="149" t="s">
        <v>517</v>
      </c>
      <c r="O45" s="150">
        <v>17509</v>
      </c>
      <c r="P45" s="150">
        <v>2663</v>
      </c>
      <c r="Q45" s="150">
        <v>6495</v>
      </c>
      <c r="R45" s="150">
        <v>14384</v>
      </c>
      <c r="S45" s="151">
        <v>56.118589743589737</v>
      </c>
      <c r="T45" s="149" t="s">
        <v>518</v>
      </c>
      <c r="U45" s="149">
        <v>17</v>
      </c>
      <c r="V45" s="149" t="s">
        <v>518</v>
      </c>
      <c r="W45" s="149" t="s">
        <v>520</v>
      </c>
      <c r="X45" s="149" t="s">
        <v>539</v>
      </c>
      <c r="Y45" s="149" t="s">
        <v>355</v>
      </c>
      <c r="Z45" s="149" t="s">
        <v>521</v>
      </c>
      <c r="AA45" s="149" t="s">
        <v>567</v>
      </c>
      <c r="AB45" s="149" t="s">
        <v>550</v>
      </c>
      <c r="AC45" s="149" t="s">
        <v>531</v>
      </c>
      <c r="AD45" s="149" t="s">
        <v>532</v>
      </c>
      <c r="AE45" s="149" t="s">
        <v>518</v>
      </c>
      <c r="AF45" s="149" t="s">
        <v>518</v>
      </c>
    </row>
    <row r="46" spans="1:32" x14ac:dyDescent="0.25">
      <c r="A46" s="149" t="s">
        <v>637</v>
      </c>
      <c r="B46" s="149" t="s">
        <v>511</v>
      </c>
      <c r="C46" s="149" t="s">
        <v>512</v>
      </c>
      <c r="D46" s="149" t="s">
        <v>513</v>
      </c>
      <c r="E46" s="149" t="s">
        <v>514</v>
      </c>
      <c r="F46" s="149" t="s">
        <v>515</v>
      </c>
      <c r="G46" s="149" t="s">
        <v>200</v>
      </c>
      <c r="H46" s="149">
        <v>19</v>
      </c>
      <c r="I46" s="149" t="s">
        <v>351</v>
      </c>
      <c r="J46" s="150">
        <v>1712.33</v>
      </c>
      <c r="K46" s="149">
        <v>26</v>
      </c>
      <c r="L46" s="149" t="s">
        <v>516</v>
      </c>
      <c r="M46" s="149">
        <v>26</v>
      </c>
      <c r="N46" s="149" t="s">
        <v>517</v>
      </c>
      <c r="O46" s="150">
        <v>17494.989999999998</v>
      </c>
      <c r="P46" s="150">
        <v>1894</v>
      </c>
      <c r="Q46" s="150">
        <v>13667.75</v>
      </c>
      <c r="R46" s="150">
        <v>10985.99</v>
      </c>
      <c r="S46" s="151">
        <v>56.073685897435894</v>
      </c>
      <c r="T46" s="149" t="s">
        <v>519</v>
      </c>
      <c r="U46" s="149" t="s">
        <v>351</v>
      </c>
      <c r="V46" s="149" t="s">
        <v>518</v>
      </c>
      <c r="W46" s="149" t="s">
        <v>520</v>
      </c>
      <c r="X46" s="149" t="s">
        <v>539</v>
      </c>
      <c r="Y46" s="149" t="s">
        <v>355</v>
      </c>
      <c r="Z46" s="149" t="s">
        <v>521</v>
      </c>
      <c r="AA46" s="149" t="s">
        <v>638</v>
      </c>
      <c r="AB46" s="149" t="s">
        <v>564</v>
      </c>
      <c r="AC46" s="149" t="s">
        <v>524</v>
      </c>
      <c r="AD46" s="149" t="s">
        <v>537</v>
      </c>
      <c r="AE46" s="149" t="s">
        <v>518</v>
      </c>
      <c r="AF46" s="149" t="s">
        <v>351</v>
      </c>
    </row>
    <row r="47" spans="1:32" x14ac:dyDescent="0.25">
      <c r="A47" s="149" t="s">
        <v>639</v>
      </c>
      <c r="B47" s="149" t="s">
        <v>511</v>
      </c>
      <c r="C47" s="149" t="s">
        <v>512</v>
      </c>
      <c r="D47" s="149" t="s">
        <v>513</v>
      </c>
      <c r="E47" s="149" t="s">
        <v>514</v>
      </c>
      <c r="F47" s="149" t="s">
        <v>515</v>
      </c>
      <c r="G47" s="149" t="s">
        <v>122</v>
      </c>
      <c r="H47" s="149">
        <v>31</v>
      </c>
      <c r="I47" s="149" t="s">
        <v>351</v>
      </c>
      <c r="J47" s="150">
        <v>1290</v>
      </c>
      <c r="K47" s="149">
        <v>15</v>
      </c>
      <c r="L47" s="149" t="s">
        <v>516</v>
      </c>
      <c r="M47" s="149">
        <v>15</v>
      </c>
      <c r="N47" s="149" t="s">
        <v>517</v>
      </c>
      <c r="O47" s="150">
        <v>17329</v>
      </c>
      <c r="P47" s="150">
        <v>1290</v>
      </c>
      <c r="Q47" s="150">
        <v>13218</v>
      </c>
      <c r="R47" s="150">
        <v>9361</v>
      </c>
      <c r="S47" s="151">
        <v>96.272222222222211</v>
      </c>
      <c r="T47" s="149" t="s">
        <v>519</v>
      </c>
      <c r="U47" s="149" t="s">
        <v>351</v>
      </c>
      <c r="V47" s="149" t="s">
        <v>518</v>
      </c>
      <c r="W47" s="149" t="s">
        <v>520</v>
      </c>
      <c r="X47" s="149" t="s">
        <v>544</v>
      </c>
      <c r="Y47" s="149" t="s">
        <v>355</v>
      </c>
      <c r="Z47" s="149" t="s">
        <v>521</v>
      </c>
      <c r="AA47" s="149" t="s">
        <v>640</v>
      </c>
      <c r="AB47" s="149" t="s">
        <v>523</v>
      </c>
      <c r="AC47" s="149" t="s">
        <v>524</v>
      </c>
      <c r="AD47" s="149" t="s">
        <v>525</v>
      </c>
      <c r="AE47" s="149" t="s">
        <v>518</v>
      </c>
      <c r="AF47" s="149" t="s">
        <v>351</v>
      </c>
    </row>
    <row r="48" spans="1:32" x14ac:dyDescent="0.25">
      <c r="A48" s="149" t="s">
        <v>641</v>
      </c>
      <c r="B48" s="149" t="s">
        <v>511</v>
      </c>
      <c r="C48" s="149" t="s">
        <v>512</v>
      </c>
      <c r="D48" s="149" t="s">
        <v>513</v>
      </c>
      <c r="E48" s="149" t="s">
        <v>621</v>
      </c>
      <c r="F48" s="149" t="s">
        <v>608</v>
      </c>
      <c r="G48" s="149" t="s">
        <v>205</v>
      </c>
      <c r="H48" s="149">
        <v>14</v>
      </c>
      <c r="I48" s="149" t="s">
        <v>351</v>
      </c>
      <c r="J48" s="150">
        <v>901.66666666666663</v>
      </c>
      <c r="K48" s="149">
        <v>18</v>
      </c>
      <c r="L48" s="149" t="s">
        <v>569</v>
      </c>
      <c r="M48" s="149">
        <v>17</v>
      </c>
      <c r="N48" s="149" t="s">
        <v>578</v>
      </c>
      <c r="O48" s="150">
        <v>17268.75</v>
      </c>
      <c r="P48" s="150">
        <v>935</v>
      </c>
      <c r="Q48" s="150">
        <v>14736.25</v>
      </c>
      <c r="R48" s="150">
        <v>7805</v>
      </c>
      <c r="S48" s="151">
        <v>79.947916666666671</v>
      </c>
      <c r="T48" s="149" t="s">
        <v>518</v>
      </c>
      <c r="U48" s="149">
        <v>20</v>
      </c>
      <c r="V48" s="149" t="s">
        <v>519</v>
      </c>
      <c r="W48" s="149" t="s">
        <v>520</v>
      </c>
      <c r="X48" s="149" t="s">
        <v>539</v>
      </c>
      <c r="Y48" s="149" t="s">
        <v>351</v>
      </c>
      <c r="Z48" s="149" t="s">
        <v>521</v>
      </c>
      <c r="AA48" s="149" t="s">
        <v>529</v>
      </c>
      <c r="AB48" s="149" t="s">
        <v>530</v>
      </c>
      <c r="AC48" s="149" t="s">
        <v>531</v>
      </c>
      <c r="AD48" s="149" t="s">
        <v>532</v>
      </c>
      <c r="AE48" s="149" t="s">
        <v>518</v>
      </c>
      <c r="AF48" s="149" t="s">
        <v>351</v>
      </c>
    </row>
    <row r="49" spans="1:32" x14ac:dyDescent="0.25">
      <c r="A49" s="149" t="s">
        <v>642</v>
      </c>
      <c r="B49" s="149" t="s">
        <v>511</v>
      </c>
      <c r="C49" s="149" t="s">
        <v>512</v>
      </c>
      <c r="D49" s="149" t="s">
        <v>513</v>
      </c>
      <c r="E49" s="149" t="s">
        <v>351</v>
      </c>
      <c r="F49" s="149" t="s">
        <v>515</v>
      </c>
      <c r="G49" s="149" t="s">
        <v>246</v>
      </c>
      <c r="H49" s="149">
        <v>3</v>
      </c>
      <c r="I49" s="149" t="s">
        <v>351</v>
      </c>
      <c r="J49" s="150">
        <v>5728.666666666667</v>
      </c>
      <c r="K49" s="149">
        <v>120</v>
      </c>
      <c r="L49" s="149" t="s">
        <v>516</v>
      </c>
      <c r="M49" s="149">
        <v>120</v>
      </c>
      <c r="N49" s="149" t="s">
        <v>517</v>
      </c>
      <c r="O49" s="150">
        <v>17186</v>
      </c>
      <c r="P49" s="150">
        <v>4217</v>
      </c>
      <c r="Q49" s="149" t="s">
        <v>351</v>
      </c>
      <c r="R49" s="150">
        <v>17186</v>
      </c>
      <c r="S49" s="151">
        <v>11.934722222222224</v>
      </c>
      <c r="T49" s="149" t="s">
        <v>519</v>
      </c>
      <c r="U49" s="149" t="s">
        <v>351</v>
      </c>
      <c r="V49" s="149" t="s">
        <v>519</v>
      </c>
      <c r="W49" s="149" t="s">
        <v>520</v>
      </c>
      <c r="X49" s="149" t="s">
        <v>554</v>
      </c>
      <c r="Y49" s="149" t="s">
        <v>355</v>
      </c>
      <c r="Z49" s="149" t="s">
        <v>521</v>
      </c>
      <c r="AA49" s="149" t="s">
        <v>626</v>
      </c>
      <c r="AB49" s="149" t="s">
        <v>627</v>
      </c>
      <c r="AC49" s="149" t="s">
        <v>547</v>
      </c>
      <c r="AD49" s="149" t="s">
        <v>525</v>
      </c>
      <c r="AE49" s="149" t="s">
        <v>518</v>
      </c>
      <c r="AF49" s="149" t="s">
        <v>351</v>
      </c>
    </row>
    <row r="50" spans="1:32" x14ac:dyDescent="0.25">
      <c r="A50" s="149" t="s">
        <v>643</v>
      </c>
      <c r="B50" s="149" t="s">
        <v>511</v>
      </c>
      <c r="C50" s="149" t="s">
        <v>512</v>
      </c>
      <c r="D50" s="149" t="s">
        <v>513</v>
      </c>
      <c r="E50" s="149" t="s">
        <v>514</v>
      </c>
      <c r="F50" s="149" t="s">
        <v>515</v>
      </c>
      <c r="G50" s="149" t="s">
        <v>204</v>
      </c>
      <c r="H50" s="149">
        <v>15</v>
      </c>
      <c r="I50" s="149" t="s">
        <v>351</v>
      </c>
      <c r="J50" s="150">
        <v>1827.3333333333333</v>
      </c>
      <c r="K50" s="149">
        <v>26</v>
      </c>
      <c r="L50" s="149" t="s">
        <v>516</v>
      </c>
      <c r="M50" s="149">
        <v>26</v>
      </c>
      <c r="N50" s="149" t="s">
        <v>517</v>
      </c>
      <c r="O50" s="150">
        <v>16817</v>
      </c>
      <c r="P50" s="150">
        <v>2134</v>
      </c>
      <c r="Q50" s="150">
        <v>9957.5</v>
      </c>
      <c r="R50" s="150">
        <v>11282</v>
      </c>
      <c r="S50" s="151">
        <v>53.900641025641029</v>
      </c>
      <c r="T50" s="149" t="s">
        <v>518</v>
      </c>
      <c r="U50" s="149">
        <v>10</v>
      </c>
      <c r="V50" s="149" t="s">
        <v>519</v>
      </c>
      <c r="W50" s="149" t="s">
        <v>520</v>
      </c>
      <c r="X50" s="149" t="s">
        <v>539</v>
      </c>
      <c r="Y50" s="149" t="s">
        <v>351</v>
      </c>
      <c r="Z50" s="149" t="s">
        <v>521</v>
      </c>
      <c r="AA50" s="149" t="s">
        <v>638</v>
      </c>
      <c r="AB50" s="149" t="s">
        <v>564</v>
      </c>
      <c r="AC50" s="149" t="s">
        <v>524</v>
      </c>
      <c r="AD50" s="149" t="s">
        <v>537</v>
      </c>
      <c r="AE50" s="149" t="s">
        <v>518</v>
      </c>
      <c r="AF50" s="149" t="s">
        <v>351</v>
      </c>
    </row>
    <row r="51" spans="1:32" x14ac:dyDescent="0.25">
      <c r="A51" s="149" t="s">
        <v>644</v>
      </c>
      <c r="B51" s="149" t="s">
        <v>511</v>
      </c>
      <c r="C51" s="149" t="s">
        <v>512</v>
      </c>
      <c r="D51" s="149" t="s">
        <v>513</v>
      </c>
      <c r="E51" s="149" t="s">
        <v>514</v>
      </c>
      <c r="F51" s="149" t="s">
        <v>515</v>
      </c>
      <c r="G51" s="149" t="s">
        <v>242</v>
      </c>
      <c r="H51" s="149">
        <v>7</v>
      </c>
      <c r="I51" s="149" t="s">
        <v>351</v>
      </c>
      <c r="J51" s="150">
        <v>2498</v>
      </c>
      <c r="K51" s="149">
        <v>22</v>
      </c>
      <c r="L51" s="149" t="s">
        <v>516</v>
      </c>
      <c r="M51" s="149">
        <v>22</v>
      </c>
      <c r="N51" s="149" t="s">
        <v>517</v>
      </c>
      <c r="O51" s="150">
        <v>16118</v>
      </c>
      <c r="P51" s="150">
        <v>2498</v>
      </c>
      <c r="Q51" s="149" t="s">
        <v>351</v>
      </c>
      <c r="R51" s="150">
        <v>16118</v>
      </c>
      <c r="S51" s="151">
        <v>61.053030303030305</v>
      </c>
      <c r="T51" s="149" t="s">
        <v>518</v>
      </c>
      <c r="U51" s="149" t="s">
        <v>351</v>
      </c>
      <c r="V51" s="149" t="s">
        <v>518</v>
      </c>
      <c r="W51" s="149" t="s">
        <v>520</v>
      </c>
      <c r="X51" s="149" t="s">
        <v>528</v>
      </c>
      <c r="Y51" s="149" t="s">
        <v>355</v>
      </c>
      <c r="Z51" s="149" t="s">
        <v>521</v>
      </c>
      <c r="AA51" s="149" t="s">
        <v>626</v>
      </c>
      <c r="AB51" s="149" t="s">
        <v>627</v>
      </c>
      <c r="AC51" s="149" t="s">
        <v>547</v>
      </c>
      <c r="AD51" s="149" t="s">
        <v>525</v>
      </c>
      <c r="AE51" s="149" t="s">
        <v>518</v>
      </c>
      <c r="AF51" s="149" t="s">
        <v>351</v>
      </c>
    </row>
    <row r="52" spans="1:32" x14ac:dyDescent="0.25">
      <c r="A52" s="149" t="s">
        <v>645</v>
      </c>
      <c r="B52" s="149" t="s">
        <v>576</v>
      </c>
      <c r="C52" s="149" t="s">
        <v>646</v>
      </c>
      <c r="D52" s="149" t="s">
        <v>647</v>
      </c>
      <c r="E52" s="149" t="s">
        <v>351</v>
      </c>
      <c r="F52" s="149" t="s">
        <v>351</v>
      </c>
      <c r="G52" s="149" t="s">
        <v>648</v>
      </c>
      <c r="H52" s="149">
        <v>63</v>
      </c>
      <c r="I52" s="149" t="s">
        <v>636</v>
      </c>
      <c r="J52" s="150">
        <v>1330</v>
      </c>
      <c r="K52" s="149" t="s">
        <v>351</v>
      </c>
      <c r="L52" s="149" t="s">
        <v>649</v>
      </c>
      <c r="M52" s="149" t="s">
        <v>351</v>
      </c>
      <c r="N52" s="149" t="s">
        <v>351</v>
      </c>
      <c r="O52" s="150">
        <v>15870</v>
      </c>
      <c r="P52" s="150">
        <v>1330</v>
      </c>
      <c r="Q52" s="150">
        <v>15690</v>
      </c>
      <c r="R52" s="150">
        <v>9370</v>
      </c>
      <c r="S52" s="149" t="s">
        <v>351</v>
      </c>
      <c r="T52" s="149" t="s">
        <v>519</v>
      </c>
      <c r="U52" s="149" t="s">
        <v>351</v>
      </c>
      <c r="V52" s="149" t="s">
        <v>519</v>
      </c>
      <c r="W52" s="149" t="s">
        <v>351</v>
      </c>
      <c r="X52" s="149" t="s">
        <v>351</v>
      </c>
      <c r="Y52" s="149" t="s">
        <v>351</v>
      </c>
      <c r="Z52" s="149" t="s">
        <v>521</v>
      </c>
      <c r="AA52" s="149" t="s">
        <v>650</v>
      </c>
      <c r="AB52" s="149" t="s">
        <v>651</v>
      </c>
      <c r="AC52" s="149" t="s">
        <v>652</v>
      </c>
      <c r="AD52" s="149" t="s">
        <v>537</v>
      </c>
      <c r="AE52" s="149" t="s">
        <v>519</v>
      </c>
      <c r="AF52" s="149" t="s">
        <v>519</v>
      </c>
    </row>
    <row r="53" spans="1:32" x14ac:dyDescent="0.25">
      <c r="A53" s="149" t="s">
        <v>653</v>
      </c>
      <c r="B53" s="149" t="s">
        <v>511</v>
      </c>
      <c r="C53" s="149" t="s">
        <v>512</v>
      </c>
      <c r="D53" s="149" t="s">
        <v>513</v>
      </c>
      <c r="E53" s="149" t="s">
        <v>514</v>
      </c>
      <c r="F53" s="149" t="s">
        <v>515</v>
      </c>
      <c r="G53" s="149" t="s">
        <v>200</v>
      </c>
      <c r="H53" s="149">
        <v>19</v>
      </c>
      <c r="I53" s="149" t="s">
        <v>351</v>
      </c>
      <c r="J53" s="150">
        <v>1861.6666666666667</v>
      </c>
      <c r="K53" s="149">
        <v>42</v>
      </c>
      <c r="L53" s="149" t="s">
        <v>516</v>
      </c>
      <c r="M53" s="149">
        <v>42</v>
      </c>
      <c r="N53" s="149" t="s">
        <v>517</v>
      </c>
      <c r="O53" s="150">
        <v>15868</v>
      </c>
      <c r="P53" s="150">
        <v>2120</v>
      </c>
      <c r="Q53" s="150">
        <v>10410</v>
      </c>
      <c r="R53" s="150">
        <v>10643</v>
      </c>
      <c r="S53" s="151">
        <v>31.484126984126981</v>
      </c>
      <c r="T53" s="149" t="s">
        <v>519</v>
      </c>
      <c r="U53" s="149" t="s">
        <v>351</v>
      </c>
      <c r="V53" s="149" t="s">
        <v>519</v>
      </c>
      <c r="W53" s="149" t="s">
        <v>520</v>
      </c>
      <c r="X53" s="149" t="s">
        <v>544</v>
      </c>
      <c r="Y53" s="149" t="s">
        <v>351</v>
      </c>
      <c r="Z53" s="149" t="s">
        <v>521</v>
      </c>
      <c r="AA53" s="149" t="s">
        <v>654</v>
      </c>
      <c r="AB53" s="149" t="s">
        <v>550</v>
      </c>
      <c r="AC53" s="149" t="s">
        <v>531</v>
      </c>
      <c r="AD53" s="149" t="s">
        <v>532</v>
      </c>
      <c r="AE53" s="149" t="s">
        <v>518</v>
      </c>
      <c r="AF53" s="149" t="s">
        <v>351</v>
      </c>
    </row>
    <row r="54" spans="1:32" x14ac:dyDescent="0.25">
      <c r="A54" s="149" t="s">
        <v>655</v>
      </c>
      <c r="B54" s="149" t="s">
        <v>511</v>
      </c>
      <c r="C54" s="149" t="s">
        <v>512</v>
      </c>
      <c r="D54" s="149" t="s">
        <v>513</v>
      </c>
      <c r="E54" s="149" t="s">
        <v>514</v>
      </c>
      <c r="F54" s="149" t="s">
        <v>515</v>
      </c>
      <c r="G54" s="149" t="s">
        <v>132</v>
      </c>
      <c r="H54" s="149">
        <v>21</v>
      </c>
      <c r="I54" s="149" t="s">
        <v>351</v>
      </c>
      <c r="J54" s="150">
        <v>1218.3333333333333</v>
      </c>
      <c r="K54" s="149">
        <v>16</v>
      </c>
      <c r="L54" s="149" t="s">
        <v>516</v>
      </c>
      <c r="M54" s="149">
        <v>16</v>
      </c>
      <c r="N54" s="149" t="s">
        <v>517</v>
      </c>
      <c r="O54" s="150">
        <v>15035</v>
      </c>
      <c r="P54" s="150">
        <v>1150</v>
      </c>
      <c r="Q54" s="150">
        <v>16413.75</v>
      </c>
      <c r="R54" s="150">
        <v>8340</v>
      </c>
      <c r="S54" s="151">
        <v>78.307291666666671</v>
      </c>
      <c r="T54" s="149" t="s">
        <v>519</v>
      </c>
      <c r="U54" s="149" t="s">
        <v>351</v>
      </c>
      <c r="V54" s="149" t="s">
        <v>519</v>
      </c>
      <c r="W54" s="149" t="s">
        <v>520</v>
      </c>
      <c r="X54" s="149" t="s">
        <v>539</v>
      </c>
      <c r="Y54" s="149" t="s">
        <v>351</v>
      </c>
      <c r="Z54" s="149" t="s">
        <v>521</v>
      </c>
      <c r="AA54" s="149" t="s">
        <v>582</v>
      </c>
      <c r="AB54" s="149" t="s">
        <v>571</v>
      </c>
      <c r="AC54" s="149" t="s">
        <v>524</v>
      </c>
      <c r="AD54" s="149" t="s">
        <v>572</v>
      </c>
      <c r="AE54" s="149" t="s">
        <v>518</v>
      </c>
      <c r="AF54" s="149" t="s">
        <v>351</v>
      </c>
    </row>
    <row r="55" spans="1:32" x14ac:dyDescent="0.25">
      <c r="A55" s="149" t="s">
        <v>656</v>
      </c>
      <c r="B55" s="149" t="s">
        <v>511</v>
      </c>
      <c r="C55" s="149" t="s">
        <v>512</v>
      </c>
      <c r="D55" s="149" t="s">
        <v>513</v>
      </c>
      <c r="E55" s="149" t="s">
        <v>630</v>
      </c>
      <c r="F55" s="149" t="s">
        <v>601</v>
      </c>
      <c r="G55" s="149" t="s">
        <v>211</v>
      </c>
      <c r="H55" s="149">
        <v>8</v>
      </c>
      <c r="I55" s="149" t="s">
        <v>351</v>
      </c>
      <c r="J55" s="150">
        <v>1709.3333333333333</v>
      </c>
      <c r="K55" s="149">
        <v>26</v>
      </c>
      <c r="L55" s="149" t="s">
        <v>516</v>
      </c>
      <c r="M55" s="149">
        <v>26</v>
      </c>
      <c r="N55" s="149" t="s">
        <v>517</v>
      </c>
      <c r="O55" s="150">
        <v>14394</v>
      </c>
      <c r="P55" s="150">
        <v>1828</v>
      </c>
      <c r="Q55" s="150">
        <v>2722</v>
      </c>
      <c r="R55" s="150">
        <v>11672</v>
      </c>
      <c r="S55" s="151">
        <v>46.134615384615387</v>
      </c>
      <c r="T55" s="149" t="s">
        <v>519</v>
      </c>
      <c r="U55" s="149" t="s">
        <v>351</v>
      </c>
      <c r="V55" s="149" t="s">
        <v>518</v>
      </c>
      <c r="W55" s="149" t="s">
        <v>520</v>
      </c>
      <c r="X55" s="149" t="s">
        <v>544</v>
      </c>
      <c r="Y55" s="149" t="s">
        <v>355</v>
      </c>
      <c r="Z55" s="149" t="s">
        <v>521</v>
      </c>
      <c r="AA55" s="149" t="s">
        <v>657</v>
      </c>
      <c r="AB55" s="149" t="s">
        <v>560</v>
      </c>
      <c r="AC55" s="149" t="s">
        <v>547</v>
      </c>
      <c r="AD55" s="149" t="s">
        <v>537</v>
      </c>
      <c r="AE55" s="149" t="s">
        <v>518</v>
      </c>
      <c r="AF55" s="149" t="s">
        <v>351</v>
      </c>
    </row>
    <row r="56" spans="1:32" x14ac:dyDescent="0.25">
      <c r="A56" s="149" t="s">
        <v>658</v>
      </c>
      <c r="B56" s="149" t="s">
        <v>511</v>
      </c>
      <c r="C56" s="149" t="s">
        <v>512</v>
      </c>
      <c r="D56" s="149" t="s">
        <v>513</v>
      </c>
      <c r="E56" s="149" t="s">
        <v>514</v>
      </c>
      <c r="F56" s="149" t="s">
        <v>515</v>
      </c>
      <c r="G56" s="149" t="s">
        <v>242</v>
      </c>
      <c r="H56" s="149">
        <v>7</v>
      </c>
      <c r="I56" s="149" t="s">
        <v>351</v>
      </c>
      <c r="J56" s="150">
        <v>1838.3333333333333</v>
      </c>
      <c r="K56" s="149">
        <v>32</v>
      </c>
      <c r="L56" s="149" t="s">
        <v>516</v>
      </c>
      <c r="M56" s="149">
        <v>32</v>
      </c>
      <c r="N56" s="149" t="s">
        <v>517</v>
      </c>
      <c r="O56" s="150">
        <v>14335</v>
      </c>
      <c r="P56" s="150">
        <v>1805</v>
      </c>
      <c r="Q56" s="149" t="s">
        <v>351</v>
      </c>
      <c r="R56" s="150">
        <v>14335</v>
      </c>
      <c r="S56" s="151">
        <v>37.330729166666664</v>
      </c>
      <c r="T56" s="149" t="s">
        <v>519</v>
      </c>
      <c r="U56" s="149" t="s">
        <v>351</v>
      </c>
      <c r="V56" s="149" t="s">
        <v>519</v>
      </c>
      <c r="W56" s="149" t="s">
        <v>520</v>
      </c>
      <c r="X56" s="149" t="s">
        <v>528</v>
      </c>
      <c r="Y56" s="149" t="s">
        <v>351</v>
      </c>
      <c r="Z56" s="149" t="s">
        <v>521</v>
      </c>
      <c r="AA56" s="149" t="s">
        <v>638</v>
      </c>
      <c r="AB56" s="149" t="s">
        <v>564</v>
      </c>
      <c r="AC56" s="149" t="s">
        <v>524</v>
      </c>
      <c r="AD56" s="149" t="s">
        <v>537</v>
      </c>
      <c r="AE56" s="149" t="s">
        <v>518</v>
      </c>
      <c r="AF56" s="149" t="s">
        <v>351</v>
      </c>
    </row>
    <row r="57" spans="1:32" x14ac:dyDescent="0.25">
      <c r="A57" s="149" t="s">
        <v>659</v>
      </c>
      <c r="B57" s="149" t="s">
        <v>511</v>
      </c>
      <c r="C57" s="149" t="s">
        <v>512</v>
      </c>
      <c r="D57" s="149" t="s">
        <v>513</v>
      </c>
      <c r="E57" s="149" t="s">
        <v>514</v>
      </c>
      <c r="F57" s="149" t="s">
        <v>515</v>
      </c>
      <c r="G57" s="149" t="s">
        <v>132</v>
      </c>
      <c r="H57" s="149">
        <v>21</v>
      </c>
      <c r="I57" s="149" t="s">
        <v>351</v>
      </c>
      <c r="J57" s="150">
        <v>1208</v>
      </c>
      <c r="K57" s="149">
        <v>15</v>
      </c>
      <c r="L57" s="149" t="s">
        <v>516</v>
      </c>
      <c r="M57" s="149">
        <v>15</v>
      </c>
      <c r="N57" s="149" t="s">
        <v>517</v>
      </c>
      <c r="O57" s="150">
        <v>14130</v>
      </c>
      <c r="P57" s="150">
        <v>1235</v>
      </c>
      <c r="Q57" s="150">
        <v>11498.75</v>
      </c>
      <c r="R57" s="150">
        <v>8675</v>
      </c>
      <c r="S57" s="151">
        <v>78.5</v>
      </c>
      <c r="T57" s="149" t="s">
        <v>519</v>
      </c>
      <c r="U57" s="149" t="s">
        <v>351</v>
      </c>
      <c r="V57" s="149" t="s">
        <v>518</v>
      </c>
      <c r="W57" s="149" t="s">
        <v>527</v>
      </c>
      <c r="X57" s="149" t="s">
        <v>544</v>
      </c>
      <c r="Y57" s="149" t="s">
        <v>355</v>
      </c>
      <c r="Z57" s="149" t="s">
        <v>521</v>
      </c>
      <c r="AA57" s="149" t="s">
        <v>594</v>
      </c>
      <c r="AB57" s="149" t="s">
        <v>595</v>
      </c>
      <c r="AC57" s="149" t="s">
        <v>524</v>
      </c>
      <c r="AD57" s="149" t="s">
        <v>537</v>
      </c>
      <c r="AE57" s="149" t="s">
        <v>519</v>
      </c>
      <c r="AF57" s="149" t="s">
        <v>351</v>
      </c>
    </row>
    <row r="58" spans="1:32" x14ac:dyDescent="0.25">
      <c r="A58" s="149" t="s">
        <v>660</v>
      </c>
      <c r="B58" s="149" t="s">
        <v>511</v>
      </c>
      <c r="C58" s="149" t="s">
        <v>512</v>
      </c>
      <c r="D58" s="149" t="s">
        <v>513</v>
      </c>
      <c r="E58" s="149" t="s">
        <v>514</v>
      </c>
      <c r="F58" s="149" t="s">
        <v>515</v>
      </c>
      <c r="G58" s="149" t="s">
        <v>122</v>
      </c>
      <c r="H58" s="149">
        <v>31</v>
      </c>
      <c r="I58" s="149" t="s">
        <v>351</v>
      </c>
      <c r="J58" s="150">
        <v>1169.3333333333333</v>
      </c>
      <c r="K58" s="149">
        <v>16</v>
      </c>
      <c r="L58" s="149" t="s">
        <v>516</v>
      </c>
      <c r="M58" s="149">
        <v>16</v>
      </c>
      <c r="N58" s="149" t="s">
        <v>517</v>
      </c>
      <c r="O58" s="150">
        <v>13461</v>
      </c>
      <c r="P58" s="150">
        <v>1147</v>
      </c>
      <c r="Q58" s="150">
        <v>12795</v>
      </c>
      <c r="R58" s="150">
        <v>8186</v>
      </c>
      <c r="S58" s="151">
        <v>70.109375</v>
      </c>
      <c r="T58" s="149" t="s">
        <v>519</v>
      </c>
      <c r="U58" s="149" t="s">
        <v>351</v>
      </c>
      <c r="V58" s="149" t="s">
        <v>519</v>
      </c>
      <c r="W58" s="149" t="s">
        <v>520</v>
      </c>
      <c r="X58" s="149" t="s">
        <v>554</v>
      </c>
      <c r="Y58" s="149" t="s">
        <v>351</v>
      </c>
      <c r="Z58" s="149" t="s">
        <v>521</v>
      </c>
      <c r="AA58" s="149" t="s">
        <v>522</v>
      </c>
      <c r="AB58" s="149" t="s">
        <v>523</v>
      </c>
      <c r="AC58" s="149" t="s">
        <v>524</v>
      </c>
      <c r="AD58" s="149" t="s">
        <v>525</v>
      </c>
      <c r="AE58" s="149" t="s">
        <v>518</v>
      </c>
      <c r="AF58" s="149" t="s">
        <v>351</v>
      </c>
    </row>
    <row r="59" spans="1:32" x14ac:dyDescent="0.25">
      <c r="A59" s="149" t="s">
        <v>661</v>
      </c>
      <c r="B59" s="149" t="s">
        <v>511</v>
      </c>
      <c r="C59" s="149" t="s">
        <v>512</v>
      </c>
      <c r="D59" s="149" t="s">
        <v>513</v>
      </c>
      <c r="E59" s="149" t="s">
        <v>514</v>
      </c>
      <c r="F59" s="149" t="s">
        <v>515</v>
      </c>
      <c r="G59" s="149" t="s">
        <v>245</v>
      </c>
      <c r="H59" s="149">
        <v>4</v>
      </c>
      <c r="I59" s="149" t="s">
        <v>351</v>
      </c>
      <c r="J59" s="150">
        <v>2637</v>
      </c>
      <c r="K59" s="149">
        <v>44</v>
      </c>
      <c r="L59" s="149" t="s">
        <v>516</v>
      </c>
      <c r="M59" s="149">
        <v>44</v>
      </c>
      <c r="N59" s="149" t="s">
        <v>517</v>
      </c>
      <c r="O59" s="150">
        <v>13265</v>
      </c>
      <c r="P59" s="150">
        <v>2675</v>
      </c>
      <c r="Q59" s="149" t="s">
        <v>351</v>
      </c>
      <c r="R59" s="150">
        <v>13265</v>
      </c>
      <c r="S59" s="151">
        <v>25.123106060606062</v>
      </c>
      <c r="T59" s="149" t="s">
        <v>519</v>
      </c>
      <c r="U59" s="149" t="s">
        <v>351</v>
      </c>
      <c r="V59" s="149" t="s">
        <v>519</v>
      </c>
      <c r="W59" s="149" t="s">
        <v>520</v>
      </c>
      <c r="X59" s="149" t="s">
        <v>539</v>
      </c>
      <c r="Y59" s="149" t="s">
        <v>355</v>
      </c>
      <c r="Z59" s="149" t="s">
        <v>521</v>
      </c>
      <c r="AA59" s="149" t="s">
        <v>662</v>
      </c>
      <c r="AB59" s="149" t="s">
        <v>662</v>
      </c>
      <c r="AC59" s="149" t="s">
        <v>547</v>
      </c>
      <c r="AD59" s="149" t="s">
        <v>525</v>
      </c>
      <c r="AE59" s="149" t="s">
        <v>518</v>
      </c>
      <c r="AF59" s="149" t="s">
        <v>351</v>
      </c>
    </row>
    <row r="60" spans="1:32" x14ac:dyDescent="0.25">
      <c r="A60" s="149" t="s">
        <v>663</v>
      </c>
      <c r="B60" s="149" t="s">
        <v>511</v>
      </c>
      <c r="C60" s="149" t="s">
        <v>512</v>
      </c>
      <c r="D60" s="149" t="s">
        <v>513</v>
      </c>
      <c r="E60" s="149" t="s">
        <v>514</v>
      </c>
      <c r="F60" s="149" t="s">
        <v>515</v>
      </c>
      <c r="G60" s="149" t="s">
        <v>132</v>
      </c>
      <c r="H60" s="149">
        <v>21</v>
      </c>
      <c r="I60" s="149" t="s">
        <v>351</v>
      </c>
      <c r="J60" s="150">
        <v>1237</v>
      </c>
      <c r="K60" s="149">
        <v>13</v>
      </c>
      <c r="L60" s="149" t="s">
        <v>516</v>
      </c>
      <c r="M60" s="149">
        <v>13</v>
      </c>
      <c r="N60" s="149" t="s">
        <v>517</v>
      </c>
      <c r="O60" s="150">
        <v>13161</v>
      </c>
      <c r="P60" s="150">
        <v>1261</v>
      </c>
      <c r="Q60" s="150">
        <v>8022.75</v>
      </c>
      <c r="R60" s="150">
        <v>8461</v>
      </c>
      <c r="S60" s="151">
        <v>84.365384615384613</v>
      </c>
      <c r="T60" s="149" t="s">
        <v>519</v>
      </c>
      <c r="U60" s="149" t="s">
        <v>351</v>
      </c>
      <c r="V60" s="149" t="s">
        <v>519</v>
      </c>
      <c r="W60" s="149" t="s">
        <v>520</v>
      </c>
      <c r="X60" s="149" t="s">
        <v>554</v>
      </c>
      <c r="Y60" s="149" t="s">
        <v>351</v>
      </c>
      <c r="Z60" s="149" t="s">
        <v>521</v>
      </c>
      <c r="AA60" s="149" t="s">
        <v>567</v>
      </c>
      <c r="AB60" s="149" t="s">
        <v>550</v>
      </c>
      <c r="AC60" s="149" t="s">
        <v>531</v>
      </c>
      <c r="AD60" s="149" t="s">
        <v>532</v>
      </c>
      <c r="AE60" s="149" t="s">
        <v>518</v>
      </c>
      <c r="AF60" s="149" t="s">
        <v>351</v>
      </c>
    </row>
    <row r="61" spans="1:32" x14ac:dyDescent="0.25">
      <c r="A61" s="149" t="s">
        <v>664</v>
      </c>
      <c r="B61" s="149" t="s">
        <v>19</v>
      </c>
      <c r="C61" s="149" t="s">
        <v>512</v>
      </c>
      <c r="D61" s="149" t="s">
        <v>513</v>
      </c>
      <c r="E61" s="149" t="s">
        <v>630</v>
      </c>
      <c r="F61" s="149" t="s">
        <v>515</v>
      </c>
      <c r="G61" s="149" t="s">
        <v>244</v>
      </c>
      <c r="H61" s="149">
        <v>5</v>
      </c>
      <c r="I61" s="149" t="s">
        <v>351</v>
      </c>
      <c r="J61" s="150">
        <v>2178.3333333333335</v>
      </c>
      <c r="K61" s="149">
        <v>51</v>
      </c>
      <c r="L61" s="149" t="s">
        <v>516</v>
      </c>
      <c r="M61" s="149">
        <v>51</v>
      </c>
      <c r="N61" s="149" t="s">
        <v>517</v>
      </c>
      <c r="O61" s="150">
        <v>13057</v>
      </c>
      <c r="P61" s="150">
        <v>1757</v>
      </c>
      <c r="Q61" s="149" t="s">
        <v>351</v>
      </c>
      <c r="R61" s="150">
        <v>13057</v>
      </c>
      <c r="S61" s="151">
        <v>21.334967320261438</v>
      </c>
      <c r="T61" s="149" t="s">
        <v>518</v>
      </c>
      <c r="U61" s="149" t="s">
        <v>351</v>
      </c>
      <c r="V61" s="149" t="s">
        <v>518</v>
      </c>
      <c r="W61" s="149" t="s">
        <v>520</v>
      </c>
      <c r="X61" s="149" t="s">
        <v>528</v>
      </c>
      <c r="Y61" s="149" t="s">
        <v>355</v>
      </c>
      <c r="Z61" s="149" t="s">
        <v>521</v>
      </c>
      <c r="AA61" s="149" t="s">
        <v>665</v>
      </c>
      <c r="AB61" s="149" t="s">
        <v>666</v>
      </c>
      <c r="AC61" s="149" t="s">
        <v>580</v>
      </c>
      <c r="AD61" s="149" t="s">
        <v>667</v>
      </c>
      <c r="AE61" s="149" t="s">
        <v>518</v>
      </c>
      <c r="AF61" s="149" t="s">
        <v>351</v>
      </c>
    </row>
    <row r="62" spans="1:32" x14ac:dyDescent="0.25">
      <c r="A62" s="149" t="s">
        <v>668</v>
      </c>
      <c r="B62" s="149" t="s">
        <v>511</v>
      </c>
      <c r="C62" s="149" t="s">
        <v>512</v>
      </c>
      <c r="D62" s="149" t="s">
        <v>513</v>
      </c>
      <c r="E62" s="149" t="s">
        <v>514</v>
      </c>
      <c r="F62" s="149" t="s">
        <v>515</v>
      </c>
      <c r="G62" s="149" t="s">
        <v>669</v>
      </c>
      <c r="H62" s="149">
        <v>41</v>
      </c>
      <c r="I62" s="149" t="s">
        <v>351</v>
      </c>
      <c r="J62" s="150">
        <v>1340.3333333333333</v>
      </c>
      <c r="K62" s="149">
        <v>22</v>
      </c>
      <c r="L62" s="149" t="s">
        <v>516</v>
      </c>
      <c r="M62" s="149">
        <v>22</v>
      </c>
      <c r="N62" s="149" t="s">
        <v>517</v>
      </c>
      <c r="O62" s="150">
        <v>12678</v>
      </c>
      <c r="P62" s="150">
        <v>1517</v>
      </c>
      <c r="Q62" s="150">
        <v>10175</v>
      </c>
      <c r="R62" s="150">
        <v>8478</v>
      </c>
      <c r="S62" s="151">
        <v>48.022727272727273</v>
      </c>
      <c r="T62" s="149" t="s">
        <v>519</v>
      </c>
      <c r="U62" s="149" t="s">
        <v>351</v>
      </c>
      <c r="V62" s="149" t="s">
        <v>519</v>
      </c>
      <c r="W62" s="149" t="s">
        <v>527</v>
      </c>
      <c r="X62" s="149" t="s">
        <v>351</v>
      </c>
      <c r="Y62" s="149" t="s">
        <v>351</v>
      </c>
      <c r="Z62" s="149" t="s">
        <v>521</v>
      </c>
      <c r="AA62" s="149" t="s">
        <v>557</v>
      </c>
      <c r="AB62" s="149" t="s">
        <v>530</v>
      </c>
      <c r="AC62" s="149" t="s">
        <v>531</v>
      </c>
      <c r="AD62" s="149" t="s">
        <v>532</v>
      </c>
      <c r="AE62" s="149" t="s">
        <v>519</v>
      </c>
      <c r="AF62" s="149" t="s">
        <v>351</v>
      </c>
    </row>
    <row r="63" spans="1:32" x14ac:dyDescent="0.25">
      <c r="A63" s="149" t="s">
        <v>670</v>
      </c>
      <c r="B63" s="149" t="s">
        <v>576</v>
      </c>
      <c r="C63" s="149" t="s">
        <v>671</v>
      </c>
      <c r="D63" s="149" t="s">
        <v>351</v>
      </c>
      <c r="E63" s="149" t="s">
        <v>351</v>
      </c>
      <c r="F63" s="149" t="s">
        <v>351</v>
      </c>
      <c r="G63" s="149" t="s">
        <v>634</v>
      </c>
      <c r="H63" s="149">
        <v>42</v>
      </c>
      <c r="I63" s="149" t="s">
        <v>242</v>
      </c>
      <c r="J63" s="150">
        <v>1685.9466666666667</v>
      </c>
      <c r="K63" s="149" t="s">
        <v>351</v>
      </c>
      <c r="L63" s="149" t="s">
        <v>649</v>
      </c>
      <c r="M63" s="149" t="s">
        <v>351</v>
      </c>
      <c r="N63" s="149" t="s">
        <v>351</v>
      </c>
      <c r="O63" s="150">
        <v>12579.53</v>
      </c>
      <c r="P63" s="149" t="s">
        <v>351</v>
      </c>
      <c r="Q63" s="150">
        <v>31133.94</v>
      </c>
      <c r="R63" s="150">
        <v>249.84</v>
      </c>
      <c r="S63" s="149" t="s">
        <v>351</v>
      </c>
      <c r="T63" s="149" t="s">
        <v>351</v>
      </c>
      <c r="U63" s="149" t="s">
        <v>351</v>
      </c>
      <c r="V63" s="149" t="s">
        <v>351</v>
      </c>
      <c r="W63" s="149" t="s">
        <v>351</v>
      </c>
      <c r="X63" s="149" t="s">
        <v>351</v>
      </c>
      <c r="Y63" s="149" t="s">
        <v>351</v>
      </c>
      <c r="Z63" s="149" t="s">
        <v>351</v>
      </c>
      <c r="AA63" s="149" t="s">
        <v>351</v>
      </c>
      <c r="AB63" s="149" t="s">
        <v>351</v>
      </c>
      <c r="AC63" s="149" t="s">
        <v>351</v>
      </c>
      <c r="AD63" s="149" t="s">
        <v>351</v>
      </c>
      <c r="AE63" s="149" t="s">
        <v>351</v>
      </c>
      <c r="AF63" s="149" t="s">
        <v>518</v>
      </c>
    </row>
    <row r="64" spans="1:32" x14ac:dyDescent="0.25">
      <c r="A64" s="149" t="s">
        <v>672</v>
      </c>
      <c r="B64" s="149" t="s">
        <v>511</v>
      </c>
      <c r="C64" s="149" t="s">
        <v>512</v>
      </c>
      <c r="D64" s="149" t="s">
        <v>513</v>
      </c>
      <c r="E64" s="149" t="s">
        <v>514</v>
      </c>
      <c r="F64" s="149" t="s">
        <v>515</v>
      </c>
      <c r="G64" s="149" t="s">
        <v>208</v>
      </c>
      <c r="H64" s="149">
        <v>11</v>
      </c>
      <c r="I64" s="149" t="s">
        <v>351</v>
      </c>
      <c r="J64" s="150">
        <v>1335</v>
      </c>
      <c r="K64" s="149">
        <v>19</v>
      </c>
      <c r="L64" s="149" t="s">
        <v>516</v>
      </c>
      <c r="M64" s="149">
        <v>19</v>
      </c>
      <c r="N64" s="149" t="s">
        <v>517</v>
      </c>
      <c r="O64" s="150">
        <v>12450</v>
      </c>
      <c r="P64" s="150">
        <v>1335</v>
      </c>
      <c r="Q64" s="150">
        <v>4005</v>
      </c>
      <c r="R64" s="150">
        <v>8445</v>
      </c>
      <c r="S64" s="151">
        <v>54.60526315789474</v>
      </c>
      <c r="T64" s="149" t="s">
        <v>519</v>
      </c>
      <c r="U64" s="149" t="s">
        <v>351</v>
      </c>
      <c r="V64" s="149" t="s">
        <v>519</v>
      </c>
      <c r="W64" s="149" t="s">
        <v>520</v>
      </c>
      <c r="X64" s="149" t="s">
        <v>539</v>
      </c>
      <c r="Y64" s="149" t="s">
        <v>351</v>
      </c>
      <c r="Z64" s="149" t="s">
        <v>521</v>
      </c>
      <c r="AA64" s="149" t="s">
        <v>557</v>
      </c>
      <c r="AB64" s="149" t="s">
        <v>530</v>
      </c>
      <c r="AC64" s="149" t="s">
        <v>531</v>
      </c>
      <c r="AD64" s="149" t="s">
        <v>532</v>
      </c>
      <c r="AE64" s="149" t="s">
        <v>518</v>
      </c>
      <c r="AF64" s="149" t="s">
        <v>351</v>
      </c>
    </row>
    <row r="65" spans="1:32" x14ac:dyDescent="0.25">
      <c r="A65" s="149" t="s">
        <v>673</v>
      </c>
      <c r="B65" s="149" t="s">
        <v>511</v>
      </c>
      <c r="C65" s="149" t="s">
        <v>512</v>
      </c>
      <c r="D65" s="149" t="s">
        <v>513</v>
      </c>
      <c r="E65" s="149" t="s">
        <v>514</v>
      </c>
      <c r="F65" s="149" t="s">
        <v>515</v>
      </c>
      <c r="G65" s="149" t="s">
        <v>127</v>
      </c>
      <c r="H65" s="149">
        <v>26</v>
      </c>
      <c r="I65" s="149" t="s">
        <v>351</v>
      </c>
      <c r="J65" s="150">
        <v>1129.3333333333333</v>
      </c>
      <c r="K65" s="149">
        <v>17</v>
      </c>
      <c r="L65" s="149" t="s">
        <v>569</v>
      </c>
      <c r="M65" s="149">
        <v>16</v>
      </c>
      <c r="N65" s="149" t="s">
        <v>593</v>
      </c>
      <c r="O65" s="150">
        <v>12373</v>
      </c>
      <c r="P65" s="150">
        <v>1048</v>
      </c>
      <c r="Q65" s="150">
        <v>8869</v>
      </c>
      <c r="R65" s="150">
        <v>7898</v>
      </c>
      <c r="S65" s="151">
        <v>60.651960784313722</v>
      </c>
      <c r="T65" s="149" t="s">
        <v>519</v>
      </c>
      <c r="U65" s="149" t="s">
        <v>351</v>
      </c>
      <c r="V65" s="149" t="s">
        <v>519</v>
      </c>
      <c r="W65" s="149" t="s">
        <v>520</v>
      </c>
      <c r="X65" s="149" t="s">
        <v>544</v>
      </c>
      <c r="Y65" s="149" t="s">
        <v>351</v>
      </c>
      <c r="Z65" s="149" t="s">
        <v>521</v>
      </c>
      <c r="AA65" s="149" t="s">
        <v>654</v>
      </c>
      <c r="AB65" s="149" t="s">
        <v>550</v>
      </c>
      <c r="AC65" s="149" t="s">
        <v>531</v>
      </c>
      <c r="AD65" s="149" t="s">
        <v>532</v>
      </c>
      <c r="AE65" s="149" t="s">
        <v>518</v>
      </c>
      <c r="AF65" s="149" t="s">
        <v>351</v>
      </c>
    </row>
    <row r="66" spans="1:32" x14ac:dyDescent="0.25">
      <c r="A66" s="149" t="s">
        <v>674</v>
      </c>
      <c r="B66" s="149" t="s">
        <v>511</v>
      </c>
      <c r="C66" s="149" t="s">
        <v>512</v>
      </c>
      <c r="D66" s="149" t="s">
        <v>513</v>
      </c>
      <c r="E66" s="149" t="s">
        <v>630</v>
      </c>
      <c r="F66" s="149" t="s">
        <v>601</v>
      </c>
      <c r="G66" s="149" t="s">
        <v>201</v>
      </c>
      <c r="H66" s="149">
        <v>18</v>
      </c>
      <c r="I66" s="149" t="s">
        <v>351</v>
      </c>
      <c r="J66" s="150">
        <v>1011.3333333333334</v>
      </c>
      <c r="K66" s="149">
        <v>21</v>
      </c>
      <c r="L66" s="149" t="s">
        <v>516</v>
      </c>
      <c r="M66" s="149">
        <v>21</v>
      </c>
      <c r="N66" s="149" t="s">
        <v>517</v>
      </c>
      <c r="O66" s="150">
        <v>12069</v>
      </c>
      <c r="P66" s="150">
        <v>1150</v>
      </c>
      <c r="Q66" s="150">
        <v>8565</v>
      </c>
      <c r="R66" s="150">
        <v>7144</v>
      </c>
      <c r="S66" s="151">
        <v>47.892857142857146</v>
      </c>
      <c r="T66" s="149" t="s">
        <v>519</v>
      </c>
      <c r="U66" s="149" t="s">
        <v>351</v>
      </c>
      <c r="V66" s="149" t="s">
        <v>519</v>
      </c>
      <c r="W66" s="149" t="s">
        <v>520</v>
      </c>
      <c r="X66" s="149" t="s">
        <v>544</v>
      </c>
      <c r="Y66" s="149" t="s">
        <v>351</v>
      </c>
      <c r="Z66" s="149" t="s">
        <v>521</v>
      </c>
      <c r="AA66" s="149" t="s">
        <v>563</v>
      </c>
      <c r="AB66" s="149" t="s">
        <v>564</v>
      </c>
      <c r="AC66" s="149" t="s">
        <v>524</v>
      </c>
      <c r="AD66" s="149" t="s">
        <v>537</v>
      </c>
      <c r="AE66" s="149" t="s">
        <v>518</v>
      </c>
      <c r="AF66" s="149" t="s">
        <v>351</v>
      </c>
    </row>
    <row r="67" spans="1:32" x14ac:dyDescent="0.25">
      <c r="A67" s="149" t="s">
        <v>675</v>
      </c>
      <c r="B67" s="149" t="s">
        <v>511</v>
      </c>
      <c r="C67" s="149" t="s">
        <v>512</v>
      </c>
      <c r="D67" s="149" t="s">
        <v>513</v>
      </c>
      <c r="E67" s="149" t="s">
        <v>514</v>
      </c>
      <c r="F67" s="149" t="s">
        <v>515</v>
      </c>
      <c r="G67" s="149" t="s">
        <v>200</v>
      </c>
      <c r="H67" s="149">
        <v>19</v>
      </c>
      <c r="I67" s="149" t="s">
        <v>351</v>
      </c>
      <c r="J67" s="150">
        <v>922</v>
      </c>
      <c r="K67" s="149">
        <v>11</v>
      </c>
      <c r="L67" s="149" t="s">
        <v>516</v>
      </c>
      <c r="M67" s="149">
        <v>11</v>
      </c>
      <c r="N67" s="149" t="s">
        <v>517</v>
      </c>
      <c r="O67" s="150">
        <v>11954</v>
      </c>
      <c r="P67" s="150">
        <v>980</v>
      </c>
      <c r="Q67" s="150">
        <v>11748.85</v>
      </c>
      <c r="R67" s="150">
        <v>6347</v>
      </c>
      <c r="S67" s="151">
        <v>90.560606060606062</v>
      </c>
      <c r="T67" s="149" t="s">
        <v>519</v>
      </c>
      <c r="U67" s="149" t="s">
        <v>351</v>
      </c>
      <c r="V67" s="149" t="s">
        <v>518</v>
      </c>
      <c r="W67" s="149" t="s">
        <v>527</v>
      </c>
      <c r="X67" s="149" t="s">
        <v>544</v>
      </c>
      <c r="Y67" s="149" t="s">
        <v>368</v>
      </c>
      <c r="Z67" s="149" t="s">
        <v>521</v>
      </c>
      <c r="AA67" s="149" t="s">
        <v>622</v>
      </c>
      <c r="AB67" s="149" t="s">
        <v>546</v>
      </c>
      <c r="AC67" s="149" t="s">
        <v>547</v>
      </c>
      <c r="AD67" s="149" t="s">
        <v>532</v>
      </c>
      <c r="AE67" s="149" t="s">
        <v>519</v>
      </c>
      <c r="AF67" s="149" t="s">
        <v>351</v>
      </c>
    </row>
    <row r="68" spans="1:32" x14ac:dyDescent="0.25">
      <c r="A68" s="149" t="s">
        <v>676</v>
      </c>
      <c r="B68" s="149" t="s">
        <v>511</v>
      </c>
      <c r="C68" s="149" t="s">
        <v>512</v>
      </c>
      <c r="D68" s="149" t="s">
        <v>513</v>
      </c>
      <c r="E68" s="149" t="s">
        <v>514</v>
      </c>
      <c r="F68" s="149" t="s">
        <v>601</v>
      </c>
      <c r="G68" s="149" t="s">
        <v>208</v>
      </c>
      <c r="H68" s="149">
        <v>11</v>
      </c>
      <c r="I68" s="149" t="s">
        <v>351</v>
      </c>
      <c r="J68" s="150">
        <v>1143.3333333333333</v>
      </c>
      <c r="K68" s="149">
        <v>17</v>
      </c>
      <c r="L68" s="149" t="s">
        <v>516</v>
      </c>
      <c r="M68" s="149">
        <v>17</v>
      </c>
      <c r="N68" s="149" t="s">
        <v>517</v>
      </c>
      <c r="O68" s="150">
        <v>11835</v>
      </c>
      <c r="P68" s="150">
        <v>1140</v>
      </c>
      <c r="Q68" s="150">
        <v>4075</v>
      </c>
      <c r="R68" s="150">
        <v>7760</v>
      </c>
      <c r="S68" s="151">
        <v>58.014705882352942</v>
      </c>
      <c r="T68" s="149" t="s">
        <v>519</v>
      </c>
      <c r="U68" s="149" t="s">
        <v>351</v>
      </c>
      <c r="V68" s="149" t="s">
        <v>519</v>
      </c>
      <c r="W68" s="149" t="s">
        <v>520</v>
      </c>
      <c r="X68" s="149" t="s">
        <v>544</v>
      </c>
      <c r="Y68" s="149" t="s">
        <v>351</v>
      </c>
      <c r="Z68" s="149" t="s">
        <v>521</v>
      </c>
      <c r="AA68" s="149" t="s">
        <v>574</v>
      </c>
      <c r="AB68" s="149" t="s">
        <v>571</v>
      </c>
      <c r="AC68" s="149" t="s">
        <v>524</v>
      </c>
      <c r="AD68" s="149" t="s">
        <v>572</v>
      </c>
      <c r="AE68" s="149" t="s">
        <v>518</v>
      </c>
      <c r="AF68" s="149" t="s">
        <v>351</v>
      </c>
    </row>
    <row r="69" spans="1:32" x14ac:dyDescent="0.25">
      <c r="A69" s="149" t="s">
        <v>677</v>
      </c>
      <c r="B69" s="149" t="s">
        <v>511</v>
      </c>
      <c r="C69" s="149" t="s">
        <v>512</v>
      </c>
      <c r="D69" s="149" t="s">
        <v>513</v>
      </c>
      <c r="E69" s="149" t="s">
        <v>514</v>
      </c>
      <c r="F69" s="149" t="s">
        <v>515</v>
      </c>
      <c r="G69" s="149" t="s">
        <v>244</v>
      </c>
      <c r="H69" s="149">
        <v>5</v>
      </c>
      <c r="I69" s="149" t="s">
        <v>351</v>
      </c>
      <c r="J69" s="150">
        <v>1993</v>
      </c>
      <c r="K69" s="149">
        <v>32</v>
      </c>
      <c r="L69" s="149" t="s">
        <v>516</v>
      </c>
      <c r="M69" s="149">
        <v>32</v>
      </c>
      <c r="N69" s="149" t="s">
        <v>517</v>
      </c>
      <c r="O69" s="150">
        <v>11776</v>
      </c>
      <c r="P69" s="150">
        <v>1908</v>
      </c>
      <c r="Q69" s="149" t="s">
        <v>351</v>
      </c>
      <c r="R69" s="150">
        <v>11776</v>
      </c>
      <c r="S69" s="151">
        <v>30.666666666666668</v>
      </c>
      <c r="T69" s="149" t="s">
        <v>519</v>
      </c>
      <c r="U69" s="149" t="s">
        <v>351</v>
      </c>
      <c r="V69" s="149" t="s">
        <v>518</v>
      </c>
      <c r="W69" s="149" t="s">
        <v>520</v>
      </c>
      <c r="X69" s="149" t="s">
        <v>544</v>
      </c>
      <c r="Y69" s="149" t="s">
        <v>355</v>
      </c>
      <c r="Z69" s="149" t="s">
        <v>521</v>
      </c>
      <c r="AA69" s="149" t="s">
        <v>678</v>
      </c>
      <c r="AB69" s="149" t="s">
        <v>679</v>
      </c>
      <c r="AC69" s="149" t="s">
        <v>531</v>
      </c>
      <c r="AD69" s="149" t="s">
        <v>572</v>
      </c>
      <c r="AE69" s="149" t="s">
        <v>518</v>
      </c>
      <c r="AF69" s="149" t="s">
        <v>351</v>
      </c>
    </row>
    <row r="70" spans="1:32" x14ac:dyDescent="0.25">
      <c r="A70" s="149" t="s">
        <v>680</v>
      </c>
      <c r="B70" s="149" t="s">
        <v>511</v>
      </c>
      <c r="C70" s="149" t="s">
        <v>646</v>
      </c>
      <c r="D70" s="149" t="s">
        <v>681</v>
      </c>
      <c r="E70" s="149" t="s">
        <v>351</v>
      </c>
      <c r="F70" s="149" t="s">
        <v>351</v>
      </c>
      <c r="G70" s="149" t="s">
        <v>648</v>
      </c>
      <c r="H70" s="149">
        <v>63</v>
      </c>
      <c r="I70" s="149" t="s">
        <v>351</v>
      </c>
      <c r="J70" s="150">
        <v>995</v>
      </c>
      <c r="K70" s="149" t="s">
        <v>351</v>
      </c>
      <c r="L70" s="149" t="s">
        <v>682</v>
      </c>
      <c r="M70" s="149" t="s">
        <v>351</v>
      </c>
      <c r="N70" s="149" t="s">
        <v>351</v>
      </c>
      <c r="O70" s="150">
        <v>11715</v>
      </c>
      <c r="P70" s="150">
        <v>995</v>
      </c>
      <c r="Q70" s="150">
        <v>11490</v>
      </c>
      <c r="R70" s="150">
        <v>6965</v>
      </c>
      <c r="S70" s="149" t="s">
        <v>351</v>
      </c>
      <c r="T70" s="149" t="s">
        <v>519</v>
      </c>
      <c r="U70" s="149" t="s">
        <v>351</v>
      </c>
      <c r="V70" s="149" t="s">
        <v>519</v>
      </c>
      <c r="W70" s="149" t="s">
        <v>351</v>
      </c>
      <c r="X70" s="149" t="s">
        <v>351</v>
      </c>
      <c r="Y70" s="149" t="s">
        <v>351</v>
      </c>
      <c r="Z70" s="149" t="s">
        <v>521</v>
      </c>
      <c r="AA70" s="149" t="s">
        <v>683</v>
      </c>
      <c r="AB70" s="149" t="s">
        <v>651</v>
      </c>
      <c r="AC70" s="149" t="s">
        <v>652</v>
      </c>
      <c r="AD70" s="149" t="s">
        <v>537</v>
      </c>
      <c r="AE70" s="149" t="s">
        <v>519</v>
      </c>
      <c r="AF70" s="149" t="s">
        <v>351</v>
      </c>
    </row>
    <row r="71" spans="1:32" x14ac:dyDescent="0.25">
      <c r="A71" s="149" t="s">
        <v>684</v>
      </c>
      <c r="B71" s="149" t="s">
        <v>511</v>
      </c>
      <c r="C71" s="149" t="s">
        <v>512</v>
      </c>
      <c r="D71" s="149" t="s">
        <v>513</v>
      </c>
      <c r="E71" s="149" t="s">
        <v>630</v>
      </c>
      <c r="F71" s="149" t="s">
        <v>601</v>
      </c>
      <c r="G71" s="149" t="s">
        <v>243</v>
      </c>
      <c r="H71" s="149">
        <v>6</v>
      </c>
      <c r="I71" s="149" t="s">
        <v>351</v>
      </c>
      <c r="J71" s="150">
        <v>2082</v>
      </c>
      <c r="K71" s="149">
        <v>37</v>
      </c>
      <c r="L71" s="149" t="s">
        <v>516</v>
      </c>
      <c r="M71" s="149">
        <v>37</v>
      </c>
      <c r="N71" s="149" t="s">
        <v>517</v>
      </c>
      <c r="O71" s="150">
        <v>11515</v>
      </c>
      <c r="P71" s="150">
        <v>2164</v>
      </c>
      <c r="Q71" s="149" t="s">
        <v>351</v>
      </c>
      <c r="R71" s="150">
        <v>11515</v>
      </c>
      <c r="S71" s="151">
        <v>25.934684684684687</v>
      </c>
      <c r="T71" s="149" t="s">
        <v>519</v>
      </c>
      <c r="U71" s="149" t="s">
        <v>351</v>
      </c>
      <c r="V71" s="149" t="s">
        <v>519</v>
      </c>
      <c r="W71" s="149" t="s">
        <v>520</v>
      </c>
      <c r="X71" s="149" t="s">
        <v>624</v>
      </c>
      <c r="Y71" s="149" t="s">
        <v>355</v>
      </c>
      <c r="Z71" s="149" t="s">
        <v>521</v>
      </c>
      <c r="AA71" s="149" t="s">
        <v>605</v>
      </c>
      <c r="AB71" s="149" t="s">
        <v>541</v>
      </c>
      <c r="AC71" s="149" t="s">
        <v>531</v>
      </c>
      <c r="AD71" s="149" t="s">
        <v>525</v>
      </c>
      <c r="AE71" s="149" t="s">
        <v>518</v>
      </c>
      <c r="AF71" s="149" t="s">
        <v>351</v>
      </c>
    </row>
    <row r="72" spans="1:32" x14ac:dyDescent="0.25">
      <c r="A72" s="149" t="s">
        <v>685</v>
      </c>
      <c r="B72" s="149" t="s">
        <v>511</v>
      </c>
      <c r="C72" s="149" t="s">
        <v>512</v>
      </c>
      <c r="D72" s="149" t="s">
        <v>513</v>
      </c>
      <c r="E72" s="149" t="s">
        <v>514</v>
      </c>
      <c r="F72" s="149" t="s">
        <v>515</v>
      </c>
      <c r="G72" s="149" t="s">
        <v>562</v>
      </c>
      <c r="H72" s="149">
        <v>34</v>
      </c>
      <c r="I72" s="149" t="s">
        <v>351</v>
      </c>
      <c r="J72" s="150">
        <v>1460.6666666666667</v>
      </c>
      <c r="K72" s="149">
        <v>19</v>
      </c>
      <c r="L72" s="149" t="s">
        <v>516</v>
      </c>
      <c r="M72" s="149">
        <v>19</v>
      </c>
      <c r="N72" s="149" t="s">
        <v>517</v>
      </c>
      <c r="O72" s="150">
        <v>11513</v>
      </c>
      <c r="P72" s="150">
        <v>1614</v>
      </c>
      <c r="Q72" s="150">
        <v>7632</v>
      </c>
      <c r="R72" s="150">
        <v>8852</v>
      </c>
      <c r="S72" s="151">
        <v>50.495614035087719</v>
      </c>
      <c r="T72" s="149" t="s">
        <v>518</v>
      </c>
      <c r="U72" s="149">
        <v>6</v>
      </c>
      <c r="V72" s="149" t="s">
        <v>518</v>
      </c>
      <c r="W72" s="149" t="s">
        <v>520</v>
      </c>
      <c r="X72" s="149" t="s">
        <v>544</v>
      </c>
      <c r="Y72" s="149" t="s">
        <v>355</v>
      </c>
      <c r="Z72" s="149" t="s">
        <v>521</v>
      </c>
      <c r="AA72" s="149" t="s">
        <v>654</v>
      </c>
      <c r="AB72" s="149" t="s">
        <v>550</v>
      </c>
      <c r="AC72" s="149" t="s">
        <v>531</v>
      </c>
      <c r="AD72" s="149" t="s">
        <v>532</v>
      </c>
      <c r="AE72" s="149" t="s">
        <v>518</v>
      </c>
      <c r="AF72" s="149" t="s">
        <v>351</v>
      </c>
    </row>
    <row r="73" spans="1:32" x14ac:dyDescent="0.25">
      <c r="A73" s="149" t="s">
        <v>686</v>
      </c>
      <c r="B73" s="149" t="s">
        <v>511</v>
      </c>
      <c r="C73" s="149" t="s">
        <v>512</v>
      </c>
      <c r="D73" s="149" t="s">
        <v>513</v>
      </c>
      <c r="E73" s="149" t="s">
        <v>514</v>
      </c>
      <c r="F73" s="149" t="s">
        <v>515</v>
      </c>
      <c r="G73" s="149" t="s">
        <v>207</v>
      </c>
      <c r="H73" s="149">
        <v>12</v>
      </c>
      <c r="I73" s="149" t="s">
        <v>351</v>
      </c>
      <c r="J73" s="150">
        <v>1231.6666666666667</v>
      </c>
      <c r="K73" s="149">
        <v>28</v>
      </c>
      <c r="L73" s="149" t="s">
        <v>516</v>
      </c>
      <c r="M73" s="149">
        <v>28</v>
      </c>
      <c r="N73" s="149" t="s">
        <v>517</v>
      </c>
      <c r="O73" s="150">
        <v>11205</v>
      </c>
      <c r="P73" s="150">
        <v>1885</v>
      </c>
      <c r="Q73" s="150">
        <v>4270</v>
      </c>
      <c r="R73" s="150">
        <v>6935</v>
      </c>
      <c r="S73" s="151">
        <v>33.348214285714285</v>
      </c>
      <c r="T73" s="149" t="s">
        <v>519</v>
      </c>
      <c r="U73" s="149" t="s">
        <v>351</v>
      </c>
      <c r="V73" s="149" t="s">
        <v>519</v>
      </c>
      <c r="W73" s="149" t="s">
        <v>520</v>
      </c>
      <c r="X73" s="149" t="s">
        <v>544</v>
      </c>
      <c r="Y73" s="149" t="s">
        <v>368</v>
      </c>
      <c r="Z73" s="149" t="s">
        <v>521</v>
      </c>
      <c r="AA73" s="149" t="s">
        <v>657</v>
      </c>
      <c r="AB73" s="149" t="s">
        <v>560</v>
      </c>
      <c r="AC73" s="149" t="s">
        <v>547</v>
      </c>
      <c r="AD73" s="149" t="s">
        <v>537</v>
      </c>
      <c r="AE73" s="149" t="s">
        <v>518</v>
      </c>
      <c r="AF73" s="149" t="s">
        <v>351</v>
      </c>
    </row>
    <row r="74" spans="1:32" x14ac:dyDescent="0.25">
      <c r="A74" s="149" t="s">
        <v>687</v>
      </c>
      <c r="B74" s="149" t="s">
        <v>511</v>
      </c>
      <c r="C74" s="149" t="s">
        <v>512</v>
      </c>
      <c r="D74" s="149" t="s">
        <v>513</v>
      </c>
      <c r="E74" s="149" t="s">
        <v>514</v>
      </c>
      <c r="F74" s="149" t="s">
        <v>515</v>
      </c>
      <c r="G74" s="149" t="s">
        <v>200</v>
      </c>
      <c r="H74" s="149">
        <v>19</v>
      </c>
      <c r="I74" s="149" t="s">
        <v>351</v>
      </c>
      <c r="J74" s="150">
        <v>1125</v>
      </c>
      <c r="K74" s="149">
        <v>13</v>
      </c>
      <c r="L74" s="149" t="s">
        <v>516</v>
      </c>
      <c r="M74" s="149">
        <v>13</v>
      </c>
      <c r="N74" s="149" t="s">
        <v>517</v>
      </c>
      <c r="O74" s="150">
        <v>10930</v>
      </c>
      <c r="P74" s="150">
        <v>1075</v>
      </c>
      <c r="Q74" s="150">
        <v>3630</v>
      </c>
      <c r="R74" s="150">
        <v>7300</v>
      </c>
      <c r="S74" s="151">
        <v>70.064102564102569</v>
      </c>
      <c r="T74" s="149" t="s">
        <v>519</v>
      </c>
      <c r="U74" s="149" t="s">
        <v>351</v>
      </c>
      <c r="V74" s="149" t="s">
        <v>519</v>
      </c>
      <c r="W74" s="149" t="s">
        <v>520</v>
      </c>
      <c r="X74" s="149" t="s">
        <v>554</v>
      </c>
      <c r="Y74" s="149" t="s">
        <v>351</v>
      </c>
      <c r="Z74" s="149" t="s">
        <v>521</v>
      </c>
      <c r="AA74" s="149" t="s">
        <v>614</v>
      </c>
      <c r="AB74" s="149" t="s">
        <v>541</v>
      </c>
      <c r="AC74" s="149" t="s">
        <v>531</v>
      </c>
      <c r="AD74" s="149" t="s">
        <v>525</v>
      </c>
      <c r="AE74" s="149" t="s">
        <v>518</v>
      </c>
      <c r="AF74" s="149" t="s">
        <v>351</v>
      </c>
    </row>
    <row r="75" spans="1:32" x14ac:dyDescent="0.25">
      <c r="A75" s="149" t="s">
        <v>688</v>
      </c>
      <c r="B75" s="149" t="s">
        <v>511</v>
      </c>
      <c r="C75" s="149" t="s">
        <v>512</v>
      </c>
      <c r="D75" s="149" t="s">
        <v>513</v>
      </c>
      <c r="E75" s="149" t="s">
        <v>514</v>
      </c>
      <c r="F75" s="149" t="s">
        <v>515</v>
      </c>
      <c r="G75" s="149" t="s">
        <v>243</v>
      </c>
      <c r="H75" s="149">
        <v>6</v>
      </c>
      <c r="I75" s="149" t="s">
        <v>351</v>
      </c>
      <c r="J75" s="150">
        <v>1696</v>
      </c>
      <c r="K75" s="149">
        <v>14</v>
      </c>
      <c r="L75" s="149" t="s">
        <v>516</v>
      </c>
      <c r="M75" s="149">
        <v>14</v>
      </c>
      <c r="N75" s="149" t="s">
        <v>517</v>
      </c>
      <c r="O75" s="150">
        <v>10779</v>
      </c>
      <c r="P75" s="150">
        <v>1696</v>
      </c>
      <c r="Q75" s="149" t="s">
        <v>351</v>
      </c>
      <c r="R75" s="150">
        <v>10779</v>
      </c>
      <c r="S75" s="151">
        <v>64.160714285714292</v>
      </c>
      <c r="T75" s="149" t="s">
        <v>518</v>
      </c>
      <c r="U75" s="149" t="s">
        <v>351</v>
      </c>
      <c r="V75" s="149" t="s">
        <v>519</v>
      </c>
      <c r="W75" s="149" t="s">
        <v>520</v>
      </c>
      <c r="X75" s="149" t="s">
        <v>528</v>
      </c>
      <c r="Y75" s="149" t="s">
        <v>355</v>
      </c>
      <c r="Z75" s="149" t="s">
        <v>521</v>
      </c>
      <c r="AA75" s="149" t="s">
        <v>662</v>
      </c>
      <c r="AB75" s="149" t="s">
        <v>662</v>
      </c>
      <c r="AC75" s="149" t="s">
        <v>547</v>
      </c>
      <c r="AD75" s="149" t="s">
        <v>525</v>
      </c>
      <c r="AE75" s="149" t="s">
        <v>518</v>
      </c>
      <c r="AF75" s="149" t="s">
        <v>351</v>
      </c>
    </row>
    <row r="76" spans="1:32" x14ac:dyDescent="0.25">
      <c r="A76" s="149" t="s">
        <v>689</v>
      </c>
      <c r="B76" s="149" t="s">
        <v>511</v>
      </c>
      <c r="C76" s="149" t="s">
        <v>512</v>
      </c>
      <c r="D76" s="149" t="s">
        <v>513</v>
      </c>
      <c r="E76" s="149" t="s">
        <v>514</v>
      </c>
      <c r="F76" s="149" t="s">
        <v>515</v>
      </c>
      <c r="G76" s="149" t="s">
        <v>602</v>
      </c>
      <c r="H76" s="149">
        <v>32</v>
      </c>
      <c r="I76" s="149" t="s">
        <v>351</v>
      </c>
      <c r="J76" s="150">
        <v>855</v>
      </c>
      <c r="K76" s="149">
        <v>9</v>
      </c>
      <c r="L76" s="149" t="s">
        <v>516</v>
      </c>
      <c r="M76" s="149">
        <v>9</v>
      </c>
      <c r="N76" s="149" t="s">
        <v>517</v>
      </c>
      <c r="O76" s="150">
        <v>10770</v>
      </c>
      <c r="P76" s="150">
        <v>775</v>
      </c>
      <c r="Q76" s="150">
        <v>10910</v>
      </c>
      <c r="R76" s="150">
        <v>5970</v>
      </c>
      <c r="S76" s="151">
        <v>99.722222222222229</v>
      </c>
      <c r="T76" s="149" t="s">
        <v>518</v>
      </c>
      <c r="U76" s="149">
        <v>11</v>
      </c>
      <c r="V76" s="149" t="s">
        <v>518</v>
      </c>
      <c r="W76" s="149" t="s">
        <v>520</v>
      </c>
      <c r="X76" s="149" t="s">
        <v>624</v>
      </c>
      <c r="Y76" s="149" t="s">
        <v>355</v>
      </c>
      <c r="Z76" s="149" t="s">
        <v>521</v>
      </c>
      <c r="AA76" s="149" t="s">
        <v>654</v>
      </c>
      <c r="AB76" s="149" t="s">
        <v>550</v>
      </c>
      <c r="AC76" s="149" t="s">
        <v>531</v>
      </c>
      <c r="AD76" s="149" t="s">
        <v>532</v>
      </c>
      <c r="AE76" s="149" t="s">
        <v>518</v>
      </c>
      <c r="AF76" s="149" t="s">
        <v>351</v>
      </c>
    </row>
    <row r="77" spans="1:32" x14ac:dyDescent="0.25">
      <c r="A77" s="149" t="s">
        <v>690</v>
      </c>
      <c r="B77" s="149" t="s">
        <v>511</v>
      </c>
      <c r="C77" s="149" t="s">
        <v>512</v>
      </c>
      <c r="D77" s="149" t="s">
        <v>513</v>
      </c>
      <c r="E77" s="149" t="s">
        <v>514</v>
      </c>
      <c r="F77" s="149" t="s">
        <v>515</v>
      </c>
      <c r="G77" s="149" t="s">
        <v>602</v>
      </c>
      <c r="H77" s="149">
        <v>32</v>
      </c>
      <c r="I77" s="149" t="s">
        <v>351</v>
      </c>
      <c r="J77" s="150">
        <v>1100</v>
      </c>
      <c r="K77" s="149">
        <v>15</v>
      </c>
      <c r="L77" s="149" t="s">
        <v>516</v>
      </c>
      <c r="M77" s="149">
        <v>15</v>
      </c>
      <c r="N77" s="149" t="s">
        <v>517</v>
      </c>
      <c r="O77" s="150">
        <v>10765</v>
      </c>
      <c r="P77" s="150">
        <v>1075</v>
      </c>
      <c r="Q77" s="150">
        <v>7625</v>
      </c>
      <c r="R77" s="150">
        <v>7690</v>
      </c>
      <c r="S77" s="151">
        <v>59.805555555555557</v>
      </c>
      <c r="T77" s="149" t="s">
        <v>519</v>
      </c>
      <c r="U77" s="149" t="s">
        <v>351</v>
      </c>
      <c r="V77" s="149" t="s">
        <v>519</v>
      </c>
      <c r="W77" s="149" t="s">
        <v>527</v>
      </c>
      <c r="X77" s="149" t="s">
        <v>544</v>
      </c>
      <c r="Y77" s="149" t="s">
        <v>351</v>
      </c>
      <c r="Z77" s="149" t="s">
        <v>521</v>
      </c>
      <c r="AA77" s="149" t="s">
        <v>529</v>
      </c>
      <c r="AB77" s="149" t="s">
        <v>530</v>
      </c>
      <c r="AC77" s="149" t="s">
        <v>531</v>
      </c>
      <c r="AD77" s="149" t="s">
        <v>532</v>
      </c>
      <c r="AE77" s="149" t="s">
        <v>519</v>
      </c>
      <c r="AF77" s="149" t="s">
        <v>351</v>
      </c>
    </row>
    <row r="78" spans="1:32" x14ac:dyDescent="0.25">
      <c r="A78" s="149" t="s">
        <v>691</v>
      </c>
      <c r="B78" s="149" t="s">
        <v>511</v>
      </c>
      <c r="C78" s="149" t="s">
        <v>692</v>
      </c>
      <c r="D78" s="149" t="s">
        <v>693</v>
      </c>
      <c r="E78" s="149" t="s">
        <v>351</v>
      </c>
      <c r="F78" s="149" t="s">
        <v>351</v>
      </c>
      <c r="G78" s="149" t="s">
        <v>200</v>
      </c>
      <c r="H78" s="149">
        <v>19</v>
      </c>
      <c r="I78" s="149" t="s">
        <v>351</v>
      </c>
      <c r="J78" s="150">
        <v>828.66666666666663</v>
      </c>
      <c r="K78" s="149">
        <v>14</v>
      </c>
      <c r="L78" s="149" t="s">
        <v>516</v>
      </c>
      <c r="M78" s="149">
        <v>14</v>
      </c>
      <c r="N78" s="149" t="s">
        <v>517</v>
      </c>
      <c r="O78" s="150">
        <v>10684</v>
      </c>
      <c r="P78" s="150">
        <v>726</v>
      </c>
      <c r="Q78" s="150">
        <v>10642.5</v>
      </c>
      <c r="R78" s="150">
        <v>6359</v>
      </c>
      <c r="S78" s="151">
        <v>63.595238095238095</v>
      </c>
      <c r="T78" s="149" t="s">
        <v>519</v>
      </c>
      <c r="U78" s="149" t="s">
        <v>351</v>
      </c>
      <c r="V78" s="149" t="s">
        <v>519</v>
      </c>
      <c r="W78" s="149" t="s">
        <v>351</v>
      </c>
      <c r="X78" s="149" t="s">
        <v>544</v>
      </c>
      <c r="Y78" s="149" t="s">
        <v>351</v>
      </c>
      <c r="Z78" s="149" t="s">
        <v>609</v>
      </c>
      <c r="AA78" s="149" t="s">
        <v>694</v>
      </c>
      <c r="AB78" s="149" t="s">
        <v>695</v>
      </c>
      <c r="AC78" s="149" t="s">
        <v>652</v>
      </c>
      <c r="AD78" s="149" t="s">
        <v>696</v>
      </c>
      <c r="AE78" s="149" t="s">
        <v>519</v>
      </c>
      <c r="AF78" s="149" t="s">
        <v>351</v>
      </c>
    </row>
    <row r="79" spans="1:32" x14ac:dyDescent="0.25">
      <c r="A79" s="149" t="s">
        <v>697</v>
      </c>
      <c r="B79" s="149" t="s">
        <v>576</v>
      </c>
      <c r="C79" s="149" t="s">
        <v>512</v>
      </c>
      <c r="D79" s="149" t="s">
        <v>513</v>
      </c>
      <c r="E79" s="149" t="s">
        <v>514</v>
      </c>
      <c r="F79" s="149" t="s">
        <v>515</v>
      </c>
      <c r="G79" s="149" t="s">
        <v>133</v>
      </c>
      <c r="H79" s="149">
        <v>20</v>
      </c>
      <c r="I79" s="149" t="s">
        <v>351</v>
      </c>
      <c r="J79" s="150">
        <v>1450</v>
      </c>
      <c r="K79" s="149">
        <v>13</v>
      </c>
      <c r="L79" s="149" t="s">
        <v>577</v>
      </c>
      <c r="M79" s="149">
        <v>0</v>
      </c>
      <c r="N79" s="149" t="s">
        <v>578</v>
      </c>
      <c r="O79" s="150">
        <v>10555</v>
      </c>
      <c r="P79" s="149" t="s">
        <v>351</v>
      </c>
      <c r="Q79" s="150">
        <v>14635</v>
      </c>
      <c r="R79" s="150">
        <v>4350</v>
      </c>
      <c r="S79" s="151">
        <v>67.660256410256409</v>
      </c>
      <c r="T79" s="149" t="s">
        <v>519</v>
      </c>
      <c r="U79" s="149" t="s">
        <v>351</v>
      </c>
      <c r="V79" s="149" t="s">
        <v>519</v>
      </c>
      <c r="W79" s="149" t="s">
        <v>351</v>
      </c>
      <c r="X79" s="149" t="s">
        <v>351</v>
      </c>
      <c r="Y79" s="149" t="s">
        <v>351</v>
      </c>
      <c r="Z79" s="149" t="s">
        <v>351</v>
      </c>
      <c r="AA79" s="149" t="s">
        <v>605</v>
      </c>
      <c r="AB79" s="149" t="s">
        <v>541</v>
      </c>
      <c r="AC79" s="149" t="s">
        <v>351</v>
      </c>
      <c r="AD79" s="149" t="s">
        <v>351</v>
      </c>
      <c r="AE79" s="149" t="s">
        <v>519</v>
      </c>
      <c r="AF79" s="149" t="s">
        <v>351</v>
      </c>
    </row>
    <row r="80" spans="1:32" x14ac:dyDescent="0.25">
      <c r="A80" s="149" t="s">
        <v>698</v>
      </c>
      <c r="B80" s="149" t="s">
        <v>511</v>
      </c>
      <c r="C80" s="149" t="s">
        <v>512</v>
      </c>
      <c r="D80" s="149" t="s">
        <v>513</v>
      </c>
      <c r="E80" s="149" t="s">
        <v>621</v>
      </c>
      <c r="F80" s="149" t="s">
        <v>608</v>
      </c>
      <c r="G80" s="149" t="s">
        <v>211</v>
      </c>
      <c r="H80" s="149">
        <v>8</v>
      </c>
      <c r="I80" s="149" t="s">
        <v>351</v>
      </c>
      <c r="J80" s="150">
        <v>1280</v>
      </c>
      <c r="K80" s="149">
        <v>45</v>
      </c>
      <c r="L80" s="149" t="s">
        <v>516</v>
      </c>
      <c r="M80" s="149">
        <v>45</v>
      </c>
      <c r="N80" s="149" t="s">
        <v>517</v>
      </c>
      <c r="O80" s="150">
        <v>10370</v>
      </c>
      <c r="P80" s="150">
        <v>1320</v>
      </c>
      <c r="Q80" s="150">
        <v>1580</v>
      </c>
      <c r="R80" s="150">
        <v>8790</v>
      </c>
      <c r="S80" s="151">
        <v>19.203703703703702</v>
      </c>
      <c r="T80" s="149" t="s">
        <v>519</v>
      </c>
      <c r="U80" s="149" t="s">
        <v>351</v>
      </c>
      <c r="V80" s="149" t="s">
        <v>519</v>
      </c>
      <c r="W80" s="149" t="s">
        <v>520</v>
      </c>
      <c r="X80" s="149" t="s">
        <v>528</v>
      </c>
      <c r="Y80" s="149" t="s">
        <v>351</v>
      </c>
      <c r="Z80" s="149" t="s">
        <v>521</v>
      </c>
      <c r="AA80" s="149" t="s">
        <v>614</v>
      </c>
      <c r="AB80" s="149" t="s">
        <v>541</v>
      </c>
      <c r="AC80" s="149" t="s">
        <v>531</v>
      </c>
      <c r="AD80" s="149" t="s">
        <v>525</v>
      </c>
      <c r="AE80" s="149" t="s">
        <v>518</v>
      </c>
      <c r="AF80" s="149" t="s">
        <v>351</v>
      </c>
    </row>
    <row r="81" spans="1:32" x14ac:dyDescent="0.25">
      <c r="A81" s="149" t="s">
        <v>699</v>
      </c>
      <c r="B81" s="149" t="s">
        <v>511</v>
      </c>
      <c r="C81" s="149" t="s">
        <v>512</v>
      </c>
      <c r="D81" s="149" t="s">
        <v>513</v>
      </c>
      <c r="E81" s="149" t="s">
        <v>514</v>
      </c>
      <c r="F81" s="149" t="s">
        <v>515</v>
      </c>
      <c r="G81" s="149" t="s">
        <v>122</v>
      </c>
      <c r="H81" s="149">
        <v>31</v>
      </c>
      <c r="I81" s="149" t="s">
        <v>351</v>
      </c>
      <c r="J81" s="150">
        <v>1115</v>
      </c>
      <c r="K81" s="149">
        <v>14</v>
      </c>
      <c r="L81" s="149" t="s">
        <v>516</v>
      </c>
      <c r="M81" s="149">
        <v>14</v>
      </c>
      <c r="N81" s="149" t="s">
        <v>517</v>
      </c>
      <c r="O81" s="150">
        <v>10297</v>
      </c>
      <c r="P81" s="150">
        <v>1115</v>
      </c>
      <c r="Q81" s="150">
        <v>8190</v>
      </c>
      <c r="R81" s="150">
        <v>6557</v>
      </c>
      <c r="S81" s="151">
        <v>61.291666666666671</v>
      </c>
      <c r="T81" s="149" t="s">
        <v>519</v>
      </c>
      <c r="U81" s="149" t="s">
        <v>351</v>
      </c>
      <c r="V81" s="149" t="s">
        <v>519</v>
      </c>
      <c r="W81" s="149" t="s">
        <v>520</v>
      </c>
      <c r="X81" s="149" t="s">
        <v>528</v>
      </c>
      <c r="Y81" s="149" t="s">
        <v>351</v>
      </c>
      <c r="Z81" s="149" t="s">
        <v>521</v>
      </c>
      <c r="AA81" s="149" t="s">
        <v>598</v>
      </c>
      <c r="AB81" s="149" t="s">
        <v>595</v>
      </c>
      <c r="AC81" s="149" t="s">
        <v>524</v>
      </c>
      <c r="AD81" s="149" t="s">
        <v>537</v>
      </c>
      <c r="AE81" s="149" t="s">
        <v>518</v>
      </c>
      <c r="AF81" s="149" t="s">
        <v>351</v>
      </c>
    </row>
    <row r="82" spans="1:32" x14ac:dyDescent="0.25">
      <c r="A82" s="149" t="s">
        <v>700</v>
      </c>
      <c r="B82" s="149" t="s">
        <v>576</v>
      </c>
      <c r="C82" s="149" t="s">
        <v>671</v>
      </c>
      <c r="D82" s="149" t="s">
        <v>351</v>
      </c>
      <c r="E82" s="149" t="s">
        <v>351</v>
      </c>
      <c r="F82" s="149" t="s">
        <v>351</v>
      </c>
      <c r="G82" s="149" t="s">
        <v>133</v>
      </c>
      <c r="H82" s="149">
        <v>12</v>
      </c>
      <c r="I82" s="149" t="s">
        <v>211</v>
      </c>
      <c r="J82" s="150">
        <v>828.33333333333337</v>
      </c>
      <c r="K82" s="149" t="s">
        <v>351</v>
      </c>
      <c r="L82" s="149" t="s">
        <v>649</v>
      </c>
      <c r="M82" s="149" t="s">
        <v>351</v>
      </c>
      <c r="N82" s="149" t="s">
        <v>351</v>
      </c>
      <c r="O82" s="150">
        <v>10240</v>
      </c>
      <c r="P82" s="149" t="s">
        <v>351</v>
      </c>
      <c r="Q82" s="150">
        <v>16573.55</v>
      </c>
      <c r="R82" s="150">
        <v>2485</v>
      </c>
      <c r="S82" s="149" t="s">
        <v>351</v>
      </c>
      <c r="T82" s="149" t="s">
        <v>351</v>
      </c>
      <c r="U82" s="149" t="s">
        <v>351</v>
      </c>
      <c r="V82" s="149" t="s">
        <v>351</v>
      </c>
      <c r="W82" s="149" t="s">
        <v>351</v>
      </c>
      <c r="X82" s="149" t="s">
        <v>351</v>
      </c>
      <c r="Y82" s="149" t="s">
        <v>351</v>
      </c>
      <c r="Z82" s="149" t="s">
        <v>351</v>
      </c>
      <c r="AA82" s="149" t="s">
        <v>351</v>
      </c>
      <c r="AB82" s="149" t="s">
        <v>351</v>
      </c>
      <c r="AC82" s="149" t="s">
        <v>351</v>
      </c>
      <c r="AD82" s="149" t="s">
        <v>351</v>
      </c>
      <c r="AE82" s="149" t="s">
        <v>351</v>
      </c>
      <c r="AF82" s="149" t="s">
        <v>519</v>
      </c>
    </row>
    <row r="83" spans="1:32" x14ac:dyDescent="0.25">
      <c r="A83" s="149" t="s">
        <v>701</v>
      </c>
      <c r="B83" s="149" t="s">
        <v>511</v>
      </c>
      <c r="C83" s="149" t="s">
        <v>512</v>
      </c>
      <c r="D83" s="149" t="s">
        <v>513</v>
      </c>
      <c r="E83" s="149" t="s">
        <v>514</v>
      </c>
      <c r="F83" s="149" t="s">
        <v>515</v>
      </c>
      <c r="G83" s="149" t="s">
        <v>122</v>
      </c>
      <c r="H83" s="149">
        <v>31</v>
      </c>
      <c r="I83" s="149" t="s">
        <v>351</v>
      </c>
      <c r="J83" s="150">
        <v>971.33333333333337</v>
      </c>
      <c r="K83" s="149">
        <v>13</v>
      </c>
      <c r="L83" s="149" t="s">
        <v>516</v>
      </c>
      <c r="M83" s="149">
        <v>13</v>
      </c>
      <c r="N83" s="149" t="s">
        <v>517</v>
      </c>
      <c r="O83" s="150">
        <v>10173</v>
      </c>
      <c r="P83" s="150">
        <v>997</v>
      </c>
      <c r="Q83" s="150">
        <v>7825</v>
      </c>
      <c r="R83" s="150">
        <v>6543</v>
      </c>
      <c r="S83" s="151">
        <v>65.211538461538467</v>
      </c>
      <c r="T83" s="149" t="s">
        <v>518</v>
      </c>
      <c r="U83" s="149">
        <v>1</v>
      </c>
      <c r="V83" s="149" t="s">
        <v>519</v>
      </c>
      <c r="W83" s="149" t="s">
        <v>520</v>
      </c>
      <c r="X83" s="149" t="s">
        <v>528</v>
      </c>
      <c r="Y83" s="149" t="s">
        <v>351</v>
      </c>
      <c r="Z83" s="149" t="s">
        <v>521</v>
      </c>
      <c r="AA83" s="149" t="s">
        <v>603</v>
      </c>
      <c r="AB83" s="149" t="s">
        <v>595</v>
      </c>
      <c r="AC83" s="149" t="s">
        <v>524</v>
      </c>
      <c r="AD83" s="149" t="s">
        <v>537</v>
      </c>
      <c r="AE83" s="149" t="s">
        <v>518</v>
      </c>
      <c r="AF83" s="149" t="s">
        <v>351</v>
      </c>
    </row>
    <row r="84" spans="1:32" x14ac:dyDescent="0.25">
      <c r="A84" s="149" t="s">
        <v>702</v>
      </c>
      <c r="B84" s="149" t="s">
        <v>576</v>
      </c>
      <c r="C84" s="149" t="s">
        <v>646</v>
      </c>
      <c r="D84" s="149" t="s">
        <v>703</v>
      </c>
      <c r="E84" s="149" t="s">
        <v>351</v>
      </c>
      <c r="F84" s="149" t="s">
        <v>351</v>
      </c>
      <c r="G84" s="149" t="s">
        <v>704</v>
      </c>
      <c r="H84" s="149">
        <v>45</v>
      </c>
      <c r="I84" s="149" t="s">
        <v>636</v>
      </c>
      <c r="J84" s="150">
        <v>850</v>
      </c>
      <c r="K84" s="149" t="s">
        <v>351</v>
      </c>
      <c r="L84" s="149" t="s">
        <v>649</v>
      </c>
      <c r="M84" s="149" t="s">
        <v>351</v>
      </c>
      <c r="N84" s="149" t="s">
        <v>351</v>
      </c>
      <c r="O84" s="150">
        <v>10125</v>
      </c>
      <c r="P84" s="150">
        <v>850</v>
      </c>
      <c r="Q84" s="150">
        <v>9975</v>
      </c>
      <c r="R84" s="150">
        <v>5965</v>
      </c>
      <c r="S84" s="149" t="s">
        <v>351</v>
      </c>
      <c r="T84" s="149" t="s">
        <v>519</v>
      </c>
      <c r="U84" s="149" t="s">
        <v>351</v>
      </c>
      <c r="V84" s="149" t="s">
        <v>519</v>
      </c>
      <c r="W84" s="149" t="s">
        <v>351</v>
      </c>
      <c r="X84" s="149" t="s">
        <v>351</v>
      </c>
      <c r="Y84" s="149" t="s">
        <v>351</v>
      </c>
      <c r="Z84" s="149" t="s">
        <v>609</v>
      </c>
      <c r="AA84" s="149" t="s">
        <v>683</v>
      </c>
      <c r="AB84" s="149" t="s">
        <v>651</v>
      </c>
      <c r="AC84" s="149" t="s">
        <v>652</v>
      </c>
      <c r="AD84" s="149" t="s">
        <v>537</v>
      </c>
      <c r="AE84" s="149" t="s">
        <v>519</v>
      </c>
      <c r="AF84" s="149" t="s">
        <v>519</v>
      </c>
    </row>
    <row r="85" spans="1:32" x14ac:dyDescent="0.25">
      <c r="A85" s="149" t="s">
        <v>705</v>
      </c>
      <c r="B85" s="149" t="s">
        <v>511</v>
      </c>
      <c r="C85" s="149" t="s">
        <v>512</v>
      </c>
      <c r="D85" s="149" t="s">
        <v>513</v>
      </c>
      <c r="E85" s="149" t="s">
        <v>514</v>
      </c>
      <c r="F85" s="149" t="s">
        <v>515</v>
      </c>
      <c r="G85" s="149" t="s">
        <v>706</v>
      </c>
      <c r="H85" s="149">
        <v>39</v>
      </c>
      <c r="I85" s="149" t="s">
        <v>351</v>
      </c>
      <c r="J85" s="150">
        <v>1038</v>
      </c>
      <c r="K85" s="149">
        <v>11</v>
      </c>
      <c r="L85" s="149" t="s">
        <v>516</v>
      </c>
      <c r="M85" s="149">
        <v>11</v>
      </c>
      <c r="N85" s="149" t="s">
        <v>517</v>
      </c>
      <c r="O85" s="150">
        <v>10019</v>
      </c>
      <c r="P85" s="150">
        <v>980</v>
      </c>
      <c r="Q85" s="150">
        <v>7811</v>
      </c>
      <c r="R85" s="150">
        <v>6984</v>
      </c>
      <c r="S85" s="151">
        <v>75.901515151515142</v>
      </c>
      <c r="T85" s="149" t="s">
        <v>519</v>
      </c>
      <c r="U85" s="149" t="s">
        <v>351</v>
      </c>
      <c r="V85" s="149" t="s">
        <v>518</v>
      </c>
      <c r="W85" s="149" t="s">
        <v>527</v>
      </c>
      <c r="X85" s="149" t="s">
        <v>624</v>
      </c>
      <c r="Y85" s="149" t="s">
        <v>368</v>
      </c>
      <c r="Z85" s="149" t="s">
        <v>521</v>
      </c>
      <c r="AA85" s="149" t="s">
        <v>598</v>
      </c>
      <c r="AB85" s="149" t="s">
        <v>595</v>
      </c>
      <c r="AC85" s="149" t="s">
        <v>524</v>
      </c>
      <c r="AD85" s="149" t="s">
        <v>537</v>
      </c>
      <c r="AE85" s="149" t="s">
        <v>519</v>
      </c>
      <c r="AF85" s="149" t="s">
        <v>351</v>
      </c>
    </row>
    <row r="86" spans="1:32" x14ac:dyDescent="0.25">
      <c r="A86" s="149" t="s">
        <v>707</v>
      </c>
      <c r="B86" s="149" t="s">
        <v>511</v>
      </c>
      <c r="C86" s="149" t="s">
        <v>512</v>
      </c>
      <c r="D86" s="149" t="s">
        <v>513</v>
      </c>
      <c r="E86" s="149" t="s">
        <v>621</v>
      </c>
      <c r="F86" s="149" t="s">
        <v>601</v>
      </c>
      <c r="G86" s="149" t="s">
        <v>133</v>
      </c>
      <c r="H86" s="149">
        <v>20</v>
      </c>
      <c r="I86" s="149" t="s">
        <v>351</v>
      </c>
      <c r="J86" s="150">
        <v>1069.5</v>
      </c>
      <c r="K86" s="149">
        <v>21</v>
      </c>
      <c r="L86" s="149" t="s">
        <v>516</v>
      </c>
      <c r="M86" s="149">
        <v>21</v>
      </c>
      <c r="N86" s="149" t="s">
        <v>517</v>
      </c>
      <c r="O86" s="150">
        <v>10018.5</v>
      </c>
      <c r="P86" s="150">
        <v>1480.5</v>
      </c>
      <c r="Q86" s="150">
        <v>9330</v>
      </c>
      <c r="R86" s="150">
        <v>6253.5</v>
      </c>
      <c r="S86" s="151">
        <v>39.75595238095238</v>
      </c>
      <c r="T86" s="149" t="s">
        <v>519</v>
      </c>
      <c r="U86" s="149" t="s">
        <v>351</v>
      </c>
      <c r="V86" s="149" t="s">
        <v>519</v>
      </c>
      <c r="W86" s="149" t="s">
        <v>520</v>
      </c>
      <c r="X86" s="149" t="s">
        <v>624</v>
      </c>
      <c r="Y86" s="149" t="s">
        <v>351</v>
      </c>
      <c r="Z86" s="149" t="s">
        <v>521</v>
      </c>
      <c r="AA86" s="149" t="s">
        <v>540</v>
      </c>
      <c r="AB86" s="149" t="s">
        <v>541</v>
      </c>
      <c r="AC86" s="149" t="s">
        <v>531</v>
      </c>
      <c r="AD86" s="149" t="s">
        <v>525</v>
      </c>
      <c r="AE86" s="149" t="s">
        <v>518</v>
      </c>
      <c r="AF86" s="149" t="s">
        <v>351</v>
      </c>
    </row>
    <row r="87" spans="1:32" x14ac:dyDescent="0.25">
      <c r="A87" s="149" t="s">
        <v>708</v>
      </c>
      <c r="B87" s="149" t="s">
        <v>511</v>
      </c>
      <c r="C87" s="149" t="s">
        <v>512</v>
      </c>
      <c r="D87" s="149" t="s">
        <v>513</v>
      </c>
      <c r="E87" s="149" t="s">
        <v>514</v>
      </c>
      <c r="F87" s="149" t="s">
        <v>515</v>
      </c>
      <c r="G87" s="149" t="s">
        <v>202</v>
      </c>
      <c r="H87" s="149">
        <v>17</v>
      </c>
      <c r="I87" s="149" t="s">
        <v>351</v>
      </c>
      <c r="J87" s="150">
        <v>1105.6666666666667</v>
      </c>
      <c r="K87" s="149">
        <v>19</v>
      </c>
      <c r="L87" s="149" t="s">
        <v>516</v>
      </c>
      <c r="M87" s="149">
        <v>19</v>
      </c>
      <c r="N87" s="149" t="s">
        <v>517</v>
      </c>
      <c r="O87" s="150">
        <v>9454</v>
      </c>
      <c r="P87" s="150">
        <v>1249</v>
      </c>
      <c r="Q87" s="150">
        <v>5755</v>
      </c>
      <c r="R87" s="150">
        <v>6329</v>
      </c>
      <c r="S87" s="151">
        <v>41.464912280701753</v>
      </c>
      <c r="T87" s="149" t="s">
        <v>519</v>
      </c>
      <c r="U87" s="149" t="s">
        <v>351</v>
      </c>
      <c r="V87" s="149" t="s">
        <v>519</v>
      </c>
      <c r="W87" s="149" t="s">
        <v>520</v>
      </c>
      <c r="X87" s="149" t="s">
        <v>528</v>
      </c>
      <c r="Y87" s="149" t="s">
        <v>351</v>
      </c>
      <c r="Z87" s="149" t="s">
        <v>521</v>
      </c>
      <c r="AA87" s="149" t="s">
        <v>545</v>
      </c>
      <c r="AB87" s="149" t="s">
        <v>546</v>
      </c>
      <c r="AC87" s="149" t="s">
        <v>547</v>
      </c>
      <c r="AD87" s="149" t="s">
        <v>532</v>
      </c>
      <c r="AE87" s="149" t="s">
        <v>518</v>
      </c>
      <c r="AF87" s="149" t="s">
        <v>351</v>
      </c>
    </row>
    <row r="88" spans="1:32" x14ac:dyDescent="0.25">
      <c r="A88" s="149" t="s">
        <v>709</v>
      </c>
      <c r="B88" s="149" t="s">
        <v>511</v>
      </c>
      <c r="C88" s="149" t="s">
        <v>512</v>
      </c>
      <c r="D88" s="149" t="s">
        <v>513</v>
      </c>
      <c r="E88" s="149" t="s">
        <v>514</v>
      </c>
      <c r="F88" s="149" t="s">
        <v>515</v>
      </c>
      <c r="G88" s="149" t="s">
        <v>203</v>
      </c>
      <c r="H88" s="149">
        <v>16</v>
      </c>
      <c r="I88" s="149" t="s">
        <v>351</v>
      </c>
      <c r="J88" s="150">
        <v>1076.6666666666667</v>
      </c>
      <c r="K88" s="149">
        <v>19</v>
      </c>
      <c r="L88" s="149" t="s">
        <v>516</v>
      </c>
      <c r="M88" s="149">
        <v>19</v>
      </c>
      <c r="N88" s="149" t="s">
        <v>517</v>
      </c>
      <c r="O88" s="150">
        <v>9449</v>
      </c>
      <c r="P88" s="150">
        <v>1316</v>
      </c>
      <c r="Q88" s="150">
        <v>5358.75</v>
      </c>
      <c r="R88" s="150">
        <v>6024</v>
      </c>
      <c r="S88" s="151">
        <v>41.442982456140349</v>
      </c>
      <c r="T88" s="149" t="s">
        <v>519</v>
      </c>
      <c r="U88" s="149" t="s">
        <v>351</v>
      </c>
      <c r="V88" s="149" t="s">
        <v>519</v>
      </c>
      <c r="W88" s="149" t="s">
        <v>527</v>
      </c>
      <c r="X88" s="149" t="s">
        <v>544</v>
      </c>
      <c r="Y88" s="149" t="s">
        <v>351</v>
      </c>
      <c r="Z88" s="149" t="s">
        <v>521</v>
      </c>
      <c r="AA88" s="149" t="s">
        <v>622</v>
      </c>
      <c r="AB88" s="149" t="s">
        <v>546</v>
      </c>
      <c r="AC88" s="149" t="s">
        <v>547</v>
      </c>
      <c r="AD88" s="149" t="s">
        <v>532</v>
      </c>
      <c r="AE88" s="149" t="s">
        <v>519</v>
      </c>
      <c r="AF88" s="149" t="s">
        <v>351</v>
      </c>
    </row>
    <row r="89" spans="1:32" x14ac:dyDescent="0.25">
      <c r="A89" s="149" t="s">
        <v>710</v>
      </c>
      <c r="B89" s="149" t="s">
        <v>511</v>
      </c>
      <c r="C89" s="149" t="s">
        <v>512</v>
      </c>
      <c r="D89" s="149" t="s">
        <v>513</v>
      </c>
      <c r="E89" s="149" t="s">
        <v>514</v>
      </c>
      <c r="F89" s="149" t="s">
        <v>515</v>
      </c>
      <c r="G89" s="149" t="s">
        <v>210</v>
      </c>
      <c r="H89" s="149">
        <v>9</v>
      </c>
      <c r="I89" s="149" t="s">
        <v>351</v>
      </c>
      <c r="J89" s="150">
        <v>955</v>
      </c>
      <c r="K89" s="149">
        <v>9</v>
      </c>
      <c r="L89" s="149" t="s">
        <v>569</v>
      </c>
      <c r="M89" s="149" t="s">
        <v>351</v>
      </c>
      <c r="N89" s="149" t="s">
        <v>351</v>
      </c>
      <c r="O89" s="150">
        <v>9136.25</v>
      </c>
      <c r="P89" s="150">
        <v>955</v>
      </c>
      <c r="Q89" s="150">
        <v>2540</v>
      </c>
      <c r="R89" s="150">
        <v>6596.25</v>
      </c>
      <c r="S89" s="151">
        <v>84.594907407407405</v>
      </c>
      <c r="T89" s="149" t="s">
        <v>519</v>
      </c>
      <c r="U89" s="149" t="s">
        <v>351</v>
      </c>
      <c r="V89" s="149" t="s">
        <v>518</v>
      </c>
      <c r="W89" s="149" t="s">
        <v>527</v>
      </c>
      <c r="X89" s="149" t="s">
        <v>528</v>
      </c>
      <c r="Y89" s="149" t="s">
        <v>368</v>
      </c>
      <c r="Z89" s="149" t="s">
        <v>521</v>
      </c>
      <c r="AA89" s="149" t="s">
        <v>552</v>
      </c>
      <c r="AB89" s="149" t="s">
        <v>546</v>
      </c>
      <c r="AC89" s="149" t="s">
        <v>547</v>
      </c>
      <c r="AD89" s="149" t="s">
        <v>532</v>
      </c>
      <c r="AE89" s="149" t="s">
        <v>519</v>
      </c>
      <c r="AF89" s="149" t="s">
        <v>351</v>
      </c>
    </row>
    <row r="90" spans="1:32" x14ac:dyDescent="0.25">
      <c r="A90" s="149" t="s">
        <v>711</v>
      </c>
      <c r="B90" s="149" t="s">
        <v>511</v>
      </c>
      <c r="C90" s="149" t="s">
        <v>512</v>
      </c>
      <c r="D90" s="149" t="s">
        <v>513</v>
      </c>
      <c r="E90" s="149" t="s">
        <v>514</v>
      </c>
      <c r="F90" s="149" t="s">
        <v>601</v>
      </c>
      <c r="G90" s="149" t="s">
        <v>203</v>
      </c>
      <c r="H90" s="149">
        <v>16</v>
      </c>
      <c r="I90" s="149" t="s">
        <v>351</v>
      </c>
      <c r="J90" s="150">
        <v>922</v>
      </c>
      <c r="K90" s="149">
        <v>8</v>
      </c>
      <c r="L90" s="149" t="s">
        <v>569</v>
      </c>
      <c r="M90" s="149" t="s">
        <v>351</v>
      </c>
      <c r="N90" s="149" t="s">
        <v>351</v>
      </c>
      <c r="O90" s="150">
        <v>9122</v>
      </c>
      <c r="P90" s="150">
        <v>1154</v>
      </c>
      <c r="Q90" s="150">
        <v>5456.25</v>
      </c>
      <c r="R90" s="150">
        <v>6152</v>
      </c>
      <c r="S90" s="151">
        <v>95.020833333333329</v>
      </c>
      <c r="T90" s="149" t="s">
        <v>519</v>
      </c>
      <c r="U90" s="149" t="s">
        <v>351</v>
      </c>
      <c r="V90" s="149" t="s">
        <v>519</v>
      </c>
      <c r="W90" s="149" t="s">
        <v>520</v>
      </c>
      <c r="X90" s="149" t="s">
        <v>544</v>
      </c>
      <c r="Y90" s="149" t="s">
        <v>351</v>
      </c>
      <c r="Z90" s="149" t="s">
        <v>521</v>
      </c>
      <c r="AA90" s="149" t="s">
        <v>545</v>
      </c>
      <c r="AB90" s="149" t="s">
        <v>546</v>
      </c>
      <c r="AC90" s="149" t="s">
        <v>547</v>
      </c>
      <c r="AD90" s="149" t="s">
        <v>532</v>
      </c>
      <c r="AE90" s="149" t="s">
        <v>518</v>
      </c>
      <c r="AF90" s="149" t="s">
        <v>351</v>
      </c>
    </row>
    <row r="91" spans="1:32" x14ac:dyDescent="0.25">
      <c r="A91" s="149" t="s">
        <v>712</v>
      </c>
      <c r="B91" s="149" t="s">
        <v>511</v>
      </c>
      <c r="C91" s="149" t="s">
        <v>512</v>
      </c>
      <c r="D91" s="149" t="s">
        <v>513</v>
      </c>
      <c r="E91" s="149" t="s">
        <v>514</v>
      </c>
      <c r="F91" s="149" t="s">
        <v>601</v>
      </c>
      <c r="G91" s="149" t="s">
        <v>206</v>
      </c>
      <c r="H91" s="149">
        <v>13</v>
      </c>
      <c r="I91" s="149" t="s">
        <v>351</v>
      </c>
      <c r="J91" s="150">
        <v>1284</v>
      </c>
      <c r="K91" s="149">
        <v>11</v>
      </c>
      <c r="L91" s="149" t="s">
        <v>569</v>
      </c>
      <c r="M91" s="149" t="s">
        <v>351</v>
      </c>
      <c r="N91" s="149" t="s">
        <v>351</v>
      </c>
      <c r="O91" s="150">
        <v>9097</v>
      </c>
      <c r="P91" s="150">
        <v>1232</v>
      </c>
      <c r="Q91" s="150">
        <v>3100</v>
      </c>
      <c r="R91" s="150">
        <v>6737</v>
      </c>
      <c r="S91" s="151">
        <v>68.916666666666671</v>
      </c>
      <c r="T91" s="149" t="s">
        <v>518</v>
      </c>
      <c r="U91" s="149">
        <v>11</v>
      </c>
      <c r="V91" s="149" t="s">
        <v>518</v>
      </c>
      <c r="W91" s="149" t="s">
        <v>520</v>
      </c>
      <c r="X91" s="149" t="s">
        <v>528</v>
      </c>
      <c r="Y91" s="149" t="s">
        <v>355</v>
      </c>
      <c r="Z91" s="149" t="s">
        <v>521</v>
      </c>
      <c r="AA91" s="149" t="s">
        <v>579</v>
      </c>
      <c r="AB91" s="149" t="s">
        <v>560</v>
      </c>
      <c r="AC91" s="149" t="s">
        <v>547</v>
      </c>
      <c r="AD91" s="149" t="s">
        <v>537</v>
      </c>
      <c r="AE91" s="149" t="s">
        <v>518</v>
      </c>
      <c r="AF91" s="149" t="s">
        <v>351</v>
      </c>
    </row>
    <row r="92" spans="1:32" x14ac:dyDescent="0.25">
      <c r="A92" s="149" t="s">
        <v>713</v>
      </c>
      <c r="B92" s="149" t="s">
        <v>576</v>
      </c>
      <c r="C92" s="149" t="s">
        <v>646</v>
      </c>
      <c r="D92" s="149" t="s">
        <v>714</v>
      </c>
      <c r="E92" s="149" t="s">
        <v>351</v>
      </c>
      <c r="F92" s="149" t="s">
        <v>351</v>
      </c>
      <c r="G92" s="149" t="s">
        <v>648</v>
      </c>
      <c r="H92" s="149">
        <v>63</v>
      </c>
      <c r="I92" s="149" t="s">
        <v>636</v>
      </c>
      <c r="J92" s="150">
        <v>750</v>
      </c>
      <c r="K92" s="149" t="s">
        <v>351</v>
      </c>
      <c r="L92" s="149" t="s">
        <v>649</v>
      </c>
      <c r="M92" s="149" t="s">
        <v>351</v>
      </c>
      <c r="N92" s="149" t="s">
        <v>351</v>
      </c>
      <c r="O92" s="150">
        <v>8845</v>
      </c>
      <c r="P92" s="150">
        <v>750</v>
      </c>
      <c r="Q92" s="150">
        <v>8310</v>
      </c>
      <c r="R92" s="150">
        <v>5220</v>
      </c>
      <c r="S92" s="149" t="s">
        <v>351</v>
      </c>
      <c r="T92" s="149" t="s">
        <v>519</v>
      </c>
      <c r="U92" s="149" t="s">
        <v>351</v>
      </c>
      <c r="V92" s="149" t="s">
        <v>519</v>
      </c>
      <c r="W92" s="149" t="s">
        <v>351</v>
      </c>
      <c r="X92" s="149" t="s">
        <v>351</v>
      </c>
      <c r="Y92" s="149" t="s">
        <v>351</v>
      </c>
      <c r="Z92" s="149" t="s">
        <v>609</v>
      </c>
      <c r="AA92" s="149" t="s">
        <v>650</v>
      </c>
      <c r="AB92" s="149" t="s">
        <v>651</v>
      </c>
      <c r="AC92" s="149" t="s">
        <v>652</v>
      </c>
      <c r="AD92" s="149" t="s">
        <v>537</v>
      </c>
      <c r="AE92" s="149" t="s">
        <v>519</v>
      </c>
      <c r="AF92" s="149" t="s">
        <v>519</v>
      </c>
    </row>
    <row r="93" spans="1:32" x14ac:dyDescent="0.25">
      <c r="A93" s="149" t="s">
        <v>715</v>
      </c>
      <c r="B93" s="149" t="s">
        <v>511</v>
      </c>
      <c r="C93" s="149" t="s">
        <v>512</v>
      </c>
      <c r="D93" s="149" t="s">
        <v>513</v>
      </c>
      <c r="E93" s="149" t="s">
        <v>514</v>
      </c>
      <c r="F93" s="149" t="s">
        <v>515</v>
      </c>
      <c r="G93" s="149" t="s">
        <v>245</v>
      </c>
      <c r="H93" s="149">
        <v>4</v>
      </c>
      <c r="I93" s="149" t="s">
        <v>351</v>
      </c>
      <c r="J93" s="150">
        <v>1829.6666666666667</v>
      </c>
      <c r="K93" s="149">
        <v>27</v>
      </c>
      <c r="L93" s="149" t="s">
        <v>516</v>
      </c>
      <c r="M93" s="149">
        <v>27</v>
      </c>
      <c r="N93" s="149" t="s">
        <v>517</v>
      </c>
      <c r="O93" s="150">
        <v>8815</v>
      </c>
      <c r="P93" s="150">
        <v>1919</v>
      </c>
      <c r="Q93" s="149" t="s">
        <v>351</v>
      </c>
      <c r="R93" s="150">
        <v>8815</v>
      </c>
      <c r="S93" s="151">
        <v>27.206790123456791</v>
      </c>
      <c r="T93" s="149" t="s">
        <v>519</v>
      </c>
      <c r="U93" s="149" t="s">
        <v>351</v>
      </c>
      <c r="V93" s="149" t="s">
        <v>519</v>
      </c>
      <c r="W93" s="149" t="s">
        <v>520</v>
      </c>
      <c r="X93" s="149" t="s">
        <v>528</v>
      </c>
      <c r="Y93" s="149" t="s">
        <v>351</v>
      </c>
      <c r="Z93" s="149" t="s">
        <v>521</v>
      </c>
      <c r="AA93" s="149" t="s">
        <v>582</v>
      </c>
      <c r="AB93" s="149" t="s">
        <v>571</v>
      </c>
      <c r="AC93" s="149" t="s">
        <v>524</v>
      </c>
      <c r="AD93" s="149" t="s">
        <v>572</v>
      </c>
      <c r="AE93" s="149" t="s">
        <v>518</v>
      </c>
      <c r="AF93" s="149" t="s">
        <v>351</v>
      </c>
    </row>
    <row r="94" spans="1:32" x14ac:dyDescent="0.25">
      <c r="A94" s="149" t="s">
        <v>716</v>
      </c>
      <c r="B94" s="149" t="s">
        <v>511</v>
      </c>
      <c r="C94" s="149" t="s">
        <v>512</v>
      </c>
      <c r="D94" s="149" t="s">
        <v>513</v>
      </c>
      <c r="E94" s="149" t="s">
        <v>514</v>
      </c>
      <c r="F94" s="149" t="s">
        <v>515</v>
      </c>
      <c r="G94" s="149" t="s">
        <v>202</v>
      </c>
      <c r="H94" s="149">
        <v>17</v>
      </c>
      <c r="I94" s="149" t="s">
        <v>351</v>
      </c>
      <c r="J94" s="150">
        <v>932.66666666666663</v>
      </c>
      <c r="K94" s="149">
        <v>22</v>
      </c>
      <c r="L94" s="149" t="s">
        <v>516</v>
      </c>
      <c r="M94" s="149">
        <v>22</v>
      </c>
      <c r="N94" s="149" t="s">
        <v>517</v>
      </c>
      <c r="O94" s="150">
        <v>8804</v>
      </c>
      <c r="P94" s="150">
        <v>1115</v>
      </c>
      <c r="Q94" s="150">
        <v>7318.75</v>
      </c>
      <c r="R94" s="150">
        <v>4929</v>
      </c>
      <c r="S94" s="151">
        <v>33.348484848484844</v>
      </c>
      <c r="T94" s="149" t="s">
        <v>519</v>
      </c>
      <c r="U94" s="149" t="s">
        <v>351</v>
      </c>
      <c r="V94" s="149" t="s">
        <v>519</v>
      </c>
      <c r="W94" s="149" t="s">
        <v>520</v>
      </c>
      <c r="X94" s="149" t="s">
        <v>544</v>
      </c>
      <c r="Y94" s="149" t="s">
        <v>351</v>
      </c>
      <c r="Z94" s="149" t="s">
        <v>521</v>
      </c>
      <c r="AA94" s="149" t="s">
        <v>657</v>
      </c>
      <c r="AB94" s="149" t="s">
        <v>560</v>
      </c>
      <c r="AC94" s="149" t="s">
        <v>547</v>
      </c>
      <c r="AD94" s="149" t="s">
        <v>537</v>
      </c>
      <c r="AE94" s="149" t="s">
        <v>518</v>
      </c>
      <c r="AF94" s="149" t="s">
        <v>351</v>
      </c>
    </row>
    <row r="95" spans="1:32" x14ac:dyDescent="0.25">
      <c r="A95" s="149" t="s">
        <v>717</v>
      </c>
      <c r="B95" s="149" t="s">
        <v>511</v>
      </c>
      <c r="C95" s="149" t="s">
        <v>692</v>
      </c>
      <c r="D95" s="149" t="s">
        <v>693</v>
      </c>
      <c r="E95" s="149" t="s">
        <v>351</v>
      </c>
      <c r="F95" s="149" t="s">
        <v>351</v>
      </c>
      <c r="G95" s="149" t="s">
        <v>122</v>
      </c>
      <c r="H95" s="149">
        <v>31</v>
      </c>
      <c r="I95" s="149" t="s">
        <v>351</v>
      </c>
      <c r="J95" s="150">
        <v>418</v>
      </c>
      <c r="K95" s="149" t="s">
        <v>351</v>
      </c>
      <c r="L95" s="149" t="s">
        <v>718</v>
      </c>
      <c r="M95" s="149" t="s">
        <v>351</v>
      </c>
      <c r="N95" s="149" t="s">
        <v>351</v>
      </c>
      <c r="O95" s="150">
        <v>8606</v>
      </c>
      <c r="P95" s="150">
        <v>418</v>
      </c>
      <c r="Q95" s="150">
        <v>8390</v>
      </c>
      <c r="R95" s="150">
        <v>3091</v>
      </c>
      <c r="S95" s="149" t="s">
        <v>351</v>
      </c>
      <c r="T95" s="149" t="s">
        <v>519</v>
      </c>
      <c r="U95" s="149" t="s">
        <v>351</v>
      </c>
      <c r="V95" s="149" t="s">
        <v>519</v>
      </c>
      <c r="W95" s="149" t="s">
        <v>351</v>
      </c>
      <c r="X95" s="149" t="s">
        <v>351</v>
      </c>
      <c r="Y95" s="149" t="s">
        <v>351</v>
      </c>
      <c r="Z95" s="149" t="s">
        <v>609</v>
      </c>
      <c r="AA95" s="149" t="s">
        <v>719</v>
      </c>
      <c r="AB95" s="149" t="s">
        <v>695</v>
      </c>
      <c r="AC95" s="149" t="s">
        <v>652</v>
      </c>
      <c r="AD95" s="149" t="s">
        <v>696</v>
      </c>
      <c r="AE95" s="149" t="s">
        <v>519</v>
      </c>
      <c r="AF95" s="149" t="s">
        <v>351</v>
      </c>
    </row>
    <row r="96" spans="1:32" x14ac:dyDescent="0.25">
      <c r="A96" s="149" t="s">
        <v>720</v>
      </c>
      <c r="B96" s="149" t="s">
        <v>511</v>
      </c>
      <c r="C96" s="149" t="s">
        <v>512</v>
      </c>
      <c r="D96" s="149" t="s">
        <v>513</v>
      </c>
      <c r="E96" s="149" t="s">
        <v>621</v>
      </c>
      <c r="F96" s="149" t="s">
        <v>515</v>
      </c>
      <c r="G96" s="149" t="s">
        <v>123</v>
      </c>
      <c r="H96" s="149">
        <v>30</v>
      </c>
      <c r="I96" s="149" t="s">
        <v>351</v>
      </c>
      <c r="J96" s="150">
        <v>692</v>
      </c>
      <c r="K96" s="149">
        <v>5</v>
      </c>
      <c r="L96" s="149" t="s">
        <v>516</v>
      </c>
      <c r="M96" s="149">
        <v>5</v>
      </c>
      <c r="N96" s="149" t="s">
        <v>517</v>
      </c>
      <c r="O96" s="150">
        <v>8579</v>
      </c>
      <c r="P96" s="150">
        <v>692</v>
      </c>
      <c r="Q96" s="150">
        <v>7830</v>
      </c>
      <c r="R96" s="150">
        <v>4789</v>
      </c>
      <c r="S96" s="151">
        <v>142.98333333333332</v>
      </c>
      <c r="T96" s="149" t="s">
        <v>518</v>
      </c>
      <c r="U96" s="149" t="s">
        <v>351</v>
      </c>
      <c r="V96" s="149" t="s">
        <v>519</v>
      </c>
      <c r="W96" s="149" t="s">
        <v>520</v>
      </c>
      <c r="X96" s="149" t="s">
        <v>528</v>
      </c>
      <c r="Y96" s="149" t="s">
        <v>351</v>
      </c>
      <c r="Z96" s="149" t="s">
        <v>521</v>
      </c>
      <c r="AA96" s="149" t="s">
        <v>574</v>
      </c>
      <c r="AB96" s="149" t="s">
        <v>571</v>
      </c>
      <c r="AC96" s="149" t="s">
        <v>524</v>
      </c>
      <c r="AD96" s="149" t="s">
        <v>572</v>
      </c>
      <c r="AE96" s="149" t="s">
        <v>518</v>
      </c>
      <c r="AF96" s="149" t="s">
        <v>351</v>
      </c>
    </row>
    <row r="97" spans="1:32" x14ac:dyDescent="0.25">
      <c r="A97" s="149" t="s">
        <v>721</v>
      </c>
      <c r="B97" s="149" t="s">
        <v>576</v>
      </c>
      <c r="C97" s="149" t="s">
        <v>512</v>
      </c>
      <c r="D97" s="149" t="s">
        <v>513</v>
      </c>
      <c r="E97" s="149" t="s">
        <v>630</v>
      </c>
      <c r="F97" s="149" t="s">
        <v>601</v>
      </c>
      <c r="G97" s="149" t="s">
        <v>210</v>
      </c>
      <c r="H97" s="149">
        <v>3</v>
      </c>
      <c r="I97" s="149" t="s">
        <v>243</v>
      </c>
      <c r="J97" s="150">
        <v>2853.3333333333335</v>
      </c>
      <c r="K97" s="149">
        <v>90</v>
      </c>
      <c r="L97" s="149" t="s">
        <v>577</v>
      </c>
      <c r="M97" s="149" t="s">
        <v>351</v>
      </c>
      <c r="N97" s="149" t="s">
        <v>351</v>
      </c>
      <c r="O97" s="150">
        <v>8560</v>
      </c>
      <c r="P97" s="149" t="s">
        <v>351</v>
      </c>
      <c r="Q97" s="150">
        <v>6612.5</v>
      </c>
      <c r="R97" s="150">
        <v>1947.5</v>
      </c>
      <c r="S97" s="151">
        <v>7.9259259259259265</v>
      </c>
      <c r="T97" s="149" t="s">
        <v>519</v>
      </c>
      <c r="U97" s="149" t="s">
        <v>351</v>
      </c>
      <c r="V97" s="149" t="s">
        <v>519</v>
      </c>
      <c r="W97" s="149" t="s">
        <v>351</v>
      </c>
      <c r="X97" s="149" t="s">
        <v>351</v>
      </c>
      <c r="Y97" s="149" t="s">
        <v>351</v>
      </c>
      <c r="Z97" s="149" t="s">
        <v>351</v>
      </c>
      <c r="AA97" s="149" t="s">
        <v>665</v>
      </c>
      <c r="AB97" s="149" t="s">
        <v>722</v>
      </c>
      <c r="AC97" s="149" t="s">
        <v>351</v>
      </c>
      <c r="AD97" s="149" t="s">
        <v>351</v>
      </c>
      <c r="AE97" s="149" t="s">
        <v>519</v>
      </c>
      <c r="AF97" s="149" t="s">
        <v>519</v>
      </c>
    </row>
    <row r="98" spans="1:32" x14ac:dyDescent="0.25">
      <c r="A98" s="149" t="s">
        <v>723</v>
      </c>
      <c r="B98" s="149" t="s">
        <v>511</v>
      </c>
      <c r="C98" s="149" t="s">
        <v>512</v>
      </c>
      <c r="D98" s="149" t="s">
        <v>513</v>
      </c>
      <c r="E98" s="149" t="s">
        <v>514</v>
      </c>
      <c r="F98" s="149" t="s">
        <v>515</v>
      </c>
      <c r="G98" s="149" t="s">
        <v>602</v>
      </c>
      <c r="H98" s="149">
        <v>32</v>
      </c>
      <c r="I98" s="149" t="s">
        <v>351</v>
      </c>
      <c r="J98" s="150">
        <v>1300</v>
      </c>
      <c r="K98" s="149">
        <v>12</v>
      </c>
      <c r="L98" s="149" t="s">
        <v>569</v>
      </c>
      <c r="M98" s="149">
        <v>13</v>
      </c>
      <c r="N98" s="149" t="s">
        <v>593</v>
      </c>
      <c r="O98" s="150">
        <v>8375</v>
      </c>
      <c r="P98" s="150">
        <v>1440</v>
      </c>
      <c r="Q98" s="150">
        <v>5515</v>
      </c>
      <c r="R98" s="150">
        <v>6225</v>
      </c>
      <c r="S98" s="151">
        <v>58.159722222222221</v>
      </c>
      <c r="T98" s="149" t="s">
        <v>518</v>
      </c>
      <c r="U98" s="149" t="s">
        <v>351</v>
      </c>
      <c r="V98" s="149" t="s">
        <v>519</v>
      </c>
      <c r="W98" s="149" t="s">
        <v>527</v>
      </c>
      <c r="X98" s="149" t="s">
        <v>528</v>
      </c>
      <c r="Y98" s="149" t="s">
        <v>351</v>
      </c>
      <c r="Z98" s="149" t="s">
        <v>521</v>
      </c>
      <c r="AA98" s="149" t="s">
        <v>603</v>
      </c>
      <c r="AB98" s="149" t="s">
        <v>595</v>
      </c>
      <c r="AC98" s="149" t="s">
        <v>524</v>
      </c>
      <c r="AD98" s="149" t="s">
        <v>537</v>
      </c>
      <c r="AE98" s="149" t="s">
        <v>519</v>
      </c>
      <c r="AF98" s="149" t="s">
        <v>351</v>
      </c>
    </row>
    <row r="99" spans="1:32" x14ac:dyDescent="0.25">
      <c r="A99" s="149" t="s">
        <v>724</v>
      </c>
      <c r="B99" s="149" t="s">
        <v>511</v>
      </c>
      <c r="C99" s="149" t="s">
        <v>512</v>
      </c>
      <c r="D99" s="149" t="s">
        <v>513</v>
      </c>
      <c r="E99" s="149" t="s">
        <v>514</v>
      </c>
      <c r="F99" s="149" t="s">
        <v>601</v>
      </c>
      <c r="G99" s="149" t="s">
        <v>128</v>
      </c>
      <c r="H99" s="149">
        <v>25</v>
      </c>
      <c r="I99" s="149" t="s">
        <v>351</v>
      </c>
      <c r="J99" s="150">
        <v>726.66666666666663</v>
      </c>
      <c r="K99" s="149">
        <v>12</v>
      </c>
      <c r="L99" s="149" t="s">
        <v>516</v>
      </c>
      <c r="M99" s="149">
        <v>12</v>
      </c>
      <c r="N99" s="149" t="s">
        <v>517</v>
      </c>
      <c r="O99" s="150">
        <v>8250</v>
      </c>
      <c r="P99" s="150">
        <v>730</v>
      </c>
      <c r="Q99" s="150">
        <v>7125</v>
      </c>
      <c r="R99" s="150">
        <v>5080</v>
      </c>
      <c r="S99" s="151">
        <v>57.291666666666664</v>
      </c>
      <c r="T99" s="149" t="s">
        <v>519</v>
      </c>
      <c r="U99" s="149" t="s">
        <v>351</v>
      </c>
      <c r="V99" s="149" t="s">
        <v>519</v>
      </c>
      <c r="W99" s="149" t="s">
        <v>520</v>
      </c>
      <c r="X99" s="149" t="s">
        <v>554</v>
      </c>
      <c r="Y99" s="149" t="s">
        <v>351</v>
      </c>
      <c r="Z99" s="149" t="s">
        <v>521</v>
      </c>
      <c r="AA99" s="149" t="s">
        <v>605</v>
      </c>
      <c r="AB99" s="149" t="s">
        <v>541</v>
      </c>
      <c r="AC99" s="149" t="s">
        <v>531</v>
      </c>
      <c r="AD99" s="149" t="s">
        <v>525</v>
      </c>
      <c r="AE99" s="149" t="s">
        <v>518</v>
      </c>
      <c r="AF99" s="149" t="s">
        <v>351</v>
      </c>
    </row>
    <row r="100" spans="1:32" x14ac:dyDescent="0.25">
      <c r="A100" s="149" t="s">
        <v>725</v>
      </c>
      <c r="B100" s="149" t="s">
        <v>576</v>
      </c>
      <c r="C100" s="149" t="s">
        <v>512</v>
      </c>
      <c r="D100" s="149" t="s">
        <v>513</v>
      </c>
      <c r="E100" s="149" t="s">
        <v>630</v>
      </c>
      <c r="F100" s="149" t="s">
        <v>515</v>
      </c>
      <c r="G100" s="149" t="s">
        <v>201</v>
      </c>
      <c r="H100" s="149">
        <v>6</v>
      </c>
      <c r="I100" s="149" t="s">
        <v>207</v>
      </c>
      <c r="J100" s="150">
        <v>2715</v>
      </c>
      <c r="K100" s="149">
        <v>48</v>
      </c>
      <c r="L100" s="149" t="s">
        <v>516</v>
      </c>
      <c r="M100" s="149">
        <v>48</v>
      </c>
      <c r="N100" s="149" t="s">
        <v>517</v>
      </c>
      <c r="O100" s="150">
        <v>8145</v>
      </c>
      <c r="P100" s="150">
        <v>2000</v>
      </c>
      <c r="Q100" s="150">
        <v>10932</v>
      </c>
      <c r="R100" s="150">
        <v>8145</v>
      </c>
      <c r="S100" s="151">
        <v>14.140625</v>
      </c>
      <c r="T100" s="149" t="s">
        <v>519</v>
      </c>
      <c r="U100" s="149" t="s">
        <v>351</v>
      </c>
      <c r="V100" s="149" t="s">
        <v>519</v>
      </c>
      <c r="W100" s="149" t="s">
        <v>520</v>
      </c>
      <c r="X100" s="149" t="s">
        <v>528</v>
      </c>
      <c r="Y100" s="149" t="s">
        <v>355</v>
      </c>
      <c r="Z100" s="149" t="s">
        <v>521</v>
      </c>
      <c r="AA100" s="149" t="s">
        <v>640</v>
      </c>
      <c r="AB100" s="149" t="s">
        <v>523</v>
      </c>
      <c r="AC100" s="149" t="s">
        <v>524</v>
      </c>
      <c r="AD100" s="149" t="s">
        <v>525</v>
      </c>
      <c r="AE100" s="149" t="s">
        <v>518</v>
      </c>
      <c r="AF100" s="149" t="s">
        <v>518</v>
      </c>
    </row>
    <row r="101" spans="1:32" x14ac:dyDescent="0.25">
      <c r="A101" s="149" t="s">
        <v>726</v>
      </c>
      <c r="B101" s="149" t="s">
        <v>511</v>
      </c>
      <c r="C101" s="149" t="s">
        <v>512</v>
      </c>
      <c r="D101" s="149" t="s">
        <v>513</v>
      </c>
      <c r="E101" s="149" t="s">
        <v>514</v>
      </c>
      <c r="F101" s="149" t="s">
        <v>515</v>
      </c>
      <c r="G101" s="149" t="s">
        <v>129</v>
      </c>
      <c r="H101" s="149">
        <v>24</v>
      </c>
      <c r="I101" s="149" t="s">
        <v>351</v>
      </c>
      <c r="J101" s="150">
        <v>775</v>
      </c>
      <c r="K101" s="149">
        <v>12</v>
      </c>
      <c r="L101" s="149" t="s">
        <v>516</v>
      </c>
      <c r="M101" s="149">
        <v>12</v>
      </c>
      <c r="N101" s="149" t="s">
        <v>517</v>
      </c>
      <c r="O101" s="150">
        <v>8040</v>
      </c>
      <c r="P101" s="150">
        <v>875</v>
      </c>
      <c r="Q101" s="150">
        <v>4680</v>
      </c>
      <c r="R101" s="150">
        <v>6125</v>
      </c>
      <c r="S101" s="151">
        <v>55.833333333333336</v>
      </c>
      <c r="T101" s="149" t="s">
        <v>519</v>
      </c>
      <c r="U101" s="149" t="s">
        <v>351</v>
      </c>
      <c r="V101" s="149" t="s">
        <v>519</v>
      </c>
      <c r="W101" s="149" t="s">
        <v>520</v>
      </c>
      <c r="X101" s="149" t="s">
        <v>544</v>
      </c>
      <c r="Y101" s="149" t="s">
        <v>351</v>
      </c>
      <c r="Z101" s="149" t="s">
        <v>521</v>
      </c>
      <c r="AA101" s="149" t="s">
        <v>605</v>
      </c>
      <c r="AB101" s="149" t="s">
        <v>541</v>
      </c>
      <c r="AC101" s="149" t="s">
        <v>531</v>
      </c>
      <c r="AD101" s="149" t="s">
        <v>525</v>
      </c>
      <c r="AE101" s="149" t="s">
        <v>518</v>
      </c>
      <c r="AF101" s="149" t="s">
        <v>351</v>
      </c>
    </row>
    <row r="102" spans="1:32" x14ac:dyDescent="0.25">
      <c r="A102" s="149" t="s">
        <v>727</v>
      </c>
      <c r="B102" s="149" t="s">
        <v>511</v>
      </c>
      <c r="C102" s="149" t="s">
        <v>512</v>
      </c>
      <c r="D102" s="149" t="s">
        <v>513</v>
      </c>
      <c r="E102" s="149" t="s">
        <v>514</v>
      </c>
      <c r="F102" s="149" t="s">
        <v>515</v>
      </c>
      <c r="G102" s="149" t="s">
        <v>131</v>
      </c>
      <c r="H102" s="149">
        <v>22</v>
      </c>
      <c r="I102" s="149" t="s">
        <v>351</v>
      </c>
      <c r="J102" s="150">
        <v>813.33333333333337</v>
      </c>
      <c r="K102" s="149">
        <v>7</v>
      </c>
      <c r="L102" s="149" t="s">
        <v>516</v>
      </c>
      <c r="M102" s="149">
        <v>7</v>
      </c>
      <c r="N102" s="149" t="s">
        <v>517</v>
      </c>
      <c r="O102" s="150">
        <v>8009</v>
      </c>
      <c r="P102" s="150">
        <v>730</v>
      </c>
      <c r="Q102" s="150">
        <v>5425</v>
      </c>
      <c r="R102" s="150">
        <v>5530</v>
      </c>
      <c r="S102" s="151">
        <v>95.345238095238088</v>
      </c>
      <c r="T102" s="149" t="s">
        <v>519</v>
      </c>
      <c r="U102" s="149" t="s">
        <v>351</v>
      </c>
      <c r="V102" s="149" t="s">
        <v>518</v>
      </c>
      <c r="W102" s="149" t="s">
        <v>520</v>
      </c>
      <c r="X102" s="149" t="s">
        <v>554</v>
      </c>
      <c r="Y102" s="149" t="s">
        <v>355</v>
      </c>
      <c r="Z102" s="149" t="s">
        <v>521</v>
      </c>
      <c r="AA102" s="149" t="s">
        <v>540</v>
      </c>
      <c r="AB102" s="149" t="s">
        <v>541</v>
      </c>
      <c r="AC102" s="149" t="s">
        <v>531</v>
      </c>
      <c r="AD102" s="149" t="s">
        <v>525</v>
      </c>
      <c r="AE102" s="149" t="s">
        <v>518</v>
      </c>
      <c r="AF102" s="149" t="s">
        <v>351</v>
      </c>
    </row>
    <row r="103" spans="1:32" x14ac:dyDescent="0.25">
      <c r="A103" s="149" t="s">
        <v>728</v>
      </c>
      <c r="B103" s="149" t="s">
        <v>19</v>
      </c>
      <c r="C103" s="149" t="s">
        <v>512</v>
      </c>
      <c r="D103" s="149" t="s">
        <v>513</v>
      </c>
      <c r="E103" s="149" t="s">
        <v>621</v>
      </c>
      <c r="F103" s="149" t="s">
        <v>608</v>
      </c>
      <c r="G103" s="149" t="s">
        <v>245</v>
      </c>
      <c r="H103" s="149">
        <v>4</v>
      </c>
      <c r="I103" s="149" t="s">
        <v>351</v>
      </c>
      <c r="J103" s="150">
        <v>1600</v>
      </c>
      <c r="K103" s="149">
        <v>79</v>
      </c>
      <c r="L103" s="149" t="s">
        <v>516</v>
      </c>
      <c r="M103" s="149">
        <v>79</v>
      </c>
      <c r="N103" s="149" t="s">
        <v>517</v>
      </c>
      <c r="O103" s="150">
        <v>7960</v>
      </c>
      <c r="P103" s="150">
        <v>1580</v>
      </c>
      <c r="Q103" s="149" t="s">
        <v>351</v>
      </c>
      <c r="R103" s="150">
        <v>7960</v>
      </c>
      <c r="S103" s="151">
        <v>8.3966244725738406</v>
      </c>
      <c r="T103" s="149" t="s">
        <v>519</v>
      </c>
      <c r="U103" s="149" t="s">
        <v>351</v>
      </c>
      <c r="V103" s="149" t="s">
        <v>519</v>
      </c>
      <c r="W103" s="149" t="s">
        <v>520</v>
      </c>
      <c r="X103" s="149" t="s">
        <v>554</v>
      </c>
      <c r="Y103" s="149" t="s">
        <v>351</v>
      </c>
      <c r="Z103" s="149" t="s">
        <v>521</v>
      </c>
      <c r="AA103" s="149" t="s">
        <v>729</v>
      </c>
      <c r="AB103" s="149" t="s">
        <v>666</v>
      </c>
      <c r="AC103" s="149" t="s">
        <v>580</v>
      </c>
      <c r="AD103" s="149" t="s">
        <v>730</v>
      </c>
      <c r="AE103" s="149" t="s">
        <v>518</v>
      </c>
      <c r="AF103" s="149" t="s">
        <v>351</v>
      </c>
    </row>
    <row r="104" spans="1:32" x14ac:dyDescent="0.25">
      <c r="A104" s="149" t="s">
        <v>731</v>
      </c>
      <c r="B104" s="149" t="s">
        <v>511</v>
      </c>
      <c r="C104" s="149" t="s">
        <v>512</v>
      </c>
      <c r="D104" s="149" t="s">
        <v>513</v>
      </c>
      <c r="E104" s="149" t="s">
        <v>351</v>
      </c>
      <c r="F104" s="149" t="s">
        <v>515</v>
      </c>
      <c r="G104" s="149" t="s">
        <v>246</v>
      </c>
      <c r="H104" s="149">
        <v>3</v>
      </c>
      <c r="I104" s="149" t="s">
        <v>351</v>
      </c>
      <c r="J104" s="150">
        <v>2639</v>
      </c>
      <c r="K104" s="149">
        <v>29</v>
      </c>
      <c r="L104" s="149" t="s">
        <v>516</v>
      </c>
      <c r="M104" s="149">
        <v>29</v>
      </c>
      <c r="N104" s="149" t="s">
        <v>517</v>
      </c>
      <c r="O104" s="150">
        <v>7917</v>
      </c>
      <c r="P104" s="150">
        <v>2007</v>
      </c>
      <c r="Q104" s="149" t="s">
        <v>351</v>
      </c>
      <c r="R104" s="150">
        <v>7917</v>
      </c>
      <c r="S104" s="151">
        <v>22.75</v>
      </c>
      <c r="T104" s="149" t="s">
        <v>519</v>
      </c>
      <c r="U104" s="149" t="s">
        <v>351</v>
      </c>
      <c r="V104" s="149" t="s">
        <v>519</v>
      </c>
      <c r="W104" s="149" t="s">
        <v>520</v>
      </c>
      <c r="X104" s="149" t="s">
        <v>732</v>
      </c>
      <c r="Y104" s="149" t="s">
        <v>355</v>
      </c>
      <c r="Z104" s="149" t="s">
        <v>521</v>
      </c>
      <c r="AA104" s="149" t="s">
        <v>733</v>
      </c>
      <c r="AB104" s="149" t="s">
        <v>536</v>
      </c>
      <c r="AC104" s="149" t="s">
        <v>524</v>
      </c>
      <c r="AD104" s="149" t="s">
        <v>537</v>
      </c>
      <c r="AE104" s="149" t="s">
        <v>518</v>
      </c>
      <c r="AF104" s="149" t="s">
        <v>351</v>
      </c>
    </row>
    <row r="105" spans="1:32" x14ac:dyDescent="0.25">
      <c r="A105" s="149" t="s">
        <v>734</v>
      </c>
      <c r="B105" s="149" t="s">
        <v>511</v>
      </c>
      <c r="C105" s="149" t="s">
        <v>512</v>
      </c>
      <c r="D105" s="149" t="s">
        <v>513</v>
      </c>
      <c r="E105" s="149" t="s">
        <v>514</v>
      </c>
      <c r="F105" s="149" t="s">
        <v>515</v>
      </c>
      <c r="G105" s="149" t="s">
        <v>125</v>
      </c>
      <c r="H105" s="149">
        <v>28</v>
      </c>
      <c r="I105" s="149" t="s">
        <v>351</v>
      </c>
      <c r="J105" s="150">
        <v>572</v>
      </c>
      <c r="K105" s="149">
        <v>6</v>
      </c>
      <c r="L105" s="149" t="s">
        <v>569</v>
      </c>
      <c r="M105" s="149" t="s">
        <v>351</v>
      </c>
      <c r="N105" s="149" t="s">
        <v>351</v>
      </c>
      <c r="O105" s="150">
        <v>7843</v>
      </c>
      <c r="P105" s="150">
        <v>572</v>
      </c>
      <c r="Q105" s="150">
        <v>8838</v>
      </c>
      <c r="R105" s="150">
        <v>4193</v>
      </c>
      <c r="S105" s="151">
        <v>108.93055555555556</v>
      </c>
      <c r="T105" s="149" t="s">
        <v>518</v>
      </c>
      <c r="U105" s="149" t="s">
        <v>351</v>
      </c>
      <c r="V105" s="149" t="s">
        <v>519</v>
      </c>
      <c r="W105" s="149" t="s">
        <v>527</v>
      </c>
      <c r="X105" s="149" t="s">
        <v>624</v>
      </c>
      <c r="Y105" s="149" t="s">
        <v>351</v>
      </c>
      <c r="Z105" s="149" t="s">
        <v>521</v>
      </c>
      <c r="AA105" s="149" t="s">
        <v>622</v>
      </c>
      <c r="AB105" s="149" t="s">
        <v>546</v>
      </c>
      <c r="AC105" s="149" t="s">
        <v>547</v>
      </c>
      <c r="AD105" s="149" t="s">
        <v>532</v>
      </c>
      <c r="AE105" s="149" t="s">
        <v>519</v>
      </c>
      <c r="AF105" s="149" t="s">
        <v>351</v>
      </c>
    </row>
    <row r="106" spans="1:32" x14ac:dyDescent="0.25">
      <c r="A106" s="149" t="s">
        <v>735</v>
      </c>
      <c r="B106" s="149" t="s">
        <v>511</v>
      </c>
      <c r="C106" s="149" t="s">
        <v>512</v>
      </c>
      <c r="D106" s="149" t="s">
        <v>513</v>
      </c>
      <c r="E106" s="149" t="s">
        <v>514</v>
      </c>
      <c r="F106" s="149" t="s">
        <v>515</v>
      </c>
      <c r="G106" s="149" t="s">
        <v>122</v>
      </c>
      <c r="H106" s="149">
        <v>31</v>
      </c>
      <c r="I106" s="149" t="s">
        <v>351</v>
      </c>
      <c r="J106" s="150">
        <v>567.66666666666663</v>
      </c>
      <c r="K106" s="149">
        <v>6</v>
      </c>
      <c r="L106" s="149" t="s">
        <v>516</v>
      </c>
      <c r="M106" s="149">
        <v>6</v>
      </c>
      <c r="N106" s="149" t="s">
        <v>517</v>
      </c>
      <c r="O106" s="150">
        <v>7791</v>
      </c>
      <c r="P106" s="150">
        <v>465</v>
      </c>
      <c r="Q106" s="150">
        <v>7335</v>
      </c>
      <c r="R106" s="150">
        <v>4541</v>
      </c>
      <c r="S106" s="151">
        <v>108.20833333333333</v>
      </c>
      <c r="T106" s="149" t="s">
        <v>519</v>
      </c>
      <c r="U106" s="149" t="s">
        <v>351</v>
      </c>
      <c r="V106" s="149" t="s">
        <v>519</v>
      </c>
      <c r="W106" s="149" t="s">
        <v>520</v>
      </c>
      <c r="X106" s="149" t="s">
        <v>544</v>
      </c>
      <c r="Y106" s="149" t="s">
        <v>351</v>
      </c>
      <c r="Z106" s="149" t="s">
        <v>521</v>
      </c>
      <c r="AA106" s="149" t="s">
        <v>549</v>
      </c>
      <c r="AB106" s="149" t="s">
        <v>550</v>
      </c>
      <c r="AC106" s="149" t="s">
        <v>531</v>
      </c>
      <c r="AD106" s="149" t="s">
        <v>532</v>
      </c>
      <c r="AE106" s="149" t="s">
        <v>518</v>
      </c>
      <c r="AF106" s="149" t="s">
        <v>351</v>
      </c>
    </row>
    <row r="107" spans="1:32" x14ac:dyDescent="0.25">
      <c r="A107" s="149" t="s">
        <v>736</v>
      </c>
      <c r="B107" s="149" t="s">
        <v>511</v>
      </c>
      <c r="C107" s="149" t="s">
        <v>512</v>
      </c>
      <c r="D107" s="149" t="s">
        <v>513</v>
      </c>
      <c r="E107" s="149" t="s">
        <v>514</v>
      </c>
      <c r="F107" s="149" t="s">
        <v>515</v>
      </c>
      <c r="G107" s="149" t="s">
        <v>130</v>
      </c>
      <c r="H107" s="149">
        <v>23</v>
      </c>
      <c r="I107" s="149" t="s">
        <v>351</v>
      </c>
      <c r="J107" s="150">
        <v>650</v>
      </c>
      <c r="K107" s="149">
        <v>8</v>
      </c>
      <c r="L107" s="149" t="s">
        <v>516</v>
      </c>
      <c r="M107" s="149">
        <v>8</v>
      </c>
      <c r="N107" s="149" t="s">
        <v>517</v>
      </c>
      <c r="O107" s="150">
        <v>7523</v>
      </c>
      <c r="P107" s="150">
        <v>725</v>
      </c>
      <c r="Q107" s="150">
        <v>6171</v>
      </c>
      <c r="R107" s="150">
        <v>4820</v>
      </c>
      <c r="S107" s="151">
        <v>78.364583333333329</v>
      </c>
      <c r="T107" s="149" t="s">
        <v>519</v>
      </c>
      <c r="U107" s="149" t="s">
        <v>351</v>
      </c>
      <c r="V107" s="149" t="s">
        <v>519</v>
      </c>
      <c r="W107" s="149" t="s">
        <v>520</v>
      </c>
      <c r="X107" s="149" t="s">
        <v>554</v>
      </c>
      <c r="Y107" s="149" t="s">
        <v>351</v>
      </c>
      <c r="Z107" s="149" t="s">
        <v>521</v>
      </c>
      <c r="AA107" s="149" t="s">
        <v>570</v>
      </c>
      <c r="AB107" s="149" t="s">
        <v>571</v>
      </c>
      <c r="AC107" s="149" t="s">
        <v>524</v>
      </c>
      <c r="AD107" s="149" t="s">
        <v>572</v>
      </c>
      <c r="AE107" s="149" t="s">
        <v>518</v>
      </c>
      <c r="AF107" s="149" t="s">
        <v>351</v>
      </c>
    </row>
    <row r="108" spans="1:32" x14ac:dyDescent="0.25">
      <c r="A108" s="149" t="s">
        <v>737</v>
      </c>
      <c r="B108" s="149" t="s">
        <v>576</v>
      </c>
      <c r="C108" s="149" t="s">
        <v>512</v>
      </c>
      <c r="D108" s="149" t="s">
        <v>513</v>
      </c>
      <c r="E108" s="149" t="s">
        <v>514</v>
      </c>
      <c r="F108" s="149" t="s">
        <v>515</v>
      </c>
      <c r="G108" s="149" t="s">
        <v>127</v>
      </c>
      <c r="H108" s="149">
        <v>24</v>
      </c>
      <c r="I108" s="149" t="s">
        <v>247</v>
      </c>
      <c r="J108" s="150">
        <v>775</v>
      </c>
      <c r="K108" s="149">
        <v>0</v>
      </c>
      <c r="L108" s="149" t="s">
        <v>516</v>
      </c>
      <c r="M108" s="149">
        <v>0</v>
      </c>
      <c r="N108" s="149" t="s">
        <v>517</v>
      </c>
      <c r="O108" s="150">
        <v>7410</v>
      </c>
      <c r="P108" s="149" t="s">
        <v>351</v>
      </c>
      <c r="Q108" s="150">
        <v>5870</v>
      </c>
      <c r="R108" s="150">
        <v>4040</v>
      </c>
      <c r="S108" s="149" t="s">
        <v>351</v>
      </c>
      <c r="T108" s="149" t="s">
        <v>519</v>
      </c>
      <c r="U108" s="149" t="s">
        <v>351</v>
      </c>
      <c r="V108" s="149" t="s">
        <v>519</v>
      </c>
      <c r="W108" s="149" t="s">
        <v>520</v>
      </c>
      <c r="X108" s="149" t="s">
        <v>528</v>
      </c>
      <c r="Y108" s="149" t="s">
        <v>351</v>
      </c>
      <c r="Z108" s="149" t="s">
        <v>521</v>
      </c>
      <c r="AA108" s="149" t="s">
        <v>603</v>
      </c>
      <c r="AB108" s="149" t="s">
        <v>595</v>
      </c>
      <c r="AC108" s="149" t="s">
        <v>524</v>
      </c>
      <c r="AD108" s="149" t="s">
        <v>572</v>
      </c>
      <c r="AE108" s="149" t="s">
        <v>518</v>
      </c>
      <c r="AF108" s="149" t="s">
        <v>518</v>
      </c>
    </row>
    <row r="109" spans="1:32" x14ac:dyDescent="0.25">
      <c r="A109" s="149" t="s">
        <v>738</v>
      </c>
      <c r="B109" s="149" t="s">
        <v>511</v>
      </c>
      <c r="C109" s="149" t="s">
        <v>512</v>
      </c>
      <c r="D109" s="149" t="s">
        <v>513</v>
      </c>
      <c r="E109" s="149" t="s">
        <v>514</v>
      </c>
      <c r="F109" s="149" t="s">
        <v>515</v>
      </c>
      <c r="G109" s="149" t="s">
        <v>669</v>
      </c>
      <c r="H109" s="149">
        <v>41</v>
      </c>
      <c r="I109" s="149" t="s">
        <v>351</v>
      </c>
      <c r="J109" s="150">
        <v>659.66666666666663</v>
      </c>
      <c r="K109" s="149">
        <v>6</v>
      </c>
      <c r="L109" s="149" t="s">
        <v>516</v>
      </c>
      <c r="M109" s="149">
        <v>6</v>
      </c>
      <c r="N109" s="149" t="s">
        <v>517</v>
      </c>
      <c r="O109" s="150">
        <v>7400</v>
      </c>
      <c r="P109" s="150">
        <v>498</v>
      </c>
      <c r="Q109" s="150">
        <v>6185</v>
      </c>
      <c r="R109" s="150">
        <v>4905</v>
      </c>
      <c r="S109" s="151">
        <v>102.77777777777777</v>
      </c>
      <c r="T109" s="149" t="s">
        <v>519</v>
      </c>
      <c r="U109" s="149" t="s">
        <v>351</v>
      </c>
      <c r="V109" s="149" t="s">
        <v>518</v>
      </c>
      <c r="W109" s="149" t="s">
        <v>527</v>
      </c>
      <c r="X109" s="149" t="s">
        <v>544</v>
      </c>
      <c r="Y109" s="149" t="s">
        <v>368</v>
      </c>
      <c r="Z109" s="149" t="s">
        <v>521</v>
      </c>
      <c r="AA109" s="149" t="s">
        <v>594</v>
      </c>
      <c r="AB109" s="149" t="s">
        <v>595</v>
      </c>
      <c r="AC109" s="149" t="s">
        <v>524</v>
      </c>
      <c r="AD109" s="149" t="s">
        <v>537</v>
      </c>
      <c r="AE109" s="149" t="s">
        <v>519</v>
      </c>
      <c r="AF109" s="149" t="s">
        <v>351</v>
      </c>
    </row>
    <row r="110" spans="1:32" x14ac:dyDescent="0.25">
      <c r="A110" s="149" t="s">
        <v>739</v>
      </c>
      <c r="B110" s="149" t="s">
        <v>511</v>
      </c>
      <c r="C110" s="149" t="s">
        <v>512</v>
      </c>
      <c r="D110" s="149" t="s">
        <v>513</v>
      </c>
      <c r="E110" s="149" t="s">
        <v>514</v>
      </c>
      <c r="F110" s="149" t="s">
        <v>515</v>
      </c>
      <c r="G110" s="149" t="s">
        <v>202</v>
      </c>
      <c r="H110" s="149">
        <v>17</v>
      </c>
      <c r="I110" s="149" t="s">
        <v>351</v>
      </c>
      <c r="J110" s="150">
        <v>649</v>
      </c>
      <c r="K110" s="149">
        <v>8</v>
      </c>
      <c r="L110" s="149" t="s">
        <v>516</v>
      </c>
      <c r="M110" s="149">
        <v>8</v>
      </c>
      <c r="N110" s="149" t="s">
        <v>517</v>
      </c>
      <c r="O110" s="150">
        <v>7247</v>
      </c>
      <c r="P110" s="150">
        <v>726</v>
      </c>
      <c r="Q110" s="150">
        <v>4120</v>
      </c>
      <c r="R110" s="150">
        <v>5247</v>
      </c>
      <c r="S110" s="151">
        <v>75.489583333333329</v>
      </c>
      <c r="T110" s="149" t="s">
        <v>519</v>
      </c>
      <c r="U110" s="149" t="s">
        <v>351</v>
      </c>
      <c r="V110" s="149" t="s">
        <v>519</v>
      </c>
      <c r="W110" s="149" t="s">
        <v>520</v>
      </c>
      <c r="X110" s="149" t="s">
        <v>544</v>
      </c>
      <c r="Y110" s="149" t="s">
        <v>351</v>
      </c>
      <c r="Z110" s="149" t="s">
        <v>521</v>
      </c>
      <c r="AA110" s="149" t="s">
        <v>574</v>
      </c>
      <c r="AB110" s="149" t="s">
        <v>571</v>
      </c>
      <c r="AC110" s="149" t="s">
        <v>524</v>
      </c>
      <c r="AD110" s="149" t="s">
        <v>572</v>
      </c>
      <c r="AE110" s="149" t="s">
        <v>518</v>
      </c>
      <c r="AF110" s="149" t="s">
        <v>351</v>
      </c>
    </row>
    <row r="111" spans="1:32" x14ac:dyDescent="0.25">
      <c r="A111" s="149" t="s">
        <v>740</v>
      </c>
      <c r="B111" s="149" t="s">
        <v>576</v>
      </c>
      <c r="C111" s="149" t="s">
        <v>671</v>
      </c>
      <c r="D111" s="149" t="s">
        <v>351</v>
      </c>
      <c r="E111" s="149" t="s">
        <v>351</v>
      </c>
      <c r="F111" s="149" t="s">
        <v>351</v>
      </c>
      <c r="G111" s="149" t="s">
        <v>208</v>
      </c>
      <c r="H111" s="149">
        <v>3</v>
      </c>
      <c r="I111" s="149" t="s">
        <v>211</v>
      </c>
      <c r="J111" s="150">
        <v>2400</v>
      </c>
      <c r="K111" s="149" t="s">
        <v>351</v>
      </c>
      <c r="L111" s="149" t="s">
        <v>649</v>
      </c>
      <c r="M111" s="149" t="s">
        <v>351</v>
      </c>
      <c r="N111" s="149" t="s">
        <v>351</v>
      </c>
      <c r="O111" s="150">
        <v>7200</v>
      </c>
      <c r="P111" s="149" t="s">
        <v>351</v>
      </c>
      <c r="Q111" s="150">
        <v>7200</v>
      </c>
      <c r="R111" s="149" t="s">
        <v>351</v>
      </c>
      <c r="S111" s="149" t="s">
        <v>351</v>
      </c>
      <c r="T111" s="149" t="s">
        <v>351</v>
      </c>
      <c r="U111" s="149" t="s">
        <v>351</v>
      </c>
      <c r="V111" s="149" t="s">
        <v>351</v>
      </c>
      <c r="W111" s="149" t="s">
        <v>351</v>
      </c>
      <c r="X111" s="149" t="s">
        <v>351</v>
      </c>
      <c r="Y111" s="149" t="s">
        <v>351</v>
      </c>
      <c r="Z111" s="149" t="s">
        <v>351</v>
      </c>
      <c r="AA111" s="149" t="s">
        <v>351</v>
      </c>
      <c r="AB111" s="149" t="s">
        <v>351</v>
      </c>
      <c r="AC111" s="149" t="s">
        <v>351</v>
      </c>
      <c r="AD111" s="149" t="s">
        <v>351</v>
      </c>
      <c r="AE111" s="149" t="s">
        <v>351</v>
      </c>
      <c r="AF111" s="149" t="s">
        <v>519</v>
      </c>
    </row>
    <row r="112" spans="1:32" x14ac:dyDescent="0.25">
      <c r="A112" s="149" t="s">
        <v>741</v>
      </c>
      <c r="B112" s="149" t="s">
        <v>576</v>
      </c>
      <c r="C112" s="149" t="s">
        <v>742</v>
      </c>
      <c r="D112" s="149" t="s">
        <v>351</v>
      </c>
      <c r="E112" s="149" t="s">
        <v>351</v>
      </c>
      <c r="F112" s="149" t="s">
        <v>351</v>
      </c>
      <c r="G112" s="149" t="s">
        <v>208</v>
      </c>
      <c r="H112" s="149">
        <v>11</v>
      </c>
      <c r="I112" s="149" t="s">
        <v>351</v>
      </c>
      <c r="J112" s="150">
        <v>2358.3333333333335</v>
      </c>
      <c r="K112" s="149" t="s">
        <v>351</v>
      </c>
      <c r="L112" s="149" t="s">
        <v>649</v>
      </c>
      <c r="M112" s="149" t="s">
        <v>351</v>
      </c>
      <c r="N112" s="149" t="s">
        <v>351</v>
      </c>
      <c r="O112" s="150">
        <v>7075</v>
      </c>
      <c r="P112" s="149" t="s">
        <v>351</v>
      </c>
      <c r="Q112" s="150">
        <v>4412.5</v>
      </c>
      <c r="R112" s="150">
        <v>2662.5</v>
      </c>
      <c r="S112" s="149" t="s">
        <v>351</v>
      </c>
      <c r="T112" s="149" t="s">
        <v>351</v>
      </c>
      <c r="U112" s="149" t="s">
        <v>351</v>
      </c>
      <c r="V112" s="149" t="s">
        <v>351</v>
      </c>
      <c r="W112" s="149" t="s">
        <v>351</v>
      </c>
      <c r="X112" s="149" t="s">
        <v>351</v>
      </c>
      <c r="Y112" s="149" t="s">
        <v>351</v>
      </c>
      <c r="Z112" s="149" t="s">
        <v>351</v>
      </c>
      <c r="AA112" s="149" t="s">
        <v>351</v>
      </c>
      <c r="AB112" s="149" t="s">
        <v>351</v>
      </c>
      <c r="AC112" s="149" t="s">
        <v>351</v>
      </c>
      <c r="AD112" s="149" t="s">
        <v>351</v>
      </c>
      <c r="AE112" s="149" t="s">
        <v>351</v>
      </c>
      <c r="AF112" s="149" t="s">
        <v>351</v>
      </c>
    </row>
    <row r="113" spans="1:32" x14ac:dyDescent="0.25">
      <c r="A113" s="149" t="s">
        <v>743</v>
      </c>
      <c r="B113" s="149" t="s">
        <v>511</v>
      </c>
      <c r="C113" s="149" t="s">
        <v>692</v>
      </c>
      <c r="D113" s="149" t="s">
        <v>693</v>
      </c>
      <c r="E113" s="149" t="s">
        <v>351</v>
      </c>
      <c r="F113" s="149" t="s">
        <v>351</v>
      </c>
      <c r="G113" s="149" t="s">
        <v>126</v>
      </c>
      <c r="H113" s="149">
        <v>27</v>
      </c>
      <c r="I113" s="149" t="s">
        <v>351</v>
      </c>
      <c r="J113" s="150">
        <v>669.33333333333337</v>
      </c>
      <c r="K113" s="149" t="s">
        <v>351</v>
      </c>
      <c r="L113" s="149" t="s">
        <v>718</v>
      </c>
      <c r="M113" s="149" t="s">
        <v>351</v>
      </c>
      <c r="N113" s="149" t="s">
        <v>351</v>
      </c>
      <c r="O113" s="150">
        <v>7046.91</v>
      </c>
      <c r="P113" s="150">
        <v>724</v>
      </c>
      <c r="Q113" s="150">
        <v>5974</v>
      </c>
      <c r="R113" s="150">
        <v>4246.91</v>
      </c>
      <c r="S113" s="149" t="s">
        <v>351</v>
      </c>
      <c r="T113" s="149" t="s">
        <v>518</v>
      </c>
      <c r="U113" s="149">
        <v>3</v>
      </c>
      <c r="V113" s="149" t="s">
        <v>519</v>
      </c>
      <c r="W113" s="149" t="s">
        <v>527</v>
      </c>
      <c r="X113" s="149" t="s">
        <v>539</v>
      </c>
      <c r="Y113" s="149" t="s">
        <v>351</v>
      </c>
      <c r="Z113" s="149" t="s">
        <v>609</v>
      </c>
      <c r="AA113" s="149" t="s">
        <v>719</v>
      </c>
      <c r="AB113" s="149" t="s">
        <v>695</v>
      </c>
      <c r="AC113" s="149" t="s">
        <v>652</v>
      </c>
      <c r="AD113" s="149" t="s">
        <v>696</v>
      </c>
      <c r="AE113" s="149" t="s">
        <v>519</v>
      </c>
      <c r="AF113" s="149" t="s">
        <v>351</v>
      </c>
    </row>
    <row r="114" spans="1:32" x14ac:dyDescent="0.25">
      <c r="A114" s="149" t="s">
        <v>744</v>
      </c>
      <c r="B114" s="149" t="s">
        <v>576</v>
      </c>
      <c r="C114" s="149" t="s">
        <v>646</v>
      </c>
      <c r="D114" s="149" t="s">
        <v>745</v>
      </c>
      <c r="E114" s="149" t="s">
        <v>351</v>
      </c>
      <c r="F114" s="149" t="s">
        <v>351</v>
      </c>
      <c r="G114" s="149" t="s">
        <v>746</v>
      </c>
      <c r="H114" s="149">
        <v>52</v>
      </c>
      <c r="I114" s="149" t="s">
        <v>636</v>
      </c>
      <c r="J114" s="150">
        <v>600</v>
      </c>
      <c r="K114" s="149" t="s">
        <v>351</v>
      </c>
      <c r="L114" s="149" t="s">
        <v>649</v>
      </c>
      <c r="M114" s="149" t="s">
        <v>351</v>
      </c>
      <c r="N114" s="149" t="s">
        <v>351</v>
      </c>
      <c r="O114" s="150">
        <v>7040</v>
      </c>
      <c r="P114" s="150">
        <v>600</v>
      </c>
      <c r="Q114" s="150">
        <v>6870</v>
      </c>
      <c r="R114" s="150">
        <v>4140</v>
      </c>
      <c r="S114" s="149" t="s">
        <v>351</v>
      </c>
      <c r="T114" s="149" t="s">
        <v>519</v>
      </c>
      <c r="U114" s="149" t="s">
        <v>351</v>
      </c>
      <c r="V114" s="149" t="s">
        <v>519</v>
      </c>
      <c r="W114" s="149" t="s">
        <v>351</v>
      </c>
      <c r="X114" s="149" t="s">
        <v>351</v>
      </c>
      <c r="Y114" s="149" t="s">
        <v>351</v>
      </c>
      <c r="Z114" s="149" t="s">
        <v>609</v>
      </c>
      <c r="AA114" s="149" t="s">
        <v>683</v>
      </c>
      <c r="AB114" s="149" t="s">
        <v>651</v>
      </c>
      <c r="AC114" s="149" t="s">
        <v>652</v>
      </c>
      <c r="AD114" s="149" t="s">
        <v>537</v>
      </c>
      <c r="AE114" s="149" t="s">
        <v>519</v>
      </c>
      <c r="AF114" s="149" t="s">
        <v>519</v>
      </c>
    </row>
    <row r="115" spans="1:32" x14ac:dyDescent="0.25">
      <c r="A115" s="149" t="s">
        <v>747</v>
      </c>
      <c r="B115" s="149" t="s">
        <v>511</v>
      </c>
      <c r="C115" s="149" t="s">
        <v>512</v>
      </c>
      <c r="D115" s="149" t="s">
        <v>513</v>
      </c>
      <c r="E115" s="149" t="s">
        <v>514</v>
      </c>
      <c r="F115" s="149" t="s">
        <v>601</v>
      </c>
      <c r="G115" s="149" t="s">
        <v>127</v>
      </c>
      <c r="H115" s="149">
        <v>26</v>
      </c>
      <c r="I115" s="149" t="s">
        <v>351</v>
      </c>
      <c r="J115" s="150">
        <v>446.33333333333331</v>
      </c>
      <c r="K115" s="149">
        <v>8</v>
      </c>
      <c r="L115" s="149" t="s">
        <v>516</v>
      </c>
      <c r="M115" s="149">
        <v>8</v>
      </c>
      <c r="N115" s="149" t="s">
        <v>517</v>
      </c>
      <c r="O115" s="150">
        <v>6964</v>
      </c>
      <c r="P115" s="150">
        <v>447</v>
      </c>
      <c r="Q115" s="150">
        <v>6085</v>
      </c>
      <c r="R115" s="150">
        <v>3974</v>
      </c>
      <c r="S115" s="151">
        <v>72.541666666666671</v>
      </c>
      <c r="T115" s="149" t="s">
        <v>519</v>
      </c>
      <c r="U115" s="149" t="s">
        <v>351</v>
      </c>
      <c r="V115" s="149" t="s">
        <v>519</v>
      </c>
      <c r="W115" s="149" t="s">
        <v>520</v>
      </c>
      <c r="X115" s="149" t="s">
        <v>528</v>
      </c>
      <c r="Y115" s="149" t="s">
        <v>351</v>
      </c>
      <c r="Z115" s="149" t="s">
        <v>521</v>
      </c>
      <c r="AA115" s="149" t="s">
        <v>654</v>
      </c>
      <c r="AB115" s="149" t="s">
        <v>550</v>
      </c>
      <c r="AC115" s="149" t="s">
        <v>531</v>
      </c>
      <c r="AD115" s="149" t="s">
        <v>532</v>
      </c>
      <c r="AE115" s="149" t="s">
        <v>518</v>
      </c>
      <c r="AF115" s="149" t="s">
        <v>351</v>
      </c>
    </row>
    <row r="116" spans="1:32" x14ac:dyDescent="0.25">
      <c r="A116" s="149" t="s">
        <v>748</v>
      </c>
      <c r="B116" s="149" t="s">
        <v>511</v>
      </c>
      <c r="C116" s="149" t="s">
        <v>512</v>
      </c>
      <c r="D116" s="149" t="s">
        <v>513</v>
      </c>
      <c r="E116" s="149" t="s">
        <v>514</v>
      </c>
      <c r="F116" s="149" t="s">
        <v>515</v>
      </c>
      <c r="G116" s="149" t="s">
        <v>242</v>
      </c>
      <c r="H116" s="149">
        <v>7</v>
      </c>
      <c r="I116" s="149" t="s">
        <v>351</v>
      </c>
      <c r="J116" s="150">
        <v>910</v>
      </c>
      <c r="K116" s="149">
        <v>8</v>
      </c>
      <c r="L116" s="149" t="s">
        <v>516</v>
      </c>
      <c r="M116" s="149">
        <v>8</v>
      </c>
      <c r="N116" s="149" t="s">
        <v>517</v>
      </c>
      <c r="O116" s="150">
        <v>6696.25</v>
      </c>
      <c r="P116" s="150">
        <v>910</v>
      </c>
      <c r="Q116" s="149" t="s">
        <v>351</v>
      </c>
      <c r="R116" s="150">
        <v>6696.25</v>
      </c>
      <c r="S116" s="151">
        <v>69.752604166666671</v>
      </c>
      <c r="T116" s="149" t="s">
        <v>518</v>
      </c>
      <c r="U116" s="149">
        <v>9</v>
      </c>
      <c r="V116" s="149" t="s">
        <v>518</v>
      </c>
      <c r="W116" s="149" t="s">
        <v>520</v>
      </c>
      <c r="X116" s="149" t="s">
        <v>624</v>
      </c>
      <c r="Y116" s="149" t="s">
        <v>355</v>
      </c>
      <c r="Z116" s="149" t="s">
        <v>521</v>
      </c>
      <c r="AA116" s="149" t="s">
        <v>590</v>
      </c>
      <c r="AB116" s="149" t="s">
        <v>564</v>
      </c>
      <c r="AC116" s="149" t="s">
        <v>524</v>
      </c>
      <c r="AD116" s="149" t="s">
        <v>537</v>
      </c>
      <c r="AE116" s="149" t="s">
        <v>518</v>
      </c>
      <c r="AF116" s="149" t="s">
        <v>351</v>
      </c>
    </row>
    <row r="117" spans="1:32" x14ac:dyDescent="0.25">
      <c r="A117" s="149" t="s">
        <v>749</v>
      </c>
      <c r="B117" s="149" t="s">
        <v>511</v>
      </c>
      <c r="C117" s="149" t="s">
        <v>512</v>
      </c>
      <c r="D117" s="149" t="s">
        <v>513</v>
      </c>
      <c r="E117" s="149" t="s">
        <v>514</v>
      </c>
      <c r="F117" s="149" t="s">
        <v>515</v>
      </c>
      <c r="G117" s="149" t="s">
        <v>202</v>
      </c>
      <c r="H117" s="149">
        <v>17</v>
      </c>
      <c r="I117" s="149" t="s">
        <v>351</v>
      </c>
      <c r="J117" s="150">
        <v>649</v>
      </c>
      <c r="K117" s="149">
        <v>8</v>
      </c>
      <c r="L117" s="149" t="s">
        <v>569</v>
      </c>
      <c r="M117" s="149" t="s">
        <v>351</v>
      </c>
      <c r="N117" s="149" t="s">
        <v>351</v>
      </c>
      <c r="O117" s="150">
        <v>6616</v>
      </c>
      <c r="P117" s="150">
        <v>649</v>
      </c>
      <c r="Q117" s="150">
        <v>3910</v>
      </c>
      <c r="R117" s="150">
        <v>4276</v>
      </c>
      <c r="S117" s="151">
        <v>68.916666666666671</v>
      </c>
      <c r="T117" s="149" t="s">
        <v>519</v>
      </c>
      <c r="U117" s="149" t="s">
        <v>351</v>
      </c>
      <c r="V117" s="149" t="s">
        <v>519</v>
      </c>
      <c r="W117" s="149" t="s">
        <v>520</v>
      </c>
      <c r="X117" s="149" t="s">
        <v>528</v>
      </c>
      <c r="Y117" s="149" t="s">
        <v>351</v>
      </c>
      <c r="Z117" s="149" t="s">
        <v>521</v>
      </c>
      <c r="AA117" s="149" t="s">
        <v>582</v>
      </c>
      <c r="AB117" s="149" t="s">
        <v>571</v>
      </c>
      <c r="AC117" s="149" t="s">
        <v>524</v>
      </c>
      <c r="AD117" s="149" t="s">
        <v>572</v>
      </c>
      <c r="AE117" s="149" t="s">
        <v>518</v>
      </c>
      <c r="AF117" s="149" t="s">
        <v>351</v>
      </c>
    </row>
    <row r="118" spans="1:32" x14ac:dyDescent="0.25">
      <c r="A118" s="149" t="s">
        <v>750</v>
      </c>
      <c r="B118" s="149" t="s">
        <v>511</v>
      </c>
      <c r="C118" s="149" t="s">
        <v>512</v>
      </c>
      <c r="D118" s="149" t="s">
        <v>513</v>
      </c>
      <c r="E118" s="149" t="s">
        <v>514</v>
      </c>
      <c r="F118" s="149" t="s">
        <v>601</v>
      </c>
      <c r="G118" s="149" t="s">
        <v>128</v>
      </c>
      <c r="H118" s="149">
        <v>25</v>
      </c>
      <c r="I118" s="149" t="s">
        <v>351</v>
      </c>
      <c r="J118" s="150">
        <v>493</v>
      </c>
      <c r="K118" s="149">
        <v>3</v>
      </c>
      <c r="L118" s="149" t="s">
        <v>569</v>
      </c>
      <c r="M118" s="149" t="s">
        <v>351</v>
      </c>
      <c r="N118" s="149" t="s">
        <v>351</v>
      </c>
      <c r="O118" s="150">
        <v>6614</v>
      </c>
      <c r="P118" s="150">
        <v>493</v>
      </c>
      <c r="Q118" s="150">
        <v>6970</v>
      </c>
      <c r="R118" s="150">
        <v>3859</v>
      </c>
      <c r="S118" s="151">
        <v>183.7222222222222</v>
      </c>
      <c r="T118" s="149" t="s">
        <v>519</v>
      </c>
      <c r="U118" s="149" t="s">
        <v>351</v>
      </c>
      <c r="V118" s="149" t="s">
        <v>518</v>
      </c>
      <c r="W118" s="149" t="s">
        <v>527</v>
      </c>
      <c r="X118" s="149" t="s">
        <v>554</v>
      </c>
      <c r="Y118" s="149" t="s">
        <v>368</v>
      </c>
      <c r="Z118" s="149" t="s">
        <v>521</v>
      </c>
      <c r="AA118" s="149" t="s">
        <v>552</v>
      </c>
      <c r="AB118" s="149" t="s">
        <v>546</v>
      </c>
      <c r="AC118" s="149" t="s">
        <v>547</v>
      </c>
      <c r="AD118" s="149" t="s">
        <v>532</v>
      </c>
      <c r="AE118" s="149" t="s">
        <v>519</v>
      </c>
      <c r="AF118" s="149" t="s">
        <v>351</v>
      </c>
    </row>
    <row r="119" spans="1:32" x14ac:dyDescent="0.25">
      <c r="A119" s="149" t="s">
        <v>751</v>
      </c>
      <c r="B119" s="149" t="s">
        <v>511</v>
      </c>
      <c r="C119" s="149" t="s">
        <v>512</v>
      </c>
      <c r="D119" s="149" t="s">
        <v>513</v>
      </c>
      <c r="E119" s="149" t="s">
        <v>514</v>
      </c>
      <c r="F119" s="149" t="s">
        <v>515</v>
      </c>
      <c r="G119" s="149" t="s">
        <v>130</v>
      </c>
      <c r="H119" s="149">
        <v>23</v>
      </c>
      <c r="I119" s="149" t="s">
        <v>351</v>
      </c>
      <c r="J119" s="150">
        <v>630</v>
      </c>
      <c r="K119" s="149">
        <v>6</v>
      </c>
      <c r="L119" s="149" t="s">
        <v>569</v>
      </c>
      <c r="M119" s="149" t="s">
        <v>351</v>
      </c>
      <c r="N119" s="149" t="s">
        <v>351</v>
      </c>
      <c r="O119" s="150">
        <v>6590</v>
      </c>
      <c r="P119" s="150">
        <v>630</v>
      </c>
      <c r="Q119" s="150">
        <v>4930</v>
      </c>
      <c r="R119" s="150">
        <v>4200</v>
      </c>
      <c r="S119" s="151">
        <v>91.527777777777771</v>
      </c>
      <c r="T119" s="149" t="s">
        <v>518</v>
      </c>
      <c r="U119" s="149" t="s">
        <v>351</v>
      </c>
      <c r="V119" s="149" t="s">
        <v>519</v>
      </c>
      <c r="W119" s="149" t="s">
        <v>520</v>
      </c>
      <c r="X119" s="149" t="s">
        <v>539</v>
      </c>
      <c r="Y119" s="149" t="s">
        <v>351</v>
      </c>
      <c r="Z119" s="149" t="s">
        <v>521</v>
      </c>
      <c r="AA119" s="149" t="s">
        <v>570</v>
      </c>
      <c r="AB119" s="149" t="s">
        <v>571</v>
      </c>
      <c r="AC119" s="149" t="s">
        <v>524</v>
      </c>
      <c r="AD119" s="149" t="s">
        <v>572</v>
      </c>
      <c r="AE119" s="149" t="s">
        <v>518</v>
      </c>
      <c r="AF119" s="149" t="s">
        <v>351</v>
      </c>
    </row>
    <row r="120" spans="1:32" x14ac:dyDescent="0.25">
      <c r="A120" s="149" t="s">
        <v>752</v>
      </c>
      <c r="B120" s="149" t="s">
        <v>511</v>
      </c>
      <c r="C120" s="149" t="s">
        <v>512</v>
      </c>
      <c r="D120" s="149" t="s">
        <v>513</v>
      </c>
      <c r="E120" s="149" t="s">
        <v>514</v>
      </c>
      <c r="F120" s="149" t="s">
        <v>515</v>
      </c>
      <c r="G120" s="149" t="s">
        <v>209</v>
      </c>
      <c r="H120" s="149">
        <v>10</v>
      </c>
      <c r="I120" s="149" t="s">
        <v>351</v>
      </c>
      <c r="J120" s="150">
        <v>650</v>
      </c>
      <c r="K120" s="149">
        <v>4</v>
      </c>
      <c r="L120" s="149" t="s">
        <v>569</v>
      </c>
      <c r="M120" s="149" t="s">
        <v>351</v>
      </c>
      <c r="N120" s="149" t="s">
        <v>351</v>
      </c>
      <c r="O120" s="150">
        <v>6475.1100000000006</v>
      </c>
      <c r="P120" s="150">
        <v>650</v>
      </c>
      <c r="Q120" s="150">
        <v>2311.25</v>
      </c>
      <c r="R120" s="150">
        <v>4163.8600000000006</v>
      </c>
      <c r="S120" s="151">
        <v>134.89812500000002</v>
      </c>
      <c r="T120" s="149" t="s">
        <v>519</v>
      </c>
      <c r="U120" s="149">
        <v>26</v>
      </c>
      <c r="V120" s="149" t="s">
        <v>518</v>
      </c>
      <c r="W120" s="149" t="s">
        <v>520</v>
      </c>
      <c r="X120" s="149" t="s">
        <v>554</v>
      </c>
      <c r="Y120" s="149" t="s">
        <v>355</v>
      </c>
      <c r="Z120" s="149" t="s">
        <v>521</v>
      </c>
      <c r="AA120" s="149" t="s">
        <v>640</v>
      </c>
      <c r="AB120" s="149" t="s">
        <v>523</v>
      </c>
      <c r="AC120" s="149" t="s">
        <v>524</v>
      </c>
      <c r="AD120" s="149" t="s">
        <v>525</v>
      </c>
      <c r="AE120" s="149" t="s">
        <v>518</v>
      </c>
      <c r="AF120" s="149" t="s">
        <v>351</v>
      </c>
    </row>
    <row r="121" spans="1:32" x14ac:dyDescent="0.25">
      <c r="A121" s="149" t="s">
        <v>753</v>
      </c>
      <c r="B121" s="149" t="s">
        <v>511</v>
      </c>
      <c r="C121" s="149" t="s">
        <v>512</v>
      </c>
      <c r="D121" s="149" t="s">
        <v>513</v>
      </c>
      <c r="E121" s="149" t="s">
        <v>514</v>
      </c>
      <c r="F121" s="149" t="s">
        <v>515</v>
      </c>
      <c r="G121" s="149" t="s">
        <v>127</v>
      </c>
      <c r="H121" s="149">
        <v>26</v>
      </c>
      <c r="I121" s="149" t="s">
        <v>351</v>
      </c>
      <c r="J121" s="150">
        <v>476.66666666666669</v>
      </c>
      <c r="K121" s="149">
        <v>15</v>
      </c>
      <c r="L121" s="149" t="s">
        <v>569</v>
      </c>
      <c r="M121" s="149">
        <v>5</v>
      </c>
      <c r="N121" s="149" t="s">
        <v>593</v>
      </c>
      <c r="O121" s="150">
        <v>6470</v>
      </c>
      <c r="P121" s="150">
        <v>500</v>
      </c>
      <c r="Q121" s="150">
        <v>5095</v>
      </c>
      <c r="R121" s="150">
        <v>3650</v>
      </c>
      <c r="S121" s="151">
        <v>35.944444444444443</v>
      </c>
      <c r="T121" s="149" t="s">
        <v>519</v>
      </c>
      <c r="U121" s="149" t="s">
        <v>351</v>
      </c>
      <c r="V121" s="149" t="s">
        <v>519</v>
      </c>
      <c r="W121" s="149" t="s">
        <v>520</v>
      </c>
      <c r="X121" s="149" t="s">
        <v>528</v>
      </c>
      <c r="Y121" s="149" t="s">
        <v>351</v>
      </c>
      <c r="Z121" s="149" t="s">
        <v>521</v>
      </c>
      <c r="AA121" s="149" t="s">
        <v>563</v>
      </c>
      <c r="AB121" s="149" t="s">
        <v>564</v>
      </c>
      <c r="AC121" s="149" t="s">
        <v>524</v>
      </c>
      <c r="AD121" s="149" t="s">
        <v>537</v>
      </c>
      <c r="AE121" s="149" t="s">
        <v>518</v>
      </c>
      <c r="AF121" s="149" t="s">
        <v>351</v>
      </c>
    </row>
    <row r="122" spans="1:32" x14ac:dyDescent="0.25">
      <c r="A122" s="149" t="s">
        <v>754</v>
      </c>
      <c r="B122" s="149" t="s">
        <v>576</v>
      </c>
      <c r="C122" s="149" t="s">
        <v>646</v>
      </c>
      <c r="D122" s="149" t="s">
        <v>755</v>
      </c>
      <c r="E122" s="149" t="s">
        <v>351</v>
      </c>
      <c r="F122" s="149" t="s">
        <v>351</v>
      </c>
      <c r="G122" s="149" t="s">
        <v>756</v>
      </c>
      <c r="H122" s="149">
        <v>57</v>
      </c>
      <c r="I122" s="149" t="s">
        <v>636</v>
      </c>
      <c r="J122" s="150">
        <v>535</v>
      </c>
      <c r="K122" s="149" t="s">
        <v>351</v>
      </c>
      <c r="L122" s="149" t="s">
        <v>649</v>
      </c>
      <c r="M122" s="149" t="s">
        <v>351</v>
      </c>
      <c r="N122" s="149" t="s">
        <v>351</v>
      </c>
      <c r="O122" s="150">
        <v>6375</v>
      </c>
      <c r="P122" s="150">
        <v>535</v>
      </c>
      <c r="Q122" s="150">
        <v>6265</v>
      </c>
      <c r="R122" s="150">
        <v>3760</v>
      </c>
      <c r="S122" s="149" t="s">
        <v>351</v>
      </c>
      <c r="T122" s="149" t="s">
        <v>519</v>
      </c>
      <c r="U122" s="149" t="s">
        <v>351</v>
      </c>
      <c r="V122" s="149" t="s">
        <v>519</v>
      </c>
      <c r="W122" s="149" t="s">
        <v>351</v>
      </c>
      <c r="X122" s="149" t="s">
        <v>351</v>
      </c>
      <c r="Y122" s="149" t="s">
        <v>351</v>
      </c>
      <c r="Z122" s="149" t="s">
        <v>609</v>
      </c>
      <c r="AA122" s="149" t="s">
        <v>650</v>
      </c>
      <c r="AB122" s="149" t="s">
        <v>651</v>
      </c>
      <c r="AC122" s="149" t="s">
        <v>652</v>
      </c>
      <c r="AD122" s="149" t="s">
        <v>537</v>
      </c>
      <c r="AE122" s="149" t="s">
        <v>519</v>
      </c>
      <c r="AF122" s="149" t="s">
        <v>519</v>
      </c>
    </row>
    <row r="123" spans="1:32" x14ac:dyDescent="0.25">
      <c r="A123" s="149" t="s">
        <v>757</v>
      </c>
      <c r="B123" s="149" t="s">
        <v>511</v>
      </c>
      <c r="C123" s="149" t="s">
        <v>512</v>
      </c>
      <c r="D123" s="149" t="s">
        <v>513</v>
      </c>
      <c r="E123" s="149" t="s">
        <v>514</v>
      </c>
      <c r="F123" s="149" t="s">
        <v>515</v>
      </c>
      <c r="G123" s="149" t="s">
        <v>611</v>
      </c>
      <c r="H123" s="149">
        <v>35</v>
      </c>
      <c r="I123" s="149" t="s">
        <v>351</v>
      </c>
      <c r="J123" s="150">
        <v>520</v>
      </c>
      <c r="K123" s="149">
        <v>4</v>
      </c>
      <c r="L123" s="149" t="s">
        <v>569</v>
      </c>
      <c r="M123" s="149" t="s">
        <v>351</v>
      </c>
      <c r="N123" s="149" t="s">
        <v>351</v>
      </c>
      <c r="O123" s="150">
        <v>6280</v>
      </c>
      <c r="P123" s="150">
        <v>520</v>
      </c>
      <c r="Q123" s="150">
        <v>6191</v>
      </c>
      <c r="R123" s="150">
        <v>3685</v>
      </c>
      <c r="S123" s="151">
        <v>130.83333333333334</v>
      </c>
      <c r="T123" s="149" t="s">
        <v>518</v>
      </c>
      <c r="U123" s="149">
        <v>4</v>
      </c>
      <c r="V123" s="149" t="s">
        <v>518</v>
      </c>
      <c r="W123" s="149" t="s">
        <v>520</v>
      </c>
      <c r="X123" s="149" t="s">
        <v>528</v>
      </c>
      <c r="Y123" s="149" t="s">
        <v>355</v>
      </c>
      <c r="Z123" s="149" t="s">
        <v>521</v>
      </c>
      <c r="AA123" s="149" t="s">
        <v>654</v>
      </c>
      <c r="AB123" s="149" t="s">
        <v>550</v>
      </c>
      <c r="AC123" s="149" t="s">
        <v>531</v>
      </c>
      <c r="AD123" s="149" t="s">
        <v>532</v>
      </c>
      <c r="AE123" s="149" t="s">
        <v>518</v>
      </c>
      <c r="AF123" s="149" t="s">
        <v>351</v>
      </c>
    </row>
    <row r="124" spans="1:32" x14ac:dyDescent="0.25">
      <c r="A124" s="149" t="s">
        <v>758</v>
      </c>
      <c r="B124" s="149" t="s">
        <v>511</v>
      </c>
      <c r="C124" s="149" t="s">
        <v>512</v>
      </c>
      <c r="D124" s="149" t="s">
        <v>513</v>
      </c>
      <c r="E124" s="149" t="s">
        <v>621</v>
      </c>
      <c r="F124" s="149" t="s">
        <v>608</v>
      </c>
      <c r="G124" s="149" t="s">
        <v>210</v>
      </c>
      <c r="H124" s="149">
        <v>9</v>
      </c>
      <c r="I124" s="149" t="s">
        <v>351</v>
      </c>
      <c r="J124" s="150">
        <v>1040</v>
      </c>
      <c r="K124" s="149">
        <v>17</v>
      </c>
      <c r="L124" s="149" t="s">
        <v>516</v>
      </c>
      <c r="M124" s="149">
        <v>17</v>
      </c>
      <c r="N124" s="149" t="s">
        <v>517</v>
      </c>
      <c r="O124" s="150">
        <v>6275</v>
      </c>
      <c r="P124" s="150">
        <v>1040</v>
      </c>
      <c r="Q124" s="150">
        <v>950</v>
      </c>
      <c r="R124" s="150">
        <v>5325</v>
      </c>
      <c r="S124" s="151">
        <v>30.759803921568626</v>
      </c>
      <c r="T124" s="149" t="s">
        <v>518</v>
      </c>
      <c r="U124" s="149" t="s">
        <v>351</v>
      </c>
      <c r="V124" s="149" t="s">
        <v>519</v>
      </c>
      <c r="W124" s="149" t="s">
        <v>520</v>
      </c>
      <c r="X124" s="149" t="s">
        <v>528</v>
      </c>
      <c r="Y124" s="149" t="s">
        <v>351</v>
      </c>
      <c r="Z124" s="149" t="s">
        <v>521</v>
      </c>
      <c r="AA124" s="149" t="s">
        <v>570</v>
      </c>
      <c r="AB124" s="149" t="s">
        <v>571</v>
      </c>
      <c r="AC124" s="149" t="s">
        <v>524</v>
      </c>
      <c r="AD124" s="149" t="s">
        <v>572</v>
      </c>
      <c r="AE124" s="149" t="s">
        <v>518</v>
      </c>
      <c r="AF124" s="149" t="s">
        <v>351</v>
      </c>
    </row>
    <row r="125" spans="1:32" x14ac:dyDescent="0.25">
      <c r="A125" s="149" t="s">
        <v>759</v>
      </c>
      <c r="B125" s="149" t="s">
        <v>19</v>
      </c>
      <c r="C125" s="149" t="s">
        <v>512</v>
      </c>
      <c r="D125" s="149" t="s">
        <v>513</v>
      </c>
      <c r="E125" s="149" t="s">
        <v>630</v>
      </c>
      <c r="F125" s="149" t="s">
        <v>601</v>
      </c>
      <c r="G125" s="149" t="s">
        <v>245</v>
      </c>
      <c r="H125" s="149">
        <v>4</v>
      </c>
      <c r="I125" s="149" t="s">
        <v>351</v>
      </c>
      <c r="J125" s="150">
        <v>1327</v>
      </c>
      <c r="K125" s="149">
        <v>23</v>
      </c>
      <c r="L125" s="149" t="s">
        <v>516</v>
      </c>
      <c r="M125" s="149">
        <v>23</v>
      </c>
      <c r="N125" s="149" t="s">
        <v>517</v>
      </c>
      <c r="O125" s="150">
        <v>6254</v>
      </c>
      <c r="P125" s="150">
        <v>1400</v>
      </c>
      <c r="Q125" s="149" t="s">
        <v>351</v>
      </c>
      <c r="R125" s="150">
        <v>6254</v>
      </c>
      <c r="S125" s="151">
        <v>22.659420289855071</v>
      </c>
      <c r="T125" s="149" t="s">
        <v>518</v>
      </c>
      <c r="U125" s="149" t="s">
        <v>351</v>
      </c>
      <c r="V125" s="149" t="s">
        <v>518</v>
      </c>
      <c r="W125" s="149" t="s">
        <v>520</v>
      </c>
      <c r="X125" s="149" t="s">
        <v>539</v>
      </c>
      <c r="Y125" s="149" t="s">
        <v>355</v>
      </c>
      <c r="Z125" s="149" t="s">
        <v>521</v>
      </c>
      <c r="AA125" s="149" t="s">
        <v>567</v>
      </c>
      <c r="AB125" s="149" t="s">
        <v>550</v>
      </c>
      <c r="AC125" s="149" t="s">
        <v>531</v>
      </c>
      <c r="AD125" s="149" t="s">
        <v>532</v>
      </c>
      <c r="AE125" s="149" t="s">
        <v>518</v>
      </c>
      <c r="AF125" s="149" t="s">
        <v>351</v>
      </c>
    </row>
    <row r="126" spans="1:32" x14ac:dyDescent="0.25">
      <c r="A126" s="149" t="s">
        <v>760</v>
      </c>
      <c r="B126" s="149" t="s">
        <v>19</v>
      </c>
      <c r="C126" s="149" t="s">
        <v>512</v>
      </c>
      <c r="D126" s="149" t="s">
        <v>513</v>
      </c>
      <c r="E126" s="149" t="s">
        <v>351</v>
      </c>
      <c r="F126" s="149" t="s">
        <v>515</v>
      </c>
      <c r="G126" s="149" t="s">
        <v>248</v>
      </c>
      <c r="H126" s="149">
        <v>1</v>
      </c>
      <c r="I126" s="149" t="s">
        <v>351</v>
      </c>
      <c r="J126" s="150">
        <v>6252</v>
      </c>
      <c r="K126" s="149">
        <v>83</v>
      </c>
      <c r="L126" s="149" t="s">
        <v>516</v>
      </c>
      <c r="M126" s="149">
        <v>83</v>
      </c>
      <c r="N126" s="149" t="s">
        <v>517</v>
      </c>
      <c r="O126" s="150">
        <v>6252</v>
      </c>
      <c r="P126" s="150">
        <v>6252</v>
      </c>
      <c r="Q126" s="149" t="s">
        <v>351</v>
      </c>
      <c r="R126" s="150">
        <v>6252</v>
      </c>
      <c r="S126" s="151">
        <v>6.2771084337349397</v>
      </c>
      <c r="T126" s="149" t="s">
        <v>518</v>
      </c>
      <c r="U126" s="149" t="s">
        <v>351</v>
      </c>
      <c r="V126" s="149" t="s">
        <v>519</v>
      </c>
      <c r="W126" s="149" t="s">
        <v>520</v>
      </c>
      <c r="X126" s="149" t="s">
        <v>528</v>
      </c>
      <c r="Y126" s="149" t="s">
        <v>355</v>
      </c>
      <c r="Z126" s="149" t="s">
        <v>521</v>
      </c>
      <c r="AA126" s="149" t="s">
        <v>729</v>
      </c>
      <c r="AB126" s="149" t="s">
        <v>666</v>
      </c>
      <c r="AC126" s="149" t="s">
        <v>580</v>
      </c>
      <c r="AD126" s="149" t="s">
        <v>730</v>
      </c>
      <c r="AE126" s="149" t="s">
        <v>518</v>
      </c>
      <c r="AF126" s="149" t="s">
        <v>351</v>
      </c>
    </row>
    <row r="127" spans="1:32" x14ac:dyDescent="0.25">
      <c r="A127" s="149" t="s">
        <v>761</v>
      </c>
      <c r="B127" s="149" t="s">
        <v>511</v>
      </c>
      <c r="C127" s="149" t="s">
        <v>512</v>
      </c>
      <c r="D127" s="149" t="s">
        <v>513</v>
      </c>
      <c r="E127" s="149" t="s">
        <v>621</v>
      </c>
      <c r="F127" s="149" t="s">
        <v>515</v>
      </c>
      <c r="G127" s="149" t="s">
        <v>246</v>
      </c>
      <c r="H127" s="149">
        <v>3</v>
      </c>
      <c r="I127" s="149" t="s">
        <v>351</v>
      </c>
      <c r="J127" s="150">
        <v>2063</v>
      </c>
      <c r="K127" s="149">
        <v>47</v>
      </c>
      <c r="L127" s="149" t="s">
        <v>516</v>
      </c>
      <c r="M127" s="149">
        <v>47</v>
      </c>
      <c r="N127" s="149" t="s">
        <v>517</v>
      </c>
      <c r="O127" s="150">
        <v>6189</v>
      </c>
      <c r="P127" s="150">
        <v>2333</v>
      </c>
      <c r="Q127" s="149" t="s">
        <v>351</v>
      </c>
      <c r="R127" s="150">
        <v>6189</v>
      </c>
      <c r="S127" s="151">
        <v>10.973404255319149</v>
      </c>
      <c r="T127" s="149" t="s">
        <v>518</v>
      </c>
      <c r="U127" s="149" t="s">
        <v>351</v>
      </c>
      <c r="V127" s="149" t="s">
        <v>519</v>
      </c>
      <c r="W127" s="149" t="s">
        <v>520</v>
      </c>
      <c r="X127" s="149" t="s">
        <v>544</v>
      </c>
      <c r="Y127" s="149" t="s">
        <v>351</v>
      </c>
      <c r="Z127" s="149" t="s">
        <v>521</v>
      </c>
      <c r="AA127" s="149" t="s">
        <v>590</v>
      </c>
      <c r="AB127" s="149" t="s">
        <v>564</v>
      </c>
      <c r="AC127" s="149" t="s">
        <v>524</v>
      </c>
      <c r="AD127" s="149" t="s">
        <v>537</v>
      </c>
      <c r="AE127" s="149" t="s">
        <v>518</v>
      </c>
      <c r="AF127" s="149" t="s">
        <v>351</v>
      </c>
    </row>
    <row r="128" spans="1:32" x14ac:dyDescent="0.25">
      <c r="A128" s="149" t="s">
        <v>762</v>
      </c>
      <c r="B128" s="149" t="s">
        <v>576</v>
      </c>
      <c r="C128" s="149" t="s">
        <v>671</v>
      </c>
      <c r="D128" s="149" t="s">
        <v>351</v>
      </c>
      <c r="E128" s="149" t="s">
        <v>351</v>
      </c>
      <c r="F128" s="149" t="s">
        <v>351</v>
      </c>
      <c r="G128" s="149" t="s">
        <v>205</v>
      </c>
      <c r="H128" s="149">
        <v>6</v>
      </c>
      <c r="I128" s="149" t="s">
        <v>211</v>
      </c>
      <c r="J128" s="150">
        <v>1574</v>
      </c>
      <c r="K128" s="149" t="s">
        <v>351</v>
      </c>
      <c r="L128" s="149" t="s">
        <v>649</v>
      </c>
      <c r="M128" s="149" t="s">
        <v>351</v>
      </c>
      <c r="N128" s="149" t="s">
        <v>351</v>
      </c>
      <c r="O128" s="150">
        <v>6162</v>
      </c>
      <c r="P128" s="149" t="s">
        <v>351</v>
      </c>
      <c r="Q128" s="150">
        <v>11280</v>
      </c>
      <c r="R128" s="149" t="s">
        <v>351</v>
      </c>
      <c r="S128" s="149" t="s">
        <v>351</v>
      </c>
      <c r="T128" s="149" t="s">
        <v>351</v>
      </c>
      <c r="U128" s="149" t="s">
        <v>351</v>
      </c>
      <c r="V128" s="149" t="s">
        <v>351</v>
      </c>
      <c r="W128" s="149" t="s">
        <v>351</v>
      </c>
      <c r="X128" s="149" t="s">
        <v>351</v>
      </c>
      <c r="Y128" s="149" t="s">
        <v>351</v>
      </c>
      <c r="Z128" s="149" t="s">
        <v>351</v>
      </c>
      <c r="AA128" s="149" t="s">
        <v>351</v>
      </c>
      <c r="AB128" s="149" t="s">
        <v>351</v>
      </c>
      <c r="AC128" s="149" t="s">
        <v>351</v>
      </c>
      <c r="AD128" s="149" t="s">
        <v>351</v>
      </c>
      <c r="AE128" s="149" t="s">
        <v>351</v>
      </c>
      <c r="AF128" s="149" t="s">
        <v>518</v>
      </c>
    </row>
    <row r="129" spans="1:32" x14ac:dyDescent="0.25">
      <c r="A129" s="149" t="s">
        <v>763</v>
      </c>
      <c r="B129" s="149" t="s">
        <v>511</v>
      </c>
      <c r="C129" s="149" t="s">
        <v>512</v>
      </c>
      <c r="D129" s="149" t="s">
        <v>513</v>
      </c>
      <c r="E129" s="149" t="s">
        <v>621</v>
      </c>
      <c r="F129" s="149" t="s">
        <v>608</v>
      </c>
      <c r="G129" s="149" t="s">
        <v>207</v>
      </c>
      <c r="H129" s="149">
        <v>12</v>
      </c>
      <c r="I129" s="149" t="s">
        <v>351</v>
      </c>
      <c r="J129" s="150">
        <v>200</v>
      </c>
      <c r="K129" s="149">
        <v>5</v>
      </c>
      <c r="L129" s="149" t="s">
        <v>569</v>
      </c>
      <c r="M129" s="149">
        <v>5</v>
      </c>
      <c r="N129" s="149" t="s">
        <v>593</v>
      </c>
      <c r="O129" s="150">
        <v>6005</v>
      </c>
      <c r="P129" s="150">
        <v>200</v>
      </c>
      <c r="Q129" s="150">
        <v>3620</v>
      </c>
      <c r="R129" s="150">
        <v>2385</v>
      </c>
      <c r="S129" s="151">
        <v>100.08333333333334</v>
      </c>
      <c r="T129" s="149" t="s">
        <v>519</v>
      </c>
      <c r="U129" s="149" t="s">
        <v>351</v>
      </c>
      <c r="V129" s="149" t="s">
        <v>519</v>
      </c>
      <c r="W129" s="149" t="s">
        <v>520</v>
      </c>
      <c r="X129" s="149" t="s">
        <v>528</v>
      </c>
      <c r="Y129" s="149" t="s">
        <v>351</v>
      </c>
      <c r="Z129" s="149" t="s">
        <v>521</v>
      </c>
      <c r="AA129" s="149" t="s">
        <v>555</v>
      </c>
      <c r="AB129" s="149" t="s">
        <v>523</v>
      </c>
      <c r="AC129" s="149" t="s">
        <v>524</v>
      </c>
      <c r="AD129" s="149" t="s">
        <v>525</v>
      </c>
      <c r="AE129" s="149" t="s">
        <v>518</v>
      </c>
      <c r="AF129" s="149" t="s">
        <v>351</v>
      </c>
    </row>
    <row r="130" spans="1:32" x14ac:dyDescent="0.25">
      <c r="A130" s="149" t="s">
        <v>764</v>
      </c>
      <c r="B130" s="149" t="s">
        <v>576</v>
      </c>
      <c r="C130" s="149" t="s">
        <v>671</v>
      </c>
      <c r="D130" s="149" t="s">
        <v>351</v>
      </c>
      <c r="E130" s="149" t="s">
        <v>351</v>
      </c>
      <c r="F130" s="149" t="s">
        <v>351</v>
      </c>
      <c r="G130" s="149" t="s">
        <v>245</v>
      </c>
      <c r="H130" s="149">
        <v>4</v>
      </c>
      <c r="I130" s="149" t="s">
        <v>636</v>
      </c>
      <c r="J130" s="150">
        <v>1500</v>
      </c>
      <c r="K130" s="149" t="s">
        <v>351</v>
      </c>
      <c r="L130" s="149" t="s">
        <v>649</v>
      </c>
      <c r="M130" s="149" t="s">
        <v>351</v>
      </c>
      <c r="N130" s="149" t="s">
        <v>351</v>
      </c>
      <c r="O130" s="150">
        <v>6000</v>
      </c>
      <c r="P130" s="150">
        <v>1500</v>
      </c>
      <c r="Q130" s="149" t="s">
        <v>351</v>
      </c>
      <c r="R130" s="150">
        <v>6000</v>
      </c>
      <c r="S130" s="149" t="s">
        <v>351</v>
      </c>
      <c r="T130" s="149" t="s">
        <v>351</v>
      </c>
      <c r="U130" s="149" t="s">
        <v>351</v>
      </c>
      <c r="V130" s="149" t="s">
        <v>351</v>
      </c>
      <c r="W130" s="149" t="s">
        <v>351</v>
      </c>
      <c r="X130" s="149" t="s">
        <v>351</v>
      </c>
      <c r="Y130" s="149" t="s">
        <v>351</v>
      </c>
      <c r="Z130" s="149" t="s">
        <v>351</v>
      </c>
      <c r="AA130" s="149" t="s">
        <v>351</v>
      </c>
      <c r="AB130" s="149" t="s">
        <v>351</v>
      </c>
      <c r="AC130" s="149" t="s">
        <v>351</v>
      </c>
      <c r="AD130" s="149" t="s">
        <v>351</v>
      </c>
      <c r="AE130" s="149" t="s">
        <v>351</v>
      </c>
      <c r="AF130" s="149" t="s">
        <v>519</v>
      </c>
    </row>
    <row r="131" spans="1:32" x14ac:dyDescent="0.25">
      <c r="A131" s="149" t="s">
        <v>765</v>
      </c>
      <c r="B131" s="149" t="s">
        <v>511</v>
      </c>
      <c r="C131" s="149" t="s">
        <v>512</v>
      </c>
      <c r="D131" s="149" t="s">
        <v>513</v>
      </c>
      <c r="E131" s="149" t="s">
        <v>514</v>
      </c>
      <c r="F131" s="149" t="s">
        <v>515</v>
      </c>
      <c r="G131" s="149" t="s">
        <v>203</v>
      </c>
      <c r="H131" s="149">
        <v>16</v>
      </c>
      <c r="I131" s="149" t="s">
        <v>351</v>
      </c>
      <c r="J131" s="150">
        <v>546.33333333333337</v>
      </c>
      <c r="K131" s="149">
        <v>10</v>
      </c>
      <c r="L131" s="149" t="s">
        <v>516</v>
      </c>
      <c r="M131" s="149">
        <v>10</v>
      </c>
      <c r="N131" s="149" t="s">
        <v>517</v>
      </c>
      <c r="O131" s="150">
        <v>5979</v>
      </c>
      <c r="P131" s="150">
        <v>649</v>
      </c>
      <c r="Q131" s="150">
        <v>4233.75</v>
      </c>
      <c r="R131" s="150">
        <v>3604</v>
      </c>
      <c r="S131" s="151">
        <v>49.825000000000003</v>
      </c>
      <c r="T131" s="149" t="s">
        <v>519</v>
      </c>
      <c r="U131" s="149" t="s">
        <v>351</v>
      </c>
      <c r="V131" s="149" t="s">
        <v>519</v>
      </c>
      <c r="W131" s="149" t="s">
        <v>520</v>
      </c>
      <c r="X131" s="149" t="s">
        <v>544</v>
      </c>
      <c r="Y131" s="149" t="s">
        <v>351</v>
      </c>
      <c r="Z131" s="149" t="s">
        <v>521</v>
      </c>
      <c r="AA131" s="149" t="s">
        <v>766</v>
      </c>
      <c r="AB131" s="149" t="s">
        <v>536</v>
      </c>
      <c r="AC131" s="149" t="s">
        <v>524</v>
      </c>
      <c r="AD131" s="149" t="s">
        <v>537</v>
      </c>
      <c r="AE131" s="149" t="s">
        <v>518</v>
      </c>
      <c r="AF131" s="149" t="s">
        <v>351</v>
      </c>
    </row>
    <row r="132" spans="1:32" x14ac:dyDescent="0.25">
      <c r="A132" s="149" t="s">
        <v>767</v>
      </c>
      <c r="B132" s="149" t="s">
        <v>511</v>
      </c>
      <c r="C132" s="149" t="s">
        <v>512</v>
      </c>
      <c r="D132" s="149" t="s">
        <v>513</v>
      </c>
      <c r="E132" s="149" t="s">
        <v>514</v>
      </c>
      <c r="F132" s="149" t="s">
        <v>608</v>
      </c>
      <c r="G132" s="149" t="s">
        <v>126</v>
      </c>
      <c r="H132" s="149">
        <v>27</v>
      </c>
      <c r="I132" s="149" t="s">
        <v>351</v>
      </c>
      <c r="J132" s="150">
        <v>495</v>
      </c>
      <c r="K132" s="149">
        <v>16</v>
      </c>
      <c r="L132" s="149" t="s">
        <v>516</v>
      </c>
      <c r="M132" s="149">
        <v>16</v>
      </c>
      <c r="N132" s="149" t="s">
        <v>517</v>
      </c>
      <c r="O132" s="150">
        <v>5970</v>
      </c>
      <c r="P132" s="150">
        <v>525</v>
      </c>
      <c r="Q132" s="150">
        <v>4235</v>
      </c>
      <c r="R132" s="150">
        <v>4140</v>
      </c>
      <c r="S132" s="151">
        <v>31.09375</v>
      </c>
      <c r="T132" s="149" t="s">
        <v>519</v>
      </c>
      <c r="U132" s="149" t="s">
        <v>351</v>
      </c>
      <c r="V132" s="149" t="s">
        <v>519</v>
      </c>
      <c r="W132" s="149" t="s">
        <v>520</v>
      </c>
      <c r="X132" s="149" t="s">
        <v>528</v>
      </c>
      <c r="Y132" s="149" t="s">
        <v>351</v>
      </c>
      <c r="Z132" s="149" t="s">
        <v>521</v>
      </c>
      <c r="AA132" s="149" t="s">
        <v>570</v>
      </c>
      <c r="AB132" s="149" t="s">
        <v>571</v>
      </c>
      <c r="AC132" s="149" t="s">
        <v>524</v>
      </c>
      <c r="AD132" s="149" t="s">
        <v>572</v>
      </c>
      <c r="AE132" s="149" t="s">
        <v>518</v>
      </c>
      <c r="AF132" s="149" t="s">
        <v>351</v>
      </c>
    </row>
    <row r="133" spans="1:32" x14ac:dyDescent="0.25">
      <c r="A133" s="149" t="s">
        <v>768</v>
      </c>
      <c r="B133" s="149" t="s">
        <v>511</v>
      </c>
      <c r="C133" s="149" t="s">
        <v>512</v>
      </c>
      <c r="D133" s="149" t="s">
        <v>513</v>
      </c>
      <c r="E133" s="149" t="s">
        <v>630</v>
      </c>
      <c r="F133" s="149" t="s">
        <v>601</v>
      </c>
      <c r="G133" s="149" t="s">
        <v>211</v>
      </c>
      <c r="H133" s="149">
        <v>8</v>
      </c>
      <c r="I133" s="149" t="s">
        <v>351</v>
      </c>
      <c r="J133" s="150">
        <v>840</v>
      </c>
      <c r="K133" s="149">
        <v>11</v>
      </c>
      <c r="L133" s="149" t="s">
        <v>516</v>
      </c>
      <c r="M133" s="149">
        <v>11</v>
      </c>
      <c r="N133" s="149" t="s">
        <v>517</v>
      </c>
      <c r="O133" s="150">
        <v>5960</v>
      </c>
      <c r="P133" s="150">
        <v>860</v>
      </c>
      <c r="Q133" s="150">
        <v>700</v>
      </c>
      <c r="R133" s="150">
        <v>5260</v>
      </c>
      <c r="S133" s="151">
        <v>45.151515151515156</v>
      </c>
      <c r="T133" s="149" t="s">
        <v>519</v>
      </c>
      <c r="U133" s="149" t="s">
        <v>351</v>
      </c>
      <c r="V133" s="149" t="s">
        <v>519</v>
      </c>
      <c r="W133" s="149" t="s">
        <v>520</v>
      </c>
      <c r="X133" s="149" t="s">
        <v>554</v>
      </c>
      <c r="Y133" s="149" t="s">
        <v>351</v>
      </c>
      <c r="Z133" s="149" t="s">
        <v>521</v>
      </c>
      <c r="AA133" s="149" t="s">
        <v>559</v>
      </c>
      <c r="AB133" s="149" t="s">
        <v>560</v>
      </c>
      <c r="AC133" s="149" t="s">
        <v>547</v>
      </c>
      <c r="AD133" s="149" t="s">
        <v>537</v>
      </c>
      <c r="AE133" s="149" t="s">
        <v>518</v>
      </c>
      <c r="AF133" s="149" t="s">
        <v>351</v>
      </c>
    </row>
    <row r="134" spans="1:32" x14ac:dyDescent="0.25">
      <c r="A134" s="149" t="s">
        <v>769</v>
      </c>
      <c r="B134" s="149" t="s">
        <v>511</v>
      </c>
      <c r="C134" s="149" t="s">
        <v>512</v>
      </c>
      <c r="D134" s="149" t="s">
        <v>513</v>
      </c>
      <c r="E134" s="149" t="s">
        <v>514</v>
      </c>
      <c r="F134" s="149" t="s">
        <v>515</v>
      </c>
      <c r="G134" s="149" t="s">
        <v>206</v>
      </c>
      <c r="H134" s="149">
        <v>13</v>
      </c>
      <c r="I134" s="149" t="s">
        <v>351</v>
      </c>
      <c r="J134" s="150">
        <v>653.9666666666667</v>
      </c>
      <c r="K134" s="149">
        <v>6</v>
      </c>
      <c r="L134" s="149" t="s">
        <v>569</v>
      </c>
      <c r="M134" s="149">
        <v>6</v>
      </c>
      <c r="N134" s="149" t="s">
        <v>578</v>
      </c>
      <c r="O134" s="150">
        <v>5919.9</v>
      </c>
      <c r="P134" s="150">
        <v>641.9</v>
      </c>
      <c r="Q134" s="150">
        <v>2809.25</v>
      </c>
      <c r="R134" s="150">
        <v>4006.9</v>
      </c>
      <c r="S134" s="151">
        <v>82.220833333333331</v>
      </c>
      <c r="T134" s="149" t="s">
        <v>518</v>
      </c>
      <c r="U134" s="149">
        <v>5</v>
      </c>
      <c r="V134" s="149" t="s">
        <v>519</v>
      </c>
      <c r="W134" s="149" t="s">
        <v>520</v>
      </c>
      <c r="X134" s="149" t="s">
        <v>539</v>
      </c>
      <c r="Y134" s="149" t="s">
        <v>351</v>
      </c>
      <c r="Z134" s="149" t="s">
        <v>521</v>
      </c>
      <c r="AA134" s="149" t="s">
        <v>579</v>
      </c>
      <c r="AB134" s="149" t="s">
        <v>560</v>
      </c>
      <c r="AC134" s="149" t="s">
        <v>547</v>
      </c>
      <c r="AD134" s="149" t="s">
        <v>537</v>
      </c>
      <c r="AE134" s="149" t="s">
        <v>518</v>
      </c>
      <c r="AF134" s="149" t="s">
        <v>351</v>
      </c>
    </row>
    <row r="135" spans="1:32" x14ac:dyDescent="0.25">
      <c r="A135" s="149" t="s">
        <v>770</v>
      </c>
      <c r="B135" s="149" t="s">
        <v>511</v>
      </c>
      <c r="C135" s="149" t="s">
        <v>692</v>
      </c>
      <c r="D135" s="149" t="s">
        <v>693</v>
      </c>
      <c r="E135" s="149" t="s">
        <v>351</v>
      </c>
      <c r="F135" s="149" t="s">
        <v>351</v>
      </c>
      <c r="G135" s="149" t="s">
        <v>771</v>
      </c>
      <c r="H135" s="149">
        <v>47</v>
      </c>
      <c r="I135" s="149" t="s">
        <v>351</v>
      </c>
      <c r="J135" s="150">
        <v>500</v>
      </c>
      <c r="K135" s="149">
        <v>0</v>
      </c>
      <c r="L135" s="149" t="s">
        <v>516</v>
      </c>
      <c r="M135" s="149">
        <v>0</v>
      </c>
      <c r="N135" s="149" t="s">
        <v>517</v>
      </c>
      <c r="O135" s="150">
        <v>5831</v>
      </c>
      <c r="P135" s="150">
        <v>500</v>
      </c>
      <c r="Q135" s="150">
        <v>5645</v>
      </c>
      <c r="R135" s="150">
        <v>3515</v>
      </c>
      <c r="S135" s="149" t="s">
        <v>351</v>
      </c>
      <c r="T135" s="149" t="s">
        <v>519</v>
      </c>
      <c r="U135" s="149" t="s">
        <v>351</v>
      </c>
      <c r="V135" s="149" t="s">
        <v>519</v>
      </c>
      <c r="W135" s="149" t="s">
        <v>351</v>
      </c>
      <c r="X135" s="149" t="s">
        <v>351</v>
      </c>
      <c r="Y135" s="149" t="s">
        <v>351</v>
      </c>
      <c r="Z135" s="149" t="s">
        <v>609</v>
      </c>
      <c r="AA135" s="149" t="s">
        <v>694</v>
      </c>
      <c r="AB135" s="149" t="s">
        <v>695</v>
      </c>
      <c r="AC135" s="149" t="s">
        <v>652</v>
      </c>
      <c r="AD135" s="149" t="s">
        <v>696</v>
      </c>
      <c r="AE135" s="149" t="s">
        <v>519</v>
      </c>
      <c r="AF135" s="149" t="s">
        <v>351</v>
      </c>
    </row>
    <row r="136" spans="1:32" x14ac:dyDescent="0.25">
      <c r="A136" s="149" t="s">
        <v>772</v>
      </c>
      <c r="B136" s="149" t="s">
        <v>576</v>
      </c>
      <c r="C136" s="149" t="s">
        <v>646</v>
      </c>
      <c r="D136" s="149" t="s">
        <v>351</v>
      </c>
      <c r="E136" s="149" t="s">
        <v>351</v>
      </c>
      <c r="F136" s="149" t="s">
        <v>351</v>
      </c>
      <c r="G136" s="149" t="s">
        <v>773</v>
      </c>
      <c r="H136" s="149">
        <v>36</v>
      </c>
      <c r="I136" s="149" t="s">
        <v>636</v>
      </c>
      <c r="J136" s="150">
        <v>485</v>
      </c>
      <c r="K136" s="149" t="s">
        <v>351</v>
      </c>
      <c r="L136" s="149" t="s">
        <v>649</v>
      </c>
      <c r="M136" s="149" t="s">
        <v>351</v>
      </c>
      <c r="N136" s="149" t="s">
        <v>351</v>
      </c>
      <c r="O136" s="150">
        <v>5820</v>
      </c>
      <c r="P136" s="150">
        <v>485</v>
      </c>
      <c r="Q136" s="150">
        <v>5730</v>
      </c>
      <c r="R136" s="150">
        <v>3395</v>
      </c>
      <c r="S136" s="149" t="s">
        <v>351</v>
      </c>
      <c r="T136" s="149" t="s">
        <v>519</v>
      </c>
      <c r="U136" s="149" t="s">
        <v>351</v>
      </c>
      <c r="V136" s="149" t="s">
        <v>519</v>
      </c>
      <c r="W136" s="149" t="s">
        <v>351</v>
      </c>
      <c r="X136" s="149" t="s">
        <v>351</v>
      </c>
      <c r="Y136" s="149" t="s">
        <v>351</v>
      </c>
      <c r="Z136" s="149" t="s">
        <v>351</v>
      </c>
      <c r="AA136" s="149" t="s">
        <v>719</v>
      </c>
      <c r="AB136" s="149" t="s">
        <v>695</v>
      </c>
      <c r="AC136" s="149" t="s">
        <v>652</v>
      </c>
      <c r="AD136" s="149" t="s">
        <v>696</v>
      </c>
      <c r="AE136" s="149" t="s">
        <v>519</v>
      </c>
      <c r="AF136" s="149" t="s">
        <v>519</v>
      </c>
    </row>
    <row r="137" spans="1:32" x14ac:dyDescent="0.25">
      <c r="A137" s="149" t="s">
        <v>774</v>
      </c>
      <c r="B137" s="149" t="s">
        <v>511</v>
      </c>
      <c r="C137" s="149" t="s">
        <v>692</v>
      </c>
      <c r="D137" s="149" t="s">
        <v>693</v>
      </c>
      <c r="E137" s="149" t="s">
        <v>351</v>
      </c>
      <c r="F137" s="149" t="s">
        <v>351</v>
      </c>
      <c r="G137" s="149" t="s">
        <v>204</v>
      </c>
      <c r="H137" s="149">
        <v>15</v>
      </c>
      <c r="I137" s="149" t="s">
        <v>351</v>
      </c>
      <c r="J137" s="150">
        <v>495</v>
      </c>
      <c r="K137" s="149" t="s">
        <v>351</v>
      </c>
      <c r="L137" s="149" t="s">
        <v>718</v>
      </c>
      <c r="M137" s="149" t="s">
        <v>351</v>
      </c>
      <c r="N137" s="149" t="s">
        <v>351</v>
      </c>
      <c r="O137" s="150">
        <v>5760</v>
      </c>
      <c r="P137" s="150">
        <v>495</v>
      </c>
      <c r="Q137" s="150">
        <v>3822.5</v>
      </c>
      <c r="R137" s="150">
        <v>3385</v>
      </c>
      <c r="S137" s="149" t="s">
        <v>351</v>
      </c>
      <c r="T137" s="149" t="s">
        <v>519</v>
      </c>
      <c r="U137" s="149" t="s">
        <v>351</v>
      </c>
      <c r="V137" s="149" t="s">
        <v>519</v>
      </c>
      <c r="W137" s="149" t="s">
        <v>351</v>
      </c>
      <c r="X137" s="149" t="s">
        <v>539</v>
      </c>
      <c r="Y137" s="149" t="s">
        <v>351</v>
      </c>
      <c r="Z137" s="149" t="s">
        <v>609</v>
      </c>
      <c r="AA137" s="149" t="s">
        <v>694</v>
      </c>
      <c r="AB137" s="149" t="s">
        <v>695</v>
      </c>
      <c r="AC137" s="149" t="s">
        <v>652</v>
      </c>
      <c r="AD137" s="149" t="s">
        <v>696</v>
      </c>
      <c r="AE137" s="149" t="s">
        <v>519</v>
      </c>
      <c r="AF137" s="149" t="s">
        <v>351</v>
      </c>
    </row>
    <row r="138" spans="1:32" x14ac:dyDescent="0.25">
      <c r="A138" s="149" t="s">
        <v>775</v>
      </c>
      <c r="B138" s="149" t="s">
        <v>511</v>
      </c>
      <c r="C138" s="149" t="s">
        <v>692</v>
      </c>
      <c r="D138" s="149" t="s">
        <v>693</v>
      </c>
      <c r="E138" s="149" t="s">
        <v>351</v>
      </c>
      <c r="F138" s="149" t="s">
        <v>351</v>
      </c>
      <c r="G138" s="149" t="s">
        <v>128</v>
      </c>
      <c r="H138" s="149">
        <v>25</v>
      </c>
      <c r="I138" s="149" t="s">
        <v>351</v>
      </c>
      <c r="J138" s="150">
        <v>406</v>
      </c>
      <c r="K138" s="149" t="s">
        <v>351</v>
      </c>
      <c r="L138" s="149" t="s">
        <v>718</v>
      </c>
      <c r="M138" s="149" t="s">
        <v>351</v>
      </c>
      <c r="N138" s="149" t="s">
        <v>351</v>
      </c>
      <c r="O138" s="150">
        <v>5643</v>
      </c>
      <c r="P138" s="150">
        <v>418</v>
      </c>
      <c r="Q138" s="150">
        <v>5595</v>
      </c>
      <c r="R138" s="150">
        <v>2818</v>
      </c>
      <c r="S138" s="149" t="s">
        <v>351</v>
      </c>
      <c r="T138" s="149" t="s">
        <v>519</v>
      </c>
      <c r="U138" s="149" t="s">
        <v>351</v>
      </c>
      <c r="V138" s="149" t="s">
        <v>519</v>
      </c>
      <c r="W138" s="149" t="s">
        <v>527</v>
      </c>
      <c r="X138" s="149" t="s">
        <v>554</v>
      </c>
      <c r="Y138" s="149" t="s">
        <v>351</v>
      </c>
      <c r="Z138" s="149" t="s">
        <v>609</v>
      </c>
      <c r="AA138" s="149" t="s">
        <v>694</v>
      </c>
      <c r="AB138" s="149" t="s">
        <v>695</v>
      </c>
      <c r="AC138" s="149" t="s">
        <v>652</v>
      </c>
      <c r="AD138" s="149" t="s">
        <v>696</v>
      </c>
      <c r="AE138" s="149" t="s">
        <v>519</v>
      </c>
      <c r="AF138" s="149" t="s">
        <v>351</v>
      </c>
    </row>
    <row r="139" spans="1:32" x14ac:dyDescent="0.25">
      <c r="A139" s="149" t="s">
        <v>776</v>
      </c>
      <c r="B139" s="149" t="s">
        <v>576</v>
      </c>
      <c r="C139" s="149" t="s">
        <v>646</v>
      </c>
      <c r="D139" s="149" t="s">
        <v>340</v>
      </c>
      <c r="E139" s="149" t="s">
        <v>351</v>
      </c>
      <c r="F139" s="149" t="s">
        <v>351</v>
      </c>
      <c r="G139" s="149" t="s">
        <v>746</v>
      </c>
      <c r="H139" s="149">
        <v>52</v>
      </c>
      <c r="I139" s="149" t="s">
        <v>636</v>
      </c>
      <c r="J139" s="150">
        <v>460</v>
      </c>
      <c r="K139" s="149" t="s">
        <v>351</v>
      </c>
      <c r="L139" s="149" t="s">
        <v>649</v>
      </c>
      <c r="M139" s="149" t="s">
        <v>351</v>
      </c>
      <c r="N139" s="149" t="s">
        <v>351</v>
      </c>
      <c r="O139" s="150">
        <v>5580</v>
      </c>
      <c r="P139" s="150">
        <v>460</v>
      </c>
      <c r="Q139" s="150">
        <v>5460</v>
      </c>
      <c r="R139" s="150">
        <v>3280</v>
      </c>
      <c r="S139" s="149" t="s">
        <v>351</v>
      </c>
      <c r="T139" s="149" t="s">
        <v>519</v>
      </c>
      <c r="U139" s="149" t="s">
        <v>351</v>
      </c>
      <c r="V139" s="149" t="s">
        <v>519</v>
      </c>
      <c r="W139" s="149" t="s">
        <v>351</v>
      </c>
      <c r="X139" s="149" t="s">
        <v>351</v>
      </c>
      <c r="Y139" s="149" t="s">
        <v>351</v>
      </c>
      <c r="Z139" s="149" t="s">
        <v>609</v>
      </c>
      <c r="AA139" s="149" t="s">
        <v>683</v>
      </c>
      <c r="AB139" s="149" t="s">
        <v>651</v>
      </c>
      <c r="AC139" s="149" t="s">
        <v>652</v>
      </c>
      <c r="AD139" s="149" t="s">
        <v>537</v>
      </c>
      <c r="AE139" s="149" t="s">
        <v>519</v>
      </c>
      <c r="AF139" s="149" t="s">
        <v>519</v>
      </c>
    </row>
    <row r="140" spans="1:32" x14ac:dyDescent="0.25">
      <c r="A140" s="149" t="s">
        <v>777</v>
      </c>
      <c r="B140" s="149" t="s">
        <v>576</v>
      </c>
      <c r="C140" s="149" t="s">
        <v>512</v>
      </c>
      <c r="D140" s="149" t="s">
        <v>513</v>
      </c>
      <c r="E140" s="149" t="s">
        <v>514</v>
      </c>
      <c r="F140" s="149" t="s">
        <v>515</v>
      </c>
      <c r="G140" s="149" t="s">
        <v>127</v>
      </c>
      <c r="H140" s="149">
        <v>24</v>
      </c>
      <c r="I140" s="149" t="s">
        <v>247</v>
      </c>
      <c r="J140" s="150">
        <v>486.33333333333331</v>
      </c>
      <c r="K140" s="149">
        <v>0</v>
      </c>
      <c r="L140" s="149" t="s">
        <v>516</v>
      </c>
      <c r="M140" s="149">
        <v>0</v>
      </c>
      <c r="N140" s="149" t="s">
        <v>517</v>
      </c>
      <c r="O140" s="150">
        <v>5575</v>
      </c>
      <c r="P140" s="149" t="s">
        <v>351</v>
      </c>
      <c r="Q140" s="150">
        <v>7036</v>
      </c>
      <c r="R140" s="150">
        <v>2635</v>
      </c>
      <c r="S140" s="149" t="s">
        <v>351</v>
      </c>
      <c r="T140" s="149" t="s">
        <v>519</v>
      </c>
      <c r="U140" s="149" t="s">
        <v>351</v>
      </c>
      <c r="V140" s="149" t="s">
        <v>518</v>
      </c>
      <c r="W140" s="149" t="s">
        <v>527</v>
      </c>
      <c r="X140" s="149" t="s">
        <v>528</v>
      </c>
      <c r="Y140" s="149" t="s">
        <v>778</v>
      </c>
      <c r="Z140" s="149" t="s">
        <v>521</v>
      </c>
      <c r="AA140" s="149" t="s">
        <v>567</v>
      </c>
      <c r="AB140" s="149" t="s">
        <v>550</v>
      </c>
      <c r="AC140" s="149" t="s">
        <v>531</v>
      </c>
      <c r="AD140" s="149" t="s">
        <v>532</v>
      </c>
      <c r="AE140" s="149" t="s">
        <v>519</v>
      </c>
      <c r="AF140" s="149" t="s">
        <v>518</v>
      </c>
    </row>
    <row r="141" spans="1:32" x14ac:dyDescent="0.25">
      <c r="A141" s="149" t="s">
        <v>779</v>
      </c>
      <c r="B141" s="149" t="s">
        <v>511</v>
      </c>
      <c r="C141" s="149" t="s">
        <v>692</v>
      </c>
      <c r="D141" s="149" t="s">
        <v>693</v>
      </c>
      <c r="E141" s="149" t="s">
        <v>351</v>
      </c>
      <c r="F141" s="149" t="s">
        <v>351</v>
      </c>
      <c r="G141" s="149" t="s">
        <v>127</v>
      </c>
      <c r="H141" s="149">
        <v>26</v>
      </c>
      <c r="I141" s="149" t="s">
        <v>351</v>
      </c>
      <c r="J141" s="150">
        <v>358.33333333333331</v>
      </c>
      <c r="K141" s="149" t="s">
        <v>351</v>
      </c>
      <c r="L141" s="149" t="s">
        <v>718</v>
      </c>
      <c r="M141" s="149" t="s">
        <v>351</v>
      </c>
      <c r="N141" s="149" t="s">
        <v>351</v>
      </c>
      <c r="O141" s="150">
        <v>5560</v>
      </c>
      <c r="P141" s="150">
        <v>375</v>
      </c>
      <c r="Q141" s="150">
        <v>4570</v>
      </c>
      <c r="R141" s="150">
        <v>3170</v>
      </c>
      <c r="S141" s="149" t="s">
        <v>351</v>
      </c>
      <c r="T141" s="149" t="s">
        <v>519</v>
      </c>
      <c r="U141" s="149" t="s">
        <v>351</v>
      </c>
      <c r="V141" s="149" t="s">
        <v>519</v>
      </c>
      <c r="W141" s="149" t="s">
        <v>351</v>
      </c>
      <c r="X141" s="149" t="s">
        <v>351</v>
      </c>
      <c r="Y141" s="149" t="s">
        <v>351</v>
      </c>
      <c r="Z141" s="149" t="s">
        <v>609</v>
      </c>
      <c r="AA141" s="149" t="s">
        <v>780</v>
      </c>
      <c r="AB141" s="149" t="s">
        <v>695</v>
      </c>
      <c r="AC141" s="149" t="s">
        <v>652</v>
      </c>
      <c r="AD141" s="149" t="s">
        <v>696</v>
      </c>
      <c r="AE141" s="149" t="s">
        <v>519</v>
      </c>
      <c r="AF141" s="149" t="s">
        <v>351</v>
      </c>
    </row>
    <row r="142" spans="1:32" x14ac:dyDescent="0.25">
      <c r="A142" s="149" t="s">
        <v>781</v>
      </c>
      <c r="B142" s="149" t="s">
        <v>511</v>
      </c>
      <c r="C142" s="149" t="s">
        <v>692</v>
      </c>
      <c r="D142" s="149" t="s">
        <v>693</v>
      </c>
      <c r="E142" s="149" t="s">
        <v>351</v>
      </c>
      <c r="F142" s="149" t="s">
        <v>351</v>
      </c>
      <c r="G142" s="149" t="s">
        <v>211</v>
      </c>
      <c r="H142" s="149">
        <v>8</v>
      </c>
      <c r="I142" s="149" t="s">
        <v>351</v>
      </c>
      <c r="J142" s="150">
        <v>725</v>
      </c>
      <c r="K142" s="149" t="s">
        <v>351</v>
      </c>
      <c r="L142" s="149" t="s">
        <v>718</v>
      </c>
      <c r="M142" s="149" t="s">
        <v>351</v>
      </c>
      <c r="N142" s="149" t="s">
        <v>351</v>
      </c>
      <c r="O142" s="150">
        <v>5552.5</v>
      </c>
      <c r="P142" s="150">
        <v>725</v>
      </c>
      <c r="Q142" s="150">
        <v>695</v>
      </c>
      <c r="R142" s="150">
        <v>4857.5</v>
      </c>
      <c r="S142" s="149" t="s">
        <v>351</v>
      </c>
      <c r="T142" s="149" t="s">
        <v>519</v>
      </c>
      <c r="U142" s="149" t="s">
        <v>351</v>
      </c>
      <c r="V142" s="149" t="s">
        <v>519</v>
      </c>
      <c r="W142" s="149" t="s">
        <v>351</v>
      </c>
      <c r="X142" s="149" t="s">
        <v>351</v>
      </c>
      <c r="Y142" s="149" t="s">
        <v>351</v>
      </c>
      <c r="Z142" s="149" t="s">
        <v>351</v>
      </c>
      <c r="AA142" s="149" t="s">
        <v>780</v>
      </c>
      <c r="AB142" s="149" t="s">
        <v>695</v>
      </c>
      <c r="AC142" s="149" t="s">
        <v>580</v>
      </c>
      <c r="AD142" s="149" t="s">
        <v>696</v>
      </c>
      <c r="AE142" s="149" t="s">
        <v>519</v>
      </c>
      <c r="AF142" s="149" t="s">
        <v>351</v>
      </c>
    </row>
    <row r="143" spans="1:32" x14ac:dyDescent="0.25">
      <c r="A143" s="149" t="s">
        <v>782</v>
      </c>
      <c r="B143" s="149" t="s">
        <v>576</v>
      </c>
      <c r="C143" s="149" t="s">
        <v>512</v>
      </c>
      <c r="D143" s="149" t="s">
        <v>513</v>
      </c>
      <c r="E143" s="149" t="s">
        <v>514</v>
      </c>
      <c r="F143" s="149" t="s">
        <v>515</v>
      </c>
      <c r="G143" s="149" t="s">
        <v>129</v>
      </c>
      <c r="H143" s="149">
        <v>24</v>
      </c>
      <c r="I143" s="149" t="s">
        <v>636</v>
      </c>
      <c r="J143" s="150">
        <v>350</v>
      </c>
      <c r="K143" s="149">
        <v>4</v>
      </c>
      <c r="L143" s="149" t="s">
        <v>577</v>
      </c>
      <c r="M143" s="149" t="s">
        <v>351</v>
      </c>
      <c r="N143" s="149" t="s">
        <v>351</v>
      </c>
      <c r="O143" s="150">
        <v>5550</v>
      </c>
      <c r="P143" s="150">
        <v>350</v>
      </c>
      <c r="Q143" s="150">
        <v>6761</v>
      </c>
      <c r="R143" s="150">
        <v>2675</v>
      </c>
      <c r="S143" s="151">
        <v>115.625</v>
      </c>
      <c r="T143" s="149" t="s">
        <v>519</v>
      </c>
      <c r="U143" s="149" t="s">
        <v>351</v>
      </c>
      <c r="V143" s="149" t="s">
        <v>519</v>
      </c>
      <c r="W143" s="149" t="s">
        <v>520</v>
      </c>
      <c r="X143" s="149" t="s">
        <v>554</v>
      </c>
      <c r="Y143" s="149" t="s">
        <v>351</v>
      </c>
      <c r="Z143" s="149" t="s">
        <v>521</v>
      </c>
      <c r="AA143" s="149" t="s">
        <v>546</v>
      </c>
      <c r="AB143" s="149" t="s">
        <v>783</v>
      </c>
      <c r="AC143" s="149" t="s">
        <v>547</v>
      </c>
      <c r="AD143" s="149" t="s">
        <v>532</v>
      </c>
      <c r="AE143" s="149" t="s">
        <v>519</v>
      </c>
      <c r="AF143" s="149" t="s">
        <v>518</v>
      </c>
    </row>
    <row r="144" spans="1:32" x14ac:dyDescent="0.25">
      <c r="A144" s="149" t="s">
        <v>784</v>
      </c>
      <c r="B144" s="149" t="s">
        <v>576</v>
      </c>
      <c r="C144" s="149" t="s">
        <v>692</v>
      </c>
      <c r="D144" s="149" t="s">
        <v>693</v>
      </c>
      <c r="E144" s="149" t="s">
        <v>351</v>
      </c>
      <c r="F144" s="149" t="s">
        <v>351</v>
      </c>
      <c r="G144" s="149" t="s">
        <v>132</v>
      </c>
      <c r="H144" s="149">
        <v>19</v>
      </c>
      <c r="I144" s="149" t="s">
        <v>247</v>
      </c>
      <c r="J144" s="150">
        <v>500</v>
      </c>
      <c r="K144" s="149" t="s">
        <v>351</v>
      </c>
      <c r="L144" s="149" t="s">
        <v>649</v>
      </c>
      <c r="M144" s="149" t="s">
        <v>351</v>
      </c>
      <c r="N144" s="149" t="s">
        <v>351</v>
      </c>
      <c r="O144" s="150">
        <v>5495</v>
      </c>
      <c r="P144" s="149" t="s">
        <v>351</v>
      </c>
      <c r="Q144" s="150">
        <v>6000</v>
      </c>
      <c r="R144" s="150">
        <v>2745</v>
      </c>
      <c r="S144" s="149" t="s">
        <v>351</v>
      </c>
      <c r="T144" s="149" t="s">
        <v>519</v>
      </c>
      <c r="U144" s="149" t="s">
        <v>351</v>
      </c>
      <c r="V144" s="149" t="s">
        <v>519</v>
      </c>
      <c r="W144" s="149" t="s">
        <v>351</v>
      </c>
      <c r="X144" s="149" t="s">
        <v>351</v>
      </c>
      <c r="Y144" s="149" t="s">
        <v>351</v>
      </c>
      <c r="Z144" s="149" t="s">
        <v>609</v>
      </c>
      <c r="AA144" s="149" t="s">
        <v>780</v>
      </c>
      <c r="AB144" s="149" t="s">
        <v>695</v>
      </c>
      <c r="AC144" s="149" t="s">
        <v>652</v>
      </c>
      <c r="AD144" s="149" t="s">
        <v>525</v>
      </c>
      <c r="AE144" s="149" t="s">
        <v>519</v>
      </c>
      <c r="AF144" s="149" t="s">
        <v>518</v>
      </c>
    </row>
    <row r="145" spans="1:32" x14ac:dyDescent="0.25">
      <c r="A145" s="149" t="s">
        <v>785</v>
      </c>
      <c r="B145" s="149" t="s">
        <v>511</v>
      </c>
      <c r="C145" s="149" t="s">
        <v>512</v>
      </c>
      <c r="D145" s="149" t="s">
        <v>513</v>
      </c>
      <c r="E145" s="149" t="s">
        <v>514</v>
      </c>
      <c r="F145" s="149" t="s">
        <v>515</v>
      </c>
      <c r="G145" s="149" t="s">
        <v>244</v>
      </c>
      <c r="H145" s="149">
        <v>5</v>
      </c>
      <c r="I145" s="149" t="s">
        <v>351</v>
      </c>
      <c r="J145" s="150">
        <v>1119.4666666666667</v>
      </c>
      <c r="K145" s="149">
        <v>17</v>
      </c>
      <c r="L145" s="149" t="s">
        <v>516</v>
      </c>
      <c r="M145" s="149">
        <v>17</v>
      </c>
      <c r="N145" s="149" t="s">
        <v>517</v>
      </c>
      <c r="O145" s="150">
        <v>5488.4</v>
      </c>
      <c r="P145" s="150">
        <v>1317</v>
      </c>
      <c r="Q145" s="149" t="s">
        <v>351</v>
      </c>
      <c r="R145" s="150">
        <v>5488.4</v>
      </c>
      <c r="S145" s="151">
        <v>26.90392156862745</v>
      </c>
      <c r="T145" s="149" t="s">
        <v>519</v>
      </c>
      <c r="U145" s="149" t="s">
        <v>351</v>
      </c>
      <c r="V145" s="149" t="s">
        <v>518</v>
      </c>
      <c r="W145" s="149" t="s">
        <v>520</v>
      </c>
      <c r="X145" s="149" t="s">
        <v>544</v>
      </c>
      <c r="Y145" s="149" t="s">
        <v>355</v>
      </c>
      <c r="Z145" s="149" t="s">
        <v>521</v>
      </c>
      <c r="AA145" s="149" t="s">
        <v>549</v>
      </c>
      <c r="AB145" s="149" t="s">
        <v>550</v>
      </c>
      <c r="AC145" s="149" t="s">
        <v>531</v>
      </c>
      <c r="AD145" s="149" t="s">
        <v>532</v>
      </c>
      <c r="AE145" s="149" t="s">
        <v>518</v>
      </c>
      <c r="AF145" s="149" t="s">
        <v>351</v>
      </c>
    </row>
    <row r="146" spans="1:32" x14ac:dyDescent="0.25">
      <c r="A146" s="149" t="s">
        <v>786</v>
      </c>
      <c r="B146" s="149" t="s">
        <v>511</v>
      </c>
      <c r="C146" s="149" t="s">
        <v>512</v>
      </c>
      <c r="D146" s="149" t="s">
        <v>513</v>
      </c>
      <c r="E146" s="149" t="s">
        <v>514</v>
      </c>
      <c r="F146" s="149" t="s">
        <v>515</v>
      </c>
      <c r="G146" s="149" t="s">
        <v>203</v>
      </c>
      <c r="H146" s="149">
        <v>16</v>
      </c>
      <c r="I146" s="149" t="s">
        <v>351</v>
      </c>
      <c r="J146" s="150">
        <v>495</v>
      </c>
      <c r="K146" s="149">
        <v>4</v>
      </c>
      <c r="L146" s="149" t="s">
        <v>569</v>
      </c>
      <c r="M146" s="149" t="s">
        <v>351</v>
      </c>
      <c r="N146" s="149" t="s">
        <v>351</v>
      </c>
      <c r="O146" s="150">
        <v>5405</v>
      </c>
      <c r="P146" s="150">
        <v>495</v>
      </c>
      <c r="Q146" s="150">
        <v>3720</v>
      </c>
      <c r="R146" s="150">
        <v>3405</v>
      </c>
      <c r="S146" s="151">
        <v>112.60416666666667</v>
      </c>
      <c r="T146" s="149" t="s">
        <v>519</v>
      </c>
      <c r="U146" s="149" t="s">
        <v>351</v>
      </c>
      <c r="V146" s="149" t="s">
        <v>519</v>
      </c>
      <c r="W146" s="149" t="s">
        <v>520</v>
      </c>
      <c r="X146" s="149" t="s">
        <v>544</v>
      </c>
      <c r="Y146" s="149" t="s">
        <v>351</v>
      </c>
      <c r="Z146" s="149" t="s">
        <v>521</v>
      </c>
      <c r="AA146" s="149" t="s">
        <v>766</v>
      </c>
      <c r="AB146" s="149" t="s">
        <v>536</v>
      </c>
      <c r="AC146" s="149" t="s">
        <v>524</v>
      </c>
      <c r="AD146" s="149" t="s">
        <v>537</v>
      </c>
      <c r="AE146" s="149" t="s">
        <v>518</v>
      </c>
      <c r="AF146" s="149" t="s">
        <v>351</v>
      </c>
    </row>
    <row r="147" spans="1:32" x14ac:dyDescent="0.25">
      <c r="A147" s="149" t="s">
        <v>787</v>
      </c>
      <c r="B147" s="149" t="s">
        <v>576</v>
      </c>
      <c r="C147" s="149" t="s">
        <v>646</v>
      </c>
      <c r="D147" s="149" t="s">
        <v>788</v>
      </c>
      <c r="E147" s="149" t="s">
        <v>351</v>
      </c>
      <c r="F147" s="149" t="s">
        <v>351</v>
      </c>
      <c r="G147" s="149" t="s">
        <v>648</v>
      </c>
      <c r="H147" s="149">
        <v>63</v>
      </c>
      <c r="I147" s="149" t="s">
        <v>351</v>
      </c>
      <c r="J147" s="150">
        <v>455</v>
      </c>
      <c r="K147" s="149" t="s">
        <v>351</v>
      </c>
      <c r="L147" s="149" t="s">
        <v>649</v>
      </c>
      <c r="M147" s="149" t="s">
        <v>351</v>
      </c>
      <c r="N147" s="149" t="s">
        <v>351</v>
      </c>
      <c r="O147" s="150">
        <v>5400</v>
      </c>
      <c r="P147" s="150">
        <v>455</v>
      </c>
      <c r="Q147" s="150">
        <v>5320</v>
      </c>
      <c r="R147" s="150">
        <v>3185</v>
      </c>
      <c r="S147" s="149" t="s">
        <v>351</v>
      </c>
      <c r="T147" s="149" t="s">
        <v>519</v>
      </c>
      <c r="U147" s="149" t="s">
        <v>351</v>
      </c>
      <c r="V147" s="149" t="s">
        <v>519</v>
      </c>
      <c r="W147" s="149" t="s">
        <v>351</v>
      </c>
      <c r="X147" s="149" t="s">
        <v>351</v>
      </c>
      <c r="Y147" s="149" t="s">
        <v>351</v>
      </c>
      <c r="Z147" s="149" t="s">
        <v>521</v>
      </c>
      <c r="AA147" s="149" t="s">
        <v>683</v>
      </c>
      <c r="AB147" s="149" t="s">
        <v>651</v>
      </c>
      <c r="AC147" s="149" t="s">
        <v>652</v>
      </c>
      <c r="AD147" s="149" t="s">
        <v>537</v>
      </c>
      <c r="AE147" s="149" t="s">
        <v>519</v>
      </c>
      <c r="AF147" s="149" t="s">
        <v>351</v>
      </c>
    </row>
    <row r="148" spans="1:32" x14ac:dyDescent="0.25">
      <c r="A148" s="149" t="s">
        <v>789</v>
      </c>
      <c r="B148" s="149" t="s">
        <v>576</v>
      </c>
      <c r="C148" s="149" t="s">
        <v>646</v>
      </c>
      <c r="D148" s="149" t="s">
        <v>790</v>
      </c>
      <c r="E148" s="149" t="s">
        <v>351</v>
      </c>
      <c r="F148" s="149" t="s">
        <v>351</v>
      </c>
      <c r="G148" s="149" t="s">
        <v>791</v>
      </c>
      <c r="H148" s="149">
        <v>43</v>
      </c>
      <c r="I148" s="149" t="s">
        <v>636</v>
      </c>
      <c r="J148" s="150">
        <v>455</v>
      </c>
      <c r="K148" s="149" t="s">
        <v>351</v>
      </c>
      <c r="L148" s="149" t="s">
        <v>649</v>
      </c>
      <c r="M148" s="149" t="s">
        <v>351</v>
      </c>
      <c r="N148" s="149" t="s">
        <v>351</v>
      </c>
      <c r="O148" s="150">
        <v>5385</v>
      </c>
      <c r="P148" s="150">
        <v>455</v>
      </c>
      <c r="Q148" s="150">
        <v>5295</v>
      </c>
      <c r="R148" s="150">
        <v>3185</v>
      </c>
      <c r="S148" s="149" t="s">
        <v>351</v>
      </c>
      <c r="T148" s="149" t="s">
        <v>519</v>
      </c>
      <c r="U148" s="149" t="s">
        <v>351</v>
      </c>
      <c r="V148" s="149" t="s">
        <v>519</v>
      </c>
      <c r="W148" s="149" t="s">
        <v>351</v>
      </c>
      <c r="X148" s="149" t="s">
        <v>351</v>
      </c>
      <c r="Y148" s="149" t="s">
        <v>351</v>
      </c>
      <c r="Z148" s="149" t="s">
        <v>609</v>
      </c>
      <c r="AA148" s="149" t="s">
        <v>683</v>
      </c>
      <c r="AB148" s="149" t="s">
        <v>651</v>
      </c>
      <c r="AC148" s="149" t="s">
        <v>652</v>
      </c>
      <c r="AD148" s="149" t="s">
        <v>537</v>
      </c>
      <c r="AE148" s="149" t="s">
        <v>519</v>
      </c>
      <c r="AF148" s="149" t="s">
        <v>519</v>
      </c>
    </row>
    <row r="149" spans="1:32" x14ac:dyDescent="0.25">
      <c r="A149" s="149" t="s">
        <v>792</v>
      </c>
      <c r="B149" s="149" t="s">
        <v>511</v>
      </c>
      <c r="C149" s="149" t="s">
        <v>692</v>
      </c>
      <c r="D149" s="149" t="s">
        <v>693</v>
      </c>
      <c r="E149" s="149" t="s">
        <v>351</v>
      </c>
      <c r="F149" s="149" t="s">
        <v>351</v>
      </c>
      <c r="G149" s="149" t="s">
        <v>131</v>
      </c>
      <c r="H149" s="149">
        <v>22</v>
      </c>
      <c r="I149" s="149" t="s">
        <v>351</v>
      </c>
      <c r="J149" s="150">
        <v>425</v>
      </c>
      <c r="K149" s="149" t="s">
        <v>351</v>
      </c>
      <c r="L149" s="149" t="s">
        <v>718</v>
      </c>
      <c r="M149" s="149" t="s">
        <v>351</v>
      </c>
      <c r="N149" s="149" t="s">
        <v>351</v>
      </c>
      <c r="O149" s="150">
        <v>5280</v>
      </c>
      <c r="P149" s="150">
        <v>425</v>
      </c>
      <c r="Q149" s="150">
        <v>5220</v>
      </c>
      <c r="R149" s="150">
        <v>3215</v>
      </c>
      <c r="S149" s="149" t="s">
        <v>351</v>
      </c>
      <c r="T149" s="149" t="s">
        <v>519</v>
      </c>
      <c r="U149" s="149" t="s">
        <v>351</v>
      </c>
      <c r="V149" s="149" t="s">
        <v>519</v>
      </c>
      <c r="W149" s="149" t="s">
        <v>351</v>
      </c>
      <c r="X149" s="149" t="s">
        <v>539</v>
      </c>
      <c r="Y149" s="149" t="s">
        <v>351</v>
      </c>
      <c r="Z149" s="149" t="s">
        <v>351</v>
      </c>
      <c r="AA149" s="149" t="s">
        <v>719</v>
      </c>
      <c r="AB149" s="149" t="s">
        <v>695</v>
      </c>
      <c r="AC149" s="149" t="s">
        <v>652</v>
      </c>
      <c r="AD149" s="149" t="s">
        <v>696</v>
      </c>
      <c r="AE149" s="149" t="s">
        <v>519</v>
      </c>
      <c r="AF149" s="149" t="s">
        <v>351</v>
      </c>
    </row>
    <row r="150" spans="1:32" x14ac:dyDescent="0.25">
      <c r="A150" s="149" t="s">
        <v>793</v>
      </c>
      <c r="B150" s="149" t="s">
        <v>511</v>
      </c>
      <c r="C150" s="149" t="s">
        <v>692</v>
      </c>
      <c r="D150" s="149" t="s">
        <v>693</v>
      </c>
      <c r="E150" s="149" t="s">
        <v>351</v>
      </c>
      <c r="F150" s="149" t="s">
        <v>351</v>
      </c>
      <c r="G150" s="149" t="s">
        <v>200</v>
      </c>
      <c r="H150" s="149">
        <v>19</v>
      </c>
      <c r="I150" s="149" t="s">
        <v>351</v>
      </c>
      <c r="J150" s="150">
        <v>406.66666666666669</v>
      </c>
      <c r="K150" s="149" t="s">
        <v>351</v>
      </c>
      <c r="L150" s="149" t="s">
        <v>718</v>
      </c>
      <c r="M150" s="149" t="s">
        <v>351</v>
      </c>
      <c r="N150" s="149" t="s">
        <v>351</v>
      </c>
      <c r="O150" s="150">
        <v>5170</v>
      </c>
      <c r="P150" s="150">
        <v>410</v>
      </c>
      <c r="Q150" s="150">
        <v>5535</v>
      </c>
      <c r="R150" s="150">
        <v>2870</v>
      </c>
      <c r="S150" s="149" t="s">
        <v>351</v>
      </c>
      <c r="T150" s="149" t="s">
        <v>519</v>
      </c>
      <c r="U150" s="149" t="s">
        <v>351</v>
      </c>
      <c r="V150" s="149" t="s">
        <v>519</v>
      </c>
      <c r="W150" s="149" t="s">
        <v>351</v>
      </c>
      <c r="X150" s="149" t="s">
        <v>351</v>
      </c>
      <c r="Y150" s="149" t="s">
        <v>351</v>
      </c>
      <c r="Z150" s="149" t="s">
        <v>609</v>
      </c>
      <c r="AA150" s="149" t="s">
        <v>780</v>
      </c>
      <c r="AB150" s="149" t="s">
        <v>695</v>
      </c>
      <c r="AC150" s="149" t="s">
        <v>652</v>
      </c>
      <c r="AD150" s="149" t="s">
        <v>696</v>
      </c>
      <c r="AE150" s="149" t="s">
        <v>519</v>
      </c>
      <c r="AF150" s="149" t="s">
        <v>351</v>
      </c>
    </row>
    <row r="151" spans="1:32" x14ac:dyDescent="0.25">
      <c r="A151" s="149" t="s">
        <v>794</v>
      </c>
      <c r="B151" s="149" t="s">
        <v>511</v>
      </c>
      <c r="C151" s="149" t="s">
        <v>512</v>
      </c>
      <c r="D151" s="149" t="s">
        <v>513</v>
      </c>
      <c r="E151" s="149" t="s">
        <v>514</v>
      </c>
      <c r="F151" s="149" t="s">
        <v>515</v>
      </c>
      <c r="G151" s="149" t="s">
        <v>245</v>
      </c>
      <c r="H151" s="149">
        <v>4</v>
      </c>
      <c r="I151" s="149" t="s">
        <v>351</v>
      </c>
      <c r="J151" s="150">
        <v>1265</v>
      </c>
      <c r="K151" s="149">
        <v>13</v>
      </c>
      <c r="L151" s="149" t="s">
        <v>516</v>
      </c>
      <c r="M151" s="149">
        <v>13</v>
      </c>
      <c r="N151" s="149" t="s">
        <v>517</v>
      </c>
      <c r="O151" s="150">
        <v>5155</v>
      </c>
      <c r="P151" s="150">
        <v>935</v>
      </c>
      <c r="Q151" s="149" t="s">
        <v>351</v>
      </c>
      <c r="R151" s="150">
        <v>5155</v>
      </c>
      <c r="S151" s="151">
        <v>33.044871794871796</v>
      </c>
      <c r="T151" s="149" t="s">
        <v>518</v>
      </c>
      <c r="U151" s="149">
        <v>3</v>
      </c>
      <c r="V151" s="149" t="s">
        <v>519</v>
      </c>
      <c r="W151" s="149" t="s">
        <v>520</v>
      </c>
      <c r="X151" s="149" t="s">
        <v>528</v>
      </c>
      <c r="Y151" s="149" t="s">
        <v>351</v>
      </c>
      <c r="Z151" s="149" t="s">
        <v>521</v>
      </c>
      <c r="AA151" s="149" t="s">
        <v>679</v>
      </c>
      <c r="AB151" s="149" t="s">
        <v>795</v>
      </c>
      <c r="AC151" s="149" t="s">
        <v>531</v>
      </c>
      <c r="AD151" s="149" t="s">
        <v>572</v>
      </c>
      <c r="AE151" s="149" t="s">
        <v>518</v>
      </c>
      <c r="AF151" s="149" t="s">
        <v>351</v>
      </c>
    </row>
    <row r="152" spans="1:32" x14ac:dyDescent="0.25">
      <c r="A152" s="149" t="s">
        <v>796</v>
      </c>
      <c r="B152" s="149" t="s">
        <v>511</v>
      </c>
      <c r="C152" s="149" t="s">
        <v>512</v>
      </c>
      <c r="D152" s="149" t="s">
        <v>513</v>
      </c>
      <c r="E152" s="149" t="s">
        <v>514</v>
      </c>
      <c r="F152" s="149" t="s">
        <v>515</v>
      </c>
      <c r="G152" s="149" t="s">
        <v>207</v>
      </c>
      <c r="H152" s="149">
        <v>12</v>
      </c>
      <c r="I152" s="149" t="s">
        <v>351</v>
      </c>
      <c r="J152" s="150">
        <v>596.62</v>
      </c>
      <c r="K152" s="149">
        <v>5</v>
      </c>
      <c r="L152" s="149" t="s">
        <v>569</v>
      </c>
      <c r="M152" s="149" t="s">
        <v>351</v>
      </c>
      <c r="N152" s="149" t="s">
        <v>351</v>
      </c>
      <c r="O152" s="150">
        <v>5149.8599999999997</v>
      </c>
      <c r="P152" s="150">
        <v>625</v>
      </c>
      <c r="Q152" s="150">
        <v>1205</v>
      </c>
      <c r="R152" s="150">
        <v>3944.86</v>
      </c>
      <c r="S152" s="151">
        <v>85.830999999999989</v>
      </c>
      <c r="T152" s="149" t="s">
        <v>518</v>
      </c>
      <c r="U152" s="149">
        <v>4</v>
      </c>
      <c r="V152" s="149" t="s">
        <v>519</v>
      </c>
      <c r="W152" s="149" t="s">
        <v>520</v>
      </c>
      <c r="X152" s="149" t="s">
        <v>539</v>
      </c>
      <c r="Y152" s="149" t="s">
        <v>351</v>
      </c>
      <c r="Z152" s="149" t="s">
        <v>521</v>
      </c>
      <c r="AA152" s="149" t="s">
        <v>614</v>
      </c>
      <c r="AB152" s="149" t="s">
        <v>541</v>
      </c>
      <c r="AC152" s="149" t="s">
        <v>531</v>
      </c>
      <c r="AD152" s="149" t="s">
        <v>525</v>
      </c>
      <c r="AE152" s="149" t="s">
        <v>518</v>
      </c>
      <c r="AF152" s="149" t="s">
        <v>351</v>
      </c>
    </row>
    <row r="153" spans="1:32" x14ac:dyDescent="0.25">
      <c r="A153" s="149" t="s">
        <v>797</v>
      </c>
      <c r="B153" s="149" t="s">
        <v>511</v>
      </c>
      <c r="C153" s="149" t="s">
        <v>692</v>
      </c>
      <c r="D153" s="149" t="s">
        <v>693</v>
      </c>
      <c r="E153" s="149" t="s">
        <v>351</v>
      </c>
      <c r="F153" s="149" t="s">
        <v>351</v>
      </c>
      <c r="G153" s="149" t="s">
        <v>207</v>
      </c>
      <c r="H153" s="149">
        <v>12</v>
      </c>
      <c r="I153" s="149" t="s">
        <v>351</v>
      </c>
      <c r="J153" s="150">
        <v>410</v>
      </c>
      <c r="K153" s="149" t="s">
        <v>351</v>
      </c>
      <c r="L153" s="149" t="s">
        <v>718</v>
      </c>
      <c r="M153" s="149" t="s">
        <v>351</v>
      </c>
      <c r="N153" s="149" t="s">
        <v>351</v>
      </c>
      <c r="O153" s="150">
        <v>5117.5</v>
      </c>
      <c r="P153" s="150">
        <v>410</v>
      </c>
      <c r="Q153" s="150">
        <v>1945</v>
      </c>
      <c r="R153" s="150">
        <v>3172.5</v>
      </c>
      <c r="S153" s="149" t="s">
        <v>351</v>
      </c>
      <c r="T153" s="149" t="s">
        <v>519</v>
      </c>
      <c r="U153" s="149" t="s">
        <v>351</v>
      </c>
      <c r="V153" s="149" t="s">
        <v>519</v>
      </c>
      <c r="W153" s="149" t="s">
        <v>527</v>
      </c>
      <c r="X153" s="149" t="s">
        <v>544</v>
      </c>
      <c r="Y153" s="149" t="s">
        <v>351</v>
      </c>
      <c r="Z153" s="149" t="s">
        <v>609</v>
      </c>
      <c r="AA153" s="149" t="s">
        <v>694</v>
      </c>
      <c r="AB153" s="149" t="s">
        <v>695</v>
      </c>
      <c r="AC153" s="149" t="s">
        <v>652</v>
      </c>
      <c r="AD153" s="149" t="s">
        <v>696</v>
      </c>
      <c r="AE153" s="149" t="s">
        <v>519</v>
      </c>
      <c r="AF153" s="149" t="s">
        <v>351</v>
      </c>
    </row>
    <row r="154" spans="1:32" x14ac:dyDescent="0.25">
      <c r="A154" s="149" t="s">
        <v>798</v>
      </c>
      <c r="B154" s="149" t="s">
        <v>576</v>
      </c>
      <c r="C154" s="149" t="s">
        <v>512</v>
      </c>
      <c r="D154" s="149" t="s">
        <v>351</v>
      </c>
      <c r="E154" s="149" t="s">
        <v>351</v>
      </c>
      <c r="F154" s="149" t="s">
        <v>351</v>
      </c>
      <c r="G154" s="149" t="s">
        <v>799</v>
      </c>
      <c r="H154" s="149">
        <v>44</v>
      </c>
      <c r="I154" s="149" t="s">
        <v>351</v>
      </c>
      <c r="J154" s="150">
        <v>666.66666666666663</v>
      </c>
      <c r="K154" s="149">
        <v>14</v>
      </c>
      <c r="L154" s="149" t="s">
        <v>577</v>
      </c>
      <c r="M154" s="149" t="s">
        <v>351</v>
      </c>
      <c r="N154" s="149" t="s">
        <v>351</v>
      </c>
      <c r="O154" s="150">
        <v>5080</v>
      </c>
      <c r="P154" s="149" t="s">
        <v>351</v>
      </c>
      <c r="Q154" s="150">
        <v>6770</v>
      </c>
      <c r="R154" s="150">
        <v>2000</v>
      </c>
      <c r="S154" s="151">
        <v>30.238095238095237</v>
      </c>
      <c r="T154" s="149" t="s">
        <v>519</v>
      </c>
      <c r="U154" s="149" t="s">
        <v>351</v>
      </c>
      <c r="V154" s="149" t="s">
        <v>519</v>
      </c>
      <c r="W154" s="149" t="s">
        <v>351</v>
      </c>
      <c r="X154" s="149" t="s">
        <v>351</v>
      </c>
      <c r="Y154" s="149" t="s">
        <v>351</v>
      </c>
      <c r="Z154" s="149" t="s">
        <v>351</v>
      </c>
      <c r="AA154" s="149" t="s">
        <v>351</v>
      </c>
      <c r="AB154" s="149" t="s">
        <v>351</v>
      </c>
      <c r="AC154" s="149" t="s">
        <v>351</v>
      </c>
      <c r="AD154" s="149" t="s">
        <v>351</v>
      </c>
      <c r="AE154" s="149" t="s">
        <v>519</v>
      </c>
      <c r="AF154" s="149" t="s">
        <v>351</v>
      </c>
    </row>
    <row r="155" spans="1:32" x14ac:dyDescent="0.25">
      <c r="A155" s="149" t="s">
        <v>800</v>
      </c>
      <c r="B155" s="149" t="s">
        <v>511</v>
      </c>
      <c r="C155" s="149" t="s">
        <v>692</v>
      </c>
      <c r="D155" s="149" t="s">
        <v>693</v>
      </c>
      <c r="E155" s="149" t="s">
        <v>351</v>
      </c>
      <c r="F155" s="149" t="s">
        <v>351</v>
      </c>
      <c r="G155" s="149" t="s">
        <v>704</v>
      </c>
      <c r="H155" s="149">
        <v>45</v>
      </c>
      <c r="I155" s="149" t="s">
        <v>351</v>
      </c>
      <c r="J155" s="150">
        <v>425</v>
      </c>
      <c r="K155" s="149">
        <v>0</v>
      </c>
      <c r="L155" s="149" t="s">
        <v>516</v>
      </c>
      <c r="M155" s="149">
        <v>0</v>
      </c>
      <c r="N155" s="149" t="s">
        <v>517</v>
      </c>
      <c r="O155" s="150">
        <v>5025</v>
      </c>
      <c r="P155" s="150">
        <v>425</v>
      </c>
      <c r="Q155" s="150">
        <v>4850</v>
      </c>
      <c r="R155" s="150">
        <v>2975</v>
      </c>
      <c r="S155" s="149" t="s">
        <v>351</v>
      </c>
      <c r="T155" s="149" t="s">
        <v>519</v>
      </c>
      <c r="U155" s="149" t="s">
        <v>351</v>
      </c>
      <c r="V155" s="149" t="s">
        <v>519</v>
      </c>
      <c r="W155" s="149" t="s">
        <v>351</v>
      </c>
      <c r="X155" s="149" t="s">
        <v>351</v>
      </c>
      <c r="Y155" s="149" t="s">
        <v>351</v>
      </c>
      <c r="Z155" s="149" t="s">
        <v>609</v>
      </c>
      <c r="AA155" s="149" t="s">
        <v>719</v>
      </c>
      <c r="AB155" s="149" t="s">
        <v>695</v>
      </c>
      <c r="AC155" s="149" t="s">
        <v>652</v>
      </c>
      <c r="AD155" s="149" t="s">
        <v>696</v>
      </c>
      <c r="AE155" s="149" t="s">
        <v>519</v>
      </c>
      <c r="AF155" s="149" t="s">
        <v>351</v>
      </c>
    </row>
    <row r="156" spans="1:32" x14ac:dyDescent="0.25">
      <c r="A156" s="149" t="s">
        <v>801</v>
      </c>
      <c r="B156" s="149" t="s">
        <v>511</v>
      </c>
      <c r="C156" s="149" t="s">
        <v>692</v>
      </c>
      <c r="D156" s="149" t="s">
        <v>693</v>
      </c>
      <c r="E156" s="149" t="s">
        <v>351</v>
      </c>
      <c r="F156" s="149" t="s">
        <v>351</v>
      </c>
      <c r="G156" s="149" t="s">
        <v>584</v>
      </c>
      <c r="H156" s="149">
        <v>33</v>
      </c>
      <c r="I156" s="149" t="s">
        <v>351</v>
      </c>
      <c r="J156" s="150">
        <v>425</v>
      </c>
      <c r="K156" s="149">
        <v>11</v>
      </c>
      <c r="L156" s="149" t="s">
        <v>516</v>
      </c>
      <c r="M156" s="149">
        <v>11</v>
      </c>
      <c r="N156" s="149" t="s">
        <v>517</v>
      </c>
      <c r="O156" s="150">
        <v>5025</v>
      </c>
      <c r="P156" s="150">
        <v>425</v>
      </c>
      <c r="Q156" s="150">
        <v>4850</v>
      </c>
      <c r="R156" s="150">
        <v>2975</v>
      </c>
      <c r="S156" s="151">
        <v>38.06818181818182</v>
      </c>
      <c r="T156" s="149" t="s">
        <v>519</v>
      </c>
      <c r="U156" s="149" t="s">
        <v>351</v>
      </c>
      <c r="V156" s="149" t="s">
        <v>519</v>
      </c>
      <c r="W156" s="149" t="s">
        <v>351</v>
      </c>
      <c r="X156" s="149" t="s">
        <v>544</v>
      </c>
      <c r="Y156" s="149" t="s">
        <v>351</v>
      </c>
      <c r="Z156" s="149" t="s">
        <v>609</v>
      </c>
      <c r="AA156" s="149" t="s">
        <v>694</v>
      </c>
      <c r="AB156" s="149" t="s">
        <v>695</v>
      </c>
      <c r="AC156" s="149" t="s">
        <v>652</v>
      </c>
      <c r="AD156" s="149" t="s">
        <v>696</v>
      </c>
      <c r="AE156" s="149" t="s">
        <v>519</v>
      </c>
      <c r="AF156" s="149" t="s">
        <v>351</v>
      </c>
    </row>
    <row r="157" spans="1:32" x14ac:dyDescent="0.25">
      <c r="A157" s="149" t="s">
        <v>802</v>
      </c>
      <c r="B157" s="149" t="s">
        <v>511</v>
      </c>
      <c r="C157" s="149" t="s">
        <v>512</v>
      </c>
      <c r="D157" s="149" t="s">
        <v>513</v>
      </c>
      <c r="E157" s="149" t="s">
        <v>514</v>
      </c>
      <c r="F157" s="149" t="s">
        <v>515</v>
      </c>
      <c r="G157" s="149" t="s">
        <v>127</v>
      </c>
      <c r="H157" s="149">
        <v>26</v>
      </c>
      <c r="I157" s="149" t="s">
        <v>351</v>
      </c>
      <c r="J157" s="150">
        <v>452</v>
      </c>
      <c r="K157" s="149">
        <v>2</v>
      </c>
      <c r="L157" s="149" t="s">
        <v>516</v>
      </c>
      <c r="M157" s="149">
        <v>2</v>
      </c>
      <c r="N157" s="149" t="s">
        <v>517</v>
      </c>
      <c r="O157" s="150">
        <v>5001</v>
      </c>
      <c r="P157" s="150">
        <v>478</v>
      </c>
      <c r="Q157" s="150">
        <v>4775</v>
      </c>
      <c r="R157" s="150">
        <v>3001</v>
      </c>
      <c r="S157" s="151">
        <v>208.375</v>
      </c>
      <c r="T157" s="149" t="s">
        <v>518</v>
      </c>
      <c r="U157" s="149" t="s">
        <v>351</v>
      </c>
      <c r="V157" s="149" t="s">
        <v>519</v>
      </c>
      <c r="W157" s="149" t="s">
        <v>527</v>
      </c>
      <c r="X157" s="149" t="s">
        <v>351</v>
      </c>
      <c r="Y157" s="149" t="s">
        <v>351</v>
      </c>
      <c r="Z157" s="149" t="s">
        <v>521</v>
      </c>
      <c r="AA157" s="149" t="s">
        <v>622</v>
      </c>
      <c r="AB157" s="149" t="s">
        <v>546</v>
      </c>
      <c r="AC157" s="149" t="s">
        <v>547</v>
      </c>
      <c r="AD157" s="149" t="s">
        <v>532</v>
      </c>
      <c r="AE157" s="149" t="s">
        <v>519</v>
      </c>
      <c r="AF157" s="149" t="s">
        <v>351</v>
      </c>
    </row>
    <row r="158" spans="1:32" x14ac:dyDescent="0.25">
      <c r="A158" s="149" t="s">
        <v>803</v>
      </c>
      <c r="B158" s="149" t="s">
        <v>511</v>
      </c>
      <c r="C158" s="149" t="s">
        <v>692</v>
      </c>
      <c r="D158" s="149" t="s">
        <v>693</v>
      </c>
      <c r="E158" s="149" t="s">
        <v>351</v>
      </c>
      <c r="F158" s="149" t="s">
        <v>351</v>
      </c>
      <c r="G158" s="149" t="s">
        <v>206</v>
      </c>
      <c r="H158" s="149">
        <v>13</v>
      </c>
      <c r="I158" s="149" t="s">
        <v>351</v>
      </c>
      <c r="J158" s="150">
        <v>406</v>
      </c>
      <c r="K158" s="149" t="s">
        <v>351</v>
      </c>
      <c r="L158" s="149" t="s">
        <v>718</v>
      </c>
      <c r="M158" s="149" t="s">
        <v>351</v>
      </c>
      <c r="N158" s="149" t="s">
        <v>351</v>
      </c>
      <c r="O158" s="150">
        <v>4983</v>
      </c>
      <c r="P158" s="150">
        <v>418</v>
      </c>
      <c r="Q158" s="150">
        <v>2775</v>
      </c>
      <c r="R158" s="150">
        <v>2848</v>
      </c>
      <c r="S158" s="149" t="s">
        <v>351</v>
      </c>
      <c r="T158" s="149" t="s">
        <v>519</v>
      </c>
      <c r="U158" s="149" t="s">
        <v>351</v>
      </c>
      <c r="V158" s="149" t="s">
        <v>519</v>
      </c>
      <c r="W158" s="149" t="s">
        <v>527</v>
      </c>
      <c r="X158" s="149" t="s">
        <v>528</v>
      </c>
      <c r="Y158" s="149" t="s">
        <v>351</v>
      </c>
      <c r="Z158" s="149" t="s">
        <v>609</v>
      </c>
      <c r="AA158" s="149" t="s">
        <v>694</v>
      </c>
      <c r="AB158" s="149" t="s">
        <v>695</v>
      </c>
      <c r="AC158" s="149" t="s">
        <v>652</v>
      </c>
      <c r="AD158" s="149" t="s">
        <v>696</v>
      </c>
      <c r="AE158" s="149" t="s">
        <v>519</v>
      </c>
      <c r="AF158" s="149" t="s">
        <v>351</v>
      </c>
    </row>
    <row r="159" spans="1:32" x14ac:dyDescent="0.25">
      <c r="A159" s="149" t="s">
        <v>804</v>
      </c>
      <c r="B159" s="149" t="s">
        <v>576</v>
      </c>
      <c r="C159" s="149" t="s">
        <v>646</v>
      </c>
      <c r="D159" s="149" t="s">
        <v>805</v>
      </c>
      <c r="E159" s="149" t="s">
        <v>351</v>
      </c>
      <c r="F159" s="149" t="s">
        <v>351</v>
      </c>
      <c r="G159" s="149" t="s">
        <v>122</v>
      </c>
      <c r="H159" s="149">
        <v>31</v>
      </c>
      <c r="I159" s="149" t="s">
        <v>636</v>
      </c>
      <c r="J159" s="150">
        <v>410</v>
      </c>
      <c r="K159" s="149" t="s">
        <v>351</v>
      </c>
      <c r="L159" s="149" t="s">
        <v>649</v>
      </c>
      <c r="M159" s="149" t="s">
        <v>351</v>
      </c>
      <c r="N159" s="149" t="s">
        <v>351</v>
      </c>
      <c r="O159" s="150">
        <v>4920</v>
      </c>
      <c r="P159" s="150">
        <v>410</v>
      </c>
      <c r="Q159" s="150">
        <v>4815</v>
      </c>
      <c r="R159" s="150">
        <v>2870</v>
      </c>
      <c r="S159" s="149" t="s">
        <v>351</v>
      </c>
      <c r="T159" s="149" t="s">
        <v>519</v>
      </c>
      <c r="U159" s="149" t="s">
        <v>351</v>
      </c>
      <c r="V159" s="149" t="s">
        <v>519</v>
      </c>
      <c r="W159" s="149" t="s">
        <v>351</v>
      </c>
      <c r="X159" s="149" t="s">
        <v>351</v>
      </c>
      <c r="Y159" s="149" t="s">
        <v>351</v>
      </c>
      <c r="Z159" s="149" t="s">
        <v>609</v>
      </c>
      <c r="AA159" s="149" t="s">
        <v>683</v>
      </c>
      <c r="AB159" s="149" t="s">
        <v>651</v>
      </c>
      <c r="AC159" s="149" t="s">
        <v>652</v>
      </c>
      <c r="AD159" s="149" t="s">
        <v>537</v>
      </c>
      <c r="AE159" s="149" t="s">
        <v>519</v>
      </c>
      <c r="AF159" s="149" t="s">
        <v>519</v>
      </c>
    </row>
    <row r="160" spans="1:32" x14ac:dyDescent="0.25">
      <c r="A160" s="149" t="s">
        <v>806</v>
      </c>
      <c r="B160" s="149" t="s">
        <v>511</v>
      </c>
      <c r="C160" s="149" t="s">
        <v>512</v>
      </c>
      <c r="D160" s="149" t="s">
        <v>513</v>
      </c>
      <c r="E160" s="149" t="s">
        <v>514</v>
      </c>
      <c r="F160" s="149" t="s">
        <v>515</v>
      </c>
      <c r="G160" s="149" t="s">
        <v>203</v>
      </c>
      <c r="H160" s="149">
        <v>16</v>
      </c>
      <c r="I160" s="149" t="s">
        <v>351</v>
      </c>
      <c r="J160" s="150">
        <v>418</v>
      </c>
      <c r="K160" s="149">
        <v>4</v>
      </c>
      <c r="L160" s="149" t="s">
        <v>569</v>
      </c>
      <c r="M160" s="149" t="s">
        <v>351</v>
      </c>
      <c r="N160" s="149" t="s">
        <v>351</v>
      </c>
      <c r="O160" s="150">
        <v>4917</v>
      </c>
      <c r="P160" s="150">
        <v>418</v>
      </c>
      <c r="Q160" s="150">
        <v>3720</v>
      </c>
      <c r="R160" s="150">
        <v>2917</v>
      </c>
      <c r="S160" s="151">
        <v>102.4375</v>
      </c>
      <c r="T160" s="149" t="s">
        <v>519</v>
      </c>
      <c r="U160" s="149" t="s">
        <v>351</v>
      </c>
      <c r="V160" s="149" t="s">
        <v>519</v>
      </c>
      <c r="W160" s="149" t="s">
        <v>520</v>
      </c>
      <c r="X160" s="149" t="s">
        <v>351</v>
      </c>
      <c r="Y160" s="149" t="s">
        <v>351</v>
      </c>
      <c r="Z160" s="149" t="s">
        <v>521</v>
      </c>
      <c r="AA160" s="149" t="s">
        <v>529</v>
      </c>
      <c r="AB160" s="149" t="s">
        <v>530</v>
      </c>
      <c r="AC160" s="149" t="s">
        <v>531</v>
      </c>
      <c r="AD160" s="149" t="s">
        <v>532</v>
      </c>
      <c r="AE160" s="149" t="s">
        <v>518</v>
      </c>
      <c r="AF160" s="149" t="s">
        <v>351</v>
      </c>
    </row>
    <row r="161" spans="1:32" x14ac:dyDescent="0.25">
      <c r="A161" s="149" t="s">
        <v>807</v>
      </c>
      <c r="B161" s="149" t="s">
        <v>511</v>
      </c>
      <c r="C161" s="149" t="s">
        <v>692</v>
      </c>
      <c r="D161" s="149" t="s">
        <v>693</v>
      </c>
      <c r="E161" s="149" t="s">
        <v>351</v>
      </c>
      <c r="F161" s="149" t="s">
        <v>351</v>
      </c>
      <c r="G161" s="149" t="s">
        <v>808</v>
      </c>
      <c r="H161" s="149">
        <v>48</v>
      </c>
      <c r="I161" s="149" t="s">
        <v>351</v>
      </c>
      <c r="J161" s="150">
        <v>400</v>
      </c>
      <c r="K161" s="149" t="s">
        <v>351</v>
      </c>
      <c r="L161" s="149" t="s">
        <v>718</v>
      </c>
      <c r="M161" s="149" t="s">
        <v>351</v>
      </c>
      <c r="N161" s="149" t="s">
        <v>351</v>
      </c>
      <c r="O161" s="150">
        <v>4875</v>
      </c>
      <c r="P161" s="150">
        <v>400</v>
      </c>
      <c r="Q161" s="150">
        <v>4825</v>
      </c>
      <c r="R161" s="150">
        <v>2875</v>
      </c>
      <c r="S161" s="149" t="s">
        <v>351</v>
      </c>
      <c r="T161" s="149" t="s">
        <v>519</v>
      </c>
      <c r="U161" s="149" t="s">
        <v>351</v>
      </c>
      <c r="V161" s="149" t="s">
        <v>519</v>
      </c>
      <c r="W161" s="149" t="s">
        <v>527</v>
      </c>
      <c r="X161" s="149" t="s">
        <v>539</v>
      </c>
      <c r="Y161" s="149" t="s">
        <v>351</v>
      </c>
      <c r="Z161" s="149" t="s">
        <v>609</v>
      </c>
      <c r="AA161" s="149" t="s">
        <v>719</v>
      </c>
      <c r="AB161" s="149" t="s">
        <v>695</v>
      </c>
      <c r="AC161" s="149" t="s">
        <v>652</v>
      </c>
      <c r="AD161" s="149" t="s">
        <v>696</v>
      </c>
      <c r="AE161" s="149" t="s">
        <v>519</v>
      </c>
      <c r="AF161" s="149" t="s">
        <v>351</v>
      </c>
    </row>
    <row r="162" spans="1:32" x14ac:dyDescent="0.25">
      <c r="A162" s="149" t="s">
        <v>809</v>
      </c>
      <c r="B162" s="149" t="s">
        <v>511</v>
      </c>
      <c r="C162" s="149" t="s">
        <v>692</v>
      </c>
      <c r="D162" s="149" t="s">
        <v>693</v>
      </c>
      <c r="E162" s="149" t="s">
        <v>351</v>
      </c>
      <c r="F162" s="149" t="s">
        <v>351</v>
      </c>
      <c r="G162" s="149" t="s">
        <v>205</v>
      </c>
      <c r="H162" s="149">
        <v>14</v>
      </c>
      <c r="I162" s="149" t="s">
        <v>351</v>
      </c>
      <c r="J162" s="150">
        <v>412</v>
      </c>
      <c r="K162" s="149">
        <v>12</v>
      </c>
      <c r="L162" s="149" t="s">
        <v>516</v>
      </c>
      <c r="M162" s="149">
        <v>12</v>
      </c>
      <c r="N162" s="149" t="s">
        <v>517</v>
      </c>
      <c r="O162" s="150">
        <v>4866</v>
      </c>
      <c r="P162" s="150">
        <v>418</v>
      </c>
      <c r="Q162" s="150">
        <v>2800</v>
      </c>
      <c r="R162" s="150">
        <v>2866</v>
      </c>
      <c r="S162" s="151">
        <v>33.791666666666664</v>
      </c>
      <c r="T162" s="149" t="s">
        <v>519</v>
      </c>
      <c r="U162" s="149" t="s">
        <v>351</v>
      </c>
      <c r="V162" s="149" t="s">
        <v>519</v>
      </c>
      <c r="W162" s="149" t="s">
        <v>351</v>
      </c>
      <c r="X162" s="149" t="s">
        <v>544</v>
      </c>
      <c r="Y162" s="149" t="s">
        <v>351</v>
      </c>
      <c r="Z162" s="149" t="s">
        <v>609</v>
      </c>
      <c r="AA162" s="149" t="s">
        <v>780</v>
      </c>
      <c r="AB162" s="149" t="s">
        <v>695</v>
      </c>
      <c r="AC162" s="149" t="s">
        <v>652</v>
      </c>
      <c r="AD162" s="149" t="s">
        <v>696</v>
      </c>
      <c r="AE162" s="149" t="s">
        <v>519</v>
      </c>
      <c r="AF162" s="149" t="s">
        <v>351</v>
      </c>
    </row>
    <row r="163" spans="1:32" x14ac:dyDescent="0.25">
      <c r="A163" s="149" t="s">
        <v>810</v>
      </c>
      <c r="B163" s="149" t="s">
        <v>576</v>
      </c>
      <c r="C163" s="149" t="s">
        <v>646</v>
      </c>
      <c r="D163" s="149" t="s">
        <v>681</v>
      </c>
      <c r="E163" s="149" t="s">
        <v>351</v>
      </c>
      <c r="F163" s="149" t="s">
        <v>351</v>
      </c>
      <c r="G163" s="149" t="s">
        <v>771</v>
      </c>
      <c r="H163" s="149">
        <v>47</v>
      </c>
      <c r="I163" s="149" t="s">
        <v>636</v>
      </c>
      <c r="J163" s="150">
        <v>405</v>
      </c>
      <c r="K163" s="149" t="s">
        <v>351</v>
      </c>
      <c r="L163" s="149" t="s">
        <v>649</v>
      </c>
      <c r="M163" s="149" t="s">
        <v>351</v>
      </c>
      <c r="N163" s="149" t="s">
        <v>351</v>
      </c>
      <c r="O163" s="150">
        <v>4865</v>
      </c>
      <c r="P163" s="150">
        <v>405</v>
      </c>
      <c r="Q163" s="150">
        <v>4810</v>
      </c>
      <c r="R163" s="150">
        <v>2850</v>
      </c>
      <c r="S163" s="149" t="s">
        <v>351</v>
      </c>
      <c r="T163" s="149" t="s">
        <v>519</v>
      </c>
      <c r="U163" s="149" t="s">
        <v>351</v>
      </c>
      <c r="V163" s="149" t="s">
        <v>519</v>
      </c>
      <c r="W163" s="149" t="s">
        <v>351</v>
      </c>
      <c r="X163" s="149" t="s">
        <v>351</v>
      </c>
      <c r="Y163" s="149" t="s">
        <v>351</v>
      </c>
      <c r="Z163" s="149" t="s">
        <v>609</v>
      </c>
      <c r="AA163" s="149" t="s">
        <v>683</v>
      </c>
      <c r="AB163" s="149" t="s">
        <v>651</v>
      </c>
      <c r="AC163" s="149" t="s">
        <v>652</v>
      </c>
      <c r="AD163" s="149" t="s">
        <v>537</v>
      </c>
      <c r="AE163" s="149" t="s">
        <v>519</v>
      </c>
      <c r="AF163" s="149" t="s">
        <v>519</v>
      </c>
    </row>
    <row r="164" spans="1:32" x14ac:dyDescent="0.25">
      <c r="A164" s="149" t="s">
        <v>811</v>
      </c>
      <c r="B164" s="149" t="s">
        <v>511</v>
      </c>
      <c r="C164" s="149" t="s">
        <v>692</v>
      </c>
      <c r="D164" s="149" t="s">
        <v>693</v>
      </c>
      <c r="E164" s="149" t="s">
        <v>351</v>
      </c>
      <c r="F164" s="149" t="s">
        <v>351</v>
      </c>
      <c r="G164" s="149" t="s">
        <v>204</v>
      </c>
      <c r="H164" s="149">
        <v>15</v>
      </c>
      <c r="I164" s="149" t="s">
        <v>351</v>
      </c>
      <c r="J164" s="150">
        <v>418</v>
      </c>
      <c r="K164" s="149" t="s">
        <v>351</v>
      </c>
      <c r="L164" s="149" t="s">
        <v>718</v>
      </c>
      <c r="M164" s="149" t="s">
        <v>351</v>
      </c>
      <c r="N164" s="149" t="s">
        <v>351</v>
      </c>
      <c r="O164" s="150">
        <v>4854</v>
      </c>
      <c r="P164" s="150">
        <v>418</v>
      </c>
      <c r="Q164" s="150">
        <v>3020</v>
      </c>
      <c r="R164" s="150">
        <v>2854</v>
      </c>
      <c r="S164" s="149" t="s">
        <v>351</v>
      </c>
      <c r="T164" s="149" t="s">
        <v>519</v>
      </c>
      <c r="U164" s="149" t="s">
        <v>351</v>
      </c>
      <c r="V164" s="149" t="s">
        <v>519</v>
      </c>
      <c r="W164" s="149" t="s">
        <v>351</v>
      </c>
      <c r="X164" s="149" t="s">
        <v>539</v>
      </c>
      <c r="Y164" s="149" t="s">
        <v>351</v>
      </c>
      <c r="Z164" s="149" t="s">
        <v>609</v>
      </c>
      <c r="AA164" s="149" t="s">
        <v>694</v>
      </c>
      <c r="AB164" s="149" t="s">
        <v>695</v>
      </c>
      <c r="AC164" s="149" t="s">
        <v>652</v>
      </c>
      <c r="AD164" s="149" t="s">
        <v>696</v>
      </c>
      <c r="AE164" s="149" t="s">
        <v>519</v>
      </c>
      <c r="AF164" s="149" t="s">
        <v>351</v>
      </c>
    </row>
    <row r="165" spans="1:32" x14ac:dyDescent="0.25">
      <c r="A165" s="149" t="s">
        <v>812</v>
      </c>
      <c r="B165" s="149" t="s">
        <v>511</v>
      </c>
      <c r="C165" s="149" t="s">
        <v>692</v>
      </c>
      <c r="D165" s="149" t="s">
        <v>693</v>
      </c>
      <c r="E165" s="149" t="s">
        <v>351</v>
      </c>
      <c r="F165" s="149" t="s">
        <v>351</v>
      </c>
      <c r="G165" s="149" t="s">
        <v>602</v>
      </c>
      <c r="H165" s="149">
        <v>32</v>
      </c>
      <c r="I165" s="149" t="s">
        <v>351</v>
      </c>
      <c r="J165" s="150">
        <v>400</v>
      </c>
      <c r="K165" s="149" t="s">
        <v>351</v>
      </c>
      <c r="L165" s="149" t="s">
        <v>718</v>
      </c>
      <c r="M165" s="149" t="s">
        <v>351</v>
      </c>
      <c r="N165" s="149" t="s">
        <v>351</v>
      </c>
      <c r="O165" s="150">
        <v>4830</v>
      </c>
      <c r="P165" s="150">
        <v>400</v>
      </c>
      <c r="Q165" s="150">
        <v>4815</v>
      </c>
      <c r="R165" s="150">
        <v>2830</v>
      </c>
      <c r="S165" s="149" t="s">
        <v>351</v>
      </c>
      <c r="T165" s="149" t="s">
        <v>519</v>
      </c>
      <c r="U165" s="149" t="s">
        <v>351</v>
      </c>
      <c r="V165" s="149" t="s">
        <v>519</v>
      </c>
      <c r="W165" s="149" t="s">
        <v>351</v>
      </c>
      <c r="X165" s="149" t="s">
        <v>544</v>
      </c>
      <c r="Y165" s="149" t="s">
        <v>351</v>
      </c>
      <c r="Z165" s="149" t="s">
        <v>609</v>
      </c>
      <c r="AA165" s="149" t="s">
        <v>719</v>
      </c>
      <c r="AB165" s="149" t="s">
        <v>695</v>
      </c>
      <c r="AC165" s="149" t="s">
        <v>652</v>
      </c>
      <c r="AD165" s="149" t="s">
        <v>696</v>
      </c>
      <c r="AE165" s="149" t="s">
        <v>519</v>
      </c>
      <c r="AF165" s="149" t="s">
        <v>351</v>
      </c>
    </row>
    <row r="166" spans="1:32" x14ac:dyDescent="0.25">
      <c r="A166" s="149" t="s">
        <v>813</v>
      </c>
      <c r="B166" s="149" t="s">
        <v>576</v>
      </c>
      <c r="C166" s="149" t="s">
        <v>692</v>
      </c>
      <c r="D166" s="149" t="s">
        <v>693</v>
      </c>
      <c r="E166" s="149" t="s">
        <v>351</v>
      </c>
      <c r="F166" s="149" t="s">
        <v>351</v>
      </c>
      <c r="G166" s="149" t="s">
        <v>203</v>
      </c>
      <c r="H166" s="149">
        <v>16</v>
      </c>
      <c r="I166" s="149" t="s">
        <v>351</v>
      </c>
      <c r="J166" s="150">
        <v>648.33333333333337</v>
      </c>
      <c r="K166" s="149" t="s">
        <v>351</v>
      </c>
      <c r="L166" s="149" t="s">
        <v>649</v>
      </c>
      <c r="M166" s="149" t="s">
        <v>351</v>
      </c>
      <c r="N166" s="149" t="s">
        <v>351</v>
      </c>
      <c r="O166" s="150">
        <v>4820</v>
      </c>
      <c r="P166" s="149" t="s">
        <v>351</v>
      </c>
      <c r="Q166" s="150">
        <v>5336.25</v>
      </c>
      <c r="R166" s="150">
        <v>1945</v>
      </c>
      <c r="S166" s="149" t="s">
        <v>351</v>
      </c>
      <c r="T166" s="149" t="s">
        <v>518</v>
      </c>
      <c r="U166" s="149">
        <v>5</v>
      </c>
      <c r="V166" s="149" t="s">
        <v>519</v>
      </c>
      <c r="W166" s="149" t="s">
        <v>351</v>
      </c>
      <c r="X166" s="149" t="s">
        <v>351</v>
      </c>
      <c r="Y166" s="149" t="s">
        <v>351</v>
      </c>
      <c r="Z166" s="149" t="s">
        <v>609</v>
      </c>
      <c r="AA166" s="149" t="s">
        <v>719</v>
      </c>
      <c r="AB166" s="149" t="s">
        <v>695</v>
      </c>
      <c r="AC166" s="149" t="s">
        <v>652</v>
      </c>
      <c r="AD166" s="149" t="s">
        <v>525</v>
      </c>
      <c r="AE166" s="149" t="s">
        <v>519</v>
      </c>
      <c r="AF166" s="149" t="s">
        <v>351</v>
      </c>
    </row>
    <row r="167" spans="1:32" x14ac:dyDescent="0.25">
      <c r="A167" s="149" t="s">
        <v>814</v>
      </c>
      <c r="B167" s="149" t="s">
        <v>511</v>
      </c>
      <c r="C167" s="149" t="s">
        <v>512</v>
      </c>
      <c r="D167" s="149" t="s">
        <v>513</v>
      </c>
      <c r="E167" s="149" t="s">
        <v>630</v>
      </c>
      <c r="F167" s="149" t="s">
        <v>601</v>
      </c>
      <c r="G167" s="149" t="s">
        <v>246</v>
      </c>
      <c r="H167" s="149">
        <v>3</v>
      </c>
      <c r="I167" s="149" t="s">
        <v>351</v>
      </c>
      <c r="J167" s="150">
        <v>1592.6666666666667</v>
      </c>
      <c r="K167" s="149">
        <v>15</v>
      </c>
      <c r="L167" s="149" t="s">
        <v>516</v>
      </c>
      <c r="M167" s="149">
        <v>15</v>
      </c>
      <c r="N167" s="149" t="s">
        <v>517</v>
      </c>
      <c r="O167" s="150">
        <v>4778</v>
      </c>
      <c r="P167" s="150">
        <v>1108</v>
      </c>
      <c r="Q167" s="149" t="s">
        <v>351</v>
      </c>
      <c r="R167" s="150">
        <v>4778</v>
      </c>
      <c r="S167" s="151">
        <v>26.544444444444444</v>
      </c>
      <c r="T167" s="149" t="s">
        <v>519</v>
      </c>
      <c r="U167" s="149" t="s">
        <v>351</v>
      </c>
      <c r="V167" s="149" t="s">
        <v>519</v>
      </c>
      <c r="W167" s="149" t="s">
        <v>520</v>
      </c>
      <c r="X167" s="149" t="s">
        <v>554</v>
      </c>
      <c r="Y167" s="149" t="s">
        <v>355</v>
      </c>
      <c r="Z167" s="149" t="s">
        <v>521</v>
      </c>
      <c r="AA167" s="149" t="s">
        <v>662</v>
      </c>
      <c r="AB167" s="149" t="s">
        <v>662</v>
      </c>
      <c r="AC167" s="149" t="s">
        <v>547</v>
      </c>
      <c r="AD167" s="149" t="s">
        <v>525</v>
      </c>
      <c r="AE167" s="149" t="s">
        <v>518</v>
      </c>
      <c r="AF167" s="149" t="s">
        <v>351</v>
      </c>
    </row>
    <row r="168" spans="1:32" x14ac:dyDescent="0.25">
      <c r="A168" s="149" t="s">
        <v>815</v>
      </c>
      <c r="B168" s="149" t="s">
        <v>576</v>
      </c>
      <c r="C168" s="149" t="s">
        <v>646</v>
      </c>
      <c r="D168" s="149" t="s">
        <v>816</v>
      </c>
      <c r="E168" s="149" t="s">
        <v>351</v>
      </c>
      <c r="F168" s="149" t="s">
        <v>351</v>
      </c>
      <c r="G168" s="149" t="s">
        <v>648</v>
      </c>
      <c r="H168" s="149">
        <v>63</v>
      </c>
      <c r="I168" s="149" t="s">
        <v>636</v>
      </c>
      <c r="J168" s="150">
        <v>400</v>
      </c>
      <c r="K168" s="149" t="s">
        <v>351</v>
      </c>
      <c r="L168" s="149" t="s">
        <v>649</v>
      </c>
      <c r="M168" s="149" t="s">
        <v>351</v>
      </c>
      <c r="N168" s="149" t="s">
        <v>351</v>
      </c>
      <c r="O168" s="150">
        <v>4725</v>
      </c>
      <c r="P168" s="150">
        <v>400</v>
      </c>
      <c r="Q168" s="150">
        <v>4620</v>
      </c>
      <c r="R168" s="150">
        <v>2800</v>
      </c>
      <c r="S168" s="149" t="s">
        <v>351</v>
      </c>
      <c r="T168" s="149" t="s">
        <v>519</v>
      </c>
      <c r="U168" s="149" t="s">
        <v>351</v>
      </c>
      <c r="V168" s="149" t="s">
        <v>519</v>
      </c>
      <c r="W168" s="149" t="s">
        <v>351</v>
      </c>
      <c r="X168" s="149" t="s">
        <v>351</v>
      </c>
      <c r="Y168" s="149" t="s">
        <v>351</v>
      </c>
      <c r="Z168" s="149" t="s">
        <v>609</v>
      </c>
      <c r="AA168" s="149" t="s">
        <v>650</v>
      </c>
      <c r="AB168" s="149" t="s">
        <v>651</v>
      </c>
      <c r="AC168" s="149" t="s">
        <v>652</v>
      </c>
      <c r="AD168" s="149" t="s">
        <v>537</v>
      </c>
      <c r="AE168" s="149" t="s">
        <v>519</v>
      </c>
      <c r="AF168" s="149" t="s">
        <v>519</v>
      </c>
    </row>
    <row r="169" spans="1:32" x14ac:dyDescent="0.25">
      <c r="A169" s="149" t="s">
        <v>817</v>
      </c>
      <c r="B169" s="149" t="s">
        <v>511</v>
      </c>
      <c r="C169" s="149" t="s">
        <v>512</v>
      </c>
      <c r="D169" s="149" t="s">
        <v>513</v>
      </c>
      <c r="E169" s="149" t="s">
        <v>621</v>
      </c>
      <c r="F169" s="149" t="s">
        <v>608</v>
      </c>
      <c r="G169" s="149" t="s">
        <v>205</v>
      </c>
      <c r="H169" s="149">
        <v>14</v>
      </c>
      <c r="I169" s="149" t="s">
        <v>351</v>
      </c>
      <c r="J169" s="150">
        <v>363.3</v>
      </c>
      <c r="K169" s="149">
        <v>10</v>
      </c>
      <c r="L169" s="149" t="s">
        <v>516</v>
      </c>
      <c r="M169" s="149">
        <v>10</v>
      </c>
      <c r="N169" s="149" t="s">
        <v>517</v>
      </c>
      <c r="O169" s="150">
        <v>4709.8999999999996</v>
      </c>
      <c r="P169" s="150">
        <v>369.9</v>
      </c>
      <c r="Q169" s="150">
        <v>3085</v>
      </c>
      <c r="R169" s="150">
        <v>2334.9</v>
      </c>
      <c r="S169" s="151">
        <v>39.24916666666666</v>
      </c>
      <c r="T169" s="149" t="s">
        <v>518</v>
      </c>
      <c r="U169" s="149" t="s">
        <v>351</v>
      </c>
      <c r="V169" s="149" t="s">
        <v>519</v>
      </c>
      <c r="W169" s="149" t="s">
        <v>520</v>
      </c>
      <c r="X169" s="149" t="s">
        <v>528</v>
      </c>
      <c r="Y169" s="149" t="s">
        <v>351</v>
      </c>
      <c r="Z169" s="149" t="s">
        <v>521</v>
      </c>
      <c r="AA169" s="149" t="s">
        <v>605</v>
      </c>
      <c r="AB169" s="149" t="s">
        <v>541</v>
      </c>
      <c r="AC169" s="149" t="s">
        <v>531</v>
      </c>
      <c r="AD169" s="149" t="s">
        <v>525</v>
      </c>
      <c r="AE169" s="149" t="s">
        <v>518</v>
      </c>
      <c r="AF169" s="149" t="s">
        <v>351</v>
      </c>
    </row>
    <row r="170" spans="1:32" x14ac:dyDescent="0.25">
      <c r="A170" s="149" t="s">
        <v>818</v>
      </c>
      <c r="B170" s="149" t="s">
        <v>511</v>
      </c>
      <c r="C170" s="149" t="s">
        <v>512</v>
      </c>
      <c r="D170" s="149" t="s">
        <v>513</v>
      </c>
      <c r="E170" s="149" t="s">
        <v>514</v>
      </c>
      <c r="F170" s="149" t="s">
        <v>601</v>
      </c>
      <c r="G170" s="149" t="s">
        <v>206</v>
      </c>
      <c r="H170" s="149">
        <v>13</v>
      </c>
      <c r="I170" s="149" t="s">
        <v>351</v>
      </c>
      <c r="J170" s="150">
        <v>386</v>
      </c>
      <c r="K170" s="149">
        <v>2</v>
      </c>
      <c r="L170" s="149" t="s">
        <v>516</v>
      </c>
      <c r="M170" s="149">
        <v>2</v>
      </c>
      <c r="N170" s="149" t="s">
        <v>517</v>
      </c>
      <c r="O170" s="150">
        <v>4668</v>
      </c>
      <c r="P170" s="150">
        <v>358</v>
      </c>
      <c r="Q170" s="150">
        <v>2220</v>
      </c>
      <c r="R170" s="150">
        <v>2788</v>
      </c>
      <c r="S170" s="151">
        <v>194.5</v>
      </c>
      <c r="T170" s="149" t="s">
        <v>519</v>
      </c>
      <c r="U170" s="149" t="s">
        <v>351</v>
      </c>
      <c r="V170" s="149" t="s">
        <v>519</v>
      </c>
      <c r="W170" s="149" t="s">
        <v>520</v>
      </c>
      <c r="X170" s="149" t="s">
        <v>819</v>
      </c>
      <c r="Y170" s="149" t="s">
        <v>351</v>
      </c>
      <c r="Z170" s="149" t="s">
        <v>521</v>
      </c>
      <c r="AA170" s="149" t="s">
        <v>567</v>
      </c>
      <c r="AB170" s="149" t="s">
        <v>550</v>
      </c>
      <c r="AC170" s="149" t="s">
        <v>531</v>
      </c>
      <c r="AD170" s="149" t="s">
        <v>532</v>
      </c>
      <c r="AE170" s="149" t="s">
        <v>518</v>
      </c>
      <c r="AF170" s="149" t="s">
        <v>351</v>
      </c>
    </row>
    <row r="171" spans="1:32" x14ac:dyDescent="0.25">
      <c r="A171" s="149" t="s">
        <v>820</v>
      </c>
      <c r="B171" s="149" t="s">
        <v>576</v>
      </c>
      <c r="C171" s="149" t="s">
        <v>646</v>
      </c>
      <c r="D171" s="149" t="s">
        <v>821</v>
      </c>
      <c r="E171" s="149" t="s">
        <v>351</v>
      </c>
      <c r="F171" s="149" t="s">
        <v>351</v>
      </c>
      <c r="G171" s="149" t="s">
        <v>822</v>
      </c>
      <c r="H171" s="149">
        <v>58</v>
      </c>
      <c r="I171" s="149" t="s">
        <v>636</v>
      </c>
      <c r="J171" s="150">
        <v>385</v>
      </c>
      <c r="K171" s="149" t="s">
        <v>351</v>
      </c>
      <c r="L171" s="149" t="s">
        <v>649</v>
      </c>
      <c r="M171" s="149" t="s">
        <v>351</v>
      </c>
      <c r="N171" s="149" t="s">
        <v>351</v>
      </c>
      <c r="O171" s="150">
        <v>4660</v>
      </c>
      <c r="P171" s="150">
        <v>385</v>
      </c>
      <c r="Q171" s="150">
        <v>4635</v>
      </c>
      <c r="R171" s="150">
        <v>2755</v>
      </c>
      <c r="S171" s="149" t="s">
        <v>351</v>
      </c>
      <c r="T171" s="149" t="s">
        <v>519</v>
      </c>
      <c r="U171" s="149" t="s">
        <v>351</v>
      </c>
      <c r="V171" s="149" t="s">
        <v>519</v>
      </c>
      <c r="W171" s="149" t="s">
        <v>351</v>
      </c>
      <c r="X171" s="149" t="s">
        <v>351</v>
      </c>
      <c r="Y171" s="149" t="s">
        <v>351</v>
      </c>
      <c r="Z171" s="149" t="s">
        <v>609</v>
      </c>
      <c r="AA171" s="149" t="s">
        <v>683</v>
      </c>
      <c r="AB171" s="149" t="s">
        <v>651</v>
      </c>
      <c r="AC171" s="149" t="s">
        <v>652</v>
      </c>
      <c r="AD171" s="149" t="s">
        <v>537</v>
      </c>
      <c r="AE171" s="149" t="s">
        <v>519</v>
      </c>
      <c r="AF171" s="149" t="s">
        <v>519</v>
      </c>
    </row>
    <row r="172" spans="1:32" x14ac:dyDescent="0.25">
      <c r="A172" s="149" t="s">
        <v>823</v>
      </c>
      <c r="B172" s="149" t="s">
        <v>576</v>
      </c>
      <c r="C172" s="149" t="s">
        <v>512</v>
      </c>
      <c r="D172" s="149" t="s">
        <v>513</v>
      </c>
      <c r="E172" s="149" t="s">
        <v>514</v>
      </c>
      <c r="F172" s="149" t="s">
        <v>515</v>
      </c>
      <c r="G172" s="149" t="s">
        <v>204</v>
      </c>
      <c r="H172" s="149">
        <v>12</v>
      </c>
      <c r="I172" s="149" t="s">
        <v>246</v>
      </c>
      <c r="J172" s="150">
        <v>540</v>
      </c>
      <c r="K172" s="149">
        <v>0</v>
      </c>
      <c r="L172" s="149" t="s">
        <v>516</v>
      </c>
      <c r="M172" s="149">
        <v>0</v>
      </c>
      <c r="N172" s="149" t="s">
        <v>517</v>
      </c>
      <c r="O172" s="150">
        <v>4640</v>
      </c>
      <c r="P172" s="149" t="s">
        <v>351</v>
      </c>
      <c r="Q172" s="150">
        <v>4360</v>
      </c>
      <c r="R172" s="150">
        <v>2140</v>
      </c>
      <c r="S172" s="149" t="s">
        <v>351</v>
      </c>
      <c r="T172" s="149" t="s">
        <v>519</v>
      </c>
      <c r="U172" s="149" t="s">
        <v>351</v>
      </c>
      <c r="V172" s="149" t="s">
        <v>519</v>
      </c>
      <c r="W172" s="149" t="s">
        <v>527</v>
      </c>
      <c r="X172" s="149" t="s">
        <v>351</v>
      </c>
      <c r="Y172" s="149" t="s">
        <v>368</v>
      </c>
      <c r="Z172" s="149" t="s">
        <v>521</v>
      </c>
      <c r="AA172" s="149" t="s">
        <v>657</v>
      </c>
      <c r="AB172" s="149" t="s">
        <v>560</v>
      </c>
      <c r="AC172" s="149" t="s">
        <v>580</v>
      </c>
      <c r="AD172" s="149" t="s">
        <v>537</v>
      </c>
      <c r="AE172" s="149" t="s">
        <v>519</v>
      </c>
      <c r="AF172" s="149" t="s">
        <v>519</v>
      </c>
    </row>
    <row r="173" spans="1:32" x14ac:dyDescent="0.25">
      <c r="A173" s="149" t="s">
        <v>824</v>
      </c>
      <c r="B173" s="149" t="s">
        <v>576</v>
      </c>
      <c r="C173" s="149" t="s">
        <v>512</v>
      </c>
      <c r="D173" s="149" t="s">
        <v>513</v>
      </c>
      <c r="E173" s="149" t="s">
        <v>514</v>
      </c>
      <c r="F173" s="149" t="s">
        <v>515</v>
      </c>
      <c r="G173" s="149" t="s">
        <v>123</v>
      </c>
      <c r="H173" s="149">
        <v>29</v>
      </c>
      <c r="I173" s="149" t="s">
        <v>248</v>
      </c>
      <c r="J173" s="150">
        <v>358</v>
      </c>
      <c r="K173" s="149">
        <v>0</v>
      </c>
      <c r="L173" s="149" t="s">
        <v>516</v>
      </c>
      <c r="M173" s="149">
        <v>0</v>
      </c>
      <c r="N173" s="149" t="s">
        <v>517</v>
      </c>
      <c r="O173" s="150">
        <v>4625</v>
      </c>
      <c r="P173" s="149" t="s">
        <v>351</v>
      </c>
      <c r="Q173" s="150">
        <v>5960</v>
      </c>
      <c r="R173" s="150">
        <v>2475</v>
      </c>
      <c r="S173" s="149" t="s">
        <v>351</v>
      </c>
      <c r="T173" s="149" t="s">
        <v>519</v>
      </c>
      <c r="U173" s="149" t="s">
        <v>351</v>
      </c>
      <c r="V173" s="149" t="s">
        <v>519</v>
      </c>
      <c r="W173" s="149" t="s">
        <v>527</v>
      </c>
      <c r="X173" s="149" t="s">
        <v>544</v>
      </c>
      <c r="Y173" s="149" t="s">
        <v>351</v>
      </c>
      <c r="Z173" s="149" t="s">
        <v>521</v>
      </c>
      <c r="AA173" s="149" t="s">
        <v>545</v>
      </c>
      <c r="AB173" s="149" t="s">
        <v>783</v>
      </c>
      <c r="AC173" s="149" t="s">
        <v>547</v>
      </c>
      <c r="AD173" s="149" t="s">
        <v>532</v>
      </c>
      <c r="AE173" s="149" t="s">
        <v>519</v>
      </c>
      <c r="AF173" s="149" t="s">
        <v>518</v>
      </c>
    </row>
    <row r="174" spans="1:32" x14ac:dyDescent="0.25">
      <c r="A174" s="149" t="s">
        <v>825</v>
      </c>
      <c r="B174" s="149" t="s">
        <v>576</v>
      </c>
      <c r="C174" s="149" t="s">
        <v>646</v>
      </c>
      <c r="D174" s="149" t="s">
        <v>826</v>
      </c>
      <c r="E174" s="149" t="s">
        <v>351</v>
      </c>
      <c r="F174" s="149" t="s">
        <v>351</v>
      </c>
      <c r="G174" s="149" t="s">
        <v>611</v>
      </c>
      <c r="H174" s="149">
        <v>35</v>
      </c>
      <c r="I174" s="149" t="s">
        <v>636</v>
      </c>
      <c r="J174" s="150">
        <v>385</v>
      </c>
      <c r="K174" s="149" t="s">
        <v>351</v>
      </c>
      <c r="L174" s="149" t="s">
        <v>649</v>
      </c>
      <c r="M174" s="149" t="s">
        <v>351</v>
      </c>
      <c r="N174" s="149" t="s">
        <v>351</v>
      </c>
      <c r="O174" s="150">
        <v>4600</v>
      </c>
      <c r="P174" s="150">
        <v>385</v>
      </c>
      <c r="Q174" s="150">
        <v>4530</v>
      </c>
      <c r="R174" s="150">
        <v>2695</v>
      </c>
      <c r="S174" s="149" t="s">
        <v>351</v>
      </c>
      <c r="T174" s="149" t="s">
        <v>519</v>
      </c>
      <c r="U174" s="149" t="s">
        <v>351</v>
      </c>
      <c r="V174" s="149" t="s">
        <v>519</v>
      </c>
      <c r="W174" s="149" t="s">
        <v>351</v>
      </c>
      <c r="X174" s="149" t="s">
        <v>351</v>
      </c>
      <c r="Y174" s="149" t="s">
        <v>351</v>
      </c>
      <c r="Z174" s="149" t="s">
        <v>609</v>
      </c>
      <c r="AA174" s="149" t="s">
        <v>650</v>
      </c>
      <c r="AB174" s="149" t="s">
        <v>651</v>
      </c>
      <c r="AC174" s="149" t="s">
        <v>652</v>
      </c>
      <c r="AD174" s="149" t="s">
        <v>537</v>
      </c>
      <c r="AE174" s="149" t="s">
        <v>519</v>
      </c>
      <c r="AF174" s="149" t="s">
        <v>519</v>
      </c>
    </row>
    <row r="175" spans="1:32" x14ac:dyDescent="0.25">
      <c r="A175" s="149" t="s">
        <v>827</v>
      </c>
      <c r="B175" s="149" t="s">
        <v>511</v>
      </c>
      <c r="C175" s="149" t="s">
        <v>512</v>
      </c>
      <c r="D175" s="149" t="s">
        <v>513</v>
      </c>
      <c r="E175" s="149" t="s">
        <v>514</v>
      </c>
      <c r="F175" s="149" t="s">
        <v>515</v>
      </c>
      <c r="G175" s="149" t="s">
        <v>126</v>
      </c>
      <c r="H175" s="149">
        <v>27</v>
      </c>
      <c r="I175" s="149" t="s">
        <v>351</v>
      </c>
      <c r="J175" s="150">
        <v>389.33333333333331</v>
      </c>
      <c r="K175" s="149">
        <v>3</v>
      </c>
      <c r="L175" s="149" t="s">
        <v>569</v>
      </c>
      <c r="M175" s="149" t="s">
        <v>351</v>
      </c>
      <c r="N175" s="149" t="s">
        <v>351</v>
      </c>
      <c r="O175" s="150">
        <v>4588</v>
      </c>
      <c r="P175" s="150">
        <v>418</v>
      </c>
      <c r="Q175" s="150">
        <v>4535</v>
      </c>
      <c r="R175" s="150">
        <v>2758</v>
      </c>
      <c r="S175" s="151">
        <v>127.44444444444444</v>
      </c>
      <c r="T175" s="149" t="s">
        <v>519</v>
      </c>
      <c r="U175" s="149" t="s">
        <v>351</v>
      </c>
      <c r="V175" s="149" t="s">
        <v>519</v>
      </c>
      <c r="W175" s="149" t="s">
        <v>520</v>
      </c>
      <c r="X175" s="149" t="s">
        <v>528</v>
      </c>
      <c r="Y175" s="149" t="s">
        <v>351</v>
      </c>
      <c r="Z175" s="149" t="s">
        <v>521</v>
      </c>
      <c r="AA175" s="149" t="s">
        <v>603</v>
      </c>
      <c r="AB175" s="149" t="s">
        <v>595</v>
      </c>
      <c r="AC175" s="149" t="s">
        <v>524</v>
      </c>
      <c r="AD175" s="149" t="s">
        <v>537</v>
      </c>
      <c r="AE175" s="149" t="s">
        <v>518</v>
      </c>
      <c r="AF175" s="149" t="s">
        <v>351</v>
      </c>
    </row>
    <row r="176" spans="1:32" x14ac:dyDescent="0.25">
      <c r="A176" s="149" t="s">
        <v>828</v>
      </c>
      <c r="B176" s="149" t="s">
        <v>511</v>
      </c>
      <c r="C176" s="149" t="s">
        <v>692</v>
      </c>
      <c r="D176" s="149" t="s">
        <v>693</v>
      </c>
      <c r="E176" s="149" t="s">
        <v>351</v>
      </c>
      <c r="F176" s="149" t="s">
        <v>351</v>
      </c>
      <c r="G176" s="149" t="s">
        <v>586</v>
      </c>
      <c r="H176" s="149">
        <v>42</v>
      </c>
      <c r="I176" s="149" t="s">
        <v>351</v>
      </c>
      <c r="J176" s="150">
        <v>410</v>
      </c>
      <c r="K176" s="149">
        <v>0</v>
      </c>
      <c r="L176" s="149" t="s">
        <v>516</v>
      </c>
      <c r="M176" s="149">
        <v>0</v>
      </c>
      <c r="N176" s="149" t="s">
        <v>517</v>
      </c>
      <c r="O176" s="150">
        <v>4535</v>
      </c>
      <c r="P176" s="150">
        <v>410</v>
      </c>
      <c r="Q176" s="150">
        <v>4375</v>
      </c>
      <c r="R176" s="150">
        <v>2885</v>
      </c>
      <c r="S176" s="149" t="s">
        <v>351</v>
      </c>
      <c r="T176" s="149" t="s">
        <v>519</v>
      </c>
      <c r="U176" s="149" t="s">
        <v>351</v>
      </c>
      <c r="V176" s="149" t="s">
        <v>519</v>
      </c>
      <c r="W176" s="149" t="s">
        <v>351</v>
      </c>
      <c r="X176" s="149" t="s">
        <v>351</v>
      </c>
      <c r="Y176" s="149" t="s">
        <v>351</v>
      </c>
      <c r="Z176" s="149" t="s">
        <v>609</v>
      </c>
      <c r="AA176" s="149" t="s">
        <v>694</v>
      </c>
      <c r="AB176" s="149" t="s">
        <v>695</v>
      </c>
      <c r="AC176" s="149" t="s">
        <v>652</v>
      </c>
      <c r="AD176" s="149" t="s">
        <v>696</v>
      </c>
      <c r="AE176" s="149" t="s">
        <v>519</v>
      </c>
      <c r="AF176" s="149" t="s">
        <v>351</v>
      </c>
    </row>
    <row r="177" spans="1:32" x14ac:dyDescent="0.25">
      <c r="A177" s="149" t="s">
        <v>829</v>
      </c>
      <c r="B177" s="149" t="s">
        <v>511</v>
      </c>
      <c r="C177" s="149" t="s">
        <v>692</v>
      </c>
      <c r="D177" s="149" t="s">
        <v>693</v>
      </c>
      <c r="E177" s="149" t="s">
        <v>351</v>
      </c>
      <c r="F177" s="149" t="s">
        <v>351</v>
      </c>
      <c r="G177" s="149" t="s">
        <v>209</v>
      </c>
      <c r="H177" s="149">
        <v>10</v>
      </c>
      <c r="I177" s="149" t="s">
        <v>351</v>
      </c>
      <c r="J177" s="150">
        <v>420</v>
      </c>
      <c r="K177" s="149">
        <v>2</v>
      </c>
      <c r="L177" s="149" t="s">
        <v>516</v>
      </c>
      <c r="M177" s="149">
        <v>2</v>
      </c>
      <c r="N177" s="149" t="s">
        <v>517</v>
      </c>
      <c r="O177" s="150">
        <v>4415</v>
      </c>
      <c r="P177" s="150">
        <v>420</v>
      </c>
      <c r="Q177" s="150">
        <v>1520</v>
      </c>
      <c r="R177" s="150">
        <v>2895</v>
      </c>
      <c r="S177" s="151">
        <v>183.95833333333334</v>
      </c>
      <c r="T177" s="149" t="s">
        <v>518</v>
      </c>
      <c r="U177" s="149">
        <v>1</v>
      </c>
      <c r="V177" s="149" t="s">
        <v>519</v>
      </c>
      <c r="W177" s="149" t="s">
        <v>527</v>
      </c>
      <c r="X177" s="149" t="s">
        <v>544</v>
      </c>
      <c r="Y177" s="149" t="s">
        <v>351</v>
      </c>
      <c r="Z177" s="149" t="s">
        <v>609</v>
      </c>
      <c r="AA177" s="149" t="s">
        <v>719</v>
      </c>
      <c r="AB177" s="149" t="s">
        <v>695</v>
      </c>
      <c r="AC177" s="149" t="s">
        <v>652</v>
      </c>
      <c r="AD177" s="149" t="s">
        <v>696</v>
      </c>
      <c r="AE177" s="149" t="s">
        <v>519</v>
      </c>
      <c r="AF177" s="149" t="s">
        <v>351</v>
      </c>
    </row>
    <row r="178" spans="1:32" x14ac:dyDescent="0.25">
      <c r="A178" s="149" t="s">
        <v>830</v>
      </c>
      <c r="B178" s="149" t="s">
        <v>576</v>
      </c>
      <c r="C178" s="149" t="s">
        <v>692</v>
      </c>
      <c r="D178" s="149" t="s">
        <v>693</v>
      </c>
      <c r="E178" s="149" t="s">
        <v>351</v>
      </c>
      <c r="F178" s="149" t="s">
        <v>351</v>
      </c>
      <c r="G178" s="149" t="s">
        <v>205</v>
      </c>
      <c r="H178" s="149">
        <v>12</v>
      </c>
      <c r="I178" s="149" t="s">
        <v>247</v>
      </c>
      <c r="J178" s="150">
        <v>306.66666666666669</v>
      </c>
      <c r="K178" s="149" t="s">
        <v>351</v>
      </c>
      <c r="L178" s="149" t="s">
        <v>649</v>
      </c>
      <c r="M178" s="149" t="s">
        <v>351</v>
      </c>
      <c r="N178" s="149" t="s">
        <v>351</v>
      </c>
      <c r="O178" s="150">
        <v>4400</v>
      </c>
      <c r="P178" s="149" t="s">
        <v>351</v>
      </c>
      <c r="Q178" s="150">
        <v>3379.25</v>
      </c>
      <c r="R178" s="150">
        <v>2300</v>
      </c>
      <c r="S178" s="149" t="s">
        <v>351</v>
      </c>
      <c r="T178" s="149" t="s">
        <v>518</v>
      </c>
      <c r="U178" s="149" t="s">
        <v>351</v>
      </c>
      <c r="V178" s="149" t="s">
        <v>519</v>
      </c>
      <c r="W178" s="149" t="s">
        <v>351</v>
      </c>
      <c r="X178" s="149" t="s">
        <v>539</v>
      </c>
      <c r="Y178" s="149" t="s">
        <v>351</v>
      </c>
      <c r="Z178" s="149" t="s">
        <v>609</v>
      </c>
      <c r="AA178" s="149" t="s">
        <v>780</v>
      </c>
      <c r="AB178" s="149" t="s">
        <v>695</v>
      </c>
      <c r="AC178" s="149" t="s">
        <v>652</v>
      </c>
      <c r="AD178" s="149" t="s">
        <v>696</v>
      </c>
      <c r="AE178" s="149" t="s">
        <v>519</v>
      </c>
      <c r="AF178" s="149" t="s">
        <v>518</v>
      </c>
    </row>
    <row r="179" spans="1:32" x14ac:dyDescent="0.25">
      <c r="A179" s="149" t="s">
        <v>831</v>
      </c>
      <c r="B179" s="149" t="s">
        <v>576</v>
      </c>
      <c r="C179" s="149" t="s">
        <v>692</v>
      </c>
      <c r="D179" s="149" t="s">
        <v>693</v>
      </c>
      <c r="E179" s="149" t="s">
        <v>351</v>
      </c>
      <c r="F179" s="149" t="s">
        <v>351</v>
      </c>
      <c r="G179" s="149" t="s">
        <v>131</v>
      </c>
      <c r="H179" s="149">
        <v>21</v>
      </c>
      <c r="I179" s="149" t="s">
        <v>248</v>
      </c>
      <c r="J179" s="150">
        <v>400</v>
      </c>
      <c r="K179" s="149">
        <v>25</v>
      </c>
      <c r="L179" s="149" t="s">
        <v>516</v>
      </c>
      <c r="M179" s="149">
        <v>25</v>
      </c>
      <c r="N179" s="149" t="s">
        <v>517</v>
      </c>
      <c r="O179" s="150">
        <v>4390</v>
      </c>
      <c r="P179" s="149" t="s">
        <v>351</v>
      </c>
      <c r="Q179" s="150">
        <v>4755</v>
      </c>
      <c r="R179" s="150">
        <v>2400</v>
      </c>
      <c r="S179" s="151">
        <v>14.633333333333333</v>
      </c>
      <c r="T179" s="149" t="s">
        <v>519</v>
      </c>
      <c r="U179" s="149" t="s">
        <v>351</v>
      </c>
      <c r="V179" s="149" t="s">
        <v>519</v>
      </c>
      <c r="W179" s="149" t="s">
        <v>351</v>
      </c>
      <c r="X179" s="149" t="s">
        <v>554</v>
      </c>
      <c r="Y179" s="149" t="s">
        <v>351</v>
      </c>
      <c r="Z179" s="149" t="s">
        <v>609</v>
      </c>
      <c r="AA179" s="149" t="s">
        <v>694</v>
      </c>
      <c r="AB179" s="149" t="s">
        <v>695</v>
      </c>
      <c r="AC179" s="149" t="s">
        <v>652</v>
      </c>
      <c r="AD179" s="149" t="s">
        <v>525</v>
      </c>
      <c r="AE179" s="149" t="s">
        <v>519</v>
      </c>
      <c r="AF179" s="149" t="s">
        <v>518</v>
      </c>
    </row>
    <row r="180" spans="1:32" x14ac:dyDescent="0.25">
      <c r="A180" s="149" t="s">
        <v>832</v>
      </c>
      <c r="B180" s="149" t="s">
        <v>576</v>
      </c>
      <c r="C180" s="149" t="s">
        <v>512</v>
      </c>
      <c r="D180" s="149" t="s">
        <v>513</v>
      </c>
      <c r="E180" s="149" t="s">
        <v>514</v>
      </c>
      <c r="F180" s="149" t="s">
        <v>515</v>
      </c>
      <c r="G180" s="149" t="s">
        <v>206</v>
      </c>
      <c r="H180" s="149">
        <v>12</v>
      </c>
      <c r="I180" s="149" t="s">
        <v>248</v>
      </c>
      <c r="J180" s="150">
        <v>400</v>
      </c>
      <c r="K180" s="149">
        <v>4</v>
      </c>
      <c r="L180" s="149" t="s">
        <v>577</v>
      </c>
      <c r="M180" s="149" t="s">
        <v>351</v>
      </c>
      <c r="N180" s="149" t="s">
        <v>351</v>
      </c>
      <c r="O180" s="150">
        <v>4370</v>
      </c>
      <c r="P180" s="149" t="s">
        <v>351</v>
      </c>
      <c r="Q180" s="150">
        <v>1970</v>
      </c>
      <c r="R180" s="150">
        <v>2400</v>
      </c>
      <c r="S180" s="151">
        <v>91.041666666666671</v>
      </c>
      <c r="T180" s="149" t="s">
        <v>518</v>
      </c>
      <c r="U180" s="149" t="s">
        <v>351</v>
      </c>
      <c r="V180" s="149" t="s">
        <v>519</v>
      </c>
      <c r="W180" s="149" t="s">
        <v>520</v>
      </c>
      <c r="X180" s="149" t="s">
        <v>539</v>
      </c>
      <c r="Y180" s="149" t="s">
        <v>351</v>
      </c>
      <c r="Z180" s="149" t="s">
        <v>521</v>
      </c>
      <c r="AA180" s="149" t="s">
        <v>614</v>
      </c>
      <c r="AB180" s="149" t="s">
        <v>541</v>
      </c>
      <c r="AC180" s="149" t="s">
        <v>531</v>
      </c>
      <c r="AD180" s="149" t="s">
        <v>525</v>
      </c>
      <c r="AE180" s="149" t="s">
        <v>518</v>
      </c>
      <c r="AF180" s="149" t="s">
        <v>518</v>
      </c>
    </row>
    <row r="181" spans="1:32" x14ac:dyDescent="0.25">
      <c r="A181" s="149" t="s">
        <v>833</v>
      </c>
      <c r="B181" s="149" t="s">
        <v>576</v>
      </c>
      <c r="C181" s="149" t="s">
        <v>646</v>
      </c>
      <c r="D181" s="149" t="s">
        <v>351</v>
      </c>
      <c r="E181" s="149" t="s">
        <v>351</v>
      </c>
      <c r="F181" s="149" t="s">
        <v>351</v>
      </c>
      <c r="G181" s="149" t="s">
        <v>205</v>
      </c>
      <c r="H181" s="149">
        <v>12</v>
      </c>
      <c r="I181" s="149" t="s">
        <v>247</v>
      </c>
      <c r="J181" s="150">
        <v>340</v>
      </c>
      <c r="K181" s="149" t="s">
        <v>351</v>
      </c>
      <c r="L181" s="149" t="s">
        <v>649</v>
      </c>
      <c r="M181" s="149" t="s">
        <v>351</v>
      </c>
      <c r="N181" s="149" t="s">
        <v>351</v>
      </c>
      <c r="O181" s="150">
        <v>4345</v>
      </c>
      <c r="P181" s="149" t="s">
        <v>351</v>
      </c>
      <c r="Q181" s="150">
        <v>3325</v>
      </c>
      <c r="R181" s="150">
        <v>1700</v>
      </c>
      <c r="S181" s="149" t="s">
        <v>351</v>
      </c>
      <c r="T181" s="149" t="s">
        <v>519</v>
      </c>
      <c r="U181" s="149" t="s">
        <v>351</v>
      </c>
      <c r="V181" s="149" t="s">
        <v>519</v>
      </c>
      <c r="W181" s="149" t="s">
        <v>351</v>
      </c>
      <c r="X181" s="149" t="s">
        <v>351</v>
      </c>
      <c r="Y181" s="149" t="s">
        <v>351</v>
      </c>
      <c r="Z181" s="149" t="s">
        <v>609</v>
      </c>
      <c r="AA181" s="149" t="s">
        <v>780</v>
      </c>
      <c r="AB181" s="149" t="s">
        <v>695</v>
      </c>
      <c r="AC181" s="149" t="s">
        <v>652</v>
      </c>
      <c r="AD181" s="149" t="s">
        <v>696</v>
      </c>
      <c r="AE181" s="149" t="s">
        <v>519</v>
      </c>
      <c r="AF181" s="149" t="s">
        <v>518</v>
      </c>
    </row>
    <row r="182" spans="1:32" x14ac:dyDescent="0.25">
      <c r="A182" s="149" t="s">
        <v>834</v>
      </c>
      <c r="B182" s="149" t="s">
        <v>576</v>
      </c>
      <c r="C182" s="149" t="s">
        <v>671</v>
      </c>
      <c r="D182" s="149" t="s">
        <v>351</v>
      </c>
      <c r="E182" s="149" t="s">
        <v>351</v>
      </c>
      <c r="F182" s="149" t="s">
        <v>351</v>
      </c>
      <c r="G182" s="149" t="s">
        <v>129</v>
      </c>
      <c r="H182" s="149">
        <v>17</v>
      </c>
      <c r="I182" s="149" t="s">
        <v>242</v>
      </c>
      <c r="J182" s="150">
        <v>851.66666666666663</v>
      </c>
      <c r="K182" s="149" t="s">
        <v>351</v>
      </c>
      <c r="L182" s="149" t="s">
        <v>649</v>
      </c>
      <c r="M182" s="149" t="s">
        <v>351</v>
      </c>
      <c r="N182" s="149" t="s">
        <v>351</v>
      </c>
      <c r="O182" s="150">
        <v>4315</v>
      </c>
      <c r="P182" s="149" t="s">
        <v>351</v>
      </c>
      <c r="Q182" s="150">
        <v>5085</v>
      </c>
      <c r="R182" s="150">
        <v>2115</v>
      </c>
      <c r="S182" s="149" t="s">
        <v>351</v>
      </c>
      <c r="T182" s="149" t="s">
        <v>351</v>
      </c>
      <c r="U182" s="149" t="s">
        <v>351</v>
      </c>
      <c r="V182" s="149" t="s">
        <v>351</v>
      </c>
      <c r="W182" s="149" t="s">
        <v>351</v>
      </c>
      <c r="X182" s="149" t="s">
        <v>351</v>
      </c>
      <c r="Y182" s="149" t="s">
        <v>351</v>
      </c>
      <c r="Z182" s="149" t="s">
        <v>351</v>
      </c>
      <c r="AA182" s="149" t="s">
        <v>351</v>
      </c>
      <c r="AB182" s="149" t="s">
        <v>351</v>
      </c>
      <c r="AC182" s="149" t="s">
        <v>351</v>
      </c>
      <c r="AD182" s="149" t="s">
        <v>351</v>
      </c>
      <c r="AE182" s="149" t="s">
        <v>351</v>
      </c>
      <c r="AF182" s="149" t="s">
        <v>518</v>
      </c>
    </row>
    <row r="183" spans="1:32" x14ac:dyDescent="0.25">
      <c r="A183" s="149" t="s">
        <v>835</v>
      </c>
      <c r="B183" s="149" t="s">
        <v>511</v>
      </c>
      <c r="C183" s="149" t="s">
        <v>512</v>
      </c>
      <c r="D183" s="149" t="s">
        <v>513</v>
      </c>
      <c r="E183" s="149" t="s">
        <v>514</v>
      </c>
      <c r="F183" s="149" t="s">
        <v>515</v>
      </c>
      <c r="G183" s="149" t="s">
        <v>242</v>
      </c>
      <c r="H183" s="149">
        <v>7</v>
      </c>
      <c r="I183" s="149" t="s">
        <v>351</v>
      </c>
      <c r="J183" s="150">
        <v>719</v>
      </c>
      <c r="K183" s="149">
        <v>8</v>
      </c>
      <c r="L183" s="149" t="s">
        <v>516</v>
      </c>
      <c r="M183" s="149">
        <v>8</v>
      </c>
      <c r="N183" s="149" t="s">
        <v>517</v>
      </c>
      <c r="O183" s="150">
        <v>4276</v>
      </c>
      <c r="P183" s="150">
        <v>719</v>
      </c>
      <c r="Q183" s="149" t="s">
        <v>351</v>
      </c>
      <c r="R183" s="150">
        <v>4276</v>
      </c>
      <c r="S183" s="151">
        <v>44.541666666666664</v>
      </c>
      <c r="T183" s="149" t="s">
        <v>519</v>
      </c>
      <c r="U183" s="149" t="s">
        <v>351</v>
      </c>
      <c r="V183" s="149" t="s">
        <v>518</v>
      </c>
      <c r="W183" s="149" t="s">
        <v>520</v>
      </c>
      <c r="X183" s="149" t="s">
        <v>544</v>
      </c>
      <c r="Y183" s="149" t="s">
        <v>355</v>
      </c>
      <c r="Z183" s="149" t="s">
        <v>521</v>
      </c>
      <c r="AA183" s="149" t="s">
        <v>570</v>
      </c>
      <c r="AB183" s="149" t="s">
        <v>571</v>
      </c>
      <c r="AC183" s="149" t="s">
        <v>524</v>
      </c>
      <c r="AD183" s="149" t="s">
        <v>572</v>
      </c>
      <c r="AE183" s="149" t="s">
        <v>518</v>
      </c>
      <c r="AF183" s="149" t="s">
        <v>351</v>
      </c>
    </row>
    <row r="184" spans="1:32" x14ac:dyDescent="0.25">
      <c r="A184" s="149" t="s">
        <v>836</v>
      </c>
      <c r="B184" s="149" t="s">
        <v>511</v>
      </c>
      <c r="C184" s="149" t="s">
        <v>646</v>
      </c>
      <c r="D184" s="149" t="s">
        <v>837</v>
      </c>
      <c r="E184" s="149" t="s">
        <v>351</v>
      </c>
      <c r="F184" s="149" t="s">
        <v>351</v>
      </c>
      <c r="G184" s="149" t="s">
        <v>648</v>
      </c>
      <c r="H184" s="149">
        <v>63</v>
      </c>
      <c r="I184" s="149" t="s">
        <v>351</v>
      </c>
      <c r="J184" s="150">
        <v>355</v>
      </c>
      <c r="K184" s="149" t="s">
        <v>351</v>
      </c>
      <c r="L184" s="149" t="s">
        <v>682</v>
      </c>
      <c r="M184" s="149" t="s">
        <v>351</v>
      </c>
      <c r="N184" s="149" t="s">
        <v>351</v>
      </c>
      <c r="O184" s="150">
        <v>4275</v>
      </c>
      <c r="P184" s="150">
        <v>355</v>
      </c>
      <c r="Q184" s="150">
        <v>4305</v>
      </c>
      <c r="R184" s="150">
        <v>2500</v>
      </c>
      <c r="S184" s="149" t="s">
        <v>351</v>
      </c>
      <c r="T184" s="149" t="s">
        <v>519</v>
      </c>
      <c r="U184" s="149" t="s">
        <v>351</v>
      </c>
      <c r="V184" s="149" t="s">
        <v>519</v>
      </c>
      <c r="W184" s="149" t="s">
        <v>351</v>
      </c>
      <c r="X184" s="149" t="s">
        <v>351</v>
      </c>
      <c r="Y184" s="149" t="s">
        <v>351</v>
      </c>
      <c r="Z184" s="149" t="s">
        <v>609</v>
      </c>
      <c r="AA184" s="149" t="s">
        <v>650</v>
      </c>
      <c r="AB184" s="149" t="s">
        <v>651</v>
      </c>
      <c r="AC184" s="149" t="s">
        <v>652</v>
      </c>
      <c r="AD184" s="149" t="s">
        <v>537</v>
      </c>
      <c r="AE184" s="149" t="s">
        <v>519</v>
      </c>
      <c r="AF184" s="149" t="s">
        <v>351</v>
      </c>
    </row>
    <row r="185" spans="1:32" x14ac:dyDescent="0.25">
      <c r="A185" s="149" t="s">
        <v>838</v>
      </c>
      <c r="B185" s="149" t="s">
        <v>511</v>
      </c>
      <c r="C185" s="149" t="s">
        <v>512</v>
      </c>
      <c r="D185" s="149" t="s">
        <v>513</v>
      </c>
      <c r="E185" s="149" t="s">
        <v>621</v>
      </c>
      <c r="F185" s="149" t="s">
        <v>608</v>
      </c>
      <c r="G185" s="149" t="s">
        <v>205</v>
      </c>
      <c r="H185" s="149">
        <v>14</v>
      </c>
      <c r="I185" s="149" t="s">
        <v>351</v>
      </c>
      <c r="J185" s="150">
        <v>360</v>
      </c>
      <c r="K185" s="149">
        <v>5</v>
      </c>
      <c r="L185" s="149" t="s">
        <v>569</v>
      </c>
      <c r="M185" s="149" t="s">
        <v>351</v>
      </c>
      <c r="N185" s="149" t="s">
        <v>351</v>
      </c>
      <c r="O185" s="150">
        <v>4245</v>
      </c>
      <c r="P185" s="150">
        <v>360</v>
      </c>
      <c r="Q185" s="150">
        <v>2810</v>
      </c>
      <c r="R185" s="150">
        <v>2160</v>
      </c>
      <c r="S185" s="151">
        <v>70.75</v>
      </c>
      <c r="T185" s="149" t="s">
        <v>518</v>
      </c>
      <c r="U185" s="149">
        <v>6</v>
      </c>
      <c r="V185" s="149" t="s">
        <v>519</v>
      </c>
      <c r="W185" s="149" t="s">
        <v>520</v>
      </c>
      <c r="X185" s="149" t="s">
        <v>528</v>
      </c>
      <c r="Y185" s="149" t="s">
        <v>351</v>
      </c>
      <c r="Z185" s="149" t="s">
        <v>521</v>
      </c>
      <c r="AA185" s="149" t="s">
        <v>545</v>
      </c>
      <c r="AB185" s="149" t="s">
        <v>546</v>
      </c>
      <c r="AC185" s="149" t="s">
        <v>547</v>
      </c>
      <c r="AD185" s="149" t="s">
        <v>532</v>
      </c>
      <c r="AE185" s="149" t="s">
        <v>518</v>
      </c>
      <c r="AF185" s="149" t="s">
        <v>351</v>
      </c>
    </row>
    <row r="186" spans="1:32" x14ac:dyDescent="0.25">
      <c r="A186" s="149" t="s">
        <v>839</v>
      </c>
      <c r="B186" s="149" t="s">
        <v>511</v>
      </c>
      <c r="C186" s="149" t="s">
        <v>512</v>
      </c>
      <c r="D186" s="149" t="s">
        <v>513</v>
      </c>
      <c r="E186" s="149" t="s">
        <v>630</v>
      </c>
      <c r="F186" s="149" t="s">
        <v>601</v>
      </c>
      <c r="G186" s="149" t="s">
        <v>244</v>
      </c>
      <c r="H186" s="149">
        <v>5</v>
      </c>
      <c r="I186" s="149" t="s">
        <v>351</v>
      </c>
      <c r="J186" s="150">
        <v>899.33333333333337</v>
      </c>
      <c r="K186" s="149">
        <v>8</v>
      </c>
      <c r="L186" s="149" t="s">
        <v>516</v>
      </c>
      <c r="M186" s="149">
        <v>8</v>
      </c>
      <c r="N186" s="149" t="s">
        <v>517</v>
      </c>
      <c r="O186" s="150">
        <v>4204</v>
      </c>
      <c r="P186" s="150">
        <v>886</v>
      </c>
      <c r="Q186" s="149" t="s">
        <v>351</v>
      </c>
      <c r="R186" s="150">
        <v>4204</v>
      </c>
      <c r="S186" s="151">
        <v>43.791666666666664</v>
      </c>
      <c r="T186" s="149" t="s">
        <v>518</v>
      </c>
      <c r="U186" s="149" t="s">
        <v>351</v>
      </c>
      <c r="V186" s="149" t="s">
        <v>519</v>
      </c>
      <c r="W186" s="149" t="s">
        <v>520</v>
      </c>
      <c r="X186" s="149" t="s">
        <v>528</v>
      </c>
      <c r="Y186" s="149" t="s">
        <v>355</v>
      </c>
      <c r="Z186" s="149" t="s">
        <v>521</v>
      </c>
      <c r="AA186" s="149" t="s">
        <v>549</v>
      </c>
      <c r="AB186" s="149" t="s">
        <v>550</v>
      </c>
      <c r="AC186" s="149" t="s">
        <v>531</v>
      </c>
      <c r="AD186" s="149" t="s">
        <v>532</v>
      </c>
      <c r="AE186" s="149" t="s">
        <v>518</v>
      </c>
      <c r="AF186" s="149" t="s">
        <v>351</v>
      </c>
    </row>
    <row r="187" spans="1:32" x14ac:dyDescent="0.25">
      <c r="A187" s="149" t="s">
        <v>840</v>
      </c>
      <c r="B187" s="149" t="s">
        <v>19</v>
      </c>
      <c r="C187" s="149" t="s">
        <v>512</v>
      </c>
      <c r="D187" s="149" t="s">
        <v>513</v>
      </c>
      <c r="E187" s="149" t="s">
        <v>351</v>
      </c>
      <c r="F187" s="149" t="s">
        <v>515</v>
      </c>
      <c r="G187" s="149" t="s">
        <v>247</v>
      </c>
      <c r="H187" s="149">
        <v>2</v>
      </c>
      <c r="I187" s="149" t="s">
        <v>351</v>
      </c>
      <c r="J187" s="150">
        <v>1986</v>
      </c>
      <c r="K187" s="149">
        <v>21</v>
      </c>
      <c r="L187" s="149" t="s">
        <v>516</v>
      </c>
      <c r="M187" s="149">
        <v>21</v>
      </c>
      <c r="N187" s="149" t="s">
        <v>517</v>
      </c>
      <c r="O187" s="150">
        <v>3972</v>
      </c>
      <c r="P187" s="150">
        <v>1316</v>
      </c>
      <c r="Q187" s="149" t="s">
        <v>351</v>
      </c>
      <c r="R187" s="150">
        <v>3972</v>
      </c>
      <c r="S187" s="151">
        <v>15.761904761904763</v>
      </c>
      <c r="T187" s="149" t="s">
        <v>518</v>
      </c>
      <c r="U187" s="149" t="s">
        <v>351</v>
      </c>
      <c r="V187" s="149" t="s">
        <v>518</v>
      </c>
      <c r="W187" s="149" t="s">
        <v>520</v>
      </c>
      <c r="X187" s="149" t="s">
        <v>624</v>
      </c>
      <c r="Y187" s="149" t="s">
        <v>355</v>
      </c>
      <c r="Z187" s="149" t="s">
        <v>521</v>
      </c>
      <c r="AA187" s="149" t="s">
        <v>665</v>
      </c>
      <c r="AB187" s="149" t="s">
        <v>666</v>
      </c>
      <c r="AC187" s="149" t="s">
        <v>580</v>
      </c>
      <c r="AD187" s="149" t="s">
        <v>667</v>
      </c>
      <c r="AE187" s="149" t="s">
        <v>518</v>
      </c>
      <c r="AF187" s="149" t="s">
        <v>351</v>
      </c>
    </row>
    <row r="188" spans="1:32" x14ac:dyDescent="0.25">
      <c r="A188" s="149" t="s">
        <v>841</v>
      </c>
      <c r="B188" s="149" t="s">
        <v>576</v>
      </c>
      <c r="C188" s="149" t="s">
        <v>692</v>
      </c>
      <c r="D188" s="149" t="s">
        <v>693</v>
      </c>
      <c r="E188" s="149" t="s">
        <v>351</v>
      </c>
      <c r="F188" s="149" t="s">
        <v>351</v>
      </c>
      <c r="G188" s="149" t="s">
        <v>207</v>
      </c>
      <c r="H188" s="149">
        <v>9</v>
      </c>
      <c r="I188" s="149" t="s">
        <v>246</v>
      </c>
      <c r="J188" s="150">
        <v>400</v>
      </c>
      <c r="K188" s="149" t="s">
        <v>351</v>
      </c>
      <c r="L188" s="149" t="s">
        <v>649</v>
      </c>
      <c r="M188" s="149" t="s">
        <v>351</v>
      </c>
      <c r="N188" s="149" t="s">
        <v>351</v>
      </c>
      <c r="O188" s="150">
        <v>3940</v>
      </c>
      <c r="P188" s="149" t="s">
        <v>351</v>
      </c>
      <c r="Q188" s="150">
        <v>2190</v>
      </c>
      <c r="R188" s="150">
        <v>1750</v>
      </c>
      <c r="S188" s="149" t="s">
        <v>351</v>
      </c>
      <c r="T188" s="149" t="s">
        <v>519</v>
      </c>
      <c r="U188" s="149" t="s">
        <v>351</v>
      </c>
      <c r="V188" s="149" t="s">
        <v>519</v>
      </c>
      <c r="W188" s="149" t="s">
        <v>351</v>
      </c>
      <c r="X188" s="149" t="s">
        <v>351</v>
      </c>
      <c r="Y188" s="149" t="s">
        <v>351</v>
      </c>
      <c r="Z188" s="149" t="s">
        <v>609</v>
      </c>
      <c r="AA188" s="149" t="s">
        <v>719</v>
      </c>
      <c r="AB188" s="149" t="s">
        <v>695</v>
      </c>
      <c r="AC188" s="149" t="s">
        <v>652</v>
      </c>
      <c r="AD188" s="149" t="s">
        <v>525</v>
      </c>
      <c r="AE188" s="149" t="s">
        <v>519</v>
      </c>
      <c r="AF188" s="149" t="s">
        <v>518</v>
      </c>
    </row>
    <row r="189" spans="1:32" x14ac:dyDescent="0.25">
      <c r="A189" s="149" t="s">
        <v>842</v>
      </c>
      <c r="B189" s="149" t="s">
        <v>576</v>
      </c>
      <c r="C189" s="149" t="s">
        <v>512</v>
      </c>
      <c r="D189" s="149" t="s">
        <v>513</v>
      </c>
      <c r="E189" s="149" t="s">
        <v>514</v>
      </c>
      <c r="F189" s="149" t="s">
        <v>515</v>
      </c>
      <c r="G189" s="149" t="s">
        <v>203</v>
      </c>
      <c r="H189" s="149">
        <v>12</v>
      </c>
      <c r="I189" s="149" t="s">
        <v>245</v>
      </c>
      <c r="J189" s="150">
        <v>523.33333333333337</v>
      </c>
      <c r="K189" s="149">
        <v>4</v>
      </c>
      <c r="L189" s="149" t="s">
        <v>577</v>
      </c>
      <c r="M189" s="149" t="s">
        <v>351</v>
      </c>
      <c r="N189" s="149" t="s">
        <v>351</v>
      </c>
      <c r="O189" s="150">
        <v>3800</v>
      </c>
      <c r="P189" s="149" t="s">
        <v>351</v>
      </c>
      <c r="Q189" s="150">
        <v>2940</v>
      </c>
      <c r="R189" s="150">
        <v>1570</v>
      </c>
      <c r="S189" s="151">
        <v>79.166666666666671</v>
      </c>
      <c r="T189" s="149" t="s">
        <v>519</v>
      </c>
      <c r="U189" s="149">
        <v>2</v>
      </c>
      <c r="V189" s="149" t="s">
        <v>519</v>
      </c>
      <c r="W189" s="149" t="s">
        <v>351</v>
      </c>
      <c r="X189" s="149" t="s">
        <v>351</v>
      </c>
      <c r="Y189" s="149" t="s">
        <v>351</v>
      </c>
      <c r="Z189" s="149" t="s">
        <v>351</v>
      </c>
      <c r="AA189" s="149" t="s">
        <v>605</v>
      </c>
      <c r="AB189" s="149" t="s">
        <v>541</v>
      </c>
      <c r="AC189" s="149" t="s">
        <v>351</v>
      </c>
      <c r="AD189" s="149" t="s">
        <v>351</v>
      </c>
      <c r="AE189" s="149" t="s">
        <v>519</v>
      </c>
      <c r="AF189" s="149" t="s">
        <v>518</v>
      </c>
    </row>
    <row r="190" spans="1:32" x14ac:dyDescent="0.25">
      <c r="A190" s="149" t="s">
        <v>843</v>
      </c>
      <c r="B190" s="149" t="s">
        <v>576</v>
      </c>
      <c r="C190" s="149" t="s">
        <v>512</v>
      </c>
      <c r="D190" s="149" t="s">
        <v>513</v>
      </c>
      <c r="E190" s="149" t="s">
        <v>514</v>
      </c>
      <c r="F190" s="149" t="s">
        <v>515</v>
      </c>
      <c r="G190" s="149" t="s">
        <v>123</v>
      </c>
      <c r="H190" s="149">
        <v>18</v>
      </c>
      <c r="I190" s="149" t="s">
        <v>207</v>
      </c>
      <c r="J190" s="150">
        <v>584.66666666666663</v>
      </c>
      <c r="K190" s="149">
        <v>2</v>
      </c>
      <c r="L190" s="149" t="s">
        <v>569</v>
      </c>
      <c r="M190" s="149" t="s">
        <v>351</v>
      </c>
      <c r="N190" s="149" t="s">
        <v>351</v>
      </c>
      <c r="O190" s="150">
        <v>3774</v>
      </c>
      <c r="P190" s="150">
        <v>418</v>
      </c>
      <c r="Q190" s="150">
        <v>3090</v>
      </c>
      <c r="R190" s="150">
        <v>3774</v>
      </c>
      <c r="S190" s="151">
        <v>157.25</v>
      </c>
      <c r="T190" s="149" t="s">
        <v>519</v>
      </c>
      <c r="U190" s="149" t="s">
        <v>351</v>
      </c>
      <c r="V190" s="149" t="s">
        <v>519</v>
      </c>
      <c r="W190" s="149" t="s">
        <v>520</v>
      </c>
      <c r="X190" s="149" t="s">
        <v>528</v>
      </c>
      <c r="Y190" s="149" t="s">
        <v>351</v>
      </c>
      <c r="Z190" s="149" t="s">
        <v>521</v>
      </c>
      <c r="AA190" s="149" t="s">
        <v>665</v>
      </c>
      <c r="AB190" s="149" t="s">
        <v>666</v>
      </c>
      <c r="AC190" s="149" t="s">
        <v>580</v>
      </c>
      <c r="AD190" s="149" t="s">
        <v>667</v>
      </c>
      <c r="AE190" s="149" t="s">
        <v>518</v>
      </c>
      <c r="AF190" s="149" t="s">
        <v>518</v>
      </c>
    </row>
    <row r="191" spans="1:32" x14ac:dyDescent="0.25">
      <c r="A191" s="149" t="s">
        <v>844</v>
      </c>
      <c r="B191" s="149" t="s">
        <v>511</v>
      </c>
      <c r="C191" s="149" t="s">
        <v>512</v>
      </c>
      <c r="D191" s="149" t="s">
        <v>513</v>
      </c>
      <c r="E191" s="149" t="s">
        <v>630</v>
      </c>
      <c r="F191" s="149" t="s">
        <v>601</v>
      </c>
      <c r="G191" s="149" t="s">
        <v>246</v>
      </c>
      <c r="H191" s="149">
        <v>3</v>
      </c>
      <c r="I191" s="149" t="s">
        <v>351</v>
      </c>
      <c r="J191" s="150">
        <v>1256.3333333333333</v>
      </c>
      <c r="K191" s="149">
        <v>22</v>
      </c>
      <c r="L191" s="149" t="s">
        <v>516</v>
      </c>
      <c r="M191" s="149">
        <v>22</v>
      </c>
      <c r="N191" s="149" t="s">
        <v>517</v>
      </c>
      <c r="O191" s="150">
        <v>3769</v>
      </c>
      <c r="P191" s="150">
        <v>885</v>
      </c>
      <c r="Q191" s="149" t="s">
        <v>351</v>
      </c>
      <c r="R191" s="150">
        <v>3769</v>
      </c>
      <c r="S191" s="151">
        <v>14.27651515151515</v>
      </c>
      <c r="T191" s="149" t="s">
        <v>519</v>
      </c>
      <c r="U191" s="149" t="s">
        <v>351</v>
      </c>
      <c r="V191" s="149" t="s">
        <v>519</v>
      </c>
      <c r="W191" s="149" t="s">
        <v>520</v>
      </c>
      <c r="X191" s="149" t="s">
        <v>544</v>
      </c>
      <c r="Y191" s="149" t="s">
        <v>351</v>
      </c>
      <c r="Z191" s="149" t="s">
        <v>521</v>
      </c>
      <c r="AA191" s="149" t="s">
        <v>662</v>
      </c>
      <c r="AB191" s="149" t="s">
        <v>662</v>
      </c>
      <c r="AC191" s="149" t="s">
        <v>547</v>
      </c>
      <c r="AD191" s="149" t="s">
        <v>525</v>
      </c>
      <c r="AE191" s="149" t="s">
        <v>518</v>
      </c>
      <c r="AF191" s="149" t="s">
        <v>351</v>
      </c>
    </row>
    <row r="192" spans="1:32" x14ac:dyDescent="0.25">
      <c r="A192" s="149" t="s">
        <v>845</v>
      </c>
      <c r="B192" s="149" t="s">
        <v>511</v>
      </c>
      <c r="C192" s="149" t="s">
        <v>512</v>
      </c>
      <c r="D192" s="149" t="s">
        <v>513</v>
      </c>
      <c r="E192" s="149" t="s">
        <v>514</v>
      </c>
      <c r="F192" s="149" t="s">
        <v>515</v>
      </c>
      <c r="G192" s="149" t="s">
        <v>211</v>
      </c>
      <c r="H192" s="149">
        <v>8</v>
      </c>
      <c r="I192" s="149" t="s">
        <v>351</v>
      </c>
      <c r="J192" s="150">
        <v>425</v>
      </c>
      <c r="K192" s="149">
        <v>6</v>
      </c>
      <c r="L192" s="149" t="s">
        <v>516</v>
      </c>
      <c r="M192" s="149">
        <v>6</v>
      </c>
      <c r="N192" s="149" t="s">
        <v>517</v>
      </c>
      <c r="O192" s="150">
        <v>3760</v>
      </c>
      <c r="P192" s="150">
        <v>475</v>
      </c>
      <c r="Q192" s="150">
        <v>700</v>
      </c>
      <c r="R192" s="150">
        <v>3060</v>
      </c>
      <c r="S192" s="151">
        <v>52.222222222222221</v>
      </c>
      <c r="T192" s="149" t="s">
        <v>518</v>
      </c>
      <c r="U192" s="149" t="s">
        <v>351</v>
      </c>
      <c r="V192" s="149" t="s">
        <v>519</v>
      </c>
      <c r="W192" s="149" t="s">
        <v>520</v>
      </c>
      <c r="X192" s="149" t="s">
        <v>544</v>
      </c>
      <c r="Y192" s="149" t="s">
        <v>351</v>
      </c>
      <c r="Z192" s="149" t="s">
        <v>521</v>
      </c>
      <c r="AA192" s="149" t="s">
        <v>640</v>
      </c>
      <c r="AB192" s="149" t="s">
        <v>523</v>
      </c>
      <c r="AC192" s="149" t="s">
        <v>524</v>
      </c>
      <c r="AD192" s="149" t="s">
        <v>525</v>
      </c>
      <c r="AE192" s="149" t="s">
        <v>518</v>
      </c>
      <c r="AF192" s="149" t="s">
        <v>351</v>
      </c>
    </row>
    <row r="193" spans="1:32" x14ac:dyDescent="0.25">
      <c r="A193" s="149" t="s">
        <v>846</v>
      </c>
      <c r="B193" s="149" t="s">
        <v>576</v>
      </c>
      <c r="C193" s="149" t="s">
        <v>512</v>
      </c>
      <c r="D193" s="149" t="s">
        <v>513</v>
      </c>
      <c r="E193" s="149" t="s">
        <v>630</v>
      </c>
      <c r="F193" s="149" t="s">
        <v>601</v>
      </c>
      <c r="G193" s="149" t="s">
        <v>243</v>
      </c>
      <c r="H193" s="149">
        <v>5</v>
      </c>
      <c r="I193" s="149" t="s">
        <v>248</v>
      </c>
      <c r="J193" s="150">
        <v>632.33333333333337</v>
      </c>
      <c r="K193" s="149">
        <v>14</v>
      </c>
      <c r="L193" s="149" t="s">
        <v>516</v>
      </c>
      <c r="M193" s="149">
        <v>14</v>
      </c>
      <c r="N193" s="149" t="s">
        <v>517</v>
      </c>
      <c r="O193" s="150">
        <v>3748</v>
      </c>
      <c r="P193" s="149" t="s">
        <v>351</v>
      </c>
      <c r="Q193" s="149" t="s">
        <v>351</v>
      </c>
      <c r="R193" s="150">
        <v>3748</v>
      </c>
      <c r="S193" s="151">
        <v>22.309523809523807</v>
      </c>
      <c r="T193" s="149" t="s">
        <v>519</v>
      </c>
      <c r="U193" s="149" t="s">
        <v>351</v>
      </c>
      <c r="V193" s="149" t="s">
        <v>518</v>
      </c>
      <c r="W193" s="149" t="s">
        <v>527</v>
      </c>
      <c r="X193" s="149" t="s">
        <v>539</v>
      </c>
      <c r="Y193" s="149" t="s">
        <v>355</v>
      </c>
      <c r="Z193" s="149" t="s">
        <v>521</v>
      </c>
      <c r="AA193" s="149" t="s">
        <v>847</v>
      </c>
      <c r="AB193" s="149" t="s">
        <v>847</v>
      </c>
      <c r="AC193" s="149" t="s">
        <v>531</v>
      </c>
      <c r="AD193" s="149" t="s">
        <v>532</v>
      </c>
      <c r="AE193" s="149" t="s">
        <v>519</v>
      </c>
      <c r="AF193" s="149" t="s">
        <v>518</v>
      </c>
    </row>
    <row r="194" spans="1:32" x14ac:dyDescent="0.25">
      <c r="A194" s="149" t="s">
        <v>848</v>
      </c>
      <c r="B194" s="149" t="s">
        <v>511</v>
      </c>
      <c r="C194" s="149" t="s">
        <v>512</v>
      </c>
      <c r="D194" s="149" t="s">
        <v>513</v>
      </c>
      <c r="E194" s="149" t="s">
        <v>621</v>
      </c>
      <c r="F194" s="149" t="s">
        <v>608</v>
      </c>
      <c r="G194" s="149" t="s">
        <v>245</v>
      </c>
      <c r="H194" s="149">
        <v>4</v>
      </c>
      <c r="I194" s="149" t="s">
        <v>351</v>
      </c>
      <c r="J194" s="150">
        <v>760</v>
      </c>
      <c r="K194" s="149">
        <v>25</v>
      </c>
      <c r="L194" s="149" t="s">
        <v>569</v>
      </c>
      <c r="M194" s="149" t="s">
        <v>351</v>
      </c>
      <c r="N194" s="149" t="s">
        <v>351</v>
      </c>
      <c r="O194" s="150">
        <v>3660</v>
      </c>
      <c r="P194" s="150">
        <v>750</v>
      </c>
      <c r="Q194" s="149" t="s">
        <v>351</v>
      </c>
      <c r="R194" s="150">
        <v>3660</v>
      </c>
      <c r="S194" s="151">
        <v>12.2</v>
      </c>
      <c r="T194" s="149" t="s">
        <v>519</v>
      </c>
      <c r="U194" s="149" t="s">
        <v>351</v>
      </c>
      <c r="V194" s="149" t="s">
        <v>519</v>
      </c>
      <c r="W194" s="149" t="s">
        <v>520</v>
      </c>
      <c r="X194" s="149" t="s">
        <v>528</v>
      </c>
      <c r="Y194" s="149" t="s">
        <v>351</v>
      </c>
      <c r="Z194" s="149" t="s">
        <v>521</v>
      </c>
      <c r="AA194" s="149" t="s">
        <v>549</v>
      </c>
      <c r="AB194" s="149" t="s">
        <v>550</v>
      </c>
      <c r="AC194" s="149" t="s">
        <v>531</v>
      </c>
      <c r="AD194" s="149" t="s">
        <v>532</v>
      </c>
      <c r="AE194" s="149" t="s">
        <v>519</v>
      </c>
      <c r="AF194" s="149" t="s">
        <v>351</v>
      </c>
    </row>
    <row r="195" spans="1:32" x14ac:dyDescent="0.25">
      <c r="A195" s="149" t="s">
        <v>849</v>
      </c>
      <c r="B195" s="149" t="s">
        <v>511</v>
      </c>
      <c r="C195" s="149" t="s">
        <v>692</v>
      </c>
      <c r="D195" s="149" t="s">
        <v>693</v>
      </c>
      <c r="E195" s="149" t="s">
        <v>351</v>
      </c>
      <c r="F195" s="149" t="s">
        <v>351</v>
      </c>
      <c r="G195" s="149" t="s">
        <v>125</v>
      </c>
      <c r="H195" s="149">
        <v>28</v>
      </c>
      <c r="I195" s="149" t="s">
        <v>351</v>
      </c>
      <c r="J195" s="150">
        <v>306.66666666666669</v>
      </c>
      <c r="K195" s="149" t="s">
        <v>351</v>
      </c>
      <c r="L195" s="149" t="s">
        <v>718</v>
      </c>
      <c r="M195" s="149" t="s">
        <v>351</v>
      </c>
      <c r="N195" s="149" t="s">
        <v>351</v>
      </c>
      <c r="O195" s="150">
        <v>3620</v>
      </c>
      <c r="P195" s="150">
        <v>310</v>
      </c>
      <c r="Q195" s="150">
        <v>3700</v>
      </c>
      <c r="R195" s="150">
        <v>2120</v>
      </c>
      <c r="S195" s="149" t="s">
        <v>351</v>
      </c>
      <c r="T195" s="149" t="s">
        <v>519</v>
      </c>
      <c r="U195" s="149" t="s">
        <v>351</v>
      </c>
      <c r="V195" s="149" t="s">
        <v>519</v>
      </c>
      <c r="W195" s="149" t="s">
        <v>351</v>
      </c>
      <c r="X195" s="149" t="s">
        <v>351</v>
      </c>
      <c r="Y195" s="149" t="s">
        <v>351</v>
      </c>
      <c r="Z195" s="149" t="s">
        <v>609</v>
      </c>
      <c r="AA195" s="149" t="s">
        <v>694</v>
      </c>
      <c r="AB195" s="149" t="s">
        <v>695</v>
      </c>
      <c r="AC195" s="149" t="s">
        <v>652</v>
      </c>
      <c r="AD195" s="149" t="s">
        <v>696</v>
      </c>
      <c r="AE195" s="149" t="s">
        <v>519</v>
      </c>
      <c r="AF195" s="149" t="s">
        <v>351</v>
      </c>
    </row>
    <row r="196" spans="1:32" x14ac:dyDescent="0.25">
      <c r="A196" s="149" t="s">
        <v>850</v>
      </c>
      <c r="B196" s="149" t="s">
        <v>511</v>
      </c>
      <c r="C196" s="149" t="s">
        <v>512</v>
      </c>
      <c r="D196" s="149" t="s">
        <v>513</v>
      </c>
      <c r="E196" s="149" t="s">
        <v>514</v>
      </c>
      <c r="F196" s="149" t="s">
        <v>515</v>
      </c>
      <c r="G196" s="149" t="s">
        <v>208</v>
      </c>
      <c r="H196" s="149">
        <v>11</v>
      </c>
      <c r="I196" s="149" t="s">
        <v>351</v>
      </c>
      <c r="J196" s="150">
        <v>407.12333333333328</v>
      </c>
      <c r="K196" s="149">
        <v>2</v>
      </c>
      <c r="L196" s="149" t="s">
        <v>569</v>
      </c>
      <c r="M196" s="149" t="s">
        <v>351</v>
      </c>
      <c r="N196" s="149" t="s">
        <v>351</v>
      </c>
      <c r="O196" s="150">
        <v>3566.37</v>
      </c>
      <c r="P196" s="150">
        <v>440</v>
      </c>
      <c r="Q196" s="150">
        <v>1020</v>
      </c>
      <c r="R196" s="150">
        <v>2546.37</v>
      </c>
      <c r="S196" s="151">
        <v>148.59875</v>
      </c>
      <c r="T196" s="149" t="s">
        <v>518</v>
      </c>
      <c r="U196" s="149" t="s">
        <v>351</v>
      </c>
      <c r="V196" s="149" t="s">
        <v>519</v>
      </c>
      <c r="W196" s="149" t="s">
        <v>520</v>
      </c>
      <c r="X196" s="149" t="s">
        <v>544</v>
      </c>
      <c r="Y196" s="149" t="s">
        <v>351</v>
      </c>
      <c r="Z196" s="149" t="s">
        <v>521</v>
      </c>
      <c r="AA196" s="149" t="s">
        <v>640</v>
      </c>
      <c r="AB196" s="149" t="s">
        <v>523</v>
      </c>
      <c r="AC196" s="149" t="s">
        <v>524</v>
      </c>
      <c r="AD196" s="149" t="s">
        <v>525</v>
      </c>
      <c r="AE196" s="149" t="s">
        <v>518</v>
      </c>
      <c r="AF196" s="149" t="s">
        <v>351</v>
      </c>
    </row>
    <row r="197" spans="1:32" x14ac:dyDescent="0.25">
      <c r="A197" s="149" t="s">
        <v>851</v>
      </c>
      <c r="B197" s="149" t="s">
        <v>511</v>
      </c>
      <c r="C197" s="149" t="s">
        <v>692</v>
      </c>
      <c r="D197" s="149" t="s">
        <v>693</v>
      </c>
      <c r="E197" s="149" t="s">
        <v>351</v>
      </c>
      <c r="F197" s="149" t="s">
        <v>351</v>
      </c>
      <c r="G197" s="149" t="s">
        <v>210</v>
      </c>
      <c r="H197" s="149">
        <v>9</v>
      </c>
      <c r="I197" s="149" t="s">
        <v>351</v>
      </c>
      <c r="J197" s="150">
        <v>400</v>
      </c>
      <c r="K197" s="149" t="s">
        <v>351</v>
      </c>
      <c r="L197" s="149" t="s">
        <v>718</v>
      </c>
      <c r="M197" s="149" t="s">
        <v>351</v>
      </c>
      <c r="N197" s="149" t="s">
        <v>351</v>
      </c>
      <c r="O197" s="150">
        <v>3500</v>
      </c>
      <c r="P197" s="150">
        <v>400</v>
      </c>
      <c r="Q197" s="150">
        <v>700</v>
      </c>
      <c r="R197" s="150">
        <v>2800</v>
      </c>
      <c r="S197" s="149" t="s">
        <v>351</v>
      </c>
      <c r="T197" s="149" t="s">
        <v>519</v>
      </c>
      <c r="U197" s="149" t="s">
        <v>351</v>
      </c>
      <c r="V197" s="149" t="s">
        <v>519</v>
      </c>
      <c r="W197" s="149" t="s">
        <v>527</v>
      </c>
      <c r="X197" s="149" t="s">
        <v>528</v>
      </c>
      <c r="Y197" s="149" t="s">
        <v>351</v>
      </c>
      <c r="Z197" s="149" t="s">
        <v>609</v>
      </c>
      <c r="AA197" s="149" t="s">
        <v>780</v>
      </c>
      <c r="AB197" s="149" t="s">
        <v>695</v>
      </c>
      <c r="AC197" s="149" t="s">
        <v>652</v>
      </c>
      <c r="AD197" s="149" t="s">
        <v>696</v>
      </c>
      <c r="AE197" s="149" t="s">
        <v>519</v>
      </c>
      <c r="AF197" s="149" t="s">
        <v>351</v>
      </c>
    </row>
    <row r="198" spans="1:32" x14ac:dyDescent="0.25">
      <c r="A198" s="149" t="s">
        <v>852</v>
      </c>
      <c r="B198" s="149" t="s">
        <v>576</v>
      </c>
      <c r="C198" s="149" t="s">
        <v>512</v>
      </c>
      <c r="D198" s="149" t="s">
        <v>513</v>
      </c>
      <c r="E198" s="149" t="s">
        <v>514</v>
      </c>
      <c r="F198" s="149" t="s">
        <v>515</v>
      </c>
      <c r="G198" s="149" t="s">
        <v>128</v>
      </c>
      <c r="H198" s="149">
        <v>21</v>
      </c>
      <c r="I198" s="149" t="s">
        <v>245</v>
      </c>
      <c r="J198" s="150">
        <v>400</v>
      </c>
      <c r="K198" s="149">
        <v>4</v>
      </c>
      <c r="L198" s="149" t="s">
        <v>577</v>
      </c>
      <c r="M198" s="149" t="s">
        <v>351</v>
      </c>
      <c r="N198" s="149" t="s">
        <v>351</v>
      </c>
      <c r="O198" s="150">
        <v>3455</v>
      </c>
      <c r="P198" s="149" t="s">
        <v>351</v>
      </c>
      <c r="Q198" s="150">
        <v>5025</v>
      </c>
      <c r="R198" s="150">
        <v>1200</v>
      </c>
      <c r="S198" s="151">
        <v>71.979166666666671</v>
      </c>
      <c r="T198" s="149" t="s">
        <v>519</v>
      </c>
      <c r="U198" s="149" t="s">
        <v>351</v>
      </c>
      <c r="V198" s="149" t="s">
        <v>519</v>
      </c>
      <c r="W198" s="149" t="s">
        <v>351</v>
      </c>
      <c r="X198" s="149" t="s">
        <v>351</v>
      </c>
      <c r="Y198" s="149" t="s">
        <v>351</v>
      </c>
      <c r="Z198" s="149" t="s">
        <v>351</v>
      </c>
      <c r="AA198" s="149" t="s">
        <v>559</v>
      </c>
      <c r="AB198" s="149" t="s">
        <v>560</v>
      </c>
      <c r="AC198" s="149" t="s">
        <v>351</v>
      </c>
      <c r="AD198" s="149" t="s">
        <v>351</v>
      </c>
      <c r="AE198" s="149" t="s">
        <v>519</v>
      </c>
      <c r="AF198" s="149" t="s">
        <v>518</v>
      </c>
    </row>
    <row r="199" spans="1:32" x14ac:dyDescent="0.25">
      <c r="A199" s="149" t="s">
        <v>853</v>
      </c>
      <c r="B199" s="149" t="s">
        <v>576</v>
      </c>
      <c r="C199" s="149" t="s">
        <v>646</v>
      </c>
      <c r="D199" s="149" t="s">
        <v>681</v>
      </c>
      <c r="E199" s="149" t="s">
        <v>351</v>
      </c>
      <c r="F199" s="149" t="s">
        <v>351</v>
      </c>
      <c r="G199" s="149" t="s">
        <v>771</v>
      </c>
      <c r="H199" s="149">
        <v>47</v>
      </c>
      <c r="I199" s="149" t="s">
        <v>636</v>
      </c>
      <c r="J199" s="150">
        <v>285</v>
      </c>
      <c r="K199" s="149" t="s">
        <v>351</v>
      </c>
      <c r="L199" s="149" t="s">
        <v>649</v>
      </c>
      <c r="M199" s="149" t="s">
        <v>351</v>
      </c>
      <c r="N199" s="149" t="s">
        <v>351</v>
      </c>
      <c r="O199" s="150">
        <v>3440</v>
      </c>
      <c r="P199" s="150">
        <v>285</v>
      </c>
      <c r="Q199" s="150">
        <v>3400</v>
      </c>
      <c r="R199" s="150">
        <v>2025</v>
      </c>
      <c r="S199" s="149" t="s">
        <v>351</v>
      </c>
      <c r="T199" s="149" t="s">
        <v>519</v>
      </c>
      <c r="U199" s="149" t="s">
        <v>351</v>
      </c>
      <c r="V199" s="149" t="s">
        <v>519</v>
      </c>
      <c r="W199" s="149" t="s">
        <v>351</v>
      </c>
      <c r="X199" s="149" t="s">
        <v>351</v>
      </c>
      <c r="Y199" s="149" t="s">
        <v>351</v>
      </c>
      <c r="Z199" s="149" t="s">
        <v>609</v>
      </c>
      <c r="AA199" s="149" t="s">
        <v>683</v>
      </c>
      <c r="AB199" s="149" t="s">
        <v>651</v>
      </c>
      <c r="AC199" s="149" t="s">
        <v>652</v>
      </c>
      <c r="AD199" s="149" t="s">
        <v>537</v>
      </c>
      <c r="AE199" s="149" t="s">
        <v>519</v>
      </c>
      <c r="AF199" s="149" t="s">
        <v>519</v>
      </c>
    </row>
    <row r="200" spans="1:32" x14ac:dyDescent="0.25">
      <c r="A200" s="149" t="s">
        <v>854</v>
      </c>
      <c r="B200" s="149" t="s">
        <v>576</v>
      </c>
      <c r="C200" s="149" t="s">
        <v>692</v>
      </c>
      <c r="D200" s="149" t="s">
        <v>693</v>
      </c>
      <c r="E200" s="149" t="s">
        <v>351</v>
      </c>
      <c r="F200" s="149" t="s">
        <v>351</v>
      </c>
      <c r="G200" s="149" t="s">
        <v>211</v>
      </c>
      <c r="H200" s="149">
        <v>6</v>
      </c>
      <c r="I200" s="149" t="s">
        <v>247</v>
      </c>
      <c r="J200" s="150">
        <v>560</v>
      </c>
      <c r="K200" s="149" t="s">
        <v>351</v>
      </c>
      <c r="L200" s="149" t="s">
        <v>649</v>
      </c>
      <c r="M200" s="149" t="s">
        <v>351</v>
      </c>
      <c r="N200" s="149" t="s">
        <v>351</v>
      </c>
      <c r="O200" s="150">
        <v>3340</v>
      </c>
      <c r="P200" s="149" t="s">
        <v>351</v>
      </c>
      <c r="Q200" s="150">
        <v>640</v>
      </c>
      <c r="R200" s="150">
        <v>2700</v>
      </c>
      <c r="S200" s="149" t="s">
        <v>351</v>
      </c>
      <c r="T200" s="149" t="s">
        <v>519</v>
      </c>
      <c r="U200" s="149" t="s">
        <v>351</v>
      </c>
      <c r="V200" s="149" t="s">
        <v>519</v>
      </c>
      <c r="W200" s="149" t="s">
        <v>527</v>
      </c>
      <c r="X200" s="149" t="s">
        <v>544</v>
      </c>
      <c r="Y200" s="149" t="s">
        <v>351</v>
      </c>
      <c r="Z200" s="149" t="s">
        <v>609</v>
      </c>
      <c r="AA200" s="149" t="s">
        <v>719</v>
      </c>
      <c r="AB200" s="149" t="s">
        <v>695</v>
      </c>
      <c r="AC200" s="149" t="s">
        <v>652</v>
      </c>
      <c r="AD200" s="149" t="s">
        <v>525</v>
      </c>
      <c r="AE200" s="149" t="s">
        <v>519</v>
      </c>
      <c r="AF200" s="149" t="s">
        <v>518</v>
      </c>
    </row>
    <row r="201" spans="1:32" x14ac:dyDescent="0.25">
      <c r="A201" s="149" t="s">
        <v>855</v>
      </c>
      <c r="B201" s="149" t="s">
        <v>19</v>
      </c>
      <c r="C201" s="149" t="s">
        <v>512</v>
      </c>
      <c r="D201" s="149" t="s">
        <v>513</v>
      </c>
      <c r="E201" s="149" t="s">
        <v>351</v>
      </c>
      <c r="F201" s="149" t="s">
        <v>601</v>
      </c>
      <c r="G201" s="149" t="s">
        <v>247</v>
      </c>
      <c r="H201" s="149">
        <v>2</v>
      </c>
      <c r="I201" s="149" t="s">
        <v>351</v>
      </c>
      <c r="J201" s="150">
        <v>1662.5</v>
      </c>
      <c r="K201" s="149">
        <v>15</v>
      </c>
      <c r="L201" s="149" t="s">
        <v>516</v>
      </c>
      <c r="M201" s="149">
        <v>15</v>
      </c>
      <c r="N201" s="149" t="s">
        <v>517</v>
      </c>
      <c r="O201" s="150">
        <v>3325</v>
      </c>
      <c r="P201" s="150">
        <v>965</v>
      </c>
      <c r="Q201" s="149" t="s">
        <v>351</v>
      </c>
      <c r="R201" s="150">
        <v>3325</v>
      </c>
      <c r="S201" s="151">
        <v>18.472222222222221</v>
      </c>
      <c r="T201" s="149" t="s">
        <v>519</v>
      </c>
      <c r="U201" s="149" t="s">
        <v>351</v>
      </c>
      <c r="V201" s="149" t="s">
        <v>519</v>
      </c>
      <c r="W201" s="149" t="s">
        <v>856</v>
      </c>
      <c r="X201" s="149" t="s">
        <v>539</v>
      </c>
      <c r="Y201" s="149" t="s">
        <v>351</v>
      </c>
      <c r="Z201" s="149" t="s">
        <v>521</v>
      </c>
      <c r="AA201" s="149" t="s">
        <v>729</v>
      </c>
      <c r="AB201" s="149" t="s">
        <v>666</v>
      </c>
      <c r="AC201" s="149" t="s">
        <v>580</v>
      </c>
      <c r="AD201" s="149" t="s">
        <v>730</v>
      </c>
      <c r="AE201" s="149" t="s">
        <v>519</v>
      </c>
      <c r="AF201" s="149" t="s">
        <v>351</v>
      </c>
    </row>
    <row r="202" spans="1:32" x14ac:dyDescent="0.25">
      <c r="A202" s="149" t="s">
        <v>857</v>
      </c>
      <c r="B202" s="149" t="s">
        <v>511</v>
      </c>
      <c r="C202" s="149" t="s">
        <v>512</v>
      </c>
      <c r="D202" s="149" t="s">
        <v>513</v>
      </c>
      <c r="E202" s="149" t="s">
        <v>630</v>
      </c>
      <c r="F202" s="149" t="s">
        <v>601</v>
      </c>
      <c r="G202" s="149" t="s">
        <v>243</v>
      </c>
      <c r="H202" s="149">
        <v>6</v>
      </c>
      <c r="I202" s="149" t="s">
        <v>351</v>
      </c>
      <c r="J202" s="150">
        <v>585.33333333333337</v>
      </c>
      <c r="K202" s="149">
        <v>10</v>
      </c>
      <c r="L202" s="149" t="s">
        <v>516</v>
      </c>
      <c r="M202" s="149">
        <v>10</v>
      </c>
      <c r="N202" s="149" t="s">
        <v>517</v>
      </c>
      <c r="O202" s="150">
        <v>3278</v>
      </c>
      <c r="P202" s="150">
        <v>606</v>
      </c>
      <c r="Q202" s="149" t="s">
        <v>351</v>
      </c>
      <c r="R202" s="150">
        <v>3278</v>
      </c>
      <c r="S202" s="151">
        <v>27.31666666666667</v>
      </c>
      <c r="T202" s="149" t="s">
        <v>519</v>
      </c>
      <c r="U202" s="149" t="s">
        <v>351</v>
      </c>
      <c r="V202" s="149" t="s">
        <v>519</v>
      </c>
      <c r="W202" s="149" t="s">
        <v>520</v>
      </c>
      <c r="X202" s="149" t="s">
        <v>544</v>
      </c>
      <c r="Y202" s="149" t="s">
        <v>351</v>
      </c>
      <c r="Z202" s="149" t="s">
        <v>521</v>
      </c>
      <c r="AA202" s="149" t="s">
        <v>535</v>
      </c>
      <c r="AB202" s="149" t="s">
        <v>536</v>
      </c>
      <c r="AC202" s="149" t="s">
        <v>524</v>
      </c>
      <c r="AD202" s="149" t="s">
        <v>537</v>
      </c>
      <c r="AE202" s="149" t="s">
        <v>518</v>
      </c>
      <c r="AF202" s="149" t="s">
        <v>351</v>
      </c>
    </row>
    <row r="203" spans="1:32" x14ac:dyDescent="0.25">
      <c r="A203" s="149" t="s">
        <v>858</v>
      </c>
      <c r="B203" s="149" t="s">
        <v>576</v>
      </c>
      <c r="C203" s="149" t="s">
        <v>646</v>
      </c>
      <c r="D203" s="149" t="s">
        <v>859</v>
      </c>
      <c r="E203" s="149" t="s">
        <v>351</v>
      </c>
      <c r="F203" s="149" t="s">
        <v>351</v>
      </c>
      <c r="G203" s="149" t="s">
        <v>648</v>
      </c>
      <c r="H203" s="149">
        <v>63</v>
      </c>
      <c r="I203" s="149" t="s">
        <v>636</v>
      </c>
      <c r="J203" s="150">
        <v>285</v>
      </c>
      <c r="K203" s="149" t="s">
        <v>351</v>
      </c>
      <c r="L203" s="149" t="s">
        <v>649</v>
      </c>
      <c r="M203" s="149" t="s">
        <v>351</v>
      </c>
      <c r="N203" s="149" t="s">
        <v>351</v>
      </c>
      <c r="O203" s="150">
        <v>3260</v>
      </c>
      <c r="P203" s="150">
        <v>285</v>
      </c>
      <c r="Q203" s="150">
        <v>3045</v>
      </c>
      <c r="R203" s="150">
        <v>2010</v>
      </c>
      <c r="S203" s="149" t="s">
        <v>351</v>
      </c>
      <c r="T203" s="149" t="s">
        <v>519</v>
      </c>
      <c r="U203" s="149" t="s">
        <v>351</v>
      </c>
      <c r="V203" s="149" t="s">
        <v>519</v>
      </c>
      <c r="W203" s="149" t="s">
        <v>351</v>
      </c>
      <c r="X203" s="149" t="s">
        <v>351</v>
      </c>
      <c r="Y203" s="149" t="s">
        <v>351</v>
      </c>
      <c r="Z203" s="149" t="s">
        <v>609</v>
      </c>
      <c r="AA203" s="149" t="s">
        <v>650</v>
      </c>
      <c r="AB203" s="149" t="s">
        <v>651</v>
      </c>
      <c r="AC203" s="149" t="s">
        <v>652</v>
      </c>
      <c r="AD203" s="149" t="s">
        <v>537</v>
      </c>
      <c r="AE203" s="149" t="s">
        <v>519</v>
      </c>
      <c r="AF203" s="149" t="s">
        <v>519</v>
      </c>
    </row>
    <row r="204" spans="1:32" x14ac:dyDescent="0.25">
      <c r="A204" s="149" t="s">
        <v>860</v>
      </c>
      <c r="B204" s="149" t="s">
        <v>511</v>
      </c>
      <c r="C204" s="149" t="s">
        <v>512</v>
      </c>
      <c r="D204" s="149" t="s">
        <v>513</v>
      </c>
      <c r="E204" s="149" t="s">
        <v>514</v>
      </c>
      <c r="F204" s="149" t="s">
        <v>515</v>
      </c>
      <c r="G204" s="149" t="s">
        <v>210</v>
      </c>
      <c r="H204" s="149">
        <v>9</v>
      </c>
      <c r="I204" s="149" t="s">
        <v>351</v>
      </c>
      <c r="J204" s="150">
        <v>400</v>
      </c>
      <c r="K204" s="149">
        <v>4</v>
      </c>
      <c r="L204" s="149" t="s">
        <v>569</v>
      </c>
      <c r="M204" s="149" t="s">
        <v>351</v>
      </c>
      <c r="N204" s="149" t="s">
        <v>351</v>
      </c>
      <c r="O204" s="150">
        <v>3240</v>
      </c>
      <c r="P204" s="150">
        <v>400</v>
      </c>
      <c r="Q204" s="150">
        <v>725</v>
      </c>
      <c r="R204" s="150">
        <v>2515</v>
      </c>
      <c r="S204" s="151">
        <v>67.5</v>
      </c>
      <c r="T204" s="149" t="s">
        <v>519</v>
      </c>
      <c r="U204" s="149" t="s">
        <v>351</v>
      </c>
      <c r="V204" s="149" t="s">
        <v>519</v>
      </c>
      <c r="W204" s="149" t="s">
        <v>520</v>
      </c>
      <c r="X204" s="149" t="s">
        <v>544</v>
      </c>
      <c r="Y204" s="149" t="s">
        <v>351</v>
      </c>
      <c r="Z204" s="149" t="s">
        <v>521</v>
      </c>
      <c r="AA204" s="149" t="s">
        <v>657</v>
      </c>
      <c r="AB204" s="149" t="s">
        <v>560</v>
      </c>
      <c r="AC204" s="149" t="s">
        <v>547</v>
      </c>
      <c r="AD204" s="149" t="s">
        <v>537</v>
      </c>
      <c r="AE204" s="149" t="s">
        <v>518</v>
      </c>
      <c r="AF204" s="149" t="s">
        <v>351</v>
      </c>
    </row>
    <row r="205" spans="1:32" x14ac:dyDescent="0.25">
      <c r="A205" s="149" t="s">
        <v>861</v>
      </c>
      <c r="B205" s="149" t="s">
        <v>511</v>
      </c>
      <c r="C205" s="149" t="s">
        <v>512</v>
      </c>
      <c r="D205" s="149" t="s">
        <v>513</v>
      </c>
      <c r="E205" s="149" t="s">
        <v>621</v>
      </c>
      <c r="F205" s="149" t="s">
        <v>608</v>
      </c>
      <c r="G205" s="149" t="s">
        <v>209</v>
      </c>
      <c r="H205" s="149">
        <v>10</v>
      </c>
      <c r="I205" s="149" t="s">
        <v>351</v>
      </c>
      <c r="J205" s="150">
        <v>350</v>
      </c>
      <c r="K205" s="149">
        <v>10</v>
      </c>
      <c r="L205" s="149" t="s">
        <v>569</v>
      </c>
      <c r="M205" s="149" t="s">
        <v>351</v>
      </c>
      <c r="N205" s="149" t="s">
        <v>351</v>
      </c>
      <c r="O205" s="150">
        <v>3225</v>
      </c>
      <c r="P205" s="150">
        <v>350</v>
      </c>
      <c r="Q205" s="150">
        <v>595</v>
      </c>
      <c r="R205" s="150">
        <v>2630</v>
      </c>
      <c r="S205" s="151">
        <v>26.875</v>
      </c>
      <c r="T205" s="149" t="s">
        <v>519</v>
      </c>
      <c r="U205" s="149" t="s">
        <v>351</v>
      </c>
      <c r="V205" s="149" t="s">
        <v>519</v>
      </c>
      <c r="W205" s="149" t="s">
        <v>520</v>
      </c>
      <c r="X205" s="149" t="s">
        <v>528</v>
      </c>
      <c r="Y205" s="149" t="s">
        <v>351</v>
      </c>
      <c r="Z205" s="149" t="s">
        <v>521</v>
      </c>
      <c r="AA205" s="149" t="s">
        <v>570</v>
      </c>
      <c r="AB205" s="149" t="s">
        <v>571</v>
      </c>
      <c r="AC205" s="149" t="s">
        <v>524</v>
      </c>
      <c r="AD205" s="149" t="s">
        <v>572</v>
      </c>
      <c r="AE205" s="149" t="s">
        <v>518</v>
      </c>
      <c r="AF205" s="149" t="s">
        <v>351</v>
      </c>
    </row>
    <row r="206" spans="1:32" x14ac:dyDescent="0.25">
      <c r="A206" s="149" t="s">
        <v>862</v>
      </c>
      <c r="B206" s="149" t="s">
        <v>511</v>
      </c>
      <c r="C206" s="149" t="s">
        <v>512</v>
      </c>
      <c r="D206" s="149" t="s">
        <v>513</v>
      </c>
      <c r="E206" s="149" t="s">
        <v>621</v>
      </c>
      <c r="F206" s="149" t="s">
        <v>608</v>
      </c>
      <c r="G206" s="149" t="s">
        <v>242</v>
      </c>
      <c r="H206" s="149">
        <v>7</v>
      </c>
      <c r="I206" s="149" t="s">
        <v>351</v>
      </c>
      <c r="J206" s="150">
        <v>420</v>
      </c>
      <c r="K206" s="149">
        <v>12</v>
      </c>
      <c r="L206" s="149" t="s">
        <v>569</v>
      </c>
      <c r="M206" s="149">
        <v>12</v>
      </c>
      <c r="N206" s="149" t="s">
        <v>593</v>
      </c>
      <c r="O206" s="150">
        <v>3220</v>
      </c>
      <c r="P206" s="150">
        <v>420</v>
      </c>
      <c r="Q206" s="149" t="s">
        <v>351</v>
      </c>
      <c r="R206" s="150">
        <v>3220</v>
      </c>
      <c r="S206" s="151">
        <v>22.361111111111111</v>
      </c>
      <c r="T206" s="149" t="s">
        <v>519</v>
      </c>
      <c r="U206" s="149" t="s">
        <v>351</v>
      </c>
      <c r="V206" s="149" t="s">
        <v>519</v>
      </c>
      <c r="W206" s="149" t="s">
        <v>520</v>
      </c>
      <c r="X206" s="149" t="s">
        <v>528</v>
      </c>
      <c r="Y206" s="149" t="s">
        <v>351</v>
      </c>
      <c r="Z206" s="149" t="s">
        <v>521</v>
      </c>
      <c r="AA206" s="149" t="s">
        <v>678</v>
      </c>
      <c r="AB206" s="149" t="s">
        <v>679</v>
      </c>
      <c r="AC206" s="149" t="s">
        <v>531</v>
      </c>
      <c r="AD206" s="149" t="s">
        <v>572</v>
      </c>
      <c r="AE206" s="149" t="s">
        <v>518</v>
      </c>
      <c r="AF206" s="149" t="s">
        <v>351</v>
      </c>
    </row>
    <row r="207" spans="1:32" x14ac:dyDescent="0.25">
      <c r="A207" s="149" t="s">
        <v>863</v>
      </c>
      <c r="B207" s="149" t="s">
        <v>576</v>
      </c>
      <c r="C207" s="149" t="s">
        <v>512</v>
      </c>
      <c r="D207" s="149" t="s">
        <v>513</v>
      </c>
      <c r="E207" s="149" t="s">
        <v>630</v>
      </c>
      <c r="F207" s="149" t="s">
        <v>601</v>
      </c>
      <c r="G207" s="149" t="s">
        <v>211</v>
      </c>
      <c r="H207" s="149">
        <v>6</v>
      </c>
      <c r="I207" s="149" t="s">
        <v>247</v>
      </c>
      <c r="J207" s="150">
        <v>626.66666666666663</v>
      </c>
      <c r="K207" s="149">
        <v>9</v>
      </c>
      <c r="L207" s="149" t="s">
        <v>577</v>
      </c>
      <c r="M207" s="149" t="s">
        <v>351</v>
      </c>
      <c r="N207" s="149" t="s">
        <v>351</v>
      </c>
      <c r="O207" s="150">
        <v>3123</v>
      </c>
      <c r="P207" s="149" t="s">
        <v>351</v>
      </c>
      <c r="Q207" s="150">
        <v>973</v>
      </c>
      <c r="R207" s="150">
        <v>2150</v>
      </c>
      <c r="S207" s="151">
        <v>28.916666666666668</v>
      </c>
      <c r="T207" s="149" t="s">
        <v>519</v>
      </c>
      <c r="U207" s="149" t="s">
        <v>351</v>
      </c>
      <c r="V207" s="149" t="s">
        <v>519</v>
      </c>
      <c r="W207" s="149" t="s">
        <v>856</v>
      </c>
      <c r="X207" s="149" t="s">
        <v>351</v>
      </c>
      <c r="Y207" s="149" t="s">
        <v>351</v>
      </c>
      <c r="Z207" s="149" t="s">
        <v>521</v>
      </c>
      <c r="AA207" s="149" t="s">
        <v>567</v>
      </c>
      <c r="AB207" s="149" t="s">
        <v>550</v>
      </c>
      <c r="AC207" s="149" t="s">
        <v>580</v>
      </c>
      <c r="AD207" s="149" t="s">
        <v>532</v>
      </c>
      <c r="AE207" s="149" t="s">
        <v>519</v>
      </c>
      <c r="AF207" s="149" t="s">
        <v>518</v>
      </c>
    </row>
    <row r="208" spans="1:32" x14ac:dyDescent="0.25">
      <c r="A208" s="149" t="s">
        <v>864</v>
      </c>
      <c r="B208" s="149" t="s">
        <v>576</v>
      </c>
      <c r="C208" s="149" t="s">
        <v>512</v>
      </c>
      <c r="D208" s="149" t="s">
        <v>513</v>
      </c>
      <c r="E208" s="149" t="s">
        <v>630</v>
      </c>
      <c r="F208" s="149" t="s">
        <v>601</v>
      </c>
      <c r="G208" s="149" t="s">
        <v>242</v>
      </c>
      <c r="H208" s="149">
        <v>4</v>
      </c>
      <c r="I208" s="149" t="s">
        <v>246</v>
      </c>
      <c r="J208" s="150">
        <v>563.33333333333337</v>
      </c>
      <c r="K208" s="149">
        <v>8</v>
      </c>
      <c r="L208" s="149" t="s">
        <v>577</v>
      </c>
      <c r="M208" s="149" t="s">
        <v>351</v>
      </c>
      <c r="N208" s="149" t="s">
        <v>351</v>
      </c>
      <c r="O208" s="150">
        <v>3035</v>
      </c>
      <c r="P208" s="149" t="s">
        <v>351</v>
      </c>
      <c r="Q208" s="149" t="s">
        <v>351</v>
      </c>
      <c r="R208" s="150">
        <v>3035</v>
      </c>
      <c r="S208" s="151">
        <v>31.614583333333332</v>
      </c>
      <c r="T208" s="149" t="s">
        <v>519</v>
      </c>
      <c r="U208" s="149" t="s">
        <v>351</v>
      </c>
      <c r="V208" s="149" t="s">
        <v>519</v>
      </c>
      <c r="W208" s="149" t="s">
        <v>351</v>
      </c>
      <c r="X208" s="149" t="s">
        <v>351</v>
      </c>
      <c r="Y208" s="149" t="s">
        <v>351</v>
      </c>
      <c r="Z208" s="149" t="s">
        <v>351</v>
      </c>
      <c r="AA208" s="149" t="s">
        <v>865</v>
      </c>
      <c r="AB208" s="149" t="s">
        <v>866</v>
      </c>
      <c r="AC208" s="149" t="s">
        <v>351</v>
      </c>
      <c r="AD208" s="149" t="s">
        <v>351</v>
      </c>
      <c r="AE208" s="149" t="s">
        <v>519</v>
      </c>
      <c r="AF208" s="149" t="s">
        <v>518</v>
      </c>
    </row>
    <row r="209" spans="1:32" x14ac:dyDescent="0.25">
      <c r="A209" s="149" t="s">
        <v>867</v>
      </c>
      <c r="B209" s="149" t="s">
        <v>576</v>
      </c>
      <c r="C209" s="149" t="s">
        <v>671</v>
      </c>
      <c r="D209" s="149" t="s">
        <v>351</v>
      </c>
      <c r="E209" s="149" t="s">
        <v>351</v>
      </c>
      <c r="F209" s="149" t="s">
        <v>351</v>
      </c>
      <c r="G209" s="149" t="s">
        <v>202</v>
      </c>
      <c r="H209" s="149">
        <v>10</v>
      </c>
      <c r="I209" s="149" t="s">
        <v>242</v>
      </c>
      <c r="J209" s="150">
        <v>471.66666666666669</v>
      </c>
      <c r="K209" s="149" t="s">
        <v>351</v>
      </c>
      <c r="L209" s="149" t="s">
        <v>649</v>
      </c>
      <c r="M209" s="149" t="s">
        <v>351</v>
      </c>
      <c r="N209" s="149" t="s">
        <v>351</v>
      </c>
      <c r="O209" s="150">
        <v>2982.5</v>
      </c>
      <c r="P209" s="149" t="s">
        <v>351</v>
      </c>
      <c r="Q209" s="150">
        <v>4737.5</v>
      </c>
      <c r="R209" s="150">
        <v>90</v>
      </c>
      <c r="S209" s="149" t="s">
        <v>351</v>
      </c>
      <c r="T209" s="149" t="s">
        <v>351</v>
      </c>
      <c r="U209" s="149" t="s">
        <v>351</v>
      </c>
      <c r="V209" s="149" t="s">
        <v>351</v>
      </c>
      <c r="W209" s="149" t="s">
        <v>351</v>
      </c>
      <c r="X209" s="149" t="s">
        <v>351</v>
      </c>
      <c r="Y209" s="149" t="s">
        <v>351</v>
      </c>
      <c r="Z209" s="149" t="s">
        <v>351</v>
      </c>
      <c r="AA209" s="149" t="s">
        <v>351</v>
      </c>
      <c r="AB209" s="149" t="s">
        <v>351</v>
      </c>
      <c r="AC209" s="149" t="s">
        <v>351</v>
      </c>
      <c r="AD209" s="149" t="s">
        <v>351</v>
      </c>
      <c r="AE209" s="149" t="s">
        <v>351</v>
      </c>
      <c r="AF209" s="149" t="s">
        <v>518</v>
      </c>
    </row>
    <row r="210" spans="1:32" x14ac:dyDescent="0.25">
      <c r="A210" s="149" t="s">
        <v>868</v>
      </c>
      <c r="B210" s="149" t="s">
        <v>576</v>
      </c>
      <c r="C210" s="149" t="s">
        <v>512</v>
      </c>
      <c r="D210" s="149" t="s">
        <v>513</v>
      </c>
      <c r="E210" s="149" t="s">
        <v>514</v>
      </c>
      <c r="F210" s="149" t="s">
        <v>515</v>
      </c>
      <c r="G210" s="149" t="s">
        <v>200</v>
      </c>
      <c r="H210" s="149">
        <v>17</v>
      </c>
      <c r="I210" s="149" t="s">
        <v>247</v>
      </c>
      <c r="J210" s="150">
        <v>446</v>
      </c>
      <c r="K210" s="149">
        <v>5</v>
      </c>
      <c r="L210" s="149" t="s">
        <v>577</v>
      </c>
      <c r="M210" s="149" t="s">
        <v>351</v>
      </c>
      <c r="N210" s="149" t="s">
        <v>351</v>
      </c>
      <c r="O210" s="150">
        <v>2926</v>
      </c>
      <c r="P210" s="149" t="s">
        <v>351</v>
      </c>
      <c r="Q210" s="149" t="s">
        <v>351</v>
      </c>
      <c r="R210" s="150">
        <v>2926</v>
      </c>
      <c r="S210" s="151">
        <v>48.766666666666666</v>
      </c>
      <c r="T210" s="149" t="s">
        <v>519</v>
      </c>
      <c r="U210" s="149" t="s">
        <v>351</v>
      </c>
      <c r="V210" s="149" t="s">
        <v>519</v>
      </c>
      <c r="W210" s="149" t="s">
        <v>856</v>
      </c>
      <c r="X210" s="149" t="s">
        <v>351</v>
      </c>
      <c r="Y210" s="149" t="s">
        <v>351</v>
      </c>
      <c r="Z210" s="149" t="s">
        <v>521</v>
      </c>
      <c r="AA210" s="149" t="s">
        <v>567</v>
      </c>
      <c r="AB210" s="149" t="s">
        <v>550</v>
      </c>
      <c r="AC210" s="149" t="s">
        <v>580</v>
      </c>
      <c r="AD210" s="149" t="s">
        <v>532</v>
      </c>
      <c r="AE210" s="149" t="s">
        <v>519</v>
      </c>
      <c r="AF210" s="149" t="s">
        <v>518</v>
      </c>
    </row>
    <row r="211" spans="1:32" x14ac:dyDescent="0.25">
      <c r="A211" s="149" t="s">
        <v>869</v>
      </c>
      <c r="B211" s="149" t="s">
        <v>576</v>
      </c>
      <c r="C211" s="149" t="s">
        <v>512</v>
      </c>
      <c r="D211" s="149" t="s">
        <v>513</v>
      </c>
      <c r="E211" s="149" t="s">
        <v>351</v>
      </c>
      <c r="F211" s="149" t="s">
        <v>351</v>
      </c>
      <c r="G211" s="149" t="s">
        <v>126</v>
      </c>
      <c r="H211" s="149">
        <v>22</v>
      </c>
      <c r="I211" s="149" t="s">
        <v>244</v>
      </c>
      <c r="J211" s="150">
        <v>425</v>
      </c>
      <c r="K211" s="149">
        <v>4</v>
      </c>
      <c r="L211" s="149" t="s">
        <v>577</v>
      </c>
      <c r="M211" s="149" t="s">
        <v>351</v>
      </c>
      <c r="N211" s="149" t="s">
        <v>351</v>
      </c>
      <c r="O211" s="150">
        <v>2875</v>
      </c>
      <c r="P211" s="149" t="s">
        <v>351</v>
      </c>
      <c r="Q211" s="150">
        <v>5171</v>
      </c>
      <c r="R211" s="150">
        <v>875</v>
      </c>
      <c r="S211" s="151">
        <v>59.895833333333336</v>
      </c>
      <c r="T211" s="149" t="s">
        <v>519</v>
      </c>
      <c r="U211" s="149" t="s">
        <v>351</v>
      </c>
      <c r="V211" s="149" t="s">
        <v>519</v>
      </c>
      <c r="W211" s="149" t="s">
        <v>351</v>
      </c>
      <c r="X211" s="149" t="s">
        <v>351</v>
      </c>
      <c r="Y211" s="149" t="s">
        <v>351</v>
      </c>
      <c r="Z211" s="149" t="s">
        <v>351</v>
      </c>
      <c r="AA211" s="149" t="s">
        <v>719</v>
      </c>
      <c r="AB211" s="149" t="s">
        <v>695</v>
      </c>
      <c r="AC211" s="149" t="s">
        <v>351</v>
      </c>
      <c r="AD211" s="149" t="s">
        <v>351</v>
      </c>
      <c r="AE211" s="149" t="s">
        <v>519</v>
      </c>
      <c r="AF211" s="149" t="s">
        <v>518</v>
      </c>
    </row>
    <row r="212" spans="1:32" x14ac:dyDescent="0.25">
      <c r="A212" s="149" t="s">
        <v>870</v>
      </c>
      <c r="B212" s="149" t="s">
        <v>511</v>
      </c>
      <c r="C212" s="149" t="s">
        <v>512</v>
      </c>
      <c r="D212" s="149" t="s">
        <v>513</v>
      </c>
      <c r="E212" s="149" t="s">
        <v>630</v>
      </c>
      <c r="F212" s="149" t="s">
        <v>601</v>
      </c>
      <c r="G212" s="149" t="s">
        <v>243</v>
      </c>
      <c r="H212" s="149">
        <v>6</v>
      </c>
      <c r="I212" s="149" t="s">
        <v>351</v>
      </c>
      <c r="J212" s="150">
        <v>420</v>
      </c>
      <c r="K212" s="149">
        <v>6</v>
      </c>
      <c r="L212" s="149" t="s">
        <v>569</v>
      </c>
      <c r="M212" s="149" t="s">
        <v>351</v>
      </c>
      <c r="N212" s="149" t="s">
        <v>351</v>
      </c>
      <c r="O212" s="150">
        <v>2794</v>
      </c>
      <c r="P212" s="150">
        <v>420</v>
      </c>
      <c r="Q212" s="149" t="s">
        <v>351</v>
      </c>
      <c r="R212" s="150">
        <v>2794</v>
      </c>
      <c r="S212" s="151">
        <v>38.805555555555557</v>
      </c>
      <c r="T212" s="149" t="s">
        <v>519</v>
      </c>
      <c r="U212" s="149" t="s">
        <v>351</v>
      </c>
      <c r="V212" s="149" t="s">
        <v>519</v>
      </c>
      <c r="W212" s="149" t="s">
        <v>520</v>
      </c>
      <c r="X212" s="149" t="s">
        <v>528</v>
      </c>
      <c r="Y212" s="149" t="s">
        <v>351</v>
      </c>
      <c r="Z212" s="149" t="s">
        <v>521</v>
      </c>
      <c r="AA212" s="149" t="s">
        <v>678</v>
      </c>
      <c r="AB212" s="149" t="s">
        <v>679</v>
      </c>
      <c r="AC212" s="149" t="s">
        <v>531</v>
      </c>
      <c r="AD212" s="149" t="s">
        <v>572</v>
      </c>
      <c r="AE212" s="149" t="s">
        <v>518</v>
      </c>
      <c r="AF212" s="149" t="s">
        <v>351</v>
      </c>
    </row>
    <row r="213" spans="1:32" x14ac:dyDescent="0.25">
      <c r="A213" s="149" t="s">
        <v>871</v>
      </c>
      <c r="B213" s="149" t="s">
        <v>576</v>
      </c>
      <c r="C213" s="149" t="s">
        <v>671</v>
      </c>
      <c r="D213" s="149" t="s">
        <v>351</v>
      </c>
      <c r="E213" s="149" t="s">
        <v>351</v>
      </c>
      <c r="F213" s="149" t="s">
        <v>351</v>
      </c>
      <c r="G213" s="149" t="s">
        <v>123</v>
      </c>
      <c r="H213" s="149">
        <v>23</v>
      </c>
      <c r="I213" s="149" t="s">
        <v>242</v>
      </c>
      <c r="J213" s="150">
        <v>558.33333333333337</v>
      </c>
      <c r="K213" s="149" t="s">
        <v>351</v>
      </c>
      <c r="L213" s="149" t="s">
        <v>649</v>
      </c>
      <c r="M213" s="149" t="s">
        <v>351</v>
      </c>
      <c r="N213" s="149" t="s">
        <v>351</v>
      </c>
      <c r="O213" s="150">
        <v>2775</v>
      </c>
      <c r="P213" s="149" t="s">
        <v>351</v>
      </c>
      <c r="Q213" s="150">
        <v>7455</v>
      </c>
      <c r="R213" s="149" t="s">
        <v>351</v>
      </c>
      <c r="S213" s="149" t="s">
        <v>351</v>
      </c>
      <c r="T213" s="149" t="s">
        <v>351</v>
      </c>
      <c r="U213" s="149" t="s">
        <v>351</v>
      </c>
      <c r="V213" s="149" t="s">
        <v>351</v>
      </c>
      <c r="W213" s="149" t="s">
        <v>351</v>
      </c>
      <c r="X213" s="149" t="s">
        <v>351</v>
      </c>
      <c r="Y213" s="149" t="s">
        <v>351</v>
      </c>
      <c r="Z213" s="149" t="s">
        <v>351</v>
      </c>
      <c r="AA213" s="149" t="s">
        <v>351</v>
      </c>
      <c r="AB213" s="149" t="s">
        <v>351</v>
      </c>
      <c r="AC213" s="149" t="s">
        <v>351</v>
      </c>
      <c r="AD213" s="149" t="s">
        <v>351</v>
      </c>
      <c r="AE213" s="149" t="s">
        <v>351</v>
      </c>
      <c r="AF213" s="149" t="s">
        <v>519</v>
      </c>
    </row>
    <row r="214" spans="1:32" x14ac:dyDescent="0.25">
      <c r="A214" s="149" t="s">
        <v>872</v>
      </c>
      <c r="B214" s="149" t="s">
        <v>511</v>
      </c>
      <c r="C214" s="149" t="s">
        <v>692</v>
      </c>
      <c r="D214" s="149" t="s">
        <v>693</v>
      </c>
      <c r="E214" s="149" t="s">
        <v>351</v>
      </c>
      <c r="F214" s="149" t="s">
        <v>351</v>
      </c>
      <c r="G214" s="149" t="s">
        <v>243</v>
      </c>
      <c r="H214" s="149">
        <v>6</v>
      </c>
      <c r="I214" s="149" t="s">
        <v>351</v>
      </c>
      <c r="J214" s="150">
        <v>418</v>
      </c>
      <c r="K214" s="149">
        <v>5</v>
      </c>
      <c r="L214" s="149" t="s">
        <v>516</v>
      </c>
      <c r="M214" s="149">
        <v>5</v>
      </c>
      <c r="N214" s="149" t="s">
        <v>517</v>
      </c>
      <c r="O214" s="150">
        <v>2621</v>
      </c>
      <c r="P214" s="150">
        <v>418</v>
      </c>
      <c r="Q214" s="149" t="s">
        <v>351</v>
      </c>
      <c r="R214" s="150">
        <v>2621</v>
      </c>
      <c r="S214" s="151">
        <v>43.68333333333333</v>
      </c>
      <c r="T214" s="149" t="s">
        <v>519</v>
      </c>
      <c r="U214" s="149" t="s">
        <v>351</v>
      </c>
      <c r="V214" s="149" t="s">
        <v>519</v>
      </c>
      <c r="W214" s="149" t="s">
        <v>527</v>
      </c>
      <c r="X214" s="149" t="s">
        <v>539</v>
      </c>
      <c r="Y214" s="149" t="s">
        <v>351</v>
      </c>
      <c r="Z214" s="149" t="s">
        <v>609</v>
      </c>
      <c r="AA214" s="149" t="s">
        <v>780</v>
      </c>
      <c r="AB214" s="149" t="s">
        <v>695</v>
      </c>
      <c r="AC214" s="149" t="s">
        <v>652</v>
      </c>
      <c r="AD214" s="149" t="s">
        <v>696</v>
      </c>
      <c r="AE214" s="149" t="s">
        <v>519</v>
      </c>
      <c r="AF214" s="149" t="s">
        <v>351</v>
      </c>
    </row>
    <row r="215" spans="1:32" x14ac:dyDescent="0.25">
      <c r="A215" s="149" t="s">
        <v>873</v>
      </c>
      <c r="B215" s="149" t="s">
        <v>576</v>
      </c>
      <c r="C215" s="149" t="s">
        <v>671</v>
      </c>
      <c r="D215" s="149" t="s">
        <v>351</v>
      </c>
      <c r="E215" s="149" t="s">
        <v>351</v>
      </c>
      <c r="F215" s="149" t="s">
        <v>351</v>
      </c>
      <c r="G215" s="149" t="s">
        <v>202</v>
      </c>
      <c r="H215" s="149">
        <v>10</v>
      </c>
      <c r="I215" s="149" t="s">
        <v>242</v>
      </c>
      <c r="J215" s="150">
        <v>543.33333333333337</v>
      </c>
      <c r="K215" s="149" t="s">
        <v>351</v>
      </c>
      <c r="L215" s="149" t="s">
        <v>649</v>
      </c>
      <c r="M215" s="149" t="s">
        <v>351</v>
      </c>
      <c r="N215" s="149" t="s">
        <v>351</v>
      </c>
      <c r="O215" s="150">
        <v>2590</v>
      </c>
      <c r="P215" s="149" t="s">
        <v>351</v>
      </c>
      <c r="Q215" s="150">
        <v>5411.25</v>
      </c>
      <c r="R215" s="149" t="s">
        <v>351</v>
      </c>
      <c r="S215" s="149" t="s">
        <v>351</v>
      </c>
      <c r="T215" s="149" t="s">
        <v>351</v>
      </c>
      <c r="U215" s="149" t="s">
        <v>351</v>
      </c>
      <c r="V215" s="149" t="s">
        <v>351</v>
      </c>
      <c r="W215" s="149" t="s">
        <v>351</v>
      </c>
      <c r="X215" s="149" t="s">
        <v>351</v>
      </c>
      <c r="Y215" s="149" t="s">
        <v>351</v>
      </c>
      <c r="Z215" s="149" t="s">
        <v>351</v>
      </c>
      <c r="AA215" s="149" t="s">
        <v>351</v>
      </c>
      <c r="AB215" s="149" t="s">
        <v>351</v>
      </c>
      <c r="AC215" s="149" t="s">
        <v>351</v>
      </c>
      <c r="AD215" s="149" t="s">
        <v>351</v>
      </c>
      <c r="AE215" s="149" t="s">
        <v>351</v>
      </c>
      <c r="AF215" s="149" t="s">
        <v>518</v>
      </c>
    </row>
    <row r="216" spans="1:32" x14ac:dyDescent="0.25">
      <c r="A216" s="149" t="s">
        <v>874</v>
      </c>
      <c r="B216" s="149" t="s">
        <v>511</v>
      </c>
      <c r="C216" s="149" t="s">
        <v>512</v>
      </c>
      <c r="D216" s="149" t="s">
        <v>513</v>
      </c>
      <c r="E216" s="149" t="s">
        <v>514</v>
      </c>
      <c r="F216" s="149" t="s">
        <v>515</v>
      </c>
      <c r="G216" s="149" t="s">
        <v>245</v>
      </c>
      <c r="H216" s="149">
        <v>4</v>
      </c>
      <c r="I216" s="149" t="s">
        <v>351</v>
      </c>
      <c r="J216" s="150">
        <v>547.66666666666663</v>
      </c>
      <c r="K216" s="149">
        <v>8</v>
      </c>
      <c r="L216" s="149" t="s">
        <v>569</v>
      </c>
      <c r="M216" s="149">
        <v>6</v>
      </c>
      <c r="N216" s="149" t="s">
        <v>593</v>
      </c>
      <c r="O216" s="150">
        <v>2581</v>
      </c>
      <c r="P216" s="150">
        <v>632</v>
      </c>
      <c r="Q216" s="149" t="s">
        <v>351</v>
      </c>
      <c r="R216" s="150">
        <v>2581</v>
      </c>
      <c r="S216" s="151">
        <v>26.885416666666668</v>
      </c>
      <c r="T216" s="149" t="s">
        <v>519</v>
      </c>
      <c r="U216" s="149" t="s">
        <v>351</v>
      </c>
      <c r="V216" s="149" t="s">
        <v>518</v>
      </c>
      <c r="W216" s="149" t="s">
        <v>520</v>
      </c>
      <c r="X216" s="149" t="s">
        <v>539</v>
      </c>
      <c r="Y216" s="149" t="s">
        <v>355</v>
      </c>
      <c r="Z216" s="149" t="s">
        <v>521</v>
      </c>
      <c r="AA216" s="149" t="s">
        <v>626</v>
      </c>
      <c r="AB216" s="149" t="s">
        <v>627</v>
      </c>
      <c r="AC216" s="149" t="s">
        <v>547</v>
      </c>
      <c r="AD216" s="149" t="s">
        <v>525</v>
      </c>
      <c r="AE216" s="149" t="s">
        <v>518</v>
      </c>
      <c r="AF216" s="149" t="s">
        <v>351</v>
      </c>
    </row>
    <row r="217" spans="1:32" x14ac:dyDescent="0.25">
      <c r="A217" s="149" t="s">
        <v>875</v>
      </c>
      <c r="B217" s="149" t="s">
        <v>19</v>
      </c>
      <c r="C217" s="149" t="s">
        <v>512</v>
      </c>
      <c r="D217" s="149" t="s">
        <v>513</v>
      </c>
      <c r="E217" s="149" t="s">
        <v>351</v>
      </c>
      <c r="F217" s="149" t="s">
        <v>608</v>
      </c>
      <c r="G217" s="149" t="s">
        <v>248</v>
      </c>
      <c r="H217" s="149">
        <v>1</v>
      </c>
      <c r="I217" s="149" t="s">
        <v>351</v>
      </c>
      <c r="J217" s="150">
        <v>2460</v>
      </c>
      <c r="K217" s="149">
        <v>41</v>
      </c>
      <c r="L217" s="149" t="s">
        <v>569</v>
      </c>
      <c r="M217" s="149" t="s">
        <v>351</v>
      </c>
      <c r="N217" s="149" t="s">
        <v>351</v>
      </c>
      <c r="O217" s="150">
        <v>2460</v>
      </c>
      <c r="P217" s="150">
        <v>2460</v>
      </c>
      <c r="Q217" s="149" t="s">
        <v>351</v>
      </c>
      <c r="R217" s="150">
        <v>2460</v>
      </c>
      <c r="S217" s="151">
        <v>5</v>
      </c>
      <c r="T217" s="149" t="s">
        <v>519</v>
      </c>
      <c r="U217" s="149" t="s">
        <v>351</v>
      </c>
      <c r="V217" s="149" t="s">
        <v>519</v>
      </c>
      <c r="W217" s="149" t="s">
        <v>520</v>
      </c>
      <c r="X217" s="149" t="s">
        <v>528</v>
      </c>
      <c r="Y217" s="149" t="s">
        <v>351</v>
      </c>
      <c r="Z217" s="149" t="s">
        <v>521</v>
      </c>
      <c r="AA217" s="149" t="s">
        <v>876</v>
      </c>
      <c r="AB217" s="149" t="s">
        <v>666</v>
      </c>
      <c r="AC217" s="149" t="s">
        <v>580</v>
      </c>
      <c r="AD217" s="149" t="s">
        <v>667</v>
      </c>
      <c r="AE217" s="149" t="s">
        <v>518</v>
      </c>
      <c r="AF217" s="149" t="s">
        <v>351</v>
      </c>
    </row>
    <row r="218" spans="1:32" x14ac:dyDescent="0.25">
      <c r="A218" s="149" t="s">
        <v>877</v>
      </c>
      <c r="B218" s="149" t="s">
        <v>576</v>
      </c>
      <c r="C218" s="149" t="s">
        <v>512</v>
      </c>
      <c r="D218" s="149" t="s">
        <v>513</v>
      </c>
      <c r="E218" s="149" t="s">
        <v>514</v>
      </c>
      <c r="F218" s="149" t="s">
        <v>515</v>
      </c>
      <c r="G218" s="149" t="s">
        <v>244</v>
      </c>
      <c r="H218" s="149">
        <v>3</v>
      </c>
      <c r="I218" s="149" t="s">
        <v>247</v>
      </c>
      <c r="J218" s="150">
        <v>786.66666666666663</v>
      </c>
      <c r="K218" s="149">
        <v>8</v>
      </c>
      <c r="L218" s="149" t="s">
        <v>577</v>
      </c>
      <c r="M218" s="149" t="s">
        <v>351</v>
      </c>
      <c r="N218" s="149" t="s">
        <v>351</v>
      </c>
      <c r="O218" s="150">
        <v>2360</v>
      </c>
      <c r="P218" s="149" t="s">
        <v>351</v>
      </c>
      <c r="Q218" s="149" t="s">
        <v>351</v>
      </c>
      <c r="R218" s="150">
        <v>2360</v>
      </c>
      <c r="S218" s="151">
        <v>24.583333333333332</v>
      </c>
      <c r="T218" s="149" t="s">
        <v>519</v>
      </c>
      <c r="U218" s="149" t="s">
        <v>351</v>
      </c>
      <c r="V218" s="149" t="s">
        <v>519</v>
      </c>
      <c r="W218" s="149" t="s">
        <v>528</v>
      </c>
      <c r="X218" s="149" t="s">
        <v>351</v>
      </c>
      <c r="Y218" s="149" t="s">
        <v>351</v>
      </c>
      <c r="Z218" s="149" t="s">
        <v>521</v>
      </c>
      <c r="AA218" s="149" t="s">
        <v>582</v>
      </c>
      <c r="AB218" s="149" t="s">
        <v>571</v>
      </c>
      <c r="AC218" s="149" t="s">
        <v>524</v>
      </c>
      <c r="AD218" s="149" t="s">
        <v>572</v>
      </c>
      <c r="AE218" s="149" t="s">
        <v>519</v>
      </c>
      <c r="AF218" s="149" t="s">
        <v>519</v>
      </c>
    </row>
    <row r="219" spans="1:32" x14ac:dyDescent="0.25">
      <c r="A219" s="149" t="s">
        <v>878</v>
      </c>
      <c r="B219" s="149" t="s">
        <v>576</v>
      </c>
      <c r="C219" s="149" t="s">
        <v>671</v>
      </c>
      <c r="D219" s="149" t="s">
        <v>351</v>
      </c>
      <c r="E219" s="149" t="s">
        <v>351</v>
      </c>
      <c r="F219" s="149" t="s">
        <v>351</v>
      </c>
      <c r="G219" s="149" t="s">
        <v>584</v>
      </c>
      <c r="H219" s="149">
        <v>23</v>
      </c>
      <c r="I219" s="149" t="s">
        <v>209</v>
      </c>
      <c r="J219" s="150">
        <v>1200</v>
      </c>
      <c r="K219" s="149" t="s">
        <v>351</v>
      </c>
      <c r="L219" s="149" t="s">
        <v>649</v>
      </c>
      <c r="M219" s="149" t="s">
        <v>351</v>
      </c>
      <c r="N219" s="149" t="s">
        <v>351</v>
      </c>
      <c r="O219" s="150">
        <v>2330</v>
      </c>
      <c r="P219" s="149" t="s">
        <v>351</v>
      </c>
      <c r="Q219" s="150">
        <v>10615</v>
      </c>
      <c r="R219" s="149" t="s">
        <v>351</v>
      </c>
      <c r="S219" s="149" t="s">
        <v>351</v>
      </c>
      <c r="T219" s="149" t="s">
        <v>351</v>
      </c>
      <c r="U219" s="149" t="s">
        <v>351</v>
      </c>
      <c r="V219" s="149" t="s">
        <v>351</v>
      </c>
      <c r="W219" s="149" t="s">
        <v>351</v>
      </c>
      <c r="X219" s="149" t="s">
        <v>351</v>
      </c>
      <c r="Y219" s="149" t="s">
        <v>351</v>
      </c>
      <c r="Z219" s="149" t="s">
        <v>351</v>
      </c>
      <c r="AA219" s="149" t="s">
        <v>351</v>
      </c>
      <c r="AB219" s="149" t="s">
        <v>351</v>
      </c>
      <c r="AC219" s="149" t="s">
        <v>351</v>
      </c>
      <c r="AD219" s="149" t="s">
        <v>351</v>
      </c>
      <c r="AE219" s="149" t="s">
        <v>351</v>
      </c>
      <c r="AF219" s="149" t="s">
        <v>518</v>
      </c>
    </row>
    <row r="220" spans="1:32" x14ac:dyDescent="0.25">
      <c r="A220" s="149" t="s">
        <v>879</v>
      </c>
      <c r="B220" s="149" t="s">
        <v>576</v>
      </c>
      <c r="C220" s="149" t="s">
        <v>646</v>
      </c>
      <c r="D220" s="149" t="s">
        <v>351</v>
      </c>
      <c r="E220" s="149" t="s">
        <v>351</v>
      </c>
      <c r="F220" s="149" t="s">
        <v>351</v>
      </c>
      <c r="G220" s="149" t="s">
        <v>648</v>
      </c>
      <c r="H220" s="149">
        <v>59</v>
      </c>
      <c r="I220" s="149" t="s">
        <v>245</v>
      </c>
      <c r="J220" s="150">
        <v>300</v>
      </c>
      <c r="K220" s="149" t="s">
        <v>351</v>
      </c>
      <c r="L220" s="149" t="s">
        <v>649</v>
      </c>
      <c r="M220" s="149" t="s">
        <v>351</v>
      </c>
      <c r="N220" s="149" t="s">
        <v>351</v>
      </c>
      <c r="O220" s="150">
        <v>2225</v>
      </c>
      <c r="P220" s="149" t="s">
        <v>351</v>
      </c>
      <c r="Q220" s="150">
        <v>3210</v>
      </c>
      <c r="R220" s="150">
        <v>900</v>
      </c>
      <c r="S220" s="149" t="s">
        <v>351</v>
      </c>
      <c r="T220" s="149" t="s">
        <v>519</v>
      </c>
      <c r="U220" s="149" t="s">
        <v>351</v>
      </c>
      <c r="V220" s="149" t="s">
        <v>519</v>
      </c>
      <c r="W220" s="149" t="s">
        <v>351</v>
      </c>
      <c r="X220" s="149" t="s">
        <v>351</v>
      </c>
      <c r="Y220" s="149" t="s">
        <v>351</v>
      </c>
      <c r="Z220" s="149" t="s">
        <v>351</v>
      </c>
      <c r="AA220" s="149" t="s">
        <v>683</v>
      </c>
      <c r="AB220" s="149" t="s">
        <v>651</v>
      </c>
      <c r="AC220" s="149" t="s">
        <v>351</v>
      </c>
      <c r="AD220" s="149" t="s">
        <v>351</v>
      </c>
      <c r="AE220" s="149" t="s">
        <v>519</v>
      </c>
      <c r="AF220" s="149" t="s">
        <v>518</v>
      </c>
    </row>
    <row r="221" spans="1:32" x14ac:dyDescent="0.25">
      <c r="A221" s="149" t="s">
        <v>880</v>
      </c>
      <c r="B221" s="149" t="s">
        <v>576</v>
      </c>
      <c r="C221" s="149" t="s">
        <v>671</v>
      </c>
      <c r="D221" s="149" t="s">
        <v>351</v>
      </c>
      <c r="E221" s="149" t="s">
        <v>351</v>
      </c>
      <c r="F221" s="149" t="s">
        <v>351</v>
      </c>
      <c r="G221" s="149" t="s">
        <v>201</v>
      </c>
      <c r="H221" s="149">
        <v>12</v>
      </c>
      <c r="I221" s="149" t="s">
        <v>243</v>
      </c>
      <c r="J221" s="150">
        <v>375</v>
      </c>
      <c r="K221" s="149" t="s">
        <v>351</v>
      </c>
      <c r="L221" s="149" t="s">
        <v>649</v>
      </c>
      <c r="M221" s="149" t="s">
        <v>351</v>
      </c>
      <c r="N221" s="149" t="s">
        <v>351</v>
      </c>
      <c r="O221" s="150">
        <v>2205</v>
      </c>
      <c r="P221" s="149" t="s">
        <v>351</v>
      </c>
      <c r="Q221" s="150">
        <v>3260</v>
      </c>
      <c r="R221" s="150">
        <v>375</v>
      </c>
      <c r="S221" s="149" t="s">
        <v>351</v>
      </c>
      <c r="T221" s="149" t="s">
        <v>351</v>
      </c>
      <c r="U221" s="149" t="s">
        <v>351</v>
      </c>
      <c r="V221" s="149" t="s">
        <v>351</v>
      </c>
      <c r="W221" s="149" t="s">
        <v>351</v>
      </c>
      <c r="X221" s="149" t="s">
        <v>351</v>
      </c>
      <c r="Y221" s="149" t="s">
        <v>351</v>
      </c>
      <c r="Z221" s="149" t="s">
        <v>351</v>
      </c>
      <c r="AA221" s="149" t="s">
        <v>351</v>
      </c>
      <c r="AB221" s="149" t="s">
        <v>351</v>
      </c>
      <c r="AC221" s="149" t="s">
        <v>351</v>
      </c>
      <c r="AD221" s="149" t="s">
        <v>351</v>
      </c>
      <c r="AE221" s="149" t="s">
        <v>351</v>
      </c>
      <c r="AF221" s="149" t="s">
        <v>519</v>
      </c>
    </row>
    <row r="222" spans="1:32" x14ac:dyDescent="0.25">
      <c r="A222" s="149" t="s">
        <v>881</v>
      </c>
      <c r="B222" s="149" t="s">
        <v>19</v>
      </c>
      <c r="C222" s="149" t="s">
        <v>512</v>
      </c>
      <c r="D222" s="149" t="s">
        <v>513</v>
      </c>
      <c r="E222" s="149" t="s">
        <v>351</v>
      </c>
      <c r="F222" s="149" t="s">
        <v>515</v>
      </c>
      <c r="G222" s="149" t="s">
        <v>248</v>
      </c>
      <c r="H222" s="149">
        <v>1</v>
      </c>
      <c r="I222" s="149" t="s">
        <v>351</v>
      </c>
      <c r="J222" s="150">
        <v>2198</v>
      </c>
      <c r="K222" s="149">
        <v>29</v>
      </c>
      <c r="L222" s="149" t="s">
        <v>569</v>
      </c>
      <c r="M222" s="149" t="s">
        <v>351</v>
      </c>
      <c r="N222" s="149" t="s">
        <v>351</v>
      </c>
      <c r="O222" s="150">
        <v>2198</v>
      </c>
      <c r="P222" s="150">
        <v>2198</v>
      </c>
      <c r="Q222" s="149" t="s">
        <v>351</v>
      </c>
      <c r="R222" s="150">
        <v>2198</v>
      </c>
      <c r="S222" s="151">
        <v>6.3160919540229878</v>
      </c>
      <c r="T222" s="149" t="s">
        <v>518</v>
      </c>
      <c r="U222" s="149" t="s">
        <v>351</v>
      </c>
      <c r="V222" s="149" t="s">
        <v>519</v>
      </c>
      <c r="W222" s="149" t="s">
        <v>520</v>
      </c>
      <c r="X222" s="149" t="s">
        <v>528</v>
      </c>
      <c r="Y222" s="149" t="s">
        <v>351</v>
      </c>
      <c r="Z222" s="149" t="s">
        <v>521</v>
      </c>
      <c r="AA222" s="149" t="s">
        <v>665</v>
      </c>
      <c r="AB222" s="149" t="s">
        <v>666</v>
      </c>
      <c r="AC222" s="149" t="s">
        <v>580</v>
      </c>
      <c r="AD222" s="149" t="s">
        <v>667</v>
      </c>
      <c r="AE222" s="149" t="s">
        <v>518</v>
      </c>
      <c r="AF222" s="149" t="s">
        <v>351</v>
      </c>
    </row>
    <row r="223" spans="1:32" x14ac:dyDescent="0.25">
      <c r="A223" s="149" t="s">
        <v>882</v>
      </c>
      <c r="B223" s="149" t="s">
        <v>576</v>
      </c>
      <c r="C223" s="149" t="s">
        <v>512</v>
      </c>
      <c r="D223" s="149" t="s">
        <v>513</v>
      </c>
      <c r="E223" s="149" t="s">
        <v>351</v>
      </c>
      <c r="F223" s="149" t="s">
        <v>601</v>
      </c>
      <c r="G223" s="149" t="s">
        <v>246</v>
      </c>
      <c r="H223" s="149">
        <v>3</v>
      </c>
      <c r="I223" s="149" t="s">
        <v>351</v>
      </c>
      <c r="J223" s="150">
        <v>1097</v>
      </c>
      <c r="K223" s="149">
        <v>20</v>
      </c>
      <c r="L223" s="149" t="s">
        <v>516</v>
      </c>
      <c r="M223" s="149">
        <v>20</v>
      </c>
      <c r="N223" s="149" t="s">
        <v>517</v>
      </c>
      <c r="O223" s="150">
        <v>2194</v>
      </c>
      <c r="P223" s="150">
        <v>1097</v>
      </c>
      <c r="Q223" s="149" t="s">
        <v>351</v>
      </c>
      <c r="R223" s="150">
        <v>2194</v>
      </c>
      <c r="S223" s="151">
        <v>9.1416666666666675</v>
      </c>
      <c r="T223" s="149" t="s">
        <v>519</v>
      </c>
      <c r="U223" s="149" t="s">
        <v>351</v>
      </c>
      <c r="V223" s="149" t="s">
        <v>519</v>
      </c>
      <c r="W223" s="149" t="s">
        <v>856</v>
      </c>
      <c r="X223" s="149" t="s">
        <v>528</v>
      </c>
      <c r="Y223" s="149" t="s">
        <v>351</v>
      </c>
      <c r="Z223" s="149" t="s">
        <v>521</v>
      </c>
      <c r="AA223" s="149" t="s">
        <v>729</v>
      </c>
      <c r="AB223" s="149" t="s">
        <v>666</v>
      </c>
      <c r="AC223" s="149" t="s">
        <v>580</v>
      </c>
      <c r="AD223" s="149" t="s">
        <v>730</v>
      </c>
      <c r="AE223" s="149" t="s">
        <v>519</v>
      </c>
      <c r="AF223" s="149" t="s">
        <v>351</v>
      </c>
    </row>
    <row r="224" spans="1:32" x14ac:dyDescent="0.25">
      <c r="A224" s="149" t="s">
        <v>883</v>
      </c>
      <c r="B224" s="149" t="s">
        <v>576</v>
      </c>
      <c r="C224" s="149" t="s">
        <v>671</v>
      </c>
      <c r="D224" s="149" t="s">
        <v>351</v>
      </c>
      <c r="E224" s="149" t="s">
        <v>351</v>
      </c>
      <c r="F224" s="149" t="s">
        <v>351</v>
      </c>
      <c r="G224" s="149" t="s">
        <v>204</v>
      </c>
      <c r="H224" s="149">
        <v>7</v>
      </c>
      <c r="I224" s="149" t="s">
        <v>211</v>
      </c>
      <c r="J224" s="150">
        <v>386.66666666666669</v>
      </c>
      <c r="K224" s="149" t="s">
        <v>351</v>
      </c>
      <c r="L224" s="149" t="s">
        <v>649</v>
      </c>
      <c r="M224" s="149" t="s">
        <v>351</v>
      </c>
      <c r="N224" s="149" t="s">
        <v>351</v>
      </c>
      <c r="O224" s="150">
        <v>2185</v>
      </c>
      <c r="P224" s="149" t="s">
        <v>351</v>
      </c>
      <c r="Q224" s="150">
        <v>3508.75</v>
      </c>
      <c r="R224" s="150">
        <v>60</v>
      </c>
      <c r="S224" s="149" t="s">
        <v>351</v>
      </c>
      <c r="T224" s="149" t="s">
        <v>351</v>
      </c>
      <c r="U224" s="149" t="s">
        <v>351</v>
      </c>
      <c r="V224" s="149" t="s">
        <v>351</v>
      </c>
      <c r="W224" s="149" t="s">
        <v>351</v>
      </c>
      <c r="X224" s="149" t="s">
        <v>351</v>
      </c>
      <c r="Y224" s="149" t="s">
        <v>351</v>
      </c>
      <c r="Z224" s="149" t="s">
        <v>351</v>
      </c>
      <c r="AA224" s="149" t="s">
        <v>351</v>
      </c>
      <c r="AB224" s="149" t="s">
        <v>351</v>
      </c>
      <c r="AC224" s="149" t="s">
        <v>351</v>
      </c>
      <c r="AD224" s="149" t="s">
        <v>351</v>
      </c>
      <c r="AE224" s="149" t="s">
        <v>351</v>
      </c>
      <c r="AF224" s="149" t="s">
        <v>518</v>
      </c>
    </row>
    <row r="225" spans="1:32" x14ac:dyDescent="0.25">
      <c r="A225" s="149" t="s">
        <v>884</v>
      </c>
      <c r="B225" s="149" t="s">
        <v>511</v>
      </c>
      <c r="C225" s="149" t="s">
        <v>692</v>
      </c>
      <c r="D225" s="149" t="s">
        <v>693</v>
      </c>
      <c r="E225" s="149" t="s">
        <v>351</v>
      </c>
      <c r="F225" s="149" t="s">
        <v>351</v>
      </c>
      <c r="G225" s="149" t="s">
        <v>242</v>
      </c>
      <c r="H225" s="149">
        <v>7</v>
      </c>
      <c r="I225" s="149" t="s">
        <v>351</v>
      </c>
      <c r="J225" s="150">
        <v>300</v>
      </c>
      <c r="K225" s="149">
        <v>5</v>
      </c>
      <c r="L225" s="149" t="s">
        <v>516</v>
      </c>
      <c r="M225" s="149">
        <v>5</v>
      </c>
      <c r="N225" s="149" t="s">
        <v>517</v>
      </c>
      <c r="O225" s="150">
        <v>2165</v>
      </c>
      <c r="P225" s="150">
        <v>300</v>
      </c>
      <c r="Q225" s="149" t="s">
        <v>351</v>
      </c>
      <c r="R225" s="150">
        <v>2165</v>
      </c>
      <c r="S225" s="151">
        <v>36.083333333333329</v>
      </c>
      <c r="T225" s="149" t="s">
        <v>518</v>
      </c>
      <c r="U225" s="149" t="s">
        <v>351</v>
      </c>
      <c r="V225" s="149" t="s">
        <v>519</v>
      </c>
      <c r="W225" s="149" t="s">
        <v>527</v>
      </c>
      <c r="X225" s="149" t="s">
        <v>351</v>
      </c>
      <c r="Y225" s="149" t="s">
        <v>368</v>
      </c>
      <c r="Z225" s="149" t="s">
        <v>609</v>
      </c>
      <c r="AA225" s="149" t="s">
        <v>780</v>
      </c>
      <c r="AB225" s="149" t="s">
        <v>695</v>
      </c>
      <c r="AC225" s="149" t="s">
        <v>652</v>
      </c>
      <c r="AD225" s="149" t="s">
        <v>696</v>
      </c>
      <c r="AE225" s="149" t="s">
        <v>519</v>
      </c>
      <c r="AF225" s="149" t="s">
        <v>351</v>
      </c>
    </row>
    <row r="226" spans="1:32" x14ac:dyDescent="0.25">
      <c r="A226" s="149" t="s">
        <v>885</v>
      </c>
      <c r="B226" s="149" t="s">
        <v>576</v>
      </c>
      <c r="C226" s="149" t="s">
        <v>886</v>
      </c>
      <c r="D226" s="149" t="s">
        <v>351</v>
      </c>
      <c r="E226" s="149" t="s">
        <v>351</v>
      </c>
      <c r="F226" s="149" t="s">
        <v>351</v>
      </c>
      <c r="G226" s="149" t="s">
        <v>887</v>
      </c>
      <c r="H226" s="149">
        <v>54</v>
      </c>
      <c r="I226" s="149" t="s">
        <v>244</v>
      </c>
      <c r="J226" s="150">
        <v>305</v>
      </c>
      <c r="K226" s="149" t="s">
        <v>351</v>
      </c>
      <c r="L226" s="149" t="s">
        <v>649</v>
      </c>
      <c r="M226" s="149" t="s">
        <v>351</v>
      </c>
      <c r="N226" s="149" t="s">
        <v>351</v>
      </c>
      <c r="O226" s="150">
        <v>2125</v>
      </c>
      <c r="P226" s="149" t="s">
        <v>351</v>
      </c>
      <c r="Q226" s="150">
        <v>3595</v>
      </c>
      <c r="R226" s="150">
        <v>610</v>
      </c>
      <c r="S226" s="149" t="s">
        <v>351</v>
      </c>
      <c r="T226" s="149" t="s">
        <v>351</v>
      </c>
      <c r="U226" s="149" t="s">
        <v>351</v>
      </c>
      <c r="V226" s="149" t="s">
        <v>351</v>
      </c>
      <c r="W226" s="149" t="s">
        <v>351</v>
      </c>
      <c r="X226" s="149" t="s">
        <v>351</v>
      </c>
      <c r="Y226" s="149" t="s">
        <v>351</v>
      </c>
      <c r="Z226" s="149" t="s">
        <v>351</v>
      </c>
      <c r="AA226" s="149" t="s">
        <v>351</v>
      </c>
      <c r="AB226" s="149" t="s">
        <v>351</v>
      </c>
      <c r="AC226" s="149" t="s">
        <v>351</v>
      </c>
      <c r="AD226" s="149" t="s">
        <v>351</v>
      </c>
      <c r="AE226" s="149" t="s">
        <v>351</v>
      </c>
      <c r="AF226" s="149" t="s">
        <v>518</v>
      </c>
    </row>
    <row r="227" spans="1:32" x14ac:dyDescent="0.25">
      <c r="A227" s="149" t="s">
        <v>888</v>
      </c>
      <c r="B227" s="149" t="s">
        <v>576</v>
      </c>
      <c r="C227" s="149" t="s">
        <v>886</v>
      </c>
      <c r="D227" s="149" t="s">
        <v>351</v>
      </c>
      <c r="E227" s="149" t="s">
        <v>351</v>
      </c>
      <c r="F227" s="149" t="s">
        <v>351</v>
      </c>
      <c r="G227" s="149" t="s">
        <v>746</v>
      </c>
      <c r="H227" s="149">
        <v>46</v>
      </c>
      <c r="I227" s="149" t="s">
        <v>243</v>
      </c>
      <c r="J227" s="150">
        <v>350</v>
      </c>
      <c r="K227" s="149" t="s">
        <v>351</v>
      </c>
      <c r="L227" s="149" t="s">
        <v>649</v>
      </c>
      <c r="M227" s="149" t="s">
        <v>351</v>
      </c>
      <c r="N227" s="149" t="s">
        <v>351</v>
      </c>
      <c r="O227" s="150">
        <v>2100</v>
      </c>
      <c r="P227" s="149" t="s">
        <v>351</v>
      </c>
      <c r="Q227" s="150">
        <v>4155</v>
      </c>
      <c r="R227" s="150">
        <v>350</v>
      </c>
      <c r="S227" s="149" t="s">
        <v>351</v>
      </c>
      <c r="T227" s="149" t="s">
        <v>351</v>
      </c>
      <c r="U227" s="149" t="s">
        <v>351</v>
      </c>
      <c r="V227" s="149" t="s">
        <v>351</v>
      </c>
      <c r="W227" s="149" t="s">
        <v>351</v>
      </c>
      <c r="X227" s="149" t="s">
        <v>351</v>
      </c>
      <c r="Y227" s="149" t="s">
        <v>351</v>
      </c>
      <c r="Z227" s="149" t="s">
        <v>351</v>
      </c>
      <c r="AA227" s="149" t="s">
        <v>351</v>
      </c>
      <c r="AB227" s="149" t="s">
        <v>351</v>
      </c>
      <c r="AC227" s="149" t="s">
        <v>351</v>
      </c>
      <c r="AD227" s="149" t="s">
        <v>351</v>
      </c>
      <c r="AE227" s="149" t="s">
        <v>351</v>
      </c>
      <c r="AF227" s="149" t="s">
        <v>518</v>
      </c>
    </row>
    <row r="228" spans="1:32" x14ac:dyDescent="0.25">
      <c r="A228" s="149" t="s">
        <v>889</v>
      </c>
      <c r="B228" s="149" t="s">
        <v>576</v>
      </c>
      <c r="C228" s="149" t="s">
        <v>512</v>
      </c>
      <c r="D228" s="149" t="s">
        <v>513</v>
      </c>
      <c r="E228" s="149" t="s">
        <v>514</v>
      </c>
      <c r="F228" s="149" t="s">
        <v>515</v>
      </c>
      <c r="G228" s="149" t="s">
        <v>204</v>
      </c>
      <c r="H228" s="149">
        <v>8</v>
      </c>
      <c r="I228" s="149" t="s">
        <v>242</v>
      </c>
      <c r="J228" s="150">
        <v>300</v>
      </c>
      <c r="K228" s="149">
        <v>4</v>
      </c>
      <c r="L228" s="149" t="s">
        <v>577</v>
      </c>
      <c r="M228" s="149" t="s">
        <v>351</v>
      </c>
      <c r="N228" s="149" t="s">
        <v>351</v>
      </c>
      <c r="O228" s="150">
        <v>2100</v>
      </c>
      <c r="P228" s="149" t="s">
        <v>351</v>
      </c>
      <c r="Q228" s="150">
        <v>3620</v>
      </c>
      <c r="R228" s="150">
        <v>-200</v>
      </c>
      <c r="S228" s="151">
        <v>43.75</v>
      </c>
      <c r="T228" s="149" t="s">
        <v>519</v>
      </c>
      <c r="U228" s="149" t="s">
        <v>351</v>
      </c>
      <c r="V228" s="149" t="s">
        <v>519</v>
      </c>
      <c r="W228" s="149" t="s">
        <v>351</v>
      </c>
      <c r="X228" s="149" t="s">
        <v>351</v>
      </c>
      <c r="Y228" s="149" t="s">
        <v>351</v>
      </c>
      <c r="Z228" s="149" t="s">
        <v>351</v>
      </c>
      <c r="AA228" s="149" t="s">
        <v>890</v>
      </c>
      <c r="AB228" s="149" t="s">
        <v>891</v>
      </c>
      <c r="AC228" s="149" t="s">
        <v>351</v>
      </c>
      <c r="AD228" s="149" t="s">
        <v>351</v>
      </c>
      <c r="AE228" s="149" t="s">
        <v>519</v>
      </c>
      <c r="AF228" s="149" t="s">
        <v>519</v>
      </c>
    </row>
    <row r="229" spans="1:32" x14ac:dyDescent="0.25">
      <c r="A229" s="149" t="s">
        <v>892</v>
      </c>
      <c r="B229" s="149" t="s">
        <v>576</v>
      </c>
      <c r="C229" s="149" t="s">
        <v>671</v>
      </c>
      <c r="D229" s="149" t="s">
        <v>351</v>
      </c>
      <c r="E229" s="149" t="s">
        <v>351</v>
      </c>
      <c r="F229" s="149" t="s">
        <v>351</v>
      </c>
      <c r="G229" s="149" t="s">
        <v>204</v>
      </c>
      <c r="H229" s="149">
        <v>7</v>
      </c>
      <c r="I229" s="149" t="s">
        <v>211</v>
      </c>
      <c r="J229" s="150">
        <v>580</v>
      </c>
      <c r="K229" s="149" t="s">
        <v>351</v>
      </c>
      <c r="L229" s="149" t="s">
        <v>649</v>
      </c>
      <c r="M229" s="149" t="s">
        <v>351</v>
      </c>
      <c r="N229" s="149" t="s">
        <v>351</v>
      </c>
      <c r="O229" s="150">
        <v>2065</v>
      </c>
      <c r="P229" s="149" t="s">
        <v>351</v>
      </c>
      <c r="Q229" s="150">
        <v>7271.25</v>
      </c>
      <c r="R229" s="149" t="s">
        <v>351</v>
      </c>
      <c r="S229" s="149" t="s">
        <v>351</v>
      </c>
      <c r="T229" s="149" t="s">
        <v>351</v>
      </c>
      <c r="U229" s="149" t="s">
        <v>351</v>
      </c>
      <c r="V229" s="149" t="s">
        <v>351</v>
      </c>
      <c r="W229" s="149" t="s">
        <v>351</v>
      </c>
      <c r="X229" s="149" t="s">
        <v>351</v>
      </c>
      <c r="Y229" s="149" t="s">
        <v>351</v>
      </c>
      <c r="Z229" s="149" t="s">
        <v>351</v>
      </c>
      <c r="AA229" s="149" t="s">
        <v>351</v>
      </c>
      <c r="AB229" s="149" t="s">
        <v>351</v>
      </c>
      <c r="AC229" s="149" t="s">
        <v>351</v>
      </c>
      <c r="AD229" s="149" t="s">
        <v>351</v>
      </c>
      <c r="AE229" s="149" t="s">
        <v>351</v>
      </c>
      <c r="AF229" s="149" t="s">
        <v>519</v>
      </c>
    </row>
    <row r="230" spans="1:32" x14ac:dyDescent="0.25">
      <c r="A230" s="149" t="s">
        <v>893</v>
      </c>
      <c r="B230" s="149" t="s">
        <v>511</v>
      </c>
      <c r="C230" s="149" t="s">
        <v>512</v>
      </c>
      <c r="D230" s="149" t="s">
        <v>513</v>
      </c>
      <c r="E230" s="149" t="s">
        <v>514</v>
      </c>
      <c r="F230" s="149" t="s">
        <v>515</v>
      </c>
      <c r="G230" s="149" t="s">
        <v>246</v>
      </c>
      <c r="H230" s="149">
        <v>3</v>
      </c>
      <c r="I230" s="149" t="s">
        <v>351</v>
      </c>
      <c r="J230" s="150">
        <v>680.66666666666663</v>
      </c>
      <c r="K230" s="149">
        <v>3</v>
      </c>
      <c r="L230" s="149" t="s">
        <v>516</v>
      </c>
      <c r="M230" s="149">
        <v>3</v>
      </c>
      <c r="N230" s="149" t="s">
        <v>517</v>
      </c>
      <c r="O230" s="150">
        <v>2042</v>
      </c>
      <c r="P230" s="150">
        <v>378</v>
      </c>
      <c r="Q230" s="149" t="s">
        <v>351</v>
      </c>
      <c r="R230" s="150">
        <v>2042</v>
      </c>
      <c r="S230" s="151">
        <v>56.722222222222221</v>
      </c>
      <c r="T230" s="149" t="s">
        <v>518</v>
      </c>
      <c r="U230" s="149" t="s">
        <v>351</v>
      </c>
      <c r="V230" s="149" t="s">
        <v>519</v>
      </c>
      <c r="W230" s="149" t="s">
        <v>520</v>
      </c>
      <c r="X230" s="149" t="s">
        <v>544</v>
      </c>
      <c r="Y230" s="149" t="s">
        <v>351</v>
      </c>
      <c r="Z230" s="149" t="s">
        <v>521</v>
      </c>
      <c r="AA230" s="149" t="s">
        <v>614</v>
      </c>
      <c r="AB230" s="149" t="s">
        <v>541</v>
      </c>
      <c r="AC230" s="149" t="s">
        <v>531</v>
      </c>
      <c r="AD230" s="149" t="s">
        <v>525</v>
      </c>
      <c r="AE230" s="149" t="s">
        <v>518</v>
      </c>
      <c r="AF230" s="149" t="s">
        <v>351</v>
      </c>
    </row>
    <row r="231" spans="1:32" x14ac:dyDescent="0.25">
      <c r="A231" s="149" t="s">
        <v>894</v>
      </c>
      <c r="B231" s="149" t="s">
        <v>576</v>
      </c>
      <c r="C231" s="149" t="s">
        <v>692</v>
      </c>
      <c r="D231" s="149" t="s">
        <v>693</v>
      </c>
      <c r="E231" s="149" t="s">
        <v>351</v>
      </c>
      <c r="F231" s="149" t="s">
        <v>351</v>
      </c>
      <c r="G231" s="149" t="s">
        <v>127</v>
      </c>
      <c r="H231" s="149">
        <v>24</v>
      </c>
      <c r="I231" s="149" t="s">
        <v>247</v>
      </c>
      <c r="J231" s="150">
        <v>200</v>
      </c>
      <c r="K231" s="149" t="s">
        <v>351</v>
      </c>
      <c r="L231" s="149" t="s">
        <v>649</v>
      </c>
      <c r="M231" s="149" t="s">
        <v>351</v>
      </c>
      <c r="N231" s="149" t="s">
        <v>351</v>
      </c>
      <c r="O231" s="150">
        <v>2000</v>
      </c>
      <c r="P231" s="149" t="s">
        <v>351</v>
      </c>
      <c r="Q231" s="150">
        <v>2432.5</v>
      </c>
      <c r="R231" s="150">
        <v>1000</v>
      </c>
      <c r="S231" s="149" t="s">
        <v>351</v>
      </c>
      <c r="T231" s="149" t="s">
        <v>519</v>
      </c>
      <c r="U231" s="149" t="s">
        <v>351</v>
      </c>
      <c r="V231" s="149" t="s">
        <v>519</v>
      </c>
      <c r="W231" s="149" t="s">
        <v>351</v>
      </c>
      <c r="X231" s="149" t="s">
        <v>528</v>
      </c>
      <c r="Y231" s="149" t="s">
        <v>351</v>
      </c>
      <c r="Z231" s="149" t="s">
        <v>609</v>
      </c>
      <c r="AA231" s="149" t="s">
        <v>694</v>
      </c>
      <c r="AB231" s="149" t="s">
        <v>695</v>
      </c>
      <c r="AC231" s="149" t="s">
        <v>652</v>
      </c>
      <c r="AD231" s="149" t="s">
        <v>525</v>
      </c>
      <c r="AE231" s="149" t="s">
        <v>519</v>
      </c>
      <c r="AF231" s="149" t="s">
        <v>518</v>
      </c>
    </row>
    <row r="232" spans="1:32" x14ac:dyDescent="0.25">
      <c r="A232" s="149" t="s">
        <v>895</v>
      </c>
      <c r="B232" s="149" t="s">
        <v>576</v>
      </c>
      <c r="C232" s="149" t="s">
        <v>671</v>
      </c>
      <c r="D232" s="149" t="s">
        <v>351</v>
      </c>
      <c r="E232" s="149" t="s">
        <v>351</v>
      </c>
      <c r="F232" s="149" t="s">
        <v>351</v>
      </c>
      <c r="G232" s="149" t="s">
        <v>127</v>
      </c>
      <c r="H232" s="149">
        <v>24</v>
      </c>
      <c r="I232" s="149" t="s">
        <v>247</v>
      </c>
      <c r="J232" s="150">
        <v>200</v>
      </c>
      <c r="K232" s="149" t="s">
        <v>351</v>
      </c>
      <c r="L232" s="149" t="s">
        <v>649</v>
      </c>
      <c r="M232" s="149" t="s">
        <v>351</v>
      </c>
      <c r="N232" s="149" t="s">
        <v>351</v>
      </c>
      <c r="O232" s="150">
        <v>2000</v>
      </c>
      <c r="P232" s="149" t="s">
        <v>351</v>
      </c>
      <c r="Q232" s="150">
        <v>2387.5</v>
      </c>
      <c r="R232" s="150">
        <v>1000</v>
      </c>
      <c r="S232" s="149" t="s">
        <v>351</v>
      </c>
      <c r="T232" s="149" t="s">
        <v>351</v>
      </c>
      <c r="U232" s="149" t="s">
        <v>351</v>
      </c>
      <c r="V232" s="149" t="s">
        <v>351</v>
      </c>
      <c r="W232" s="149" t="s">
        <v>351</v>
      </c>
      <c r="X232" s="149" t="s">
        <v>351</v>
      </c>
      <c r="Y232" s="149" t="s">
        <v>351</v>
      </c>
      <c r="Z232" s="149" t="s">
        <v>351</v>
      </c>
      <c r="AA232" s="149" t="s">
        <v>351</v>
      </c>
      <c r="AB232" s="149" t="s">
        <v>351</v>
      </c>
      <c r="AC232" s="149" t="s">
        <v>351</v>
      </c>
      <c r="AD232" s="149" t="s">
        <v>351</v>
      </c>
      <c r="AE232" s="149" t="s">
        <v>351</v>
      </c>
      <c r="AF232" s="149" t="s">
        <v>518</v>
      </c>
    </row>
    <row r="233" spans="1:32" x14ac:dyDescent="0.25">
      <c r="A233" s="149" t="s">
        <v>896</v>
      </c>
      <c r="B233" s="149" t="s">
        <v>576</v>
      </c>
      <c r="C233" s="149" t="s">
        <v>671</v>
      </c>
      <c r="D233" s="149" t="s">
        <v>351</v>
      </c>
      <c r="E233" s="149" t="s">
        <v>351</v>
      </c>
      <c r="F233" s="149" t="s">
        <v>351</v>
      </c>
      <c r="G233" s="149" t="s">
        <v>122</v>
      </c>
      <c r="H233" s="149">
        <v>22</v>
      </c>
      <c r="I233" s="149" t="s">
        <v>210</v>
      </c>
      <c r="J233" s="150">
        <v>630</v>
      </c>
      <c r="K233" s="149" t="s">
        <v>351</v>
      </c>
      <c r="L233" s="149" t="s">
        <v>649</v>
      </c>
      <c r="M233" s="149" t="s">
        <v>351</v>
      </c>
      <c r="N233" s="149" t="s">
        <v>351</v>
      </c>
      <c r="O233" s="150">
        <v>1890</v>
      </c>
      <c r="P233" s="149" t="s">
        <v>351</v>
      </c>
      <c r="Q233" s="150">
        <v>8275</v>
      </c>
      <c r="R233" s="149" t="s">
        <v>351</v>
      </c>
      <c r="S233" s="149" t="s">
        <v>351</v>
      </c>
      <c r="T233" s="149" t="s">
        <v>351</v>
      </c>
      <c r="U233" s="149" t="s">
        <v>351</v>
      </c>
      <c r="V233" s="149" t="s">
        <v>351</v>
      </c>
      <c r="W233" s="149" t="s">
        <v>351</v>
      </c>
      <c r="X233" s="149" t="s">
        <v>351</v>
      </c>
      <c r="Y233" s="149" t="s">
        <v>351</v>
      </c>
      <c r="Z233" s="149" t="s">
        <v>351</v>
      </c>
      <c r="AA233" s="149" t="s">
        <v>351</v>
      </c>
      <c r="AB233" s="149" t="s">
        <v>351</v>
      </c>
      <c r="AC233" s="149" t="s">
        <v>351</v>
      </c>
      <c r="AD233" s="149" t="s">
        <v>351</v>
      </c>
      <c r="AE233" s="149" t="s">
        <v>351</v>
      </c>
      <c r="AF233" s="149" t="s">
        <v>518</v>
      </c>
    </row>
    <row r="234" spans="1:32" x14ac:dyDescent="0.25">
      <c r="A234" s="149" t="s">
        <v>897</v>
      </c>
      <c r="B234" s="149" t="s">
        <v>576</v>
      </c>
      <c r="C234" s="149" t="s">
        <v>512</v>
      </c>
      <c r="D234" s="149" t="s">
        <v>513</v>
      </c>
      <c r="E234" s="149" t="s">
        <v>514</v>
      </c>
      <c r="F234" s="149" t="s">
        <v>515</v>
      </c>
      <c r="G234" s="149" t="s">
        <v>245</v>
      </c>
      <c r="H234" s="149">
        <v>2</v>
      </c>
      <c r="I234" s="149" t="s">
        <v>247</v>
      </c>
      <c r="J234" s="150">
        <v>897</v>
      </c>
      <c r="K234" s="149">
        <v>9</v>
      </c>
      <c r="L234" s="149" t="s">
        <v>577</v>
      </c>
      <c r="M234" s="149" t="s">
        <v>351</v>
      </c>
      <c r="N234" s="149" t="s">
        <v>351</v>
      </c>
      <c r="O234" s="150">
        <v>1794</v>
      </c>
      <c r="P234" s="149" t="s">
        <v>351</v>
      </c>
      <c r="Q234" s="149" t="s">
        <v>351</v>
      </c>
      <c r="R234" s="150">
        <v>1794</v>
      </c>
      <c r="S234" s="151">
        <v>16.611111111111111</v>
      </c>
      <c r="T234" s="149" t="s">
        <v>519</v>
      </c>
      <c r="U234" s="149" t="s">
        <v>351</v>
      </c>
      <c r="V234" s="149" t="s">
        <v>519</v>
      </c>
      <c r="W234" s="149" t="s">
        <v>528</v>
      </c>
      <c r="X234" s="149" t="s">
        <v>351</v>
      </c>
      <c r="Y234" s="149" t="s">
        <v>351</v>
      </c>
      <c r="Z234" s="149" t="s">
        <v>521</v>
      </c>
      <c r="AA234" s="149" t="s">
        <v>865</v>
      </c>
      <c r="AB234" s="149" t="s">
        <v>866</v>
      </c>
      <c r="AC234" s="149" t="s">
        <v>795</v>
      </c>
      <c r="AD234" s="149" t="s">
        <v>730</v>
      </c>
      <c r="AE234" s="149" t="s">
        <v>519</v>
      </c>
      <c r="AF234" s="149" t="s">
        <v>519</v>
      </c>
    </row>
    <row r="235" spans="1:32" x14ac:dyDescent="0.25">
      <c r="A235" s="149" t="s">
        <v>898</v>
      </c>
      <c r="B235" s="149" t="s">
        <v>576</v>
      </c>
      <c r="C235" s="149" t="s">
        <v>742</v>
      </c>
      <c r="D235" s="149" t="s">
        <v>351</v>
      </c>
      <c r="E235" s="149" t="s">
        <v>351</v>
      </c>
      <c r="F235" s="149" t="s">
        <v>351</v>
      </c>
      <c r="G235" s="149" t="s">
        <v>133</v>
      </c>
      <c r="H235" s="149">
        <v>20</v>
      </c>
      <c r="I235" s="149" t="s">
        <v>351</v>
      </c>
      <c r="J235" s="150">
        <v>400</v>
      </c>
      <c r="K235" s="149" t="s">
        <v>351</v>
      </c>
      <c r="L235" s="149" t="s">
        <v>649</v>
      </c>
      <c r="M235" s="149" t="s">
        <v>351</v>
      </c>
      <c r="N235" s="149" t="s">
        <v>351</v>
      </c>
      <c r="O235" s="150">
        <v>1600</v>
      </c>
      <c r="P235" s="149" t="s">
        <v>351</v>
      </c>
      <c r="Q235" s="150">
        <v>4600</v>
      </c>
      <c r="R235" s="149" t="s">
        <v>351</v>
      </c>
      <c r="S235" s="149" t="s">
        <v>351</v>
      </c>
      <c r="T235" s="149" t="s">
        <v>351</v>
      </c>
      <c r="U235" s="149" t="s">
        <v>351</v>
      </c>
      <c r="V235" s="149" t="s">
        <v>351</v>
      </c>
      <c r="W235" s="149" t="s">
        <v>351</v>
      </c>
      <c r="X235" s="149" t="s">
        <v>351</v>
      </c>
      <c r="Y235" s="149" t="s">
        <v>351</v>
      </c>
      <c r="Z235" s="149" t="s">
        <v>351</v>
      </c>
      <c r="AA235" s="149" t="s">
        <v>351</v>
      </c>
      <c r="AB235" s="149" t="s">
        <v>351</v>
      </c>
      <c r="AC235" s="149" t="s">
        <v>351</v>
      </c>
      <c r="AD235" s="149" t="s">
        <v>351</v>
      </c>
      <c r="AE235" s="149" t="s">
        <v>351</v>
      </c>
      <c r="AF235" s="149" t="s">
        <v>351</v>
      </c>
    </row>
    <row r="236" spans="1:32" x14ac:dyDescent="0.25">
      <c r="A236" s="149" t="s">
        <v>899</v>
      </c>
      <c r="B236" s="149" t="s">
        <v>511</v>
      </c>
      <c r="C236" s="149" t="s">
        <v>512</v>
      </c>
      <c r="D236" s="149" t="s">
        <v>513</v>
      </c>
      <c r="E236" s="149" t="s">
        <v>621</v>
      </c>
      <c r="F236" s="149" t="s">
        <v>608</v>
      </c>
      <c r="G236" s="149" t="s">
        <v>209</v>
      </c>
      <c r="H236" s="149">
        <v>10</v>
      </c>
      <c r="I236" s="149" t="s">
        <v>351</v>
      </c>
      <c r="J236" s="150">
        <v>333.33333333333331</v>
      </c>
      <c r="K236" s="149">
        <v>9</v>
      </c>
      <c r="L236" s="149" t="s">
        <v>569</v>
      </c>
      <c r="M236" s="149" t="s">
        <v>351</v>
      </c>
      <c r="N236" s="149" t="s">
        <v>351</v>
      </c>
      <c r="O236" s="150">
        <v>1600</v>
      </c>
      <c r="P236" s="150">
        <v>400</v>
      </c>
      <c r="Q236" s="149" t="s">
        <v>351</v>
      </c>
      <c r="R236" s="150">
        <v>1600</v>
      </c>
      <c r="S236" s="151">
        <v>14.814814814814817</v>
      </c>
      <c r="T236" s="149" t="s">
        <v>518</v>
      </c>
      <c r="U236" s="149" t="s">
        <v>351</v>
      </c>
      <c r="V236" s="149" t="s">
        <v>519</v>
      </c>
      <c r="W236" s="149" t="s">
        <v>520</v>
      </c>
      <c r="X236" s="149" t="s">
        <v>544</v>
      </c>
      <c r="Y236" s="149" t="s">
        <v>351</v>
      </c>
      <c r="Z236" s="149" t="s">
        <v>351</v>
      </c>
      <c r="AA236" s="149" t="s">
        <v>654</v>
      </c>
      <c r="AB236" s="149" t="s">
        <v>550</v>
      </c>
      <c r="AC236" s="149" t="s">
        <v>531</v>
      </c>
      <c r="AD236" s="149" t="s">
        <v>532</v>
      </c>
      <c r="AE236" s="149" t="s">
        <v>518</v>
      </c>
      <c r="AF236" s="149" t="s">
        <v>351</v>
      </c>
    </row>
    <row r="237" spans="1:32" x14ac:dyDescent="0.25">
      <c r="A237" s="149" t="s">
        <v>900</v>
      </c>
      <c r="B237" s="149" t="s">
        <v>576</v>
      </c>
      <c r="C237" s="149" t="s">
        <v>671</v>
      </c>
      <c r="D237" s="149" t="s">
        <v>351</v>
      </c>
      <c r="E237" s="149" t="s">
        <v>351</v>
      </c>
      <c r="F237" s="149" t="s">
        <v>351</v>
      </c>
      <c r="G237" s="149" t="s">
        <v>122</v>
      </c>
      <c r="H237" s="149">
        <v>23</v>
      </c>
      <c r="I237" s="149" t="s">
        <v>211</v>
      </c>
      <c r="J237" s="150">
        <v>217.66666666666666</v>
      </c>
      <c r="K237" s="149" t="s">
        <v>351</v>
      </c>
      <c r="L237" s="149" t="s">
        <v>649</v>
      </c>
      <c r="M237" s="149" t="s">
        <v>351</v>
      </c>
      <c r="N237" s="149" t="s">
        <v>351</v>
      </c>
      <c r="O237" s="150">
        <v>1537</v>
      </c>
      <c r="P237" s="149" t="s">
        <v>351</v>
      </c>
      <c r="Q237" s="150">
        <v>5194</v>
      </c>
      <c r="R237" s="150">
        <v>225</v>
      </c>
      <c r="S237" s="149" t="s">
        <v>351</v>
      </c>
      <c r="T237" s="149" t="s">
        <v>351</v>
      </c>
      <c r="U237" s="149" t="s">
        <v>351</v>
      </c>
      <c r="V237" s="149" t="s">
        <v>351</v>
      </c>
      <c r="W237" s="149" t="s">
        <v>351</v>
      </c>
      <c r="X237" s="149" t="s">
        <v>351</v>
      </c>
      <c r="Y237" s="149" t="s">
        <v>351</v>
      </c>
      <c r="Z237" s="149" t="s">
        <v>351</v>
      </c>
      <c r="AA237" s="149" t="s">
        <v>351</v>
      </c>
      <c r="AB237" s="149" t="s">
        <v>351</v>
      </c>
      <c r="AC237" s="149" t="s">
        <v>351</v>
      </c>
      <c r="AD237" s="149" t="s">
        <v>351</v>
      </c>
      <c r="AE237" s="149" t="s">
        <v>351</v>
      </c>
      <c r="AF237" s="149" t="s">
        <v>518</v>
      </c>
    </row>
    <row r="238" spans="1:32" x14ac:dyDescent="0.25">
      <c r="A238" s="149" t="s">
        <v>901</v>
      </c>
      <c r="B238" s="149" t="s">
        <v>576</v>
      </c>
      <c r="C238" s="149" t="s">
        <v>742</v>
      </c>
      <c r="D238" s="149" t="s">
        <v>351</v>
      </c>
      <c r="E238" s="149" t="s">
        <v>351</v>
      </c>
      <c r="F238" s="149" t="s">
        <v>351</v>
      </c>
      <c r="G238" s="149" t="s">
        <v>209</v>
      </c>
      <c r="H238" s="149">
        <v>10</v>
      </c>
      <c r="I238" s="149" t="s">
        <v>351</v>
      </c>
      <c r="J238" s="150">
        <v>765</v>
      </c>
      <c r="K238" s="149" t="s">
        <v>351</v>
      </c>
      <c r="L238" s="149" t="s">
        <v>649</v>
      </c>
      <c r="M238" s="149" t="s">
        <v>351</v>
      </c>
      <c r="N238" s="149" t="s">
        <v>351</v>
      </c>
      <c r="O238" s="150">
        <v>1530</v>
      </c>
      <c r="P238" s="149" t="s">
        <v>351</v>
      </c>
      <c r="Q238" s="150">
        <v>765</v>
      </c>
      <c r="R238" s="150">
        <v>765</v>
      </c>
      <c r="S238" s="149" t="s">
        <v>351</v>
      </c>
      <c r="T238" s="149" t="s">
        <v>351</v>
      </c>
      <c r="U238" s="149" t="s">
        <v>351</v>
      </c>
      <c r="V238" s="149" t="s">
        <v>351</v>
      </c>
      <c r="W238" s="149" t="s">
        <v>351</v>
      </c>
      <c r="X238" s="149" t="s">
        <v>351</v>
      </c>
      <c r="Y238" s="149" t="s">
        <v>351</v>
      </c>
      <c r="Z238" s="149" t="s">
        <v>351</v>
      </c>
      <c r="AA238" s="149" t="s">
        <v>351</v>
      </c>
      <c r="AB238" s="149" t="s">
        <v>351</v>
      </c>
      <c r="AC238" s="149" t="s">
        <v>351</v>
      </c>
      <c r="AD238" s="149" t="s">
        <v>351</v>
      </c>
      <c r="AE238" s="149" t="s">
        <v>351</v>
      </c>
      <c r="AF238" s="149" t="s">
        <v>351</v>
      </c>
    </row>
    <row r="239" spans="1:32" x14ac:dyDescent="0.25">
      <c r="A239" s="149" t="s">
        <v>902</v>
      </c>
      <c r="B239" s="149" t="s">
        <v>576</v>
      </c>
      <c r="C239" s="149" t="s">
        <v>742</v>
      </c>
      <c r="D239" s="149" t="s">
        <v>351</v>
      </c>
      <c r="E239" s="149" t="s">
        <v>351</v>
      </c>
      <c r="F239" s="149" t="s">
        <v>351</v>
      </c>
      <c r="G239" s="149" t="s">
        <v>209</v>
      </c>
      <c r="H239" s="149">
        <v>10</v>
      </c>
      <c r="I239" s="149" t="s">
        <v>351</v>
      </c>
      <c r="J239" s="150">
        <v>765</v>
      </c>
      <c r="K239" s="149" t="s">
        <v>351</v>
      </c>
      <c r="L239" s="149" t="s">
        <v>649</v>
      </c>
      <c r="M239" s="149" t="s">
        <v>351</v>
      </c>
      <c r="N239" s="149" t="s">
        <v>351</v>
      </c>
      <c r="O239" s="150">
        <v>1530</v>
      </c>
      <c r="P239" s="149" t="s">
        <v>351</v>
      </c>
      <c r="Q239" s="150">
        <v>765</v>
      </c>
      <c r="R239" s="150">
        <v>765</v>
      </c>
      <c r="S239" s="149" t="s">
        <v>351</v>
      </c>
      <c r="T239" s="149" t="s">
        <v>351</v>
      </c>
      <c r="U239" s="149" t="s">
        <v>351</v>
      </c>
      <c r="V239" s="149" t="s">
        <v>351</v>
      </c>
      <c r="W239" s="149" t="s">
        <v>351</v>
      </c>
      <c r="X239" s="149" t="s">
        <v>351</v>
      </c>
      <c r="Y239" s="149" t="s">
        <v>351</v>
      </c>
      <c r="Z239" s="149" t="s">
        <v>351</v>
      </c>
      <c r="AA239" s="149" t="s">
        <v>351</v>
      </c>
      <c r="AB239" s="149" t="s">
        <v>351</v>
      </c>
      <c r="AC239" s="149" t="s">
        <v>351</v>
      </c>
      <c r="AD239" s="149" t="s">
        <v>351</v>
      </c>
      <c r="AE239" s="149" t="s">
        <v>351</v>
      </c>
      <c r="AF239" s="149" t="s">
        <v>351</v>
      </c>
    </row>
    <row r="240" spans="1:32" x14ac:dyDescent="0.25">
      <c r="A240" s="149" t="s">
        <v>903</v>
      </c>
      <c r="B240" s="149" t="s">
        <v>576</v>
      </c>
      <c r="C240" s="149" t="s">
        <v>742</v>
      </c>
      <c r="D240" s="149" t="s">
        <v>351</v>
      </c>
      <c r="E240" s="149" t="s">
        <v>351</v>
      </c>
      <c r="F240" s="149" t="s">
        <v>351</v>
      </c>
      <c r="G240" s="149" t="s">
        <v>209</v>
      </c>
      <c r="H240" s="149">
        <v>10</v>
      </c>
      <c r="I240" s="149" t="s">
        <v>351</v>
      </c>
      <c r="J240" s="150">
        <v>765</v>
      </c>
      <c r="K240" s="149" t="s">
        <v>351</v>
      </c>
      <c r="L240" s="149" t="s">
        <v>649</v>
      </c>
      <c r="M240" s="149" t="s">
        <v>351</v>
      </c>
      <c r="N240" s="149" t="s">
        <v>351</v>
      </c>
      <c r="O240" s="150">
        <v>1530</v>
      </c>
      <c r="P240" s="149" t="s">
        <v>351</v>
      </c>
      <c r="Q240" s="150">
        <v>765</v>
      </c>
      <c r="R240" s="150">
        <v>765</v>
      </c>
      <c r="S240" s="149" t="s">
        <v>351</v>
      </c>
      <c r="T240" s="149" t="s">
        <v>351</v>
      </c>
      <c r="U240" s="149" t="s">
        <v>351</v>
      </c>
      <c r="V240" s="149" t="s">
        <v>351</v>
      </c>
      <c r="W240" s="149" t="s">
        <v>351</v>
      </c>
      <c r="X240" s="149" t="s">
        <v>351</v>
      </c>
      <c r="Y240" s="149" t="s">
        <v>351</v>
      </c>
      <c r="Z240" s="149" t="s">
        <v>351</v>
      </c>
      <c r="AA240" s="149" t="s">
        <v>351</v>
      </c>
      <c r="AB240" s="149" t="s">
        <v>351</v>
      </c>
      <c r="AC240" s="149" t="s">
        <v>351</v>
      </c>
      <c r="AD240" s="149" t="s">
        <v>351</v>
      </c>
      <c r="AE240" s="149" t="s">
        <v>351</v>
      </c>
      <c r="AF240" s="149" t="s">
        <v>351</v>
      </c>
    </row>
    <row r="241" spans="1:32" x14ac:dyDescent="0.25">
      <c r="A241" s="149" t="s">
        <v>904</v>
      </c>
      <c r="B241" s="149" t="s">
        <v>576</v>
      </c>
      <c r="C241" s="149" t="s">
        <v>742</v>
      </c>
      <c r="D241" s="149" t="s">
        <v>351</v>
      </c>
      <c r="E241" s="149" t="s">
        <v>351</v>
      </c>
      <c r="F241" s="149" t="s">
        <v>351</v>
      </c>
      <c r="G241" s="149" t="s">
        <v>209</v>
      </c>
      <c r="H241" s="149">
        <v>10</v>
      </c>
      <c r="I241" s="149" t="s">
        <v>351</v>
      </c>
      <c r="J241" s="150">
        <v>765</v>
      </c>
      <c r="K241" s="149" t="s">
        <v>351</v>
      </c>
      <c r="L241" s="149" t="s">
        <v>649</v>
      </c>
      <c r="M241" s="149" t="s">
        <v>351</v>
      </c>
      <c r="N241" s="149" t="s">
        <v>351</v>
      </c>
      <c r="O241" s="150">
        <v>1530</v>
      </c>
      <c r="P241" s="149" t="s">
        <v>351</v>
      </c>
      <c r="Q241" s="150">
        <v>765</v>
      </c>
      <c r="R241" s="150">
        <v>765</v>
      </c>
      <c r="S241" s="149" t="s">
        <v>351</v>
      </c>
      <c r="T241" s="149" t="s">
        <v>351</v>
      </c>
      <c r="U241" s="149" t="s">
        <v>351</v>
      </c>
      <c r="V241" s="149" t="s">
        <v>351</v>
      </c>
      <c r="W241" s="149" t="s">
        <v>351</v>
      </c>
      <c r="X241" s="149" t="s">
        <v>351</v>
      </c>
      <c r="Y241" s="149" t="s">
        <v>351</v>
      </c>
      <c r="Z241" s="149" t="s">
        <v>351</v>
      </c>
      <c r="AA241" s="149" t="s">
        <v>351</v>
      </c>
      <c r="AB241" s="149" t="s">
        <v>351</v>
      </c>
      <c r="AC241" s="149" t="s">
        <v>351</v>
      </c>
      <c r="AD241" s="149" t="s">
        <v>351</v>
      </c>
      <c r="AE241" s="149" t="s">
        <v>351</v>
      </c>
      <c r="AF241" s="149" t="s">
        <v>351</v>
      </c>
    </row>
    <row r="242" spans="1:32" x14ac:dyDescent="0.25">
      <c r="A242" s="149" t="s">
        <v>905</v>
      </c>
      <c r="B242" s="149" t="s">
        <v>576</v>
      </c>
      <c r="C242" s="149" t="s">
        <v>742</v>
      </c>
      <c r="D242" s="149" t="s">
        <v>351</v>
      </c>
      <c r="E242" s="149" t="s">
        <v>351</v>
      </c>
      <c r="F242" s="149" t="s">
        <v>351</v>
      </c>
      <c r="G242" s="149" t="s">
        <v>209</v>
      </c>
      <c r="H242" s="149">
        <v>10</v>
      </c>
      <c r="I242" s="149" t="s">
        <v>351</v>
      </c>
      <c r="J242" s="150">
        <v>765</v>
      </c>
      <c r="K242" s="149" t="s">
        <v>351</v>
      </c>
      <c r="L242" s="149" t="s">
        <v>649</v>
      </c>
      <c r="M242" s="149" t="s">
        <v>351</v>
      </c>
      <c r="N242" s="149" t="s">
        <v>351</v>
      </c>
      <c r="O242" s="150">
        <v>1530</v>
      </c>
      <c r="P242" s="149" t="s">
        <v>351</v>
      </c>
      <c r="Q242" s="150">
        <v>765</v>
      </c>
      <c r="R242" s="150">
        <v>765</v>
      </c>
      <c r="S242" s="149" t="s">
        <v>351</v>
      </c>
      <c r="T242" s="149" t="s">
        <v>351</v>
      </c>
      <c r="U242" s="149" t="s">
        <v>351</v>
      </c>
      <c r="V242" s="149" t="s">
        <v>351</v>
      </c>
      <c r="W242" s="149" t="s">
        <v>351</v>
      </c>
      <c r="X242" s="149" t="s">
        <v>351</v>
      </c>
      <c r="Y242" s="149" t="s">
        <v>351</v>
      </c>
      <c r="Z242" s="149" t="s">
        <v>351</v>
      </c>
      <c r="AA242" s="149" t="s">
        <v>351</v>
      </c>
      <c r="AB242" s="149" t="s">
        <v>351</v>
      </c>
      <c r="AC242" s="149" t="s">
        <v>351</v>
      </c>
      <c r="AD242" s="149" t="s">
        <v>351</v>
      </c>
      <c r="AE242" s="149" t="s">
        <v>351</v>
      </c>
      <c r="AF242" s="149" t="s">
        <v>351</v>
      </c>
    </row>
    <row r="243" spans="1:32" x14ac:dyDescent="0.25">
      <c r="A243" s="149" t="s">
        <v>906</v>
      </c>
      <c r="B243" s="149" t="s">
        <v>576</v>
      </c>
      <c r="C243" s="149" t="s">
        <v>692</v>
      </c>
      <c r="D243" s="149" t="s">
        <v>351</v>
      </c>
      <c r="E243" s="149" t="s">
        <v>351</v>
      </c>
      <c r="F243" s="149" t="s">
        <v>351</v>
      </c>
      <c r="G243" s="149" t="s">
        <v>209</v>
      </c>
      <c r="H243" s="149">
        <v>10</v>
      </c>
      <c r="I243" s="149" t="s">
        <v>351</v>
      </c>
      <c r="J243" s="150">
        <v>765</v>
      </c>
      <c r="K243" s="149" t="s">
        <v>351</v>
      </c>
      <c r="L243" s="149" t="s">
        <v>649</v>
      </c>
      <c r="M243" s="149" t="s">
        <v>351</v>
      </c>
      <c r="N243" s="149" t="s">
        <v>351</v>
      </c>
      <c r="O243" s="150">
        <v>1530</v>
      </c>
      <c r="P243" s="149" t="s">
        <v>351</v>
      </c>
      <c r="Q243" s="150">
        <v>765</v>
      </c>
      <c r="R243" s="150">
        <v>765</v>
      </c>
      <c r="S243" s="149" t="s">
        <v>351</v>
      </c>
      <c r="T243" s="149" t="s">
        <v>351</v>
      </c>
      <c r="U243" s="149" t="s">
        <v>351</v>
      </c>
      <c r="V243" s="149" t="s">
        <v>351</v>
      </c>
      <c r="W243" s="149" t="s">
        <v>351</v>
      </c>
      <c r="X243" s="149" t="s">
        <v>351</v>
      </c>
      <c r="Y243" s="149" t="s">
        <v>351</v>
      </c>
      <c r="Z243" s="149" t="s">
        <v>351</v>
      </c>
      <c r="AA243" s="149" t="s">
        <v>351</v>
      </c>
      <c r="AB243" s="149" t="s">
        <v>351</v>
      </c>
      <c r="AC243" s="149" t="s">
        <v>351</v>
      </c>
      <c r="AD243" s="149" t="s">
        <v>351</v>
      </c>
      <c r="AE243" s="149" t="s">
        <v>351</v>
      </c>
      <c r="AF243" s="149" t="s">
        <v>351</v>
      </c>
    </row>
    <row r="244" spans="1:32" x14ac:dyDescent="0.25">
      <c r="A244" s="149" t="s">
        <v>907</v>
      </c>
      <c r="B244" s="149" t="s">
        <v>576</v>
      </c>
      <c r="C244" s="149" t="s">
        <v>886</v>
      </c>
      <c r="D244" s="149" t="s">
        <v>351</v>
      </c>
      <c r="E244" s="149" t="s">
        <v>351</v>
      </c>
      <c r="F244" s="149" t="s">
        <v>351</v>
      </c>
      <c r="G244" s="149" t="s">
        <v>791</v>
      </c>
      <c r="H244" s="149">
        <v>36</v>
      </c>
      <c r="I244" s="149" t="s">
        <v>242</v>
      </c>
      <c r="J244" s="150">
        <v>305</v>
      </c>
      <c r="K244" s="149" t="s">
        <v>351</v>
      </c>
      <c r="L244" s="149" t="s">
        <v>649</v>
      </c>
      <c r="M244" s="149" t="s">
        <v>351</v>
      </c>
      <c r="N244" s="149" t="s">
        <v>351</v>
      </c>
      <c r="O244" s="150">
        <v>1525</v>
      </c>
      <c r="P244" s="149" t="s">
        <v>351</v>
      </c>
      <c r="Q244" s="150">
        <v>3735</v>
      </c>
      <c r="R244" s="149" t="s">
        <v>351</v>
      </c>
      <c r="S244" s="149" t="s">
        <v>351</v>
      </c>
      <c r="T244" s="149" t="s">
        <v>351</v>
      </c>
      <c r="U244" s="149" t="s">
        <v>351</v>
      </c>
      <c r="V244" s="149" t="s">
        <v>351</v>
      </c>
      <c r="W244" s="149" t="s">
        <v>351</v>
      </c>
      <c r="X244" s="149" t="s">
        <v>351</v>
      </c>
      <c r="Y244" s="149" t="s">
        <v>351</v>
      </c>
      <c r="Z244" s="149" t="s">
        <v>351</v>
      </c>
      <c r="AA244" s="149" t="s">
        <v>351</v>
      </c>
      <c r="AB244" s="149" t="s">
        <v>351</v>
      </c>
      <c r="AC244" s="149" t="s">
        <v>351</v>
      </c>
      <c r="AD244" s="149" t="s">
        <v>351</v>
      </c>
      <c r="AE244" s="149" t="s">
        <v>351</v>
      </c>
      <c r="AF244" s="149" t="s">
        <v>518</v>
      </c>
    </row>
    <row r="245" spans="1:32" x14ac:dyDescent="0.25">
      <c r="A245" s="149" t="s">
        <v>908</v>
      </c>
      <c r="B245" s="149" t="s">
        <v>511</v>
      </c>
      <c r="C245" s="149" t="s">
        <v>692</v>
      </c>
      <c r="D245" s="149" t="s">
        <v>693</v>
      </c>
      <c r="E245" s="149" t="s">
        <v>351</v>
      </c>
      <c r="F245" s="149" t="s">
        <v>351</v>
      </c>
      <c r="G245" s="149" t="s">
        <v>244</v>
      </c>
      <c r="H245" s="149">
        <v>5</v>
      </c>
      <c r="I245" s="149" t="s">
        <v>351</v>
      </c>
      <c r="J245" s="150">
        <v>401.66666666666669</v>
      </c>
      <c r="K245" s="149">
        <v>0</v>
      </c>
      <c r="L245" s="149" t="s">
        <v>516</v>
      </c>
      <c r="M245" s="149">
        <v>0</v>
      </c>
      <c r="N245" s="149" t="s">
        <v>517</v>
      </c>
      <c r="O245" s="150">
        <v>1525</v>
      </c>
      <c r="P245" s="150">
        <v>260</v>
      </c>
      <c r="Q245" s="149" t="s">
        <v>351</v>
      </c>
      <c r="R245" s="150">
        <v>1525</v>
      </c>
      <c r="S245" s="149" t="s">
        <v>351</v>
      </c>
      <c r="T245" s="149" t="s">
        <v>519</v>
      </c>
      <c r="U245" s="149" t="s">
        <v>351</v>
      </c>
      <c r="V245" s="149" t="s">
        <v>519</v>
      </c>
      <c r="W245" s="149" t="s">
        <v>527</v>
      </c>
      <c r="X245" s="149" t="s">
        <v>544</v>
      </c>
      <c r="Y245" s="149" t="s">
        <v>351</v>
      </c>
      <c r="Z245" s="149" t="s">
        <v>351</v>
      </c>
      <c r="AA245" s="149" t="s">
        <v>719</v>
      </c>
      <c r="AB245" s="149" t="s">
        <v>695</v>
      </c>
      <c r="AC245" s="149" t="s">
        <v>580</v>
      </c>
      <c r="AD245" s="149" t="s">
        <v>696</v>
      </c>
      <c r="AE245" s="149" t="s">
        <v>519</v>
      </c>
      <c r="AF245" s="149" t="s">
        <v>351</v>
      </c>
    </row>
    <row r="246" spans="1:32" x14ac:dyDescent="0.25">
      <c r="A246" s="149" t="s">
        <v>909</v>
      </c>
      <c r="B246" s="149" t="s">
        <v>511</v>
      </c>
      <c r="C246" s="149" t="s">
        <v>512</v>
      </c>
      <c r="D246" s="149" t="s">
        <v>513</v>
      </c>
      <c r="E246" s="149" t="s">
        <v>621</v>
      </c>
      <c r="F246" s="149" t="s">
        <v>608</v>
      </c>
      <c r="G246" s="149" t="s">
        <v>203</v>
      </c>
      <c r="H246" s="149">
        <v>16</v>
      </c>
      <c r="I246" s="149" t="s">
        <v>351</v>
      </c>
      <c r="J246" s="150">
        <v>116.66666666666667</v>
      </c>
      <c r="K246" s="149">
        <v>5</v>
      </c>
      <c r="L246" s="149" t="s">
        <v>516</v>
      </c>
      <c r="M246" s="149">
        <v>5</v>
      </c>
      <c r="N246" s="149" t="s">
        <v>517</v>
      </c>
      <c r="O246" s="150">
        <v>1505</v>
      </c>
      <c r="P246" s="150">
        <v>140</v>
      </c>
      <c r="Q246" s="150">
        <v>1170</v>
      </c>
      <c r="R246" s="150">
        <v>835</v>
      </c>
      <c r="S246" s="151">
        <v>25.083333333333336</v>
      </c>
      <c r="T246" s="149" t="s">
        <v>519</v>
      </c>
      <c r="U246" s="149" t="s">
        <v>351</v>
      </c>
      <c r="V246" s="149" t="s">
        <v>519</v>
      </c>
      <c r="W246" s="149" t="s">
        <v>528</v>
      </c>
      <c r="X246" s="149" t="s">
        <v>528</v>
      </c>
      <c r="Y246" s="149" t="s">
        <v>351</v>
      </c>
      <c r="Z246" s="149" t="s">
        <v>521</v>
      </c>
      <c r="AA246" s="149" t="s">
        <v>603</v>
      </c>
      <c r="AB246" s="149" t="s">
        <v>595</v>
      </c>
      <c r="AC246" s="149" t="s">
        <v>524</v>
      </c>
      <c r="AD246" s="149" t="s">
        <v>537</v>
      </c>
      <c r="AE246" s="149" t="s">
        <v>519</v>
      </c>
      <c r="AF246" s="149" t="s">
        <v>351</v>
      </c>
    </row>
    <row r="247" spans="1:32" x14ac:dyDescent="0.25">
      <c r="A247" s="149" t="s">
        <v>910</v>
      </c>
      <c r="B247" s="149" t="s">
        <v>511</v>
      </c>
      <c r="C247" s="149" t="s">
        <v>512</v>
      </c>
      <c r="D247" s="149" t="s">
        <v>513</v>
      </c>
      <c r="E247" s="149" t="s">
        <v>514</v>
      </c>
      <c r="F247" s="149" t="s">
        <v>608</v>
      </c>
      <c r="G247" s="149" t="s">
        <v>243</v>
      </c>
      <c r="H247" s="149">
        <v>6</v>
      </c>
      <c r="I247" s="149" t="s">
        <v>351</v>
      </c>
      <c r="J247" s="150">
        <v>120</v>
      </c>
      <c r="K247" s="149">
        <v>2</v>
      </c>
      <c r="L247" s="149" t="s">
        <v>569</v>
      </c>
      <c r="M247" s="149" t="s">
        <v>351</v>
      </c>
      <c r="N247" s="149" t="s">
        <v>351</v>
      </c>
      <c r="O247" s="150">
        <v>1502.5</v>
      </c>
      <c r="P247" s="150">
        <v>120</v>
      </c>
      <c r="Q247" s="149" t="s">
        <v>351</v>
      </c>
      <c r="R247" s="150">
        <v>1502.5</v>
      </c>
      <c r="S247" s="151">
        <v>62.604166666666664</v>
      </c>
      <c r="T247" s="149" t="s">
        <v>519</v>
      </c>
      <c r="U247" s="149" t="s">
        <v>351</v>
      </c>
      <c r="V247" s="149" t="s">
        <v>519</v>
      </c>
      <c r="W247" s="149" t="s">
        <v>520</v>
      </c>
      <c r="X247" s="149" t="s">
        <v>528</v>
      </c>
      <c r="Y247" s="149" t="s">
        <v>351</v>
      </c>
      <c r="Z247" s="149" t="s">
        <v>521</v>
      </c>
      <c r="AA247" s="149" t="s">
        <v>582</v>
      </c>
      <c r="AB247" s="149" t="s">
        <v>571</v>
      </c>
      <c r="AC247" s="149" t="s">
        <v>524</v>
      </c>
      <c r="AD247" s="149" t="s">
        <v>572</v>
      </c>
      <c r="AE247" s="149" t="s">
        <v>518</v>
      </c>
      <c r="AF247" s="149" t="s">
        <v>351</v>
      </c>
    </row>
    <row r="248" spans="1:32" x14ac:dyDescent="0.25">
      <c r="A248" s="149" t="s">
        <v>911</v>
      </c>
      <c r="B248" s="149" t="s">
        <v>576</v>
      </c>
      <c r="C248" s="149" t="s">
        <v>671</v>
      </c>
      <c r="D248" s="149" t="s">
        <v>351</v>
      </c>
      <c r="E248" s="149" t="s">
        <v>351</v>
      </c>
      <c r="F248" s="149" t="s">
        <v>351</v>
      </c>
      <c r="G248" s="149" t="s">
        <v>129</v>
      </c>
      <c r="H248" s="149">
        <v>17</v>
      </c>
      <c r="I248" s="149" t="s">
        <v>242</v>
      </c>
      <c r="J248" s="150">
        <v>300</v>
      </c>
      <c r="K248" s="149" t="s">
        <v>351</v>
      </c>
      <c r="L248" s="149" t="s">
        <v>649</v>
      </c>
      <c r="M248" s="149" t="s">
        <v>351</v>
      </c>
      <c r="N248" s="149" t="s">
        <v>351</v>
      </c>
      <c r="O248" s="150">
        <v>1450</v>
      </c>
      <c r="P248" s="149" t="s">
        <v>351</v>
      </c>
      <c r="Q248" s="150">
        <v>3200</v>
      </c>
      <c r="R248" s="149" t="s">
        <v>351</v>
      </c>
      <c r="S248" s="149" t="s">
        <v>351</v>
      </c>
      <c r="T248" s="149" t="s">
        <v>351</v>
      </c>
      <c r="U248" s="149" t="s">
        <v>351</v>
      </c>
      <c r="V248" s="149" t="s">
        <v>351</v>
      </c>
      <c r="W248" s="149" t="s">
        <v>351</v>
      </c>
      <c r="X248" s="149" t="s">
        <v>351</v>
      </c>
      <c r="Y248" s="149" t="s">
        <v>351</v>
      </c>
      <c r="Z248" s="149" t="s">
        <v>351</v>
      </c>
      <c r="AA248" s="149" t="s">
        <v>351</v>
      </c>
      <c r="AB248" s="149" t="s">
        <v>351</v>
      </c>
      <c r="AC248" s="149" t="s">
        <v>351</v>
      </c>
      <c r="AD248" s="149" t="s">
        <v>351</v>
      </c>
      <c r="AE248" s="149" t="s">
        <v>351</v>
      </c>
      <c r="AF248" s="149" t="s">
        <v>518</v>
      </c>
    </row>
    <row r="249" spans="1:32" x14ac:dyDescent="0.25">
      <c r="A249" s="149" t="s">
        <v>912</v>
      </c>
      <c r="B249" s="149" t="s">
        <v>576</v>
      </c>
      <c r="C249" s="149" t="s">
        <v>671</v>
      </c>
      <c r="D249" s="149" t="s">
        <v>351</v>
      </c>
      <c r="E249" s="149" t="s">
        <v>351</v>
      </c>
      <c r="F249" s="149" t="s">
        <v>351</v>
      </c>
      <c r="G249" s="149" t="s">
        <v>206</v>
      </c>
      <c r="H249" s="149">
        <v>7</v>
      </c>
      <c r="I249" s="149" t="s">
        <v>243</v>
      </c>
      <c r="J249" s="150">
        <v>110</v>
      </c>
      <c r="K249" s="149" t="s">
        <v>351</v>
      </c>
      <c r="L249" s="149" t="s">
        <v>649</v>
      </c>
      <c r="M249" s="149" t="s">
        <v>351</v>
      </c>
      <c r="N249" s="149" t="s">
        <v>351</v>
      </c>
      <c r="O249" s="150">
        <v>1410</v>
      </c>
      <c r="P249" s="149" t="s">
        <v>351</v>
      </c>
      <c r="Q249" s="150">
        <v>1640</v>
      </c>
      <c r="R249" s="150">
        <v>120</v>
      </c>
      <c r="S249" s="149" t="s">
        <v>351</v>
      </c>
      <c r="T249" s="149" t="s">
        <v>351</v>
      </c>
      <c r="U249" s="149" t="s">
        <v>351</v>
      </c>
      <c r="V249" s="149" t="s">
        <v>351</v>
      </c>
      <c r="W249" s="149" t="s">
        <v>351</v>
      </c>
      <c r="X249" s="149" t="s">
        <v>351</v>
      </c>
      <c r="Y249" s="149" t="s">
        <v>351</v>
      </c>
      <c r="Z249" s="149" t="s">
        <v>351</v>
      </c>
      <c r="AA249" s="149" t="s">
        <v>351</v>
      </c>
      <c r="AB249" s="149" t="s">
        <v>351</v>
      </c>
      <c r="AC249" s="149" t="s">
        <v>351</v>
      </c>
      <c r="AD249" s="149" t="s">
        <v>351</v>
      </c>
      <c r="AE249" s="149" t="s">
        <v>351</v>
      </c>
      <c r="AF249" s="149" t="s">
        <v>518</v>
      </c>
    </row>
    <row r="250" spans="1:32" x14ac:dyDescent="0.25">
      <c r="A250" s="149" t="s">
        <v>913</v>
      </c>
      <c r="B250" s="149" t="s">
        <v>576</v>
      </c>
      <c r="C250" s="149" t="s">
        <v>692</v>
      </c>
      <c r="D250" s="149" t="s">
        <v>693</v>
      </c>
      <c r="E250" s="149" t="s">
        <v>351</v>
      </c>
      <c r="F250" s="149" t="s">
        <v>351</v>
      </c>
      <c r="G250" s="149" t="s">
        <v>243</v>
      </c>
      <c r="H250" s="149">
        <v>4</v>
      </c>
      <c r="I250" s="149" t="s">
        <v>247</v>
      </c>
      <c r="J250" s="150">
        <v>270.16666666666669</v>
      </c>
      <c r="K250" s="149">
        <v>4</v>
      </c>
      <c r="L250" s="149" t="s">
        <v>516</v>
      </c>
      <c r="M250" s="149">
        <v>4</v>
      </c>
      <c r="N250" s="149" t="s">
        <v>517</v>
      </c>
      <c r="O250" s="150">
        <v>1336.5</v>
      </c>
      <c r="P250" s="149" t="s">
        <v>351</v>
      </c>
      <c r="Q250" s="149" t="s">
        <v>351</v>
      </c>
      <c r="R250" s="150">
        <v>1336.5</v>
      </c>
      <c r="S250" s="151">
        <v>27.84375</v>
      </c>
      <c r="T250" s="149" t="s">
        <v>519</v>
      </c>
      <c r="U250" s="149" t="s">
        <v>351</v>
      </c>
      <c r="V250" s="149" t="s">
        <v>519</v>
      </c>
      <c r="W250" s="149" t="s">
        <v>527</v>
      </c>
      <c r="X250" s="149" t="s">
        <v>539</v>
      </c>
      <c r="Y250" s="149" t="s">
        <v>351</v>
      </c>
      <c r="Z250" s="149" t="s">
        <v>609</v>
      </c>
      <c r="AA250" s="149" t="s">
        <v>651</v>
      </c>
      <c r="AB250" s="149" t="s">
        <v>651</v>
      </c>
      <c r="AC250" s="149" t="s">
        <v>652</v>
      </c>
      <c r="AD250" s="149" t="s">
        <v>537</v>
      </c>
      <c r="AE250" s="149" t="s">
        <v>519</v>
      </c>
      <c r="AF250" s="149" t="s">
        <v>518</v>
      </c>
    </row>
    <row r="251" spans="1:32" x14ac:dyDescent="0.25">
      <c r="A251" s="149" t="s">
        <v>914</v>
      </c>
      <c r="B251" s="149" t="s">
        <v>511</v>
      </c>
      <c r="C251" s="149" t="s">
        <v>692</v>
      </c>
      <c r="D251" s="149" t="s">
        <v>693</v>
      </c>
      <c r="E251" s="149" t="s">
        <v>351</v>
      </c>
      <c r="F251" s="149" t="s">
        <v>351</v>
      </c>
      <c r="G251" s="149" t="s">
        <v>245</v>
      </c>
      <c r="H251" s="149">
        <v>4</v>
      </c>
      <c r="I251" s="149" t="s">
        <v>351</v>
      </c>
      <c r="J251" s="150">
        <v>310</v>
      </c>
      <c r="K251" s="149" t="s">
        <v>351</v>
      </c>
      <c r="L251" s="149" t="s">
        <v>718</v>
      </c>
      <c r="M251" s="149" t="s">
        <v>351</v>
      </c>
      <c r="N251" s="149" t="s">
        <v>351</v>
      </c>
      <c r="O251" s="150">
        <v>1240</v>
      </c>
      <c r="P251" s="150">
        <v>310</v>
      </c>
      <c r="Q251" s="149" t="s">
        <v>351</v>
      </c>
      <c r="R251" s="150">
        <v>1240</v>
      </c>
      <c r="S251" s="149" t="s">
        <v>351</v>
      </c>
      <c r="T251" s="149" t="s">
        <v>519</v>
      </c>
      <c r="U251" s="149" t="s">
        <v>351</v>
      </c>
      <c r="V251" s="149" t="s">
        <v>519</v>
      </c>
      <c r="W251" s="149" t="s">
        <v>527</v>
      </c>
      <c r="X251" s="149" t="s">
        <v>528</v>
      </c>
      <c r="Y251" s="149" t="s">
        <v>351</v>
      </c>
      <c r="Z251" s="149" t="s">
        <v>351</v>
      </c>
      <c r="AA251" s="149" t="s">
        <v>780</v>
      </c>
      <c r="AB251" s="149" t="s">
        <v>695</v>
      </c>
      <c r="AC251" s="149" t="s">
        <v>580</v>
      </c>
      <c r="AD251" s="149" t="s">
        <v>696</v>
      </c>
      <c r="AE251" s="149" t="s">
        <v>519</v>
      </c>
      <c r="AF251" s="149" t="s">
        <v>351</v>
      </c>
    </row>
    <row r="252" spans="1:32" x14ac:dyDescent="0.25">
      <c r="A252" s="149" t="s">
        <v>915</v>
      </c>
      <c r="B252" s="149" t="s">
        <v>511</v>
      </c>
      <c r="C252" s="149" t="s">
        <v>512</v>
      </c>
      <c r="D252" s="149" t="s">
        <v>513</v>
      </c>
      <c r="E252" s="149" t="s">
        <v>351</v>
      </c>
      <c r="F252" s="149" t="s">
        <v>515</v>
      </c>
      <c r="G252" s="149" t="s">
        <v>247</v>
      </c>
      <c r="H252" s="149">
        <v>2</v>
      </c>
      <c r="I252" s="149" t="s">
        <v>351</v>
      </c>
      <c r="J252" s="150">
        <v>614.5</v>
      </c>
      <c r="K252" s="149">
        <v>4</v>
      </c>
      <c r="L252" s="149" t="s">
        <v>516</v>
      </c>
      <c r="M252" s="149">
        <v>4</v>
      </c>
      <c r="N252" s="149" t="s">
        <v>517</v>
      </c>
      <c r="O252" s="150">
        <v>1229</v>
      </c>
      <c r="P252" s="150">
        <v>418</v>
      </c>
      <c r="Q252" s="149" t="s">
        <v>351</v>
      </c>
      <c r="R252" s="150">
        <v>1229</v>
      </c>
      <c r="S252" s="151">
        <v>25.604166666666668</v>
      </c>
      <c r="T252" s="149" t="s">
        <v>519</v>
      </c>
      <c r="U252" s="149" t="s">
        <v>351</v>
      </c>
      <c r="V252" s="149" t="s">
        <v>519</v>
      </c>
      <c r="W252" s="149" t="s">
        <v>520</v>
      </c>
      <c r="X252" s="149" t="s">
        <v>539</v>
      </c>
      <c r="Y252" s="149" t="s">
        <v>355</v>
      </c>
      <c r="Z252" s="149" t="s">
        <v>521</v>
      </c>
      <c r="AA252" s="149" t="s">
        <v>916</v>
      </c>
      <c r="AB252" s="149" t="s">
        <v>662</v>
      </c>
      <c r="AC252" s="149" t="s">
        <v>547</v>
      </c>
      <c r="AD252" s="149" t="s">
        <v>525</v>
      </c>
      <c r="AE252" s="149" t="s">
        <v>518</v>
      </c>
      <c r="AF252" s="149" t="s">
        <v>351</v>
      </c>
    </row>
    <row r="253" spans="1:32" x14ac:dyDescent="0.25">
      <c r="A253" s="149" t="s">
        <v>917</v>
      </c>
      <c r="B253" s="149" t="s">
        <v>511</v>
      </c>
      <c r="C253" s="149" t="s">
        <v>692</v>
      </c>
      <c r="D253" s="149" t="s">
        <v>693</v>
      </c>
      <c r="E253" s="149" t="s">
        <v>351</v>
      </c>
      <c r="F253" s="149" t="s">
        <v>351</v>
      </c>
      <c r="G253" s="149" t="s">
        <v>211</v>
      </c>
      <c r="H253" s="149">
        <v>8</v>
      </c>
      <c r="I253" s="149" t="s">
        <v>351</v>
      </c>
      <c r="J253" s="150">
        <v>150</v>
      </c>
      <c r="K253" s="149">
        <v>0</v>
      </c>
      <c r="L253" s="149" t="s">
        <v>516</v>
      </c>
      <c r="M253" s="149">
        <v>0</v>
      </c>
      <c r="N253" s="149" t="s">
        <v>517</v>
      </c>
      <c r="O253" s="150">
        <v>1215</v>
      </c>
      <c r="P253" s="150">
        <v>150</v>
      </c>
      <c r="Q253" s="150">
        <v>150</v>
      </c>
      <c r="R253" s="150">
        <v>1065</v>
      </c>
      <c r="S253" s="149" t="s">
        <v>351</v>
      </c>
      <c r="T253" s="149" t="s">
        <v>519</v>
      </c>
      <c r="U253" s="149" t="s">
        <v>351</v>
      </c>
      <c r="V253" s="149" t="s">
        <v>519</v>
      </c>
      <c r="W253" s="149" t="s">
        <v>351</v>
      </c>
      <c r="X253" s="149" t="s">
        <v>351</v>
      </c>
      <c r="Y253" s="149" t="s">
        <v>351</v>
      </c>
      <c r="Z253" s="149" t="s">
        <v>609</v>
      </c>
      <c r="AA253" s="149" t="s">
        <v>780</v>
      </c>
      <c r="AB253" s="149" t="s">
        <v>695</v>
      </c>
      <c r="AC253" s="149" t="s">
        <v>652</v>
      </c>
      <c r="AD253" s="149" t="s">
        <v>696</v>
      </c>
      <c r="AE253" s="149" t="s">
        <v>519</v>
      </c>
      <c r="AF253" s="149" t="s">
        <v>351</v>
      </c>
    </row>
    <row r="254" spans="1:32" x14ac:dyDescent="0.25">
      <c r="A254" s="149" t="s">
        <v>918</v>
      </c>
      <c r="B254" s="149" t="s">
        <v>511</v>
      </c>
      <c r="C254" s="149" t="s">
        <v>512</v>
      </c>
      <c r="D254" s="149" t="s">
        <v>513</v>
      </c>
      <c r="E254" s="149" t="s">
        <v>351</v>
      </c>
      <c r="F254" s="149" t="s">
        <v>601</v>
      </c>
      <c r="G254" s="149" t="s">
        <v>247</v>
      </c>
      <c r="H254" s="149">
        <v>2</v>
      </c>
      <c r="I254" s="149" t="s">
        <v>351</v>
      </c>
      <c r="J254" s="150">
        <v>603.25</v>
      </c>
      <c r="K254" s="149">
        <v>3</v>
      </c>
      <c r="L254" s="149" t="s">
        <v>516</v>
      </c>
      <c r="M254" s="149">
        <v>3</v>
      </c>
      <c r="N254" s="149" t="s">
        <v>517</v>
      </c>
      <c r="O254" s="150">
        <v>1206.5</v>
      </c>
      <c r="P254" s="150">
        <v>373</v>
      </c>
      <c r="Q254" s="149" t="s">
        <v>351</v>
      </c>
      <c r="R254" s="150">
        <v>1206.5</v>
      </c>
      <c r="S254" s="151">
        <v>33.513888888888893</v>
      </c>
      <c r="T254" s="149" t="s">
        <v>519</v>
      </c>
      <c r="U254" s="149" t="s">
        <v>351</v>
      </c>
      <c r="V254" s="149" t="s">
        <v>519</v>
      </c>
      <c r="W254" s="149" t="s">
        <v>520</v>
      </c>
      <c r="X254" s="149" t="s">
        <v>544</v>
      </c>
      <c r="Y254" s="149" t="s">
        <v>355</v>
      </c>
      <c r="Z254" s="149" t="s">
        <v>521</v>
      </c>
      <c r="AA254" s="149" t="s">
        <v>916</v>
      </c>
      <c r="AB254" s="149" t="s">
        <v>662</v>
      </c>
      <c r="AC254" s="149" t="s">
        <v>547</v>
      </c>
      <c r="AD254" s="149" t="s">
        <v>525</v>
      </c>
      <c r="AE254" s="149" t="s">
        <v>518</v>
      </c>
      <c r="AF254" s="149" t="s">
        <v>351</v>
      </c>
    </row>
    <row r="255" spans="1:32" x14ac:dyDescent="0.25">
      <c r="A255" s="149" t="s">
        <v>919</v>
      </c>
      <c r="B255" s="149" t="s">
        <v>576</v>
      </c>
      <c r="C255" s="149" t="s">
        <v>742</v>
      </c>
      <c r="D255" s="149" t="s">
        <v>351</v>
      </c>
      <c r="E255" s="149" t="s">
        <v>351</v>
      </c>
      <c r="F255" s="149" t="s">
        <v>351</v>
      </c>
      <c r="G255" s="149" t="s">
        <v>242</v>
      </c>
      <c r="H255" s="149">
        <v>7</v>
      </c>
      <c r="I255" s="149" t="s">
        <v>351</v>
      </c>
      <c r="J255" s="150">
        <v>1125</v>
      </c>
      <c r="K255" s="149" t="s">
        <v>351</v>
      </c>
      <c r="L255" s="149" t="s">
        <v>649</v>
      </c>
      <c r="M255" s="149" t="s">
        <v>351</v>
      </c>
      <c r="N255" s="149" t="s">
        <v>351</v>
      </c>
      <c r="O255" s="150">
        <v>1125</v>
      </c>
      <c r="P255" s="149" t="s">
        <v>351</v>
      </c>
      <c r="Q255" s="149" t="s">
        <v>351</v>
      </c>
      <c r="R255" s="150">
        <v>1125</v>
      </c>
      <c r="S255" s="149" t="s">
        <v>351</v>
      </c>
      <c r="T255" s="149" t="s">
        <v>351</v>
      </c>
      <c r="U255" s="149" t="s">
        <v>351</v>
      </c>
      <c r="V255" s="149" t="s">
        <v>351</v>
      </c>
      <c r="W255" s="149" t="s">
        <v>351</v>
      </c>
      <c r="X255" s="149" t="s">
        <v>351</v>
      </c>
      <c r="Y255" s="149" t="s">
        <v>351</v>
      </c>
      <c r="Z255" s="149" t="s">
        <v>351</v>
      </c>
      <c r="AA255" s="149" t="s">
        <v>351</v>
      </c>
      <c r="AB255" s="149" t="s">
        <v>351</v>
      </c>
      <c r="AC255" s="149" t="s">
        <v>351</v>
      </c>
      <c r="AD255" s="149" t="s">
        <v>351</v>
      </c>
      <c r="AE255" s="149" t="s">
        <v>351</v>
      </c>
      <c r="AF255" s="149" t="s">
        <v>351</v>
      </c>
    </row>
    <row r="256" spans="1:32" x14ac:dyDescent="0.25">
      <c r="A256" s="149" t="s">
        <v>920</v>
      </c>
      <c r="B256" s="149" t="s">
        <v>19</v>
      </c>
      <c r="C256" s="149" t="s">
        <v>512</v>
      </c>
      <c r="D256" s="149" t="s">
        <v>513</v>
      </c>
      <c r="E256" s="149" t="s">
        <v>351</v>
      </c>
      <c r="F256" s="149" t="s">
        <v>515</v>
      </c>
      <c r="G256" s="149" t="s">
        <v>248</v>
      </c>
      <c r="H256" s="149">
        <v>1</v>
      </c>
      <c r="I256" s="149" t="s">
        <v>351</v>
      </c>
      <c r="J256" s="150">
        <v>1101</v>
      </c>
      <c r="K256" s="149">
        <v>6</v>
      </c>
      <c r="L256" s="149" t="s">
        <v>516</v>
      </c>
      <c r="M256" s="149">
        <v>6</v>
      </c>
      <c r="N256" s="149" t="s">
        <v>517</v>
      </c>
      <c r="O256" s="150">
        <v>1101</v>
      </c>
      <c r="P256" s="150">
        <v>1101</v>
      </c>
      <c r="Q256" s="149" t="s">
        <v>351</v>
      </c>
      <c r="R256" s="150">
        <v>1101</v>
      </c>
      <c r="S256" s="151">
        <v>15.291666666666666</v>
      </c>
      <c r="T256" s="149" t="s">
        <v>518</v>
      </c>
      <c r="U256" s="149" t="s">
        <v>351</v>
      </c>
      <c r="V256" s="149" t="s">
        <v>519</v>
      </c>
      <c r="W256" s="149" t="s">
        <v>520</v>
      </c>
      <c r="X256" s="149" t="s">
        <v>539</v>
      </c>
      <c r="Y256" s="149" t="s">
        <v>355</v>
      </c>
      <c r="Z256" s="149" t="s">
        <v>521</v>
      </c>
      <c r="AA256" s="149" t="s">
        <v>876</v>
      </c>
      <c r="AB256" s="149" t="s">
        <v>666</v>
      </c>
      <c r="AC256" s="149" t="s">
        <v>580</v>
      </c>
      <c r="AD256" s="149" t="s">
        <v>730</v>
      </c>
      <c r="AE256" s="149" t="s">
        <v>518</v>
      </c>
      <c r="AF256" s="149" t="s">
        <v>351</v>
      </c>
    </row>
    <row r="257" spans="1:32" x14ac:dyDescent="0.25">
      <c r="A257" s="149" t="s">
        <v>921</v>
      </c>
      <c r="B257" s="149" t="s">
        <v>576</v>
      </c>
      <c r="C257" s="149" t="s">
        <v>742</v>
      </c>
      <c r="D257" s="149" t="s">
        <v>351</v>
      </c>
      <c r="E257" s="149" t="s">
        <v>351</v>
      </c>
      <c r="F257" s="149" t="s">
        <v>351</v>
      </c>
      <c r="G257" s="149" t="s">
        <v>208</v>
      </c>
      <c r="H257" s="149">
        <v>11</v>
      </c>
      <c r="I257" s="149" t="s">
        <v>351</v>
      </c>
      <c r="J257" s="150">
        <v>1080</v>
      </c>
      <c r="K257" s="149" t="s">
        <v>351</v>
      </c>
      <c r="L257" s="149" t="s">
        <v>649</v>
      </c>
      <c r="M257" s="149" t="s">
        <v>351</v>
      </c>
      <c r="N257" s="149" t="s">
        <v>351</v>
      </c>
      <c r="O257" s="150">
        <v>1080</v>
      </c>
      <c r="P257" s="149" t="s">
        <v>351</v>
      </c>
      <c r="Q257" s="150">
        <v>1080</v>
      </c>
      <c r="R257" s="149" t="s">
        <v>351</v>
      </c>
      <c r="S257" s="149" t="s">
        <v>351</v>
      </c>
      <c r="T257" s="149" t="s">
        <v>351</v>
      </c>
      <c r="U257" s="149" t="s">
        <v>351</v>
      </c>
      <c r="V257" s="149" t="s">
        <v>351</v>
      </c>
      <c r="W257" s="149" t="s">
        <v>351</v>
      </c>
      <c r="X257" s="149" t="s">
        <v>351</v>
      </c>
      <c r="Y257" s="149" t="s">
        <v>351</v>
      </c>
      <c r="Z257" s="149" t="s">
        <v>351</v>
      </c>
      <c r="AA257" s="149" t="s">
        <v>351</v>
      </c>
      <c r="AB257" s="149" t="s">
        <v>351</v>
      </c>
      <c r="AC257" s="149" t="s">
        <v>351</v>
      </c>
      <c r="AD257" s="149" t="s">
        <v>351</v>
      </c>
      <c r="AE257" s="149" t="s">
        <v>351</v>
      </c>
      <c r="AF257" s="149" t="s">
        <v>351</v>
      </c>
    </row>
    <row r="258" spans="1:32" x14ac:dyDescent="0.25">
      <c r="A258" s="149" t="s">
        <v>922</v>
      </c>
      <c r="B258" s="149" t="s">
        <v>511</v>
      </c>
      <c r="C258" s="149" t="s">
        <v>692</v>
      </c>
      <c r="D258" s="149" t="s">
        <v>693</v>
      </c>
      <c r="E258" s="149" t="s">
        <v>351</v>
      </c>
      <c r="F258" s="149" t="s">
        <v>351</v>
      </c>
      <c r="G258" s="149" t="s">
        <v>245</v>
      </c>
      <c r="H258" s="149">
        <v>4</v>
      </c>
      <c r="I258" s="149" t="s">
        <v>351</v>
      </c>
      <c r="J258" s="150">
        <v>260</v>
      </c>
      <c r="K258" s="149" t="s">
        <v>351</v>
      </c>
      <c r="L258" s="149" t="s">
        <v>718</v>
      </c>
      <c r="M258" s="149" t="s">
        <v>351</v>
      </c>
      <c r="N258" s="149" t="s">
        <v>351</v>
      </c>
      <c r="O258" s="150">
        <v>1040</v>
      </c>
      <c r="P258" s="150">
        <v>260</v>
      </c>
      <c r="Q258" s="149" t="s">
        <v>351</v>
      </c>
      <c r="R258" s="150">
        <v>1040</v>
      </c>
      <c r="S258" s="149" t="s">
        <v>351</v>
      </c>
      <c r="T258" s="149" t="s">
        <v>519</v>
      </c>
      <c r="U258" s="149" t="s">
        <v>351</v>
      </c>
      <c r="V258" s="149" t="s">
        <v>519</v>
      </c>
      <c r="W258" s="149" t="s">
        <v>527</v>
      </c>
      <c r="X258" s="149" t="s">
        <v>544</v>
      </c>
      <c r="Y258" s="149" t="s">
        <v>351</v>
      </c>
      <c r="Z258" s="149" t="s">
        <v>609</v>
      </c>
      <c r="AA258" s="149" t="s">
        <v>719</v>
      </c>
      <c r="AB258" s="149" t="s">
        <v>695</v>
      </c>
      <c r="AC258" s="149" t="s">
        <v>580</v>
      </c>
      <c r="AD258" s="149" t="s">
        <v>696</v>
      </c>
      <c r="AE258" s="149" t="s">
        <v>519</v>
      </c>
      <c r="AF258" s="149" t="s">
        <v>351</v>
      </c>
    </row>
    <row r="259" spans="1:32" x14ac:dyDescent="0.25">
      <c r="A259" s="149" t="s">
        <v>923</v>
      </c>
      <c r="B259" s="149" t="s">
        <v>576</v>
      </c>
      <c r="C259" s="149" t="s">
        <v>646</v>
      </c>
      <c r="D259" s="149" t="s">
        <v>351</v>
      </c>
      <c r="E259" s="149" t="s">
        <v>351</v>
      </c>
      <c r="F259" s="149" t="s">
        <v>351</v>
      </c>
      <c r="G259" s="149" t="s">
        <v>648</v>
      </c>
      <c r="H259" s="149">
        <v>56</v>
      </c>
      <c r="I259" s="149" t="s">
        <v>242</v>
      </c>
      <c r="J259" s="150">
        <v>148.33333333333334</v>
      </c>
      <c r="K259" s="149" t="s">
        <v>351</v>
      </c>
      <c r="L259" s="149" t="s">
        <v>649</v>
      </c>
      <c r="M259" s="149" t="s">
        <v>351</v>
      </c>
      <c r="N259" s="149" t="s">
        <v>351</v>
      </c>
      <c r="O259" s="150">
        <v>1000</v>
      </c>
      <c r="P259" s="149" t="s">
        <v>351</v>
      </c>
      <c r="Q259" s="150">
        <v>2325</v>
      </c>
      <c r="R259" s="150">
        <v>75</v>
      </c>
      <c r="S259" s="149" t="s">
        <v>351</v>
      </c>
      <c r="T259" s="149" t="s">
        <v>519</v>
      </c>
      <c r="U259" s="149" t="s">
        <v>351</v>
      </c>
      <c r="V259" s="149" t="s">
        <v>519</v>
      </c>
      <c r="W259" s="149" t="s">
        <v>351</v>
      </c>
      <c r="X259" s="149" t="s">
        <v>351</v>
      </c>
      <c r="Y259" s="149" t="s">
        <v>351</v>
      </c>
      <c r="Z259" s="149" t="s">
        <v>351</v>
      </c>
      <c r="AA259" s="149" t="s">
        <v>650</v>
      </c>
      <c r="AB259" s="149" t="s">
        <v>651</v>
      </c>
      <c r="AC259" s="149" t="s">
        <v>351</v>
      </c>
      <c r="AD259" s="149" t="s">
        <v>351</v>
      </c>
      <c r="AE259" s="149" t="s">
        <v>519</v>
      </c>
      <c r="AF259" s="149" t="s">
        <v>518</v>
      </c>
    </row>
    <row r="260" spans="1:32" x14ac:dyDescent="0.25">
      <c r="A260" s="149" t="s">
        <v>924</v>
      </c>
      <c r="B260" s="149" t="s">
        <v>576</v>
      </c>
      <c r="C260" s="149" t="s">
        <v>671</v>
      </c>
      <c r="D260" s="149" t="s">
        <v>351</v>
      </c>
      <c r="E260" s="149" t="s">
        <v>351</v>
      </c>
      <c r="F260" s="149" t="s">
        <v>351</v>
      </c>
      <c r="G260" s="149" t="s">
        <v>207</v>
      </c>
      <c r="H260" s="149">
        <v>2</v>
      </c>
      <c r="I260" s="149" t="s">
        <v>209</v>
      </c>
      <c r="J260" s="150">
        <v>490</v>
      </c>
      <c r="K260" s="149" t="s">
        <v>351</v>
      </c>
      <c r="L260" s="149" t="s">
        <v>649</v>
      </c>
      <c r="M260" s="149" t="s">
        <v>351</v>
      </c>
      <c r="N260" s="149" t="s">
        <v>351</v>
      </c>
      <c r="O260" s="150">
        <v>980</v>
      </c>
      <c r="P260" s="149" t="s">
        <v>351</v>
      </c>
      <c r="Q260" s="150">
        <v>980</v>
      </c>
      <c r="R260" s="149" t="s">
        <v>351</v>
      </c>
      <c r="S260" s="149" t="s">
        <v>351</v>
      </c>
      <c r="T260" s="149" t="s">
        <v>351</v>
      </c>
      <c r="U260" s="149" t="s">
        <v>351</v>
      </c>
      <c r="V260" s="149" t="s">
        <v>351</v>
      </c>
      <c r="W260" s="149" t="s">
        <v>351</v>
      </c>
      <c r="X260" s="149" t="s">
        <v>351</v>
      </c>
      <c r="Y260" s="149" t="s">
        <v>351</v>
      </c>
      <c r="Z260" s="149" t="s">
        <v>351</v>
      </c>
      <c r="AA260" s="149" t="s">
        <v>351</v>
      </c>
      <c r="AB260" s="149" t="s">
        <v>351</v>
      </c>
      <c r="AC260" s="149" t="s">
        <v>351</v>
      </c>
      <c r="AD260" s="149" t="s">
        <v>351</v>
      </c>
      <c r="AE260" s="149" t="s">
        <v>351</v>
      </c>
      <c r="AF260" s="149" t="s">
        <v>519</v>
      </c>
    </row>
    <row r="261" spans="1:32" x14ac:dyDescent="0.25">
      <c r="A261" s="149" t="s">
        <v>925</v>
      </c>
      <c r="B261" s="149" t="s">
        <v>19</v>
      </c>
      <c r="C261" s="149" t="s">
        <v>692</v>
      </c>
      <c r="D261" s="149" t="s">
        <v>693</v>
      </c>
      <c r="E261" s="149" t="s">
        <v>351</v>
      </c>
      <c r="F261" s="149" t="s">
        <v>351</v>
      </c>
      <c r="G261" s="149" t="s">
        <v>243</v>
      </c>
      <c r="H261" s="149">
        <v>6</v>
      </c>
      <c r="I261" s="149" t="s">
        <v>351</v>
      </c>
      <c r="J261" s="150">
        <v>975</v>
      </c>
      <c r="K261" s="149" t="s">
        <v>351</v>
      </c>
      <c r="L261" s="149" t="s">
        <v>718</v>
      </c>
      <c r="M261" s="149" t="s">
        <v>351</v>
      </c>
      <c r="N261" s="149" t="s">
        <v>351</v>
      </c>
      <c r="O261" s="150">
        <v>975</v>
      </c>
      <c r="P261" s="149" t="s">
        <v>351</v>
      </c>
      <c r="Q261" s="149" t="s">
        <v>351</v>
      </c>
      <c r="R261" s="150">
        <v>975</v>
      </c>
      <c r="S261" s="149" t="s">
        <v>351</v>
      </c>
      <c r="T261" s="149" t="s">
        <v>519</v>
      </c>
      <c r="U261" s="149" t="s">
        <v>351</v>
      </c>
      <c r="V261" s="149" t="s">
        <v>519</v>
      </c>
      <c r="W261" s="149" t="s">
        <v>527</v>
      </c>
      <c r="X261" s="149" t="s">
        <v>351</v>
      </c>
      <c r="Y261" s="149" t="s">
        <v>351</v>
      </c>
      <c r="Z261" s="149" t="s">
        <v>351</v>
      </c>
      <c r="AA261" s="149" t="s">
        <v>665</v>
      </c>
      <c r="AB261" s="149" t="s">
        <v>666</v>
      </c>
      <c r="AC261" s="149" t="s">
        <v>580</v>
      </c>
      <c r="AD261" s="149" t="s">
        <v>730</v>
      </c>
      <c r="AE261" s="149" t="s">
        <v>518</v>
      </c>
      <c r="AF261" s="149" t="s">
        <v>351</v>
      </c>
    </row>
    <row r="262" spans="1:32" x14ac:dyDescent="0.25">
      <c r="A262" s="149" t="s">
        <v>926</v>
      </c>
      <c r="B262" s="149" t="s">
        <v>576</v>
      </c>
      <c r="C262" s="149" t="s">
        <v>742</v>
      </c>
      <c r="D262" s="149" t="s">
        <v>351</v>
      </c>
      <c r="E262" s="149" t="s">
        <v>351</v>
      </c>
      <c r="F262" s="149" t="s">
        <v>351</v>
      </c>
      <c r="G262" s="149" t="s">
        <v>243</v>
      </c>
      <c r="H262" s="149">
        <v>6</v>
      </c>
      <c r="I262" s="149" t="s">
        <v>351</v>
      </c>
      <c r="J262" s="150">
        <v>975</v>
      </c>
      <c r="K262" s="149" t="s">
        <v>351</v>
      </c>
      <c r="L262" s="149" t="s">
        <v>649</v>
      </c>
      <c r="M262" s="149" t="s">
        <v>351</v>
      </c>
      <c r="N262" s="149" t="s">
        <v>351</v>
      </c>
      <c r="O262" s="150">
        <v>975</v>
      </c>
      <c r="P262" s="149" t="s">
        <v>351</v>
      </c>
      <c r="Q262" s="149" t="s">
        <v>351</v>
      </c>
      <c r="R262" s="150">
        <v>975</v>
      </c>
      <c r="S262" s="149" t="s">
        <v>351</v>
      </c>
      <c r="T262" s="149" t="s">
        <v>351</v>
      </c>
      <c r="U262" s="149" t="s">
        <v>351</v>
      </c>
      <c r="V262" s="149" t="s">
        <v>351</v>
      </c>
      <c r="W262" s="149" t="s">
        <v>351</v>
      </c>
      <c r="X262" s="149" t="s">
        <v>351</v>
      </c>
      <c r="Y262" s="149" t="s">
        <v>351</v>
      </c>
      <c r="Z262" s="149" t="s">
        <v>351</v>
      </c>
      <c r="AA262" s="149" t="s">
        <v>351</v>
      </c>
      <c r="AB262" s="149" t="s">
        <v>351</v>
      </c>
      <c r="AC262" s="149" t="s">
        <v>351</v>
      </c>
      <c r="AD262" s="149" t="s">
        <v>351</v>
      </c>
      <c r="AE262" s="149" t="s">
        <v>351</v>
      </c>
      <c r="AF262" s="149" t="s">
        <v>351</v>
      </c>
    </row>
    <row r="263" spans="1:32" x14ac:dyDescent="0.25">
      <c r="A263" s="149" t="s">
        <v>927</v>
      </c>
      <c r="B263" s="149" t="s">
        <v>576</v>
      </c>
      <c r="C263" s="149" t="s">
        <v>646</v>
      </c>
      <c r="D263" s="149" t="s">
        <v>351</v>
      </c>
      <c r="E263" s="149" t="s">
        <v>351</v>
      </c>
      <c r="F263" s="149" t="s">
        <v>351</v>
      </c>
      <c r="G263" s="149" t="s">
        <v>928</v>
      </c>
      <c r="H263" s="149">
        <v>47</v>
      </c>
      <c r="I263" s="149" t="s">
        <v>245</v>
      </c>
      <c r="J263" s="150">
        <v>65.5</v>
      </c>
      <c r="K263" s="149" t="s">
        <v>351</v>
      </c>
      <c r="L263" s="149" t="s">
        <v>649</v>
      </c>
      <c r="M263" s="149" t="s">
        <v>351</v>
      </c>
      <c r="N263" s="149" t="s">
        <v>351</v>
      </c>
      <c r="O263" s="150">
        <v>956.5</v>
      </c>
      <c r="P263" s="149" t="s">
        <v>351</v>
      </c>
      <c r="Q263" s="150">
        <v>1895</v>
      </c>
      <c r="R263" s="150">
        <v>196.5</v>
      </c>
      <c r="S263" s="149" t="s">
        <v>351</v>
      </c>
      <c r="T263" s="149" t="s">
        <v>519</v>
      </c>
      <c r="U263" s="149" t="s">
        <v>351</v>
      </c>
      <c r="V263" s="149" t="s">
        <v>519</v>
      </c>
      <c r="W263" s="149" t="s">
        <v>351</v>
      </c>
      <c r="X263" s="149" t="s">
        <v>351</v>
      </c>
      <c r="Y263" s="149" t="s">
        <v>351</v>
      </c>
      <c r="Z263" s="149" t="s">
        <v>351</v>
      </c>
      <c r="AA263" s="149" t="s">
        <v>650</v>
      </c>
      <c r="AB263" s="149" t="s">
        <v>651</v>
      </c>
      <c r="AC263" s="149" t="s">
        <v>351</v>
      </c>
      <c r="AD263" s="149" t="s">
        <v>351</v>
      </c>
      <c r="AE263" s="149" t="s">
        <v>519</v>
      </c>
      <c r="AF263" s="149" t="s">
        <v>518</v>
      </c>
    </row>
    <row r="264" spans="1:32" x14ac:dyDescent="0.25">
      <c r="A264" s="149" t="s">
        <v>929</v>
      </c>
      <c r="B264" s="149" t="s">
        <v>576</v>
      </c>
      <c r="C264" s="149" t="s">
        <v>671</v>
      </c>
      <c r="D264" s="149" t="s">
        <v>351</v>
      </c>
      <c r="E264" s="149" t="s">
        <v>351</v>
      </c>
      <c r="F264" s="149" t="s">
        <v>351</v>
      </c>
      <c r="G264" s="149" t="s">
        <v>130</v>
      </c>
      <c r="H264" s="149">
        <v>13</v>
      </c>
      <c r="I264" s="149" t="s">
        <v>209</v>
      </c>
      <c r="J264" s="150">
        <v>450</v>
      </c>
      <c r="K264" s="149" t="s">
        <v>351</v>
      </c>
      <c r="L264" s="149" t="s">
        <v>649</v>
      </c>
      <c r="M264" s="149" t="s">
        <v>351</v>
      </c>
      <c r="N264" s="149" t="s">
        <v>351</v>
      </c>
      <c r="O264" s="150">
        <v>900</v>
      </c>
      <c r="P264" s="149" t="s">
        <v>351</v>
      </c>
      <c r="Q264" s="150">
        <v>4050</v>
      </c>
      <c r="R264" s="149" t="s">
        <v>351</v>
      </c>
      <c r="S264" s="149" t="s">
        <v>351</v>
      </c>
      <c r="T264" s="149" t="s">
        <v>351</v>
      </c>
      <c r="U264" s="149" t="s">
        <v>351</v>
      </c>
      <c r="V264" s="149" t="s">
        <v>351</v>
      </c>
      <c r="W264" s="149" t="s">
        <v>351</v>
      </c>
      <c r="X264" s="149" t="s">
        <v>351</v>
      </c>
      <c r="Y264" s="149" t="s">
        <v>351</v>
      </c>
      <c r="Z264" s="149" t="s">
        <v>351</v>
      </c>
      <c r="AA264" s="149" t="s">
        <v>351</v>
      </c>
      <c r="AB264" s="149" t="s">
        <v>351</v>
      </c>
      <c r="AC264" s="149" t="s">
        <v>351</v>
      </c>
      <c r="AD264" s="149" t="s">
        <v>351</v>
      </c>
      <c r="AE264" s="149" t="s">
        <v>351</v>
      </c>
      <c r="AF264" s="149" t="s">
        <v>518</v>
      </c>
    </row>
    <row r="265" spans="1:32" x14ac:dyDescent="0.25">
      <c r="A265" s="149" t="s">
        <v>930</v>
      </c>
      <c r="B265" s="149" t="s">
        <v>576</v>
      </c>
      <c r="C265" s="149" t="s">
        <v>512</v>
      </c>
      <c r="D265" s="149" t="s">
        <v>351</v>
      </c>
      <c r="E265" s="149" t="s">
        <v>351</v>
      </c>
      <c r="F265" s="149" t="s">
        <v>351</v>
      </c>
      <c r="G265" s="149" t="s">
        <v>125</v>
      </c>
      <c r="H265" s="149">
        <v>28</v>
      </c>
      <c r="I265" s="149" t="s">
        <v>351</v>
      </c>
      <c r="J265" s="150">
        <v>425</v>
      </c>
      <c r="K265" s="149">
        <v>5</v>
      </c>
      <c r="L265" s="149" t="s">
        <v>577</v>
      </c>
      <c r="M265" s="149" t="s">
        <v>351</v>
      </c>
      <c r="N265" s="149" t="s">
        <v>351</v>
      </c>
      <c r="O265" s="150">
        <v>875</v>
      </c>
      <c r="P265" s="149" t="s">
        <v>351</v>
      </c>
      <c r="Q265" s="150">
        <v>3750</v>
      </c>
      <c r="R265" s="149" t="s">
        <v>351</v>
      </c>
      <c r="S265" s="151">
        <v>14.583333333333334</v>
      </c>
      <c r="T265" s="149" t="s">
        <v>351</v>
      </c>
      <c r="U265" s="149" t="s">
        <v>351</v>
      </c>
      <c r="V265" s="149" t="s">
        <v>351</v>
      </c>
      <c r="W265" s="149" t="s">
        <v>351</v>
      </c>
      <c r="X265" s="149" t="s">
        <v>351</v>
      </c>
      <c r="Y265" s="149" t="s">
        <v>351</v>
      </c>
      <c r="Z265" s="149" t="s">
        <v>351</v>
      </c>
      <c r="AA265" s="149" t="s">
        <v>351</v>
      </c>
      <c r="AB265" s="149" t="s">
        <v>351</v>
      </c>
      <c r="AC265" s="149" t="s">
        <v>351</v>
      </c>
      <c r="AD265" s="149" t="s">
        <v>351</v>
      </c>
      <c r="AE265" s="149" t="s">
        <v>351</v>
      </c>
      <c r="AF265" s="149" t="s">
        <v>351</v>
      </c>
    </row>
    <row r="266" spans="1:32" x14ac:dyDescent="0.25">
      <c r="A266" s="149" t="s">
        <v>931</v>
      </c>
      <c r="B266" s="149" t="s">
        <v>576</v>
      </c>
      <c r="C266" s="149" t="s">
        <v>692</v>
      </c>
      <c r="D266" s="149" t="s">
        <v>693</v>
      </c>
      <c r="E266" s="149" t="s">
        <v>351</v>
      </c>
      <c r="F266" s="149" t="s">
        <v>351</v>
      </c>
      <c r="G266" s="149" t="s">
        <v>242</v>
      </c>
      <c r="H266" s="149">
        <v>5</v>
      </c>
      <c r="I266" s="149" t="s">
        <v>247</v>
      </c>
      <c r="J266" s="150">
        <v>160</v>
      </c>
      <c r="K266" s="149">
        <v>0</v>
      </c>
      <c r="L266" s="149" t="s">
        <v>516</v>
      </c>
      <c r="M266" s="149">
        <v>0</v>
      </c>
      <c r="N266" s="149" t="s">
        <v>517</v>
      </c>
      <c r="O266" s="150">
        <v>800</v>
      </c>
      <c r="P266" s="149" t="s">
        <v>351</v>
      </c>
      <c r="Q266" s="149" t="s">
        <v>351</v>
      </c>
      <c r="R266" s="150">
        <v>800</v>
      </c>
      <c r="S266" s="149" t="s">
        <v>351</v>
      </c>
      <c r="T266" s="149" t="s">
        <v>519</v>
      </c>
      <c r="U266" s="149" t="s">
        <v>351</v>
      </c>
      <c r="V266" s="149" t="s">
        <v>519</v>
      </c>
      <c r="W266" s="149" t="s">
        <v>351</v>
      </c>
      <c r="X266" s="149" t="s">
        <v>351</v>
      </c>
      <c r="Y266" s="149" t="s">
        <v>351</v>
      </c>
      <c r="Z266" s="149" t="s">
        <v>609</v>
      </c>
      <c r="AA266" s="149" t="s">
        <v>780</v>
      </c>
      <c r="AB266" s="149" t="s">
        <v>695</v>
      </c>
      <c r="AC266" s="149" t="s">
        <v>652</v>
      </c>
      <c r="AD266" s="149" t="s">
        <v>525</v>
      </c>
      <c r="AE266" s="149" t="s">
        <v>519</v>
      </c>
      <c r="AF266" s="149" t="s">
        <v>518</v>
      </c>
    </row>
    <row r="267" spans="1:32" x14ac:dyDescent="0.25">
      <c r="A267" s="149" t="s">
        <v>932</v>
      </c>
      <c r="B267" s="149" t="s">
        <v>576</v>
      </c>
      <c r="C267" s="149" t="s">
        <v>692</v>
      </c>
      <c r="D267" s="149" t="s">
        <v>693</v>
      </c>
      <c r="E267" s="149" t="s">
        <v>351</v>
      </c>
      <c r="F267" s="149" t="s">
        <v>351</v>
      </c>
      <c r="G267" s="149" t="s">
        <v>242</v>
      </c>
      <c r="H267" s="149">
        <v>5</v>
      </c>
      <c r="I267" s="149" t="s">
        <v>247</v>
      </c>
      <c r="J267" s="150">
        <v>160</v>
      </c>
      <c r="K267" s="149">
        <v>0</v>
      </c>
      <c r="L267" s="149" t="s">
        <v>516</v>
      </c>
      <c r="M267" s="149">
        <v>0</v>
      </c>
      <c r="N267" s="149" t="s">
        <v>517</v>
      </c>
      <c r="O267" s="150">
        <v>800</v>
      </c>
      <c r="P267" s="149" t="s">
        <v>351</v>
      </c>
      <c r="Q267" s="149" t="s">
        <v>351</v>
      </c>
      <c r="R267" s="150">
        <v>800</v>
      </c>
      <c r="S267" s="149" t="s">
        <v>351</v>
      </c>
      <c r="T267" s="149" t="s">
        <v>519</v>
      </c>
      <c r="U267" s="149" t="s">
        <v>351</v>
      </c>
      <c r="V267" s="149" t="s">
        <v>519</v>
      </c>
      <c r="W267" s="149" t="s">
        <v>351</v>
      </c>
      <c r="X267" s="149" t="s">
        <v>351</v>
      </c>
      <c r="Y267" s="149" t="s">
        <v>351</v>
      </c>
      <c r="Z267" s="149" t="s">
        <v>609</v>
      </c>
      <c r="AA267" s="149" t="s">
        <v>780</v>
      </c>
      <c r="AB267" s="149" t="s">
        <v>695</v>
      </c>
      <c r="AC267" s="149" t="s">
        <v>652</v>
      </c>
      <c r="AD267" s="149" t="s">
        <v>525</v>
      </c>
      <c r="AE267" s="149" t="s">
        <v>519</v>
      </c>
      <c r="AF267" s="149" t="s">
        <v>518</v>
      </c>
    </row>
    <row r="268" spans="1:32" x14ac:dyDescent="0.25">
      <c r="A268" s="149" t="s">
        <v>933</v>
      </c>
      <c r="B268" s="149" t="s">
        <v>576</v>
      </c>
      <c r="C268" s="149" t="s">
        <v>886</v>
      </c>
      <c r="D268" s="149" t="s">
        <v>351</v>
      </c>
      <c r="E268" s="149" t="s">
        <v>351</v>
      </c>
      <c r="F268" s="149" t="s">
        <v>351</v>
      </c>
      <c r="G268" s="149" t="s">
        <v>207</v>
      </c>
      <c r="H268" s="149">
        <v>2</v>
      </c>
      <c r="I268" s="149" t="s">
        <v>209</v>
      </c>
      <c r="J268" s="150">
        <v>400</v>
      </c>
      <c r="K268" s="149" t="s">
        <v>351</v>
      </c>
      <c r="L268" s="149" t="s">
        <v>649</v>
      </c>
      <c r="M268" s="149" t="s">
        <v>351</v>
      </c>
      <c r="N268" s="149" t="s">
        <v>351</v>
      </c>
      <c r="O268" s="150">
        <v>800</v>
      </c>
      <c r="P268" s="149" t="s">
        <v>351</v>
      </c>
      <c r="Q268" s="150">
        <v>800</v>
      </c>
      <c r="R268" s="149" t="s">
        <v>351</v>
      </c>
      <c r="S268" s="149" t="s">
        <v>351</v>
      </c>
      <c r="T268" s="149" t="s">
        <v>351</v>
      </c>
      <c r="U268" s="149" t="s">
        <v>351</v>
      </c>
      <c r="V268" s="149" t="s">
        <v>351</v>
      </c>
      <c r="W268" s="149" t="s">
        <v>351</v>
      </c>
      <c r="X268" s="149" t="s">
        <v>351</v>
      </c>
      <c r="Y268" s="149" t="s">
        <v>351</v>
      </c>
      <c r="Z268" s="149" t="s">
        <v>351</v>
      </c>
      <c r="AA268" s="149" t="s">
        <v>351</v>
      </c>
      <c r="AB268" s="149" t="s">
        <v>351</v>
      </c>
      <c r="AC268" s="149" t="s">
        <v>351</v>
      </c>
      <c r="AD268" s="149" t="s">
        <v>351</v>
      </c>
      <c r="AE268" s="149" t="s">
        <v>351</v>
      </c>
      <c r="AF268" s="149" t="s">
        <v>519</v>
      </c>
    </row>
    <row r="269" spans="1:32" x14ac:dyDescent="0.25">
      <c r="A269" s="149" t="s">
        <v>934</v>
      </c>
      <c r="B269" s="149" t="s">
        <v>576</v>
      </c>
      <c r="C269" s="149" t="s">
        <v>671</v>
      </c>
      <c r="D269" s="149" t="s">
        <v>351</v>
      </c>
      <c r="E269" s="149" t="s">
        <v>351</v>
      </c>
      <c r="F269" s="149" t="s">
        <v>351</v>
      </c>
      <c r="G269" s="149" t="s">
        <v>210</v>
      </c>
      <c r="H269" s="149">
        <v>2</v>
      </c>
      <c r="I269" s="149" t="s">
        <v>242</v>
      </c>
      <c r="J269" s="150">
        <v>400</v>
      </c>
      <c r="K269" s="149" t="s">
        <v>351</v>
      </c>
      <c r="L269" s="149" t="s">
        <v>649</v>
      </c>
      <c r="M269" s="149" t="s">
        <v>351</v>
      </c>
      <c r="N269" s="149" t="s">
        <v>351</v>
      </c>
      <c r="O269" s="150">
        <v>800</v>
      </c>
      <c r="P269" s="149" t="s">
        <v>351</v>
      </c>
      <c r="Q269" s="150">
        <v>800</v>
      </c>
      <c r="R269" s="149" t="s">
        <v>351</v>
      </c>
      <c r="S269" s="149" t="s">
        <v>351</v>
      </c>
      <c r="T269" s="149" t="s">
        <v>351</v>
      </c>
      <c r="U269" s="149" t="s">
        <v>351</v>
      </c>
      <c r="V269" s="149" t="s">
        <v>351</v>
      </c>
      <c r="W269" s="149" t="s">
        <v>351</v>
      </c>
      <c r="X269" s="149" t="s">
        <v>351</v>
      </c>
      <c r="Y269" s="149" t="s">
        <v>351</v>
      </c>
      <c r="Z269" s="149" t="s">
        <v>351</v>
      </c>
      <c r="AA269" s="149" t="s">
        <v>351</v>
      </c>
      <c r="AB269" s="149" t="s">
        <v>351</v>
      </c>
      <c r="AC269" s="149" t="s">
        <v>351</v>
      </c>
      <c r="AD269" s="149" t="s">
        <v>351</v>
      </c>
      <c r="AE269" s="149" t="s">
        <v>351</v>
      </c>
      <c r="AF269" s="149" t="s">
        <v>519</v>
      </c>
    </row>
    <row r="270" spans="1:32" x14ac:dyDescent="0.25">
      <c r="A270" s="149" t="s">
        <v>935</v>
      </c>
      <c r="B270" s="149" t="s">
        <v>576</v>
      </c>
      <c r="C270" s="149" t="s">
        <v>646</v>
      </c>
      <c r="D270" s="149" t="s">
        <v>681</v>
      </c>
      <c r="E270" s="149" t="s">
        <v>351</v>
      </c>
      <c r="F270" s="149" t="s">
        <v>351</v>
      </c>
      <c r="G270" s="149" t="s">
        <v>648</v>
      </c>
      <c r="H270" s="149">
        <v>56</v>
      </c>
      <c r="I270" s="149" t="s">
        <v>242</v>
      </c>
      <c r="J270" s="150">
        <v>147</v>
      </c>
      <c r="K270" s="149" t="s">
        <v>351</v>
      </c>
      <c r="L270" s="149" t="s">
        <v>649</v>
      </c>
      <c r="M270" s="149" t="s">
        <v>351</v>
      </c>
      <c r="N270" s="149" t="s">
        <v>351</v>
      </c>
      <c r="O270" s="150">
        <v>735</v>
      </c>
      <c r="P270" s="149" t="s">
        <v>351</v>
      </c>
      <c r="Q270" s="150">
        <v>1809</v>
      </c>
      <c r="R270" s="149" t="s">
        <v>351</v>
      </c>
      <c r="S270" s="149" t="s">
        <v>351</v>
      </c>
      <c r="T270" s="149" t="s">
        <v>519</v>
      </c>
      <c r="U270" s="149" t="s">
        <v>351</v>
      </c>
      <c r="V270" s="149" t="s">
        <v>519</v>
      </c>
      <c r="W270" s="149" t="s">
        <v>351</v>
      </c>
      <c r="X270" s="149" t="s">
        <v>351</v>
      </c>
      <c r="Y270" s="149" t="s">
        <v>351</v>
      </c>
      <c r="Z270" s="149" t="s">
        <v>609</v>
      </c>
      <c r="AA270" s="149" t="s">
        <v>650</v>
      </c>
      <c r="AB270" s="149" t="s">
        <v>651</v>
      </c>
      <c r="AC270" s="149" t="s">
        <v>652</v>
      </c>
      <c r="AD270" s="149" t="s">
        <v>537</v>
      </c>
      <c r="AE270" s="149" t="s">
        <v>519</v>
      </c>
      <c r="AF270" s="149" t="s">
        <v>518</v>
      </c>
    </row>
    <row r="271" spans="1:32" x14ac:dyDescent="0.25">
      <c r="A271" s="149" t="s">
        <v>936</v>
      </c>
      <c r="B271" s="149" t="s">
        <v>576</v>
      </c>
      <c r="C271" s="149" t="s">
        <v>671</v>
      </c>
      <c r="D271" s="149" t="s">
        <v>351</v>
      </c>
      <c r="E271" s="149" t="s">
        <v>351</v>
      </c>
      <c r="F271" s="149" t="s">
        <v>351</v>
      </c>
      <c r="G271" s="149" t="s">
        <v>209</v>
      </c>
      <c r="H271" s="149">
        <v>2</v>
      </c>
      <c r="I271" s="149" t="s">
        <v>211</v>
      </c>
      <c r="J271" s="150">
        <v>362.5</v>
      </c>
      <c r="K271" s="149" t="s">
        <v>351</v>
      </c>
      <c r="L271" s="149" t="s">
        <v>649</v>
      </c>
      <c r="M271" s="149" t="s">
        <v>351</v>
      </c>
      <c r="N271" s="149" t="s">
        <v>351</v>
      </c>
      <c r="O271" s="150">
        <v>725</v>
      </c>
      <c r="P271" s="149" t="s">
        <v>351</v>
      </c>
      <c r="Q271" s="150">
        <v>725</v>
      </c>
      <c r="R271" s="149" t="s">
        <v>351</v>
      </c>
      <c r="S271" s="149" t="s">
        <v>351</v>
      </c>
      <c r="T271" s="149" t="s">
        <v>351</v>
      </c>
      <c r="U271" s="149" t="s">
        <v>351</v>
      </c>
      <c r="V271" s="149" t="s">
        <v>351</v>
      </c>
      <c r="W271" s="149" t="s">
        <v>351</v>
      </c>
      <c r="X271" s="149" t="s">
        <v>351</v>
      </c>
      <c r="Y271" s="149" t="s">
        <v>351</v>
      </c>
      <c r="Z271" s="149" t="s">
        <v>351</v>
      </c>
      <c r="AA271" s="149" t="s">
        <v>351</v>
      </c>
      <c r="AB271" s="149" t="s">
        <v>351</v>
      </c>
      <c r="AC271" s="149" t="s">
        <v>351</v>
      </c>
      <c r="AD271" s="149" t="s">
        <v>351</v>
      </c>
      <c r="AE271" s="149" t="s">
        <v>351</v>
      </c>
      <c r="AF271" s="149" t="s">
        <v>519</v>
      </c>
    </row>
    <row r="272" spans="1:32" x14ac:dyDescent="0.25">
      <c r="A272" s="149" t="s">
        <v>937</v>
      </c>
      <c r="B272" s="149" t="s">
        <v>576</v>
      </c>
      <c r="C272" s="149" t="s">
        <v>742</v>
      </c>
      <c r="D272" s="149" t="s">
        <v>351</v>
      </c>
      <c r="E272" s="149" t="s">
        <v>351</v>
      </c>
      <c r="F272" s="149" t="s">
        <v>351</v>
      </c>
      <c r="G272" s="149" t="s">
        <v>243</v>
      </c>
      <c r="H272" s="149">
        <v>6</v>
      </c>
      <c r="I272" s="149" t="s">
        <v>351</v>
      </c>
      <c r="J272" s="150">
        <v>650</v>
      </c>
      <c r="K272" s="149" t="s">
        <v>351</v>
      </c>
      <c r="L272" s="149" t="s">
        <v>649</v>
      </c>
      <c r="M272" s="149" t="s">
        <v>351</v>
      </c>
      <c r="N272" s="149" t="s">
        <v>351</v>
      </c>
      <c r="O272" s="150">
        <v>650</v>
      </c>
      <c r="P272" s="149" t="s">
        <v>351</v>
      </c>
      <c r="Q272" s="149" t="s">
        <v>351</v>
      </c>
      <c r="R272" s="150">
        <v>650</v>
      </c>
      <c r="S272" s="149" t="s">
        <v>351</v>
      </c>
      <c r="T272" s="149" t="s">
        <v>351</v>
      </c>
      <c r="U272" s="149" t="s">
        <v>351</v>
      </c>
      <c r="V272" s="149" t="s">
        <v>351</v>
      </c>
      <c r="W272" s="149" t="s">
        <v>351</v>
      </c>
      <c r="X272" s="149" t="s">
        <v>351</v>
      </c>
      <c r="Y272" s="149" t="s">
        <v>351</v>
      </c>
      <c r="Z272" s="149" t="s">
        <v>351</v>
      </c>
      <c r="AA272" s="149" t="s">
        <v>351</v>
      </c>
      <c r="AB272" s="149" t="s">
        <v>351</v>
      </c>
      <c r="AC272" s="149" t="s">
        <v>351</v>
      </c>
      <c r="AD272" s="149" t="s">
        <v>351</v>
      </c>
      <c r="AE272" s="149" t="s">
        <v>351</v>
      </c>
      <c r="AF272" s="149" t="s">
        <v>351</v>
      </c>
    </row>
    <row r="273" spans="1:32" x14ac:dyDescent="0.25">
      <c r="A273" s="149" t="s">
        <v>938</v>
      </c>
      <c r="B273" s="149" t="s">
        <v>576</v>
      </c>
      <c r="C273" s="149" t="s">
        <v>671</v>
      </c>
      <c r="D273" s="149" t="s">
        <v>351</v>
      </c>
      <c r="E273" s="149" t="s">
        <v>351</v>
      </c>
      <c r="F273" s="149" t="s">
        <v>351</v>
      </c>
      <c r="G273" s="149" t="s">
        <v>123</v>
      </c>
      <c r="H273" s="149">
        <v>19</v>
      </c>
      <c r="I273" s="149" t="s">
        <v>208</v>
      </c>
      <c r="J273" s="150">
        <v>183.33333333333334</v>
      </c>
      <c r="K273" s="149" t="s">
        <v>351</v>
      </c>
      <c r="L273" s="149" t="s">
        <v>649</v>
      </c>
      <c r="M273" s="149" t="s">
        <v>351</v>
      </c>
      <c r="N273" s="149" t="s">
        <v>351</v>
      </c>
      <c r="O273" s="150">
        <v>550</v>
      </c>
      <c r="P273" s="149" t="s">
        <v>351</v>
      </c>
      <c r="Q273" s="150">
        <v>4460</v>
      </c>
      <c r="R273" s="149" t="s">
        <v>351</v>
      </c>
      <c r="S273" s="149" t="s">
        <v>351</v>
      </c>
      <c r="T273" s="149" t="s">
        <v>351</v>
      </c>
      <c r="U273" s="149" t="s">
        <v>351</v>
      </c>
      <c r="V273" s="149" t="s">
        <v>351</v>
      </c>
      <c r="W273" s="149" t="s">
        <v>351</v>
      </c>
      <c r="X273" s="149" t="s">
        <v>351</v>
      </c>
      <c r="Y273" s="149" t="s">
        <v>351</v>
      </c>
      <c r="Z273" s="149" t="s">
        <v>351</v>
      </c>
      <c r="AA273" s="149" t="s">
        <v>351</v>
      </c>
      <c r="AB273" s="149" t="s">
        <v>351</v>
      </c>
      <c r="AC273" s="149" t="s">
        <v>351</v>
      </c>
      <c r="AD273" s="149" t="s">
        <v>351</v>
      </c>
      <c r="AE273" s="149" t="s">
        <v>351</v>
      </c>
      <c r="AF273" s="149" t="s">
        <v>518</v>
      </c>
    </row>
    <row r="274" spans="1:32" x14ac:dyDescent="0.25">
      <c r="A274" s="149" t="s">
        <v>939</v>
      </c>
      <c r="B274" s="149" t="s">
        <v>576</v>
      </c>
      <c r="C274" s="149" t="s">
        <v>742</v>
      </c>
      <c r="D274" s="149" t="s">
        <v>351</v>
      </c>
      <c r="E274" s="149" t="s">
        <v>351</v>
      </c>
      <c r="F274" s="149" t="s">
        <v>351</v>
      </c>
      <c r="G274" s="149" t="s">
        <v>209</v>
      </c>
      <c r="H274" s="149">
        <v>10</v>
      </c>
      <c r="I274" s="149" t="s">
        <v>351</v>
      </c>
      <c r="J274" s="150">
        <v>495</v>
      </c>
      <c r="K274" s="149" t="s">
        <v>351</v>
      </c>
      <c r="L274" s="149" t="s">
        <v>649</v>
      </c>
      <c r="M274" s="149" t="s">
        <v>351</v>
      </c>
      <c r="N274" s="149" t="s">
        <v>351</v>
      </c>
      <c r="O274" s="150">
        <v>495</v>
      </c>
      <c r="P274" s="149" t="s">
        <v>351</v>
      </c>
      <c r="Q274" s="150">
        <v>495</v>
      </c>
      <c r="R274" s="149" t="s">
        <v>351</v>
      </c>
      <c r="S274" s="149" t="s">
        <v>351</v>
      </c>
      <c r="T274" s="149" t="s">
        <v>351</v>
      </c>
      <c r="U274" s="149" t="s">
        <v>351</v>
      </c>
      <c r="V274" s="149" t="s">
        <v>351</v>
      </c>
      <c r="W274" s="149" t="s">
        <v>351</v>
      </c>
      <c r="X274" s="149" t="s">
        <v>351</v>
      </c>
      <c r="Y274" s="149" t="s">
        <v>351</v>
      </c>
      <c r="Z274" s="149" t="s">
        <v>351</v>
      </c>
      <c r="AA274" s="149" t="s">
        <v>351</v>
      </c>
      <c r="AB274" s="149" t="s">
        <v>351</v>
      </c>
      <c r="AC274" s="149" t="s">
        <v>351</v>
      </c>
      <c r="AD274" s="149" t="s">
        <v>351</v>
      </c>
      <c r="AE274" s="149" t="s">
        <v>351</v>
      </c>
      <c r="AF274" s="149" t="s">
        <v>351</v>
      </c>
    </row>
    <row r="275" spans="1:32" x14ac:dyDescent="0.25">
      <c r="A275" s="149" t="s">
        <v>940</v>
      </c>
      <c r="B275" s="149" t="s">
        <v>19</v>
      </c>
      <c r="C275" s="149" t="s">
        <v>692</v>
      </c>
      <c r="D275" s="149" t="s">
        <v>693</v>
      </c>
      <c r="E275" s="149" t="s">
        <v>351</v>
      </c>
      <c r="F275" s="149" t="s">
        <v>351</v>
      </c>
      <c r="G275" s="149" t="s">
        <v>248</v>
      </c>
      <c r="H275" s="149">
        <v>1</v>
      </c>
      <c r="I275" s="149" t="s">
        <v>351</v>
      </c>
      <c r="J275" s="150">
        <v>418</v>
      </c>
      <c r="K275" s="149" t="s">
        <v>351</v>
      </c>
      <c r="L275" s="149" t="s">
        <v>718</v>
      </c>
      <c r="M275" s="149" t="s">
        <v>351</v>
      </c>
      <c r="N275" s="149" t="s">
        <v>351</v>
      </c>
      <c r="O275" s="150">
        <v>418</v>
      </c>
      <c r="P275" s="150">
        <v>418</v>
      </c>
      <c r="Q275" s="149" t="s">
        <v>351</v>
      </c>
      <c r="R275" s="150">
        <v>418</v>
      </c>
      <c r="S275" s="149" t="s">
        <v>351</v>
      </c>
      <c r="T275" s="149" t="s">
        <v>519</v>
      </c>
      <c r="U275" s="149" t="s">
        <v>351</v>
      </c>
      <c r="V275" s="149" t="s">
        <v>519</v>
      </c>
      <c r="W275" s="149" t="s">
        <v>527</v>
      </c>
      <c r="X275" s="149" t="s">
        <v>544</v>
      </c>
      <c r="Y275" s="149" t="s">
        <v>351</v>
      </c>
      <c r="Z275" s="149" t="s">
        <v>609</v>
      </c>
      <c r="AA275" s="149" t="s">
        <v>876</v>
      </c>
      <c r="AB275" s="149" t="s">
        <v>666</v>
      </c>
      <c r="AC275" s="149" t="s">
        <v>580</v>
      </c>
      <c r="AD275" s="149" t="s">
        <v>730</v>
      </c>
      <c r="AE275" s="149" t="s">
        <v>519</v>
      </c>
      <c r="AF275" s="149" t="s">
        <v>351</v>
      </c>
    </row>
    <row r="276" spans="1:32" x14ac:dyDescent="0.25">
      <c r="A276" s="149" t="s">
        <v>941</v>
      </c>
      <c r="B276" s="149" t="s">
        <v>576</v>
      </c>
      <c r="C276" s="149" t="s">
        <v>671</v>
      </c>
      <c r="D276" s="149" t="s">
        <v>351</v>
      </c>
      <c r="E276" s="149" t="s">
        <v>351</v>
      </c>
      <c r="F276" s="149" t="s">
        <v>351</v>
      </c>
      <c r="G276" s="149" t="s">
        <v>130</v>
      </c>
      <c r="H276" s="149">
        <v>12</v>
      </c>
      <c r="I276" s="149" t="s">
        <v>208</v>
      </c>
      <c r="J276" s="150">
        <v>395</v>
      </c>
      <c r="K276" s="149" t="s">
        <v>351</v>
      </c>
      <c r="L276" s="149" t="s">
        <v>649</v>
      </c>
      <c r="M276" s="149" t="s">
        <v>351</v>
      </c>
      <c r="N276" s="149" t="s">
        <v>351</v>
      </c>
      <c r="O276" s="150">
        <v>395</v>
      </c>
      <c r="P276" s="149" t="s">
        <v>351</v>
      </c>
      <c r="Q276" s="150">
        <v>3160</v>
      </c>
      <c r="R276" s="149" t="s">
        <v>351</v>
      </c>
      <c r="S276" s="149" t="s">
        <v>351</v>
      </c>
      <c r="T276" s="149" t="s">
        <v>351</v>
      </c>
      <c r="U276" s="149" t="s">
        <v>351</v>
      </c>
      <c r="V276" s="149" t="s">
        <v>351</v>
      </c>
      <c r="W276" s="149" t="s">
        <v>351</v>
      </c>
      <c r="X276" s="149" t="s">
        <v>351</v>
      </c>
      <c r="Y276" s="149" t="s">
        <v>351</v>
      </c>
      <c r="Z276" s="149" t="s">
        <v>351</v>
      </c>
      <c r="AA276" s="149" t="s">
        <v>351</v>
      </c>
      <c r="AB276" s="149" t="s">
        <v>351</v>
      </c>
      <c r="AC276" s="149" t="s">
        <v>351</v>
      </c>
      <c r="AD276" s="149" t="s">
        <v>351</v>
      </c>
      <c r="AE276" s="149" t="s">
        <v>351</v>
      </c>
      <c r="AF276" s="149" t="s">
        <v>518</v>
      </c>
    </row>
    <row r="277" spans="1:32" x14ac:dyDescent="0.25">
      <c r="A277" s="149" t="s">
        <v>942</v>
      </c>
      <c r="B277" s="149" t="s">
        <v>576</v>
      </c>
      <c r="C277" s="149" t="s">
        <v>742</v>
      </c>
      <c r="D277" s="149" t="s">
        <v>351</v>
      </c>
      <c r="E277" s="149" t="s">
        <v>351</v>
      </c>
      <c r="F277" s="149" t="s">
        <v>351</v>
      </c>
      <c r="G277" s="149" t="s">
        <v>209</v>
      </c>
      <c r="H277" s="149">
        <v>10</v>
      </c>
      <c r="I277" s="149" t="s">
        <v>351</v>
      </c>
      <c r="J277" s="150">
        <v>380.25</v>
      </c>
      <c r="K277" s="149" t="s">
        <v>351</v>
      </c>
      <c r="L277" s="149" t="s">
        <v>649</v>
      </c>
      <c r="M277" s="149" t="s">
        <v>351</v>
      </c>
      <c r="N277" s="149" t="s">
        <v>351</v>
      </c>
      <c r="O277" s="150">
        <v>380.25</v>
      </c>
      <c r="P277" s="149" t="s">
        <v>351</v>
      </c>
      <c r="Q277" s="150">
        <v>380.25</v>
      </c>
      <c r="R277" s="149" t="s">
        <v>351</v>
      </c>
      <c r="S277" s="149" t="s">
        <v>351</v>
      </c>
      <c r="T277" s="149" t="s">
        <v>351</v>
      </c>
      <c r="U277" s="149" t="s">
        <v>351</v>
      </c>
      <c r="V277" s="149" t="s">
        <v>351</v>
      </c>
      <c r="W277" s="149" t="s">
        <v>351</v>
      </c>
      <c r="X277" s="149" t="s">
        <v>351</v>
      </c>
      <c r="Y277" s="149" t="s">
        <v>351</v>
      </c>
      <c r="Z277" s="149" t="s">
        <v>351</v>
      </c>
      <c r="AA277" s="149" t="s">
        <v>351</v>
      </c>
      <c r="AB277" s="149" t="s">
        <v>351</v>
      </c>
      <c r="AC277" s="149" t="s">
        <v>351</v>
      </c>
      <c r="AD277" s="149" t="s">
        <v>351</v>
      </c>
      <c r="AE277" s="149" t="s">
        <v>351</v>
      </c>
      <c r="AF277" s="149" t="s">
        <v>351</v>
      </c>
    </row>
    <row r="278" spans="1:32" x14ac:dyDescent="0.25">
      <c r="A278" s="149" t="s">
        <v>943</v>
      </c>
      <c r="B278" s="149" t="s">
        <v>576</v>
      </c>
      <c r="C278" s="149" t="s">
        <v>671</v>
      </c>
      <c r="D278" s="149" t="s">
        <v>351</v>
      </c>
      <c r="E278" s="149" t="s">
        <v>351</v>
      </c>
      <c r="F278" s="149" t="s">
        <v>351</v>
      </c>
      <c r="G278" s="149" t="s">
        <v>208</v>
      </c>
      <c r="H278" s="149">
        <v>3</v>
      </c>
      <c r="I278" s="149" t="s">
        <v>211</v>
      </c>
      <c r="J278" s="150">
        <v>90</v>
      </c>
      <c r="K278" s="149" t="s">
        <v>351</v>
      </c>
      <c r="L278" s="149" t="s">
        <v>649</v>
      </c>
      <c r="M278" s="149" t="s">
        <v>351</v>
      </c>
      <c r="N278" s="149" t="s">
        <v>351</v>
      </c>
      <c r="O278" s="150">
        <v>355</v>
      </c>
      <c r="P278" s="149" t="s">
        <v>351</v>
      </c>
      <c r="Q278" s="150">
        <v>355</v>
      </c>
      <c r="R278" s="149" t="s">
        <v>351</v>
      </c>
      <c r="S278" s="149" t="s">
        <v>351</v>
      </c>
      <c r="T278" s="149" t="s">
        <v>351</v>
      </c>
      <c r="U278" s="149" t="s">
        <v>351</v>
      </c>
      <c r="V278" s="149" t="s">
        <v>351</v>
      </c>
      <c r="W278" s="149" t="s">
        <v>351</v>
      </c>
      <c r="X278" s="149" t="s">
        <v>351</v>
      </c>
      <c r="Y278" s="149" t="s">
        <v>351</v>
      </c>
      <c r="Z278" s="149" t="s">
        <v>351</v>
      </c>
      <c r="AA278" s="149" t="s">
        <v>351</v>
      </c>
      <c r="AB278" s="149" t="s">
        <v>351</v>
      </c>
      <c r="AC278" s="149" t="s">
        <v>351</v>
      </c>
      <c r="AD278" s="149" t="s">
        <v>351</v>
      </c>
      <c r="AE278" s="149" t="s">
        <v>351</v>
      </c>
      <c r="AF278" s="149" t="s">
        <v>519</v>
      </c>
    </row>
    <row r="279" spans="1:32" x14ac:dyDescent="0.25">
      <c r="A279" s="149" t="s">
        <v>944</v>
      </c>
      <c r="B279" s="149" t="s">
        <v>576</v>
      </c>
      <c r="C279" s="149" t="s">
        <v>671</v>
      </c>
      <c r="D279" s="149" t="s">
        <v>351</v>
      </c>
      <c r="E279" s="149" t="s">
        <v>351</v>
      </c>
      <c r="F279" s="149" t="s">
        <v>351</v>
      </c>
      <c r="G279" s="149" t="s">
        <v>211</v>
      </c>
      <c r="H279" s="149">
        <v>1</v>
      </c>
      <c r="I279" s="149" t="s">
        <v>242</v>
      </c>
      <c r="J279" s="150">
        <v>200</v>
      </c>
      <c r="K279" s="149" t="s">
        <v>351</v>
      </c>
      <c r="L279" s="149" t="s">
        <v>649</v>
      </c>
      <c r="M279" s="149" t="s">
        <v>351</v>
      </c>
      <c r="N279" s="149" t="s">
        <v>351</v>
      </c>
      <c r="O279" s="150">
        <v>200</v>
      </c>
      <c r="P279" s="149" t="s">
        <v>351</v>
      </c>
      <c r="Q279" s="150">
        <v>200</v>
      </c>
      <c r="R279" s="149" t="s">
        <v>351</v>
      </c>
      <c r="S279" s="149" t="s">
        <v>351</v>
      </c>
      <c r="T279" s="149" t="s">
        <v>351</v>
      </c>
      <c r="U279" s="149" t="s">
        <v>351</v>
      </c>
      <c r="V279" s="149" t="s">
        <v>351</v>
      </c>
      <c r="W279" s="149" t="s">
        <v>351</v>
      </c>
      <c r="X279" s="149" t="s">
        <v>351</v>
      </c>
      <c r="Y279" s="149" t="s">
        <v>351</v>
      </c>
      <c r="Z279" s="149" t="s">
        <v>351</v>
      </c>
      <c r="AA279" s="149" t="s">
        <v>351</v>
      </c>
      <c r="AB279" s="149" t="s">
        <v>351</v>
      </c>
      <c r="AC279" s="149" t="s">
        <v>351</v>
      </c>
      <c r="AD279" s="149" t="s">
        <v>351</v>
      </c>
      <c r="AE279" s="149" t="s">
        <v>351</v>
      </c>
      <c r="AF279" s="149" t="s">
        <v>519</v>
      </c>
    </row>
    <row r="280" spans="1:32" x14ac:dyDescent="0.25">
      <c r="A280" s="149" t="s">
        <v>945</v>
      </c>
      <c r="B280" s="149" t="s">
        <v>576</v>
      </c>
      <c r="C280" s="149" t="s">
        <v>671</v>
      </c>
      <c r="D280" s="149" t="s">
        <v>351</v>
      </c>
      <c r="E280" s="149" t="s">
        <v>351</v>
      </c>
      <c r="F280" s="149" t="s">
        <v>351</v>
      </c>
      <c r="G280" s="149" t="s">
        <v>124</v>
      </c>
      <c r="H280" s="149">
        <v>16</v>
      </c>
      <c r="I280" s="149" t="s">
        <v>206</v>
      </c>
      <c r="J280" s="150">
        <v>488.33333333333331</v>
      </c>
      <c r="K280" s="149" t="s">
        <v>351</v>
      </c>
      <c r="L280" s="149" t="s">
        <v>649</v>
      </c>
      <c r="M280" s="149" t="s">
        <v>351</v>
      </c>
      <c r="N280" s="149" t="s">
        <v>351</v>
      </c>
      <c r="O280" s="150">
        <v>90</v>
      </c>
      <c r="P280" s="149" t="s">
        <v>351</v>
      </c>
      <c r="Q280" s="150">
        <v>6488</v>
      </c>
      <c r="R280" s="150">
        <v>90</v>
      </c>
      <c r="S280" s="149" t="s">
        <v>351</v>
      </c>
      <c r="T280" s="149" t="s">
        <v>351</v>
      </c>
      <c r="U280" s="149" t="s">
        <v>351</v>
      </c>
      <c r="V280" s="149" t="s">
        <v>351</v>
      </c>
      <c r="W280" s="149" t="s">
        <v>351</v>
      </c>
      <c r="X280" s="149" t="s">
        <v>351</v>
      </c>
      <c r="Y280" s="149" t="s">
        <v>351</v>
      </c>
      <c r="Z280" s="149" t="s">
        <v>351</v>
      </c>
      <c r="AA280" s="149" t="s">
        <v>351</v>
      </c>
      <c r="AB280" s="149" t="s">
        <v>351</v>
      </c>
      <c r="AC280" s="149" t="s">
        <v>351</v>
      </c>
      <c r="AD280" s="149" t="s">
        <v>351</v>
      </c>
      <c r="AE280" s="149" t="s">
        <v>351</v>
      </c>
      <c r="AF280" s="149" t="s">
        <v>518</v>
      </c>
    </row>
    <row r="281" spans="1:32" x14ac:dyDescent="0.25">
      <c r="A281" s="149" t="s">
        <v>946</v>
      </c>
      <c r="B281" s="149" t="s">
        <v>576</v>
      </c>
      <c r="C281" s="149" t="s">
        <v>671</v>
      </c>
      <c r="D281" s="149" t="s">
        <v>351</v>
      </c>
      <c r="E281" s="149" t="s">
        <v>351</v>
      </c>
      <c r="F281" s="149" t="s">
        <v>351</v>
      </c>
      <c r="G281" s="149" t="s">
        <v>126</v>
      </c>
      <c r="H281" s="149">
        <v>12</v>
      </c>
      <c r="I281" s="149" t="s">
        <v>204</v>
      </c>
      <c r="J281" s="150">
        <v>1076.6666666666667</v>
      </c>
      <c r="K281" s="149" t="s">
        <v>351</v>
      </c>
      <c r="L281" s="149" t="s">
        <v>649</v>
      </c>
      <c r="M281" s="149" t="s">
        <v>351</v>
      </c>
      <c r="N281" s="149" t="s">
        <v>351</v>
      </c>
      <c r="O281" s="149" t="s">
        <v>351</v>
      </c>
      <c r="P281" s="149" t="s">
        <v>351</v>
      </c>
      <c r="Q281" s="150">
        <v>6030</v>
      </c>
      <c r="R281" s="149" t="s">
        <v>351</v>
      </c>
      <c r="S281" s="149" t="s">
        <v>351</v>
      </c>
      <c r="T281" s="149" t="s">
        <v>351</v>
      </c>
      <c r="U281" s="149" t="s">
        <v>351</v>
      </c>
      <c r="V281" s="149" t="s">
        <v>351</v>
      </c>
      <c r="W281" s="149" t="s">
        <v>351</v>
      </c>
      <c r="X281" s="149" t="s">
        <v>351</v>
      </c>
      <c r="Y281" s="149" t="s">
        <v>351</v>
      </c>
      <c r="Z281" s="149" t="s">
        <v>351</v>
      </c>
      <c r="AA281" s="149" t="s">
        <v>351</v>
      </c>
      <c r="AB281" s="149" t="s">
        <v>351</v>
      </c>
      <c r="AC281" s="149" t="s">
        <v>351</v>
      </c>
      <c r="AD281" s="149" t="s">
        <v>351</v>
      </c>
      <c r="AE281" s="149" t="s">
        <v>351</v>
      </c>
      <c r="AF281" s="149" t="s">
        <v>518</v>
      </c>
    </row>
    <row r="282" spans="1:32" x14ac:dyDescent="0.25">
      <c r="A282" s="149" t="s">
        <v>947</v>
      </c>
      <c r="B282" s="149" t="s">
        <v>576</v>
      </c>
      <c r="C282" s="149" t="s">
        <v>886</v>
      </c>
      <c r="D282" s="149" t="s">
        <v>351</v>
      </c>
      <c r="E282" s="149" t="s">
        <v>351</v>
      </c>
      <c r="F282" s="149" t="s">
        <v>351</v>
      </c>
      <c r="G282" s="149" t="s">
        <v>648</v>
      </c>
      <c r="H282" s="149">
        <v>51</v>
      </c>
      <c r="I282" s="149" t="s">
        <v>207</v>
      </c>
      <c r="J282" s="150">
        <v>710</v>
      </c>
      <c r="K282" s="149" t="s">
        <v>351</v>
      </c>
      <c r="L282" s="149" t="s">
        <v>649</v>
      </c>
      <c r="M282" s="149" t="s">
        <v>351</v>
      </c>
      <c r="N282" s="149" t="s">
        <v>351</v>
      </c>
      <c r="O282" s="149" t="s">
        <v>351</v>
      </c>
      <c r="P282" s="149" t="s">
        <v>351</v>
      </c>
      <c r="Q282" s="150">
        <v>5210</v>
      </c>
      <c r="R282" s="149" t="s">
        <v>351</v>
      </c>
      <c r="S282" s="149" t="s">
        <v>351</v>
      </c>
      <c r="T282" s="149" t="s">
        <v>351</v>
      </c>
      <c r="U282" s="149" t="s">
        <v>351</v>
      </c>
      <c r="V282" s="149" t="s">
        <v>351</v>
      </c>
      <c r="W282" s="149" t="s">
        <v>351</v>
      </c>
      <c r="X282" s="149" t="s">
        <v>351</v>
      </c>
      <c r="Y282" s="149" t="s">
        <v>351</v>
      </c>
      <c r="Z282" s="149" t="s">
        <v>351</v>
      </c>
      <c r="AA282" s="149" t="s">
        <v>351</v>
      </c>
      <c r="AB282" s="149" t="s">
        <v>351</v>
      </c>
      <c r="AC282" s="149" t="s">
        <v>351</v>
      </c>
      <c r="AD282" s="149" t="s">
        <v>351</v>
      </c>
      <c r="AE282" s="149" t="s">
        <v>351</v>
      </c>
      <c r="AF282" s="149" t="s">
        <v>518</v>
      </c>
    </row>
    <row r="283" spans="1:32" x14ac:dyDescent="0.25">
      <c r="A283" s="149" t="s">
        <v>948</v>
      </c>
      <c r="B283" s="149" t="s">
        <v>576</v>
      </c>
      <c r="C283" s="149" t="s">
        <v>671</v>
      </c>
      <c r="D283" s="149" t="s">
        <v>351</v>
      </c>
      <c r="E283" s="149" t="s">
        <v>351</v>
      </c>
      <c r="F283" s="149" t="s">
        <v>351</v>
      </c>
      <c r="G283" s="149" t="s">
        <v>130</v>
      </c>
      <c r="H283" s="149">
        <v>10</v>
      </c>
      <c r="I283" s="149" t="s">
        <v>206</v>
      </c>
      <c r="J283" s="150">
        <v>842.66666666666663</v>
      </c>
      <c r="K283" s="149" t="s">
        <v>351</v>
      </c>
      <c r="L283" s="149" t="s">
        <v>649</v>
      </c>
      <c r="M283" s="149" t="s">
        <v>351</v>
      </c>
      <c r="N283" s="149" t="s">
        <v>351</v>
      </c>
      <c r="O283" s="149" t="s">
        <v>351</v>
      </c>
      <c r="P283" s="149" t="s">
        <v>351</v>
      </c>
      <c r="Q283" s="150">
        <v>5082</v>
      </c>
      <c r="R283" s="149" t="s">
        <v>351</v>
      </c>
      <c r="S283" s="149" t="s">
        <v>351</v>
      </c>
      <c r="T283" s="149" t="s">
        <v>351</v>
      </c>
      <c r="U283" s="149" t="s">
        <v>351</v>
      </c>
      <c r="V283" s="149" t="s">
        <v>351</v>
      </c>
      <c r="W283" s="149" t="s">
        <v>351</v>
      </c>
      <c r="X283" s="149" t="s">
        <v>351</v>
      </c>
      <c r="Y283" s="149" t="s">
        <v>351</v>
      </c>
      <c r="Z283" s="149" t="s">
        <v>351</v>
      </c>
      <c r="AA283" s="149" t="s">
        <v>351</v>
      </c>
      <c r="AB283" s="149" t="s">
        <v>351</v>
      </c>
      <c r="AC283" s="149" t="s">
        <v>351</v>
      </c>
      <c r="AD283" s="149" t="s">
        <v>351</v>
      </c>
      <c r="AE283" s="149" t="s">
        <v>351</v>
      </c>
      <c r="AF283" s="149" t="s">
        <v>518</v>
      </c>
    </row>
    <row r="284" spans="1:32" x14ac:dyDescent="0.25">
      <c r="A284" s="149" t="s">
        <v>949</v>
      </c>
      <c r="B284" s="149" t="s">
        <v>576</v>
      </c>
      <c r="C284" s="149" t="s">
        <v>671</v>
      </c>
      <c r="D284" s="149" t="s">
        <v>351</v>
      </c>
      <c r="E284" s="149" t="s">
        <v>351</v>
      </c>
      <c r="F284" s="149" t="s">
        <v>351</v>
      </c>
      <c r="G284" s="149" t="s">
        <v>122</v>
      </c>
      <c r="H284" s="149">
        <v>18</v>
      </c>
      <c r="I284" s="149" t="s">
        <v>206</v>
      </c>
      <c r="J284" s="150">
        <v>336.66666666666669</v>
      </c>
      <c r="K284" s="149" t="s">
        <v>351</v>
      </c>
      <c r="L284" s="149" t="s">
        <v>649</v>
      </c>
      <c r="M284" s="149" t="s">
        <v>351</v>
      </c>
      <c r="N284" s="149" t="s">
        <v>351</v>
      </c>
      <c r="O284" s="149" t="s">
        <v>351</v>
      </c>
      <c r="P284" s="149" t="s">
        <v>351</v>
      </c>
      <c r="Q284" s="150">
        <v>2390</v>
      </c>
      <c r="R284" s="149" t="s">
        <v>351</v>
      </c>
      <c r="S284" s="149" t="s">
        <v>351</v>
      </c>
      <c r="T284" s="149" t="s">
        <v>351</v>
      </c>
      <c r="U284" s="149" t="s">
        <v>351</v>
      </c>
      <c r="V284" s="149" t="s">
        <v>351</v>
      </c>
      <c r="W284" s="149" t="s">
        <v>351</v>
      </c>
      <c r="X284" s="149" t="s">
        <v>351</v>
      </c>
      <c r="Y284" s="149" t="s">
        <v>351</v>
      </c>
      <c r="Z284" s="149" t="s">
        <v>351</v>
      </c>
      <c r="AA284" s="149" t="s">
        <v>351</v>
      </c>
      <c r="AB284" s="149" t="s">
        <v>351</v>
      </c>
      <c r="AC284" s="149" t="s">
        <v>351</v>
      </c>
      <c r="AD284" s="149" t="s">
        <v>351</v>
      </c>
      <c r="AE284" s="149" t="s">
        <v>351</v>
      </c>
      <c r="AF284" s="149" t="s">
        <v>519</v>
      </c>
    </row>
    <row r="285" spans="1:32" x14ac:dyDescent="0.25">
      <c r="A285" s="149" t="s">
        <v>950</v>
      </c>
      <c r="B285" s="149" t="s">
        <v>576</v>
      </c>
      <c r="C285" s="149" t="s">
        <v>671</v>
      </c>
      <c r="D285" s="149" t="s">
        <v>351</v>
      </c>
      <c r="E285" s="149" t="s">
        <v>351</v>
      </c>
      <c r="F285" s="149" t="s">
        <v>351</v>
      </c>
      <c r="G285" s="149" t="s">
        <v>133</v>
      </c>
      <c r="H285" s="149">
        <v>7</v>
      </c>
      <c r="I285" s="149" t="s">
        <v>206</v>
      </c>
      <c r="J285" s="150">
        <v>360</v>
      </c>
      <c r="K285" s="149" t="s">
        <v>351</v>
      </c>
      <c r="L285" s="149" t="s">
        <v>649</v>
      </c>
      <c r="M285" s="149" t="s">
        <v>351</v>
      </c>
      <c r="N285" s="149" t="s">
        <v>351</v>
      </c>
      <c r="O285" s="149" t="s">
        <v>351</v>
      </c>
      <c r="P285" s="149" t="s">
        <v>351</v>
      </c>
      <c r="Q285" s="150">
        <v>2160</v>
      </c>
      <c r="R285" s="149" t="s">
        <v>351</v>
      </c>
      <c r="S285" s="149" t="s">
        <v>351</v>
      </c>
      <c r="T285" s="149" t="s">
        <v>351</v>
      </c>
      <c r="U285" s="149" t="s">
        <v>351</v>
      </c>
      <c r="V285" s="149" t="s">
        <v>351</v>
      </c>
      <c r="W285" s="149" t="s">
        <v>351</v>
      </c>
      <c r="X285" s="149" t="s">
        <v>351</v>
      </c>
      <c r="Y285" s="149" t="s">
        <v>351</v>
      </c>
      <c r="Z285" s="149" t="s">
        <v>351</v>
      </c>
      <c r="AA285" s="149" t="s">
        <v>351</v>
      </c>
      <c r="AB285" s="149" t="s">
        <v>351</v>
      </c>
      <c r="AC285" s="149" t="s">
        <v>351</v>
      </c>
      <c r="AD285" s="149" t="s">
        <v>351</v>
      </c>
      <c r="AE285" s="149" t="s">
        <v>351</v>
      </c>
      <c r="AF285" s="149" t="s">
        <v>518</v>
      </c>
    </row>
    <row r="286" spans="1:32" x14ac:dyDescent="0.25">
      <c r="A286" s="149" t="s">
        <v>951</v>
      </c>
      <c r="B286" s="149" t="s">
        <v>576</v>
      </c>
      <c r="C286" s="149" t="s">
        <v>671</v>
      </c>
      <c r="D286" s="149" t="s">
        <v>351</v>
      </c>
      <c r="E286" s="149" t="s">
        <v>351</v>
      </c>
      <c r="F286" s="149" t="s">
        <v>351</v>
      </c>
      <c r="G286" s="149" t="s">
        <v>203</v>
      </c>
      <c r="H286" s="149">
        <v>3</v>
      </c>
      <c r="I286" s="149" t="s">
        <v>206</v>
      </c>
      <c r="J286" s="150">
        <v>427.5</v>
      </c>
      <c r="K286" s="149" t="s">
        <v>351</v>
      </c>
      <c r="L286" s="149" t="s">
        <v>649</v>
      </c>
      <c r="M286" s="149" t="s">
        <v>351</v>
      </c>
      <c r="N286" s="149" t="s">
        <v>351</v>
      </c>
      <c r="O286" s="149" t="s">
        <v>351</v>
      </c>
      <c r="P286" s="149" t="s">
        <v>351</v>
      </c>
      <c r="Q286" s="150">
        <v>2061.25</v>
      </c>
      <c r="R286" s="149" t="s">
        <v>351</v>
      </c>
      <c r="S286" s="149" t="s">
        <v>351</v>
      </c>
      <c r="T286" s="149" t="s">
        <v>351</v>
      </c>
      <c r="U286" s="149" t="s">
        <v>351</v>
      </c>
      <c r="V286" s="149" t="s">
        <v>351</v>
      </c>
      <c r="W286" s="149" t="s">
        <v>351</v>
      </c>
      <c r="X286" s="149" t="s">
        <v>351</v>
      </c>
      <c r="Y286" s="149" t="s">
        <v>351</v>
      </c>
      <c r="Z286" s="149" t="s">
        <v>351</v>
      </c>
      <c r="AA286" s="149" t="s">
        <v>351</v>
      </c>
      <c r="AB286" s="149" t="s">
        <v>351</v>
      </c>
      <c r="AC286" s="149" t="s">
        <v>351</v>
      </c>
      <c r="AD286" s="149" t="s">
        <v>351</v>
      </c>
      <c r="AE286" s="149" t="s">
        <v>351</v>
      </c>
      <c r="AF286" s="149" t="s">
        <v>518</v>
      </c>
    </row>
    <row r="287" spans="1:32" x14ac:dyDescent="0.25">
      <c r="A287" s="149" t="s">
        <v>952</v>
      </c>
      <c r="B287" s="149" t="s">
        <v>576</v>
      </c>
      <c r="C287" s="149" t="s">
        <v>886</v>
      </c>
      <c r="D287" s="149" t="s">
        <v>351</v>
      </c>
      <c r="E287" s="149" t="s">
        <v>351</v>
      </c>
      <c r="F287" s="149" t="s">
        <v>351</v>
      </c>
      <c r="G287" s="149" t="s">
        <v>953</v>
      </c>
      <c r="H287" s="149">
        <v>51</v>
      </c>
      <c r="I287" s="149" t="s">
        <v>206</v>
      </c>
      <c r="J287" s="150">
        <v>303.33333333333331</v>
      </c>
      <c r="K287" s="149" t="s">
        <v>351</v>
      </c>
      <c r="L287" s="149" t="s">
        <v>649</v>
      </c>
      <c r="M287" s="149" t="s">
        <v>351</v>
      </c>
      <c r="N287" s="149" t="s">
        <v>351</v>
      </c>
      <c r="O287" s="149" t="s">
        <v>351</v>
      </c>
      <c r="P287" s="149" t="s">
        <v>351</v>
      </c>
      <c r="Q287" s="150">
        <v>2035</v>
      </c>
      <c r="R287" s="149" t="s">
        <v>351</v>
      </c>
      <c r="S287" s="149" t="s">
        <v>351</v>
      </c>
      <c r="T287" s="149" t="s">
        <v>351</v>
      </c>
      <c r="U287" s="149" t="s">
        <v>351</v>
      </c>
      <c r="V287" s="149" t="s">
        <v>351</v>
      </c>
      <c r="W287" s="149" t="s">
        <v>351</v>
      </c>
      <c r="X287" s="149" t="s">
        <v>351</v>
      </c>
      <c r="Y287" s="149" t="s">
        <v>351</v>
      </c>
      <c r="Z287" s="149" t="s">
        <v>351</v>
      </c>
      <c r="AA287" s="149" t="s">
        <v>351</v>
      </c>
      <c r="AB287" s="149" t="s">
        <v>351</v>
      </c>
      <c r="AC287" s="149" t="s">
        <v>351</v>
      </c>
      <c r="AD287" s="149" t="s">
        <v>351</v>
      </c>
      <c r="AE287" s="149" t="s">
        <v>351</v>
      </c>
      <c r="AF287" s="149" t="s">
        <v>518</v>
      </c>
    </row>
    <row r="288" spans="1:32" x14ac:dyDescent="0.25">
      <c r="A288" s="149" t="s">
        <v>954</v>
      </c>
      <c r="B288" s="149" t="s">
        <v>576</v>
      </c>
      <c r="C288" s="149" t="s">
        <v>671</v>
      </c>
      <c r="D288" s="149" t="s">
        <v>351</v>
      </c>
      <c r="E288" s="149" t="s">
        <v>351</v>
      </c>
      <c r="F288" s="149" t="s">
        <v>351</v>
      </c>
      <c r="G288" s="149" t="s">
        <v>201</v>
      </c>
      <c r="H288" s="149">
        <v>5</v>
      </c>
      <c r="I288" s="149" t="s">
        <v>206</v>
      </c>
      <c r="J288" s="150">
        <v>366.66666666666669</v>
      </c>
      <c r="K288" s="149" t="s">
        <v>351</v>
      </c>
      <c r="L288" s="149" t="s">
        <v>649</v>
      </c>
      <c r="M288" s="149" t="s">
        <v>351</v>
      </c>
      <c r="N288" s="149" t="s">
        <v>351</v>
      </c>
      <c r="O288" s="149" t="s">
        <v>351</v>
      </c>
      <c r="P288" s="149" t="s">
        <v>351</v>
      </c>
      <c r="Q288" s="150">
        <v>1870</v>
      </c>
      <c r="R288" s="149" t="s">
        <v>351</v>
      </c>
      <c r="S288" s="149" t="s">
        <v>351</v>
      </c>
      <c r="T288" s="149" t="s">
        <v>351</v>
      </c>
      <c r="U288" s="149" t="s">
        <v>351</v>
      </c>
      <c r="V288" s="149" t="s">
        <v>351</v>
      </c>
      <c r="W288" s="149" t="s">
        <v>351</v>
      </c>
      <c r="X288" s="149" t="s">
        <v>351</v>
      </c>
      <c r="Y288" s="149" t="s">
        <v>351</v>
      </c>
      <c r="Z288" s="149" t="s">
        <v>351</v>
      </c>
      <c r="AA288" s="149" t="s">
        <v>351</v>
      </c>
      <c r="AB288" s="149" t="s">
        <v>351</v>
      </c>
      <c r="AC288" s="149" t="s">
        <v>351</v>
      </c>
      <c r="AD288" s="149" t="s">
        <v>351</v>
      </c>
      <c r="AE288" s="149" t="s">
        <v>351</v>
      </c>
      <c r="AF288" s="149" t="s">
        <v>518</v>
      </c>
    </row>
    <row r="289" spans="1:32" x14ac:dyDescent="0.25">
      <c r="A289" s="149" t="s">
        <v>955</v>
      </c>
      <c r="B289" s="149" t="s">
        <v>576</v>
      </c>
      <c r="C289" s="149" t="s">
        <v>671</v>
      </c>
      <c r="D289" s="149" t="s">
        <v>351</v>
      </c>
      <c r="E289" s="149" t="s">
        <v>351</v>
      </c>
      <c r="F289" s="149" t="s">
        <v>351</v>
      </c>
      <c r="G289" s="149" t="s">
        <v>123</v>
      </c>
      <c r="H289" s="149">
        <v>15</v>
      </c>
      <c r="I289" s="149" t="s">
        <v>204</v>
      </c>
      <c r="J289" s="150">
        <v>453.33333333333331</v>
      </c>
      <c r="K289" s="149" t="s">
        <v>351</v>
      </c>
      <c r="L289" s="149" t="s">
        <v>649</v>
      </c>
      <c r="M289" s="149" t="s">
        <v>351</v>
      </c>
      <c r="N289" s="149" t="s">
        <v>351</v>
      </c>
      <c r="O289" s="149" t="s">
        <v>351</v>
      </c>
      <c r="P289" s="149" t="s">
        <v>351</v>
      </c>
      <c r="Q289" s="150">
        <v>1735</v>
      </c>
      <c r="R289" s="149" t="s">
        <v>351</v>
      </c>
      <c r="S289" s="149" t="s">
        <v>351</v>
      </c>
      <c r="T289" s="149" t="s">
        <v>351</v>
      </c>
      <c r="U289" s="149" t="s">
        <v>351</v>
      </c>
      <c r="V289" s="149" t="s">
        <v>351</v>
      </c>
      <c r="W289" s="149" t="s">
        <v>351</v>
      </c>
      <c r="X289" s="149" t="s">
        <v>351</v>
      </c>
      <c r="Y289" s="149" t="s">
        <v>351</v>
      </c>
      <c r="Z289" s="149" t="s">
        <v>351</v>
      </c>
      <c r="AA289" s="149" t="s">
        <v>351</v>
      </c>
      <c r="AB289" s="149" t="s">
        <v>351</v>
      </c>
      <c r="AC289" s="149" t="s">
        <v>351</v>
      </c>
      <c r="AD289" s="149" t="s">
        <v>351</v>
      </c>
      <c r="AE289" s="149" t="s">
        <v>351</v>
      </c>
      <c r="AF289" s="149" t="s">
        <v>518</v>
      </c>
    </row>
    <row r="290" spans="1:32" x14ac:dyDescent="0.25">
      <c r="A290" s="149" t="s">
        <v>956</v>
      </c>
      <c r="B290" s="149" t="s">
        <v>576</v>
      </c>
      <c r="C290" s="149" t="s">
        <v>671</v>
      </c>
      <c r="D290" s="149" t="s">
        <v>351</v>
      </c>
      <c r="E290" s="149" t="s">
        <v>351</v>
      </c>
      <c r="F290" s="149" t="s">
        <v>351</v>
      </c>
      <c r="G290" s="149" t="s">
        <v>634</v>
      </c>
      <c r="H290" s="149">
        <v>35</v>
      </c>
      <c r="I290" s="149" t="s">
        <v>205</v>
      </c>
      <c r="J290" s="150">
        <v>335</v>
      </c>
      <c r="K290" s="149" t="s">
        <v>351</v>
      </c>
      <c r="L290" s="149" t="s">
        <v>649</v>
      </c>
      <c r="M290" s="149" t="s">
        <v>351</v>
      </c>
      <c r="N290" s="149" t="s">
        <v>351</v>
      </c>
      <c r="O290" s="149" t="s">
        <v>351</v>
      </c>
      <c r="P290" s="149" t="s">
        <v>351</v>
      </c>
      <c r="Q290" s="150">
        <v>1665</v>
      </c>
      <c r="R290" s="149" t="s">
        <v>351</v>
      </c>
      <c r="S290" s="149" t="s">
        <v>351</v>
      </c>
      <c r="T290" s="149" t="s">
        <v>351</v>
      </c>
      <c r="U290" s="149" t="s">
        <v>351</v>
      </c>
      <c r="V290" s="149" t="s">
        <v>351</v>
      </c>
      <c r="W290" s="149" t="s">
        <v>351</v>
      </c>
      <c r="X290" s="149" t="s">
        <v>351</v>
      </c>
      <c r="Y290" s="149" t="s">
        <v>351</v>
      </c>
      <c r="Z290" s="149" t="s">
        <v>351</v>
      </c>
      <c r="AA290" s="149" t="s">
        <v>351</v>
      </c>
      <c r="AB290" s="149" t="s">
        <v>351</v>
      </c>
      <c r="AC290" s="149" t="s">
        <v>351</v>
      </c>
      <c r="AD290" s="149" t="s">
        <v>351</v>
      </c>
      <c r="AE290" s="149" t="s">
        <v>351</v>
      </c>
      <c r="AF290" s="149" t="s">
        <v>519</v>
      </c>
    </row>
    <row r="291" spans="1:32" x14ac:dyDescent="0.25">
      <c r="A291" s="149" t="s">
        <v>957</v>
      </c>
      <c r="B291" s="149" t="s">
        <v>576</v>
      </c>
      <c r="C291" s="149" t="s">
        <v>671</v>
      </c>
      <c r="D291" s="149" t="s">
        <v>351</v>
      </c>
      <c r="E291" s="149" t="s">
        <v>351</v>
      </c>
      <c r="F291" s="149" t="s">
        <v>351</v>
      </c>
      <c r="G291" s="149" t="s">
        <v>125</v>
      </c>
      <c r="H291" s="149">
        <v>13</v>
      </c>
      <c r="I291" s="149" t="s">
        <v>204</v>
      </c>
      <c r="J291" s="150">
        <v>408.33333333333331</v>
      </c>
      <c r="K291" s="149" t="s">
        <v>351</v>
      </c>
      <c r="L291" s="149" t="s">
        <v>649</v>
      </c>
      <c r="M291" s="149" t="s">
        <v>351</v>
      </c>
      <c r="N291" s="149" t="s">
        <v>351</v>
      </c>
      <c r="O291" s="149" t="s">
        <v>351</v>
      </c>
      <c r="P291" s="149" t="s">
        <v>351</v>
      </c>
      <c r="Q291" s="150">
        <v>1655</v>
      </c>
      <c r="R291" s="149" t="s">
        <v>351</v>
      </c>
      <c r="S291" s="149" t="s">
        <v>351</v>
      </c>
      <c r="T291" s="149" t="s">
        <v>351</v>
      </c>
      <c r="U291" s="149" t="s">
        <v>351</v>
      </c>
      <c r="V291" s="149" t="s">
        <v>351</v>
      </c>
      <c r="W291" s="149" t="s">
        <v>351</v>
      </c>
      <c r="X291" s="149" t="s">
        <v>351</v>
      </c>
      <c r="Y291" s="149" t="s">
        <v>351</v>
      </c>
      <c r="Z291" s="149" t="s">
        <v>351</v>
      </c>
      <c r="AA291" s="149" t="s">
        <v>351</v>
      </c>
      <c r="AB291" s="149" t="s">
        <v>351</v>
      </c>
      <c r="AC291" s="149" t="s">
        <v>351</v>
      </c>
      <c r="AD291" s="149" t="s">
        <v>351</v>
      </c>
      <c r="AE291" s="149" t="s">
        <v>351</v>
      </c>
      <c r="AF291" s="149" t="s">
        <v>518</v>
      </c>
    </row>
    <row r="292" spans="1:32" x14ac:dyDescent="0.25">
      <c r="A292" s="149" t="s">
        <v>958</v>
      </c>
      <c r="B292" s="149" t="s">
        <v>576</v>
      </c>
      <c r="C292" s="149" t="s">
        <v>671</v>
      </c>
      <c r="D292" s="149" t="s">
        <v>351</v>
      </c>
      <c r="E292" s="149" t="s">
        <v>351</v>
      </c>
      <c r="F292" s="149" t="s">
        <v>351</v>
      </c>
      <c r="G292" s="149" t="s">
        <v>131</v>
      </c>
      <c r="H292" s="149">
        <v>6</v>
      </c>
      <c r="I292" s="149" t="s">
        <v>203</v>
      </c>
      <c r="J292" s="150">
        <v>395</v>
      </c>
      <c r="K292" s="149" t="s">
        <v>351</v>
      </c>
      <c r="L292" s="149" t="s">
        <v>649</v>
      </c>
      <c r="M292" s="149" t="s">
        <v>351</v>
      </c>
      <c r="N292" s="149" t="s">
        <v>351</v>
      </c>
      <c r="O292" s="149" t="s">
        <v>351</v>
      </c>
      <c r="P292" s="149" t="s">
        <v>351</v>
      </c>
      <c r="Q292" s="150">
        <v>1580</v>
      </c>
      <c r="R292" s="149" t="s">
        <v>351</v>
      </c>
      <c r="S292" s="149" t="s">
        <v>351</v>
      </c>
      <c r="T292" s="149" t="s">
        <v>351</v>
      </c>
      <c r="U292" s="149" t="s">
        <v>351</v>
      </c>
      <c r="V292" s="149" t="s">
        <v>351</v>
      </c>
      <c r="W292" s="149" t="s">
        <v>351</v>
      </c>
      <c r="X292" s="149" t="s">
        <v>351</v>
      </c>
      <c r="Y292" s="149" t="s">
        <v>351</v>
      </c>
      <c r="Z292" s="149" t="s">
        <v>351</v>
      </c>
      <c r="AA292" s="149" t="s">
        <v>351</v>
      </c>
      <c r="AB292" s="149" t="s">
        <v>351</v>
      </c>
      <c r="AC292" s="149" t="s">
        <v>351</v>
      </c>
      <c r="AD292" s="149" t="s">
        <v>351</v>
      </c>
      <c r="AE292" s="149" t="s">
        <v>351</v>
      </c>
      <c r="AF292" s="149" t="s">
        <v>519</v>
      </c>
    </row>
    <row r="293" spans="1:32" x14ac:dyDescent="0.25">
      <c r="A293" s="149" t="s">
        <v>959</v>
      </c>
      <c r="B293" s="149" t="s">
        <v>576</v>
      </c>
      <c r="C293" s="149" t="s">
        <v>886</v>
      </c>
      <c r="D293" s="149" t="s">
        <v>351</v>
      </c>
      <c r="E293" s="149" t="s">
        <v>351</v>
      </c>
      <c r="F293" s="149" t="s">
        <v>351</v>
      </c>
      <c r="G293" s="149" t="s">
        <v>648</v>
      </c>
      <c r="H293" s="149">
        <v>49</v>
      </c>
      <c r="I293" s="149" t="s">
        <v>205</v>
      </c>
      <c r="J293" s="150">
        <v>300</v>
      </c>
      <c r="K293" s="149" t="s">
        <v>351</v>
      </c>
      <c r="L293" s="149" t="s">
        <v>649</v>
      </c>
      <c r="M293" s="149" t="s">
        <v>351</v>
      </c>
      <c r="N293" s="149" t="s">
        <v>351</v>
      </c>
      <c r="O293" s="149" t="s">
        <v>351</v>
      </c>
      <c r="P293" s="149" t="s">
        <v>351</v>
      </c>
      <c r="Q293" s="150">
        <v>1545</v>
      </c>
      <c r="R293" s="149" t="s">
        <v>351</v>
      </c>
      <c r="S293" s="149" t="s">
        <v>351</v>
      </c>
      <c r="T293" s="149" t="s">
        <v>351</v>
      </c>
      <c r="U293" s="149" t="s">
        <v>351</v>
      </c>
      <c r="V293" s="149" t="s">
        <v>351</v>
      </c>
      <c r="W293" s="149" t="s">
        <v>351</v>
      </c>
      <c r="X293" s="149" t="s">
        <v>351</v>
      </c>
      <c r="Y293" s="149" t="s">
        <v>351</v>
      </c>
      <c r="Z293" s="149" t="s">
        <v>351</v>
      </c>
      <c r="AA293" s="149" t="s">
        <v>351</v>
      </c>
      <c r="AB293" s="149" t="s">
        <v>351</v>
      </c>
      <c r="AC293" s="149" t="s">
        <v>351</v>
      </c>
      <c r="AD293" s="149" t="s">
        <v>351</v>
      </c>
      <c r="AE293" s="149" t="s">
        <v>351</v>
      </c>
      <c r="AF293" s="149" t="s">
        <v>518</v>
      </c>
    </row>
    <row r="294" spans="1:32" x14ac:dyDescent="0.25">
      <c r="A294" s="149" t="s">
        <v>960</v>
      </c>
      <c r="B294" s="149" t="s">
        <v>576</v>
      </c>
      <c r="C294" s="149" t="s">
        <v>671</v>
      </c>
      <c r="D294" s="149" t="s">
        <v>351</v>
      </c>
      <c r="E294" s="149" t="s">
        <v>351</v>
      </c>
      <c r="F294" s="149" t="s">
        <v>351</v>
      </c>
      <c r="G294" s="149" t="s">
        <v>125</v>
      </c>
      <c r="H294" s="149">
        <v>12</v>
      </c>
      <c r="I294" s="149" t="s">
        <v>203</v>
      </c>
      <c r="J294" s="150">
        <v>395</v>
      </c>
      <c r="K294" s="149" t="s">
        <v>351</v>
      </c>
      <c r="L294" s="149" t="s">
        <v>649</v>
      </c>
      <c r="M294" s="149" t="s">
        <v>351</v>
      </c>
      <c r="N294" s="149" t="s">
        <v>351</v>
      </c>
      <c r="O294" s="149" t="s">
        <v>351</v>
      </c>
      <c r="P294" s="149" t="s">
        <v>351</v>
      </c>
      <c r="Q294" s="150">
        <v>1185</v>
      </c>
      <c r="R294" s="149" t="s">
        <v>351</v>
      </c>
      <c r="S294" s="149" t="s">
        <v>351</v>
      </c>
      <c r="T294" s="149" t="s">
        <v>351</v>
      </c>
      <c r="U294" s="149" t="s">
        <v>351</v>
      </c>
      <c r="V294" s="149" t="s">
        <v>351</v>
      </c>
      <c r="W294" s="149" t="s">
        <v>351</v>
      </c>
      <c r="X294" s="149" t="s">
        <v>351</v>
      </c>
      <c r="Y294" s="149" t="s">
        <v>351</v>
      </c>
      <c r="Z294" s="149" t="s">
        <v>351</v>
      </c>
      <c r="AA294" s="149" t="s">
        <v>351</v>
      </c>
      <c r="AB294" s="149" t="s">
        <v>351</v>
      </c>
      <c r="AC294" s="149" t="s">
        <v>351</v>
      </c>
      <c r="AD294" s="149" t="s">
        <v>351</v>
      </c>
      <c r="AE294" s="149" t="s">
        <v>351</v>
      </c>
      <c r="AF294" s="149" t="s">
        <v>518</v>
      </c>
    </row>
    <row r="295" spans="1:32" x14ac:dyDescent="0.25">
      <c r="A295" s="149" t="s">
        <v>961</v>
      </c>
      <c r="B295" s="149" t="s">
        <v>576</v>
      </c>
      <c r="C295" s="149" t="s">
        <v>671</v>
      </c>
      <c r="D295" s="149" t="s">
        <v>351</v>
      </c>
      <c r="E295" s="149" t="s">
        <v>351</v>
      </c>
      <c r="F295" s="149" t="s">
        <v>351</v>
      </c>
      <c r="G295" s="149" t="s">
        <v>133</v>
      </c>
      <c r="H295" s="149">
        <v>4</v>
      </c>
      <c r="I295" s="149" t="s">
        <v>203</v>
      </c>
      <c r="J295" s="150">
        <v>375.25</v>
      </c>
      <c r="K295" s="149" t="s">
        <v>351</v>
      </c>
      <c r="L295" s="149" t="s">
        <v>649</v>
      </c>
      <c r="M295" s="149" t="s">
        <v>351</v>
      </c>
      <c r="N295" s="149" t="s">
        <v>351</v>
      </c>
      <c r="O295" s="149" t="s">
        <v>351</v>
      </c>
      <c r="P295" s="149" t="s">
        <v>351</v>
      </c>
      <c r="Q295" s="150">
        <v>1125.75</v>
      </c>
      <c r="R295" s="149" t="s">
        <v>351</v>
      </c>
      <c r="S295" s="149" t="s">
        <v>351</v>
      </c>
      <c r="T295" s="149" t="s">
        <v>351</v>
      </c>
      <c r="U295" s="149" t="s">
        <v>351</v>
      </c>
      <c r="V295" s="149" t="s">
        <v>351</v>
      </c>
      <c r="W295" s="149" t="s">
        <v>351</v>
      </c>
      <c r="X295" s="149" t="s">
        <v>351</v>
      </c>
      <c r="Y295" s="149" t="s">
        <v>351</v>
      </c>
      <c r="Z295" s="149" t="s">
        <v>351</v>
      </c>
      <c r="AA295" s="149" t="s">
        <v>351</v>
      </c>
      <c r="AB295" s="149" t="s">
        <v>351</v>
      </c>
      <c r="AC295" s="149" t="s">
        <v>351</v>
      </c>
      <c r="AD295" s="149" t="s">
        <v>351</v>
      </c>
      <c r="AE295" s="149" t="s">
        <v>351</v>
      </c>
      <c r="AF295" s="149" t="s">
        <v>519</v>
      </c>
    </row>
    <row r="296" spans="1:32" x14ac:dyDescent="0.25">
      <c r="A296" s="149" t="s">
        <v>962</v>
      </c>
      <c r="B296" s="149" t="s">
        <v>576</v>
      </c>
      <c r="C296" s="149" t="s">
        <v>886</v>
      </c>
      <c r="D296" s="149" t="s">
        <v>351</v>
      </c>
      <c r="E296" s="149" t="s">
        <v>351</v>
      </c>
      <c r="F296" s="149" t="s">
        <v>351</v>
      </c>
      <c r="G296" s="149" t="s">
        <v>586</v>
      </c>
      <c r="H296" s="149">
        <v>24</v>
      </c>
      <c r="I296" s="149" t="s">
        <v>201</v>
      </c>
      <c r="J296" s="150">
        <v>875</v>
      </c>
      <c r="K296" s="149" t="s">
        <v>351</v>
      </c>
      <c r="L296" s="149" t="s">
        <v>649</v>
      </c>
      <c r="M296" s="149" t="s">
        <v>351</v>
      </c>
      <c r="N296" s="149" t="s">
        <v>351</v>
      </c>
      <c r="O296" s="149" t="s">
        <v>351</v>
      </c>
      <c r="P296" s="149" t="s">
        <v>351</v>
      </c>
      <c r="Q296" s="150">
        <v>875</v>
      </c>
      <c r="R296" s="149" t="s">
        <v>351</v>
      </c>
      <c r="S296" s="149" t="s">
        <v>351</v>
      </c>
      <c r="T296" s="149" t="s">
        <v>351</v>
      </c>
      <c r="U296" s="149" t="s">
        <v>351</v>
      </c>
      <c r="V296" s="149" t="s">
        <v>351</v>
      </c>
      <c r="W296" s="149" t="s">
        <v>351</v>
      </c>
      <c r="X296" s="149" t="s">
        <v>351</v>
      </c>
      <c r="Y296" s="149" t="s">
        <v>351</v>
      </c>
      <c r="Z296" s="149" t="s">
        <v>351</v>
      </c>
      <c r="AA296" s="149" t="s">
        <v>351</v>
      </c>
      <c r="AB296" s="149" t="s">
        <v>351</v>
      </c>
      <c r="AC296" s="149" t="s">
        <v>351</v>
      </c>
      <c r="AD296" s="149" t="s">
        <v>351</v>
      </c>
      <c r="AE296" s="149" t="s">
        <v>351</v>
      </c>
      <c r="AF296" s="149" t="s">
        <v>518</v>
      </c>
    </row>
    <row r="297" spans="1:32" x14ac:dyDescent="0.25">
      <c r="A297" s="149" t="s">
        <v>963</v>
      </c>
      <c r="B297" s="149" t="s">
        <v>576</v>
      </c>
      <c r="C297" s="149" t="s">
        <v>671</v>
      </c>
      <c r="D297" s="149" t="s">
        <v>351</v>
      </c>
      <c r="E297" s="149" t="s">
        <v>351</v>
      </c>
      <c r="F297" s="149" t="s">
        <v>351</v>
      </c>
      <c r="G297" s="149" t="s">
        <v>125</v>
      </c>
      <c r="H297" s="149">
        <v>11</v>
      </c>
      <c r="I297" s="149" t="s">
        <v>202</v>
      </c>
      <c r="J297" s="150">
        <v>430</v>
      </c>
      <c r="K297" s="149" t="s">
        <v>351</v>
      </c>
      <c r="L297" s="149" t="s">
        <v>649</v>
      </c>
      <c r="M297" s="149" t="s">
        <v>351</v>
      </c>
      <c r="N297" s="149" t="s">
        <v>351</v>
      </c>
      <c r="O297" s="149" t="s">
        <v>351</v>
      </c>
      <c r="P297" s="149" t="s">
        <v>351</v>
      </c>
      <c r="Q297" s="150">
        <v>860</v>
      </c>
      <c r="R297" s="149" t="s">
        <v>351</v>
      </c>
      <c r="S297" s="149" t="s">
        <v>351</v>
      </c>
      <c r="T297" s="149" t="s">
        <v>351</v>
      </c>
      <c r="U297" s="149" t="s">
        <v>351</v>
      </c>
      <c r="V297" s="149" t="s">
        <v>351</v>
      </c>
      <c r="W297" s="149" t="s">
        <v>351</v>
      </c>
      <c r="X297" s="149" t="s">
        <v>351</v>
      </c>
      <c r="Y297" s="149" t="s">
        <v>351</v>
      </c>
      <c r="Z297" s="149" t="s">
        <v>351</v>
      </c>
      <c r="AA297" s="149" t="s">
        <v>351</v>
      </c>
      <c r="AB297" s="149" t="s">
        <v>351</v>
      </c>
      <c r="AC297" s="149" t="s">
        <v>351</v>
      </c>
      <c r="AD297" s="149" t="s">
        <v>351</v>
      </c>
      <c r="AE297" s="149" t="s">
        <v>351</v>
      </c>
      <c r="AF297" s="149" t="s">
        <v>518</v>
      </c>
    </row>
    <row r="298" spans="1:32" x14ac:dyDescent="0.25">
      <c r="A298" s="149" t="s">
        <v>964</v>
      </c>
      <c r="B298" s="149" t="s">
        <v>576</v>
      </c>
      <c r="C298" s="149" t="s">
        <v>886</v>
      </c>
      <c r="D298" s="149" t="s">
        <v>351</v>
      </c>
      <c r="E298" s="149" t="s">
        <v>351</v>
      </c>
      <c r="F298" s="149" t="s">
        <v>351</v>
      </c>
      <c r="G298" s="149" t="s">
        <v>133</v>
      </c>
      <c r="H298" s="149">
        <v>3</v>
      </c>
      <c r="I298" s="149" t="s">
        <v>202</v>
      </c>
      <c r="J298" s="150">
        <v>400</v>
      </c>
      <c r="K298" s="149" t="s">
        <v>351</v>
      </c>
      <c r="L298" s="149" t="s">
        <v>649</v>
      </c>
      <c r="M298" s="149" t="s">
        <v>351</v>
      </c>
      <c r="N298" s="149" t="s">
        <v>351</v>
      </c>
      <c r="O298" s="149" t="s">
        <v>351</v>
      </c>
      <c r="P298" s="149" t="s">
        <v>351</v>
      </c>
      <c r="Q298" s="150">
        <v>800</v>
      </c>
      <c r="R298" s="149" t="s">
        <v>351</v>
      </c>
      <c r="S298" s="149" t="s">
        <v>351</v>
      </c>
      <c r="T298" s="149" t="s">
        <v>351</v>
      </c>
      <c r="U298" s="149" t="s">
        <v>351</v>
      </c>
      <c r="V298" s="149" t="s">
        <v>351</v>
      </c>
      <c r="W298" s="149" t="s">
        <v>351</v>
      </c>
      <c r="X298" s="149" t="s">
        <v>351</v>
      </c>
      <c r="Y298" s="149" t="s">
        <v>351</v>
      </c>
      <c r="Z298" s="149" t="s">
        <v>351</v>
      </c>
      <c r="AA298" s="149" t="s">
        <v>351</v>
      </c>
      <c r="AB298" s="149" t="s">
        <v>351</v>
      </c>
      <c r="AC298" s="149" t="s">
        <v>351</v>
      </c>
      <c r="AD298" s="149" t="s">
        <v>351</v>
      </c>
      <c r="AE298" s="149" t="s">
        <v>351</v>
      </c>
      <c r="AF298" s="149" t="s">
        <v>519</v>
      </c>
    </row>
    <row r="299" spans="1:32" x14ac:dyDescent="0.25">
      <c r="A299" s="149" t="s">
        <v>965</v>
      </c>
      <c r="B299" s="149" t="s">
        <v>576</v>
      </c>
      <c r="C299" s="149" t="s">
        <v>671</v>
      </c>
      <c r="D299" s="149" t="s">
        <v>351</v>
      </c>
      <c r="E299" s="149" t="s">
        <v>351</v>
      </c>
      <c r="F299" s="149" t="s">
        <v>351</v>
      </c>
      <c r="G299" s="149" t="s">
        <v>131</v>
      </c>
      <c r="H299" s="149">
        <v>5</v>
      </c>
      <c r="I299" s="149" t="s">
        <v>202</v>
      </c>
      <c r="J299" s="150">
        <v>395</v>
      </c>
      <c r="K299" s="149" t="s">
        <v>351</v>
      </c>
      <c r="L299" s="149" t="s">
        <v>649</v>
      </c>
      <c r="M299" s="149" t="s">
        <v>351</v>
      </c>
      <c r="N299" s="149" t="s">
        <v>351</v>
      </c>
      <c r="O299" s="149" t="s">
        <v>351</v>
      </c>
      <c r="P299" s="149" t="s">
        <v>351</v>
      </c>
      <c r="Q299" s="150">
        <v>790</v>
      </c>
      <c r="R299" s="149" t="s">
        <v>351</v>
      </c>
      <c r="S299" s="149" t="s">
        <v>351</v>
      </c>
      <c r="T299" s="149" t="s">
        <v>351</v>
      </c>
      <c r="U299" s="149" t="s">
        <v>351</v>
      </c>
      <c r="V299" s="149" t="s">
        <v>351</v>
      </c>
      <c r="W299" s="149" t="s">
        <v>351</v>
      </c>
      <c r="X299" s="149" t="s">
        <v>351</v>
      </c>
      <c r="Y299" s="149" t="s">
        <v>351</v>
      </c>
      <c r="Z299" s="149" t="s">
        <v>351</v>
      </c>
      <c r="AA299" s="149" t="s">
        <v>351</v>
      </c>
      <c r="AB299" s="149" t="s">
        <v>351</v>
      </c>
      <c r="AC299" s="149" t="s">
        <v>351</v>
      </c>
      <c r="AD299" s="149" t="s">
        <v>351</v>
      </c>
      <c r="AE299" s="149" t="s">
        <v>351</v>
      </c>
      <c r="AF299" s="149" t="s">
        <v>518</v>
      </c>
    </row>
    <row r="300" spans="1:32" x14ac:dyDescent="0.25">
      <c r="A300" s="149" t="s">
        <v>966</v>
      </c>
      <c r="B300" s="149" t="s">
        <v>576</v>
      </c>
      <c r="C300" s="149" t="s">
        <v>886</v>
      </c>
      <c r="D300" s="149" t="s">
        <v>351</v>
      </c>
      <c r="E300" s="149" t="s">
        <v>351</v>
      </c>
      <c r="F300" s="149" t="s">
        <v>351</v>
      </c>
      <c r="G300" s="149" t="s">
        <v>132</v>
      </c>
      <c r="H300" s="149">
        <v>3</v>
      </c>
      <c r="I300" s="149" t="s">
        <v>201</v>
      </c>
      <c r="J300" s="150">
        <v>380</v>
      </c>
      <c r="K300" s="149" t="s">
        <v>351</v>
      </c>
      <c r="L300" s="149" t="s">
        <v>649</v>
      </c>
      <c r="M300" s="149" t="s">
        <v>351</v>
      </c>
      <c r="N300" s="149" t="s">
        <v>351</v>
      </c>
      <c r="O300" s="149" t="s">
        <v>351</v>
      </c>
      <c r="P300" s="149" t="s">
        <v>351</v>
      </c>
      <c r="Q300" s="150">
        <v>760</v>
      </c>
      <c r="R300" s="149" t="s">
        <v>351</v>
      </c>
      <c r="S300" s="149" t="s">
        <v>351</v>
      </c>
      <c r="T300" s="149" t="s">
        <v>351</v>
      </c>
      <c r="U300" s="149" t="s">
        <v>351</v>
      </c>
      <c r="V300" s="149" t="s">
        <v>351</v>
      </c>
      <c r="W300" s="149" t="s">
        <v>351</v>
      </c>
      <c r="X300" s="149" t="s">
        <v>351</v>
      </c>
      <c r="Y300" s="149" t="s">
        <v>351</v>
      </c>
      <c r="Z300" s="149" t="s">
        <v>351</v>
      </c>
      <c r="AA300" s="149" t="s">
        <v>351</v>
      </c>
      <c r="AB300" s="149" t="s">
        <v>351</v>
      </c>
      <c r="AC300" s="149" t="s">
        <v>351</v>
      </c>
      <c r="AD300" s="149" t="s">
        <v>351</v>
      </c>
      <c r="AE300" s="149" t="s">
        <v>351</v>
      </c>
      <c r="AF300" s="149" t="s">
        <v>519</v>
      </c>
    </row>
    <row r="301" spans="1:32" x14ac:dyDescent="0.25">
      <c r="A301" s="149" t="s">
        <v>967</v>
      </c>
      <c r="B301" s="149" t="s">
        <v>576</v>
      </c>
      <c r="C301" s="149" t="s">
        <v>671</v>
      </c>
      <c r="D301" s="149" t="s">
        <v>351</v>
      </c>
      <c r="E301" s="149" t="s">
        <v>351</v>
      </c>
      <c r="F301" s="149" t="s">
        <v>351</v>
      </c>
      <c r="G301" s="149" t="s">
        <v>122</v>
      </c>
      <c r="H301" s="149">
        <v>17</v>
      </c>
      <c r="I301" s="149" t="s">
        <v>205</v>
      </c>
      <c r="J301" s="150">
        <v>135</v>
      </c>
      <c r="K301" s="149" t="s">
        <v>351</v>
      </c>
      <c r="L301" s="149" t="s">
        <v>649</v>
      </c>
      <c r="M301" s="149" t="s">
        <v>351</v>
      </c>
      <c r="N301" s="149" t="s">
        <v>351</v>
      </c>
      <c r="O301" s="149" t="s">
        <v>351</v>
      </c>
      <c r="P301" s="149" t="s">
        <v>351</v>
      </c>
      <c r="Q301" s="150">
        <v>660</v>
      </c>
      <c r="R301" s="149" t="s">
        <v>351</v>
      </c>
      <c r="S301" s="149" t="s">
        <v>351</v>
      </c>
      <c r="T301" s="149" t="s">
        <v>351</v>
      </c>
      <c r="U301" s="149" t="s">
        <v>351</v>
      </c>
      <c r="V301" s="149" t="s">
        <v>351</v>
      </c>
      <c r="W301" s="149" t="s">
        <v>351</v>
      </c>
      <c r="X301" s="149" t="s">
        <v>351</v>
      </c>
      <c r="Y301" s="149" t="s">
        <v>351</v>
      </c>
      <c r="Z301" s="149" t="s">
        <v>351</v>
      </c>
      <c r="AA301" s="149" t="s">
        <v>351</v>
      </c>
      <c r="AB301" s="149" t="s">
        <v>351</v>
      </c>
      <c r="AC301" s="149" t="s">
        <v>351</v>
      </c>
      <c r="AD301" s="149" t="s">
        <v>351</v>
      </c>
      <c r="AE301" s="149" t="s">
        <v>351</v>
      </c>
      <c r="AF301" s="149" t="s">
        <v>519</v>
      </c>
    </row>
    <row r="302" spans="1:32" x14ac:dyDescent="0.25">
      <c r="A302" s="149" t="s">
        <v>968</v>
      </c>
      <c r="B302" s="149" t="s">
        <v>576</v>
      </c>
      <c r="C302" s="149" t="s">
        <v>671</v>
      </c>
      <c r="D302" s="149" t="s">
        <v>351</v>
      </c>
      <c r="E302" s="149" t="s">
        <v>351</v>
      </c>
      <c r="F302" s="149" t="s">
        <v>351</v>
      </c>
      <c r="G302" s="149" t="s">
        <v>132</v>
      </c>
      <c r="H302" s="149">
        <v>3</v>
      </c>
      <c r="I302" s="149" t="s">
        <v>201</v>
      </c>
      <c r="J302" s="150">
        <v>280.625</v>
      </c>
      <c r="K302" s="149" t="s">
        <v>351</v>
      </c>
      <c r="L302" s="149" t="s">
        <v>649</v>
      </c>
      <c r="M302" s="149" t="s">
        <v>351</v>
      </c>
      <c r="N302" s="149" t="s">
        <v>351</v>
      </c>
      <c r="O302" s="149" t="s">
        <v>351</v>
      </c>
      <c r="P302" s="149" t="s">
        <v>351</v>
      </c>
      <c r="Q302" s="150">
        <v>561.25</v>
      </c>
      <c r="R302" s="149" t="s">
        <v>351</v>
      </c>
      <c r="S302" s="149" t="s">
        <v>351</v>
      </c>
      <c r="T302" s="149" t="s">
        <v>351</v>
      </c>
      <c r="U302" s="149" t="s">
        <v>351</v>
      </c>
      <c r="V302" s="149" t="s">
        <v>351</v>
      </c>
      <c r="W302" s="149" t="s">
        <v>351</v>
      </c>
      <c r="X302" s="149" t="s">
        <v>351</v>
      </c>
      <c r="Y302" s="149" t="s">
        <v>351</v>
      </c>
      <c r="Z302" s="149" t="s">
        <v>351</v>
      </c>
      <c r="AA302" s="149" t="s">
        <v>351</v>
      </c>
      <c r="AB302" s="149" t="s">
        <v>351</v>
      </c>
      <c r="AC302" s="149" t="s">
        <v>351</v>
      </c>
      <c r="AD302" s="149" t="s">
        <v>351</v>
      </c>
      <c r="AE302" s="149" t="s">
        <v>351</v>
      </c>
      <c r="AF302" s="149" t="s">
        <v>519</v>
      </c>
    </row>
    <row r="303" spans="1:32" x14ac:dyDescent="0.25">
      <c r="A303" s="149" t="s">
        <v>969</v>
      </c>
      <c r="B303" s="149" t="s">
        <v>576</v>
      </c>
      <c r="C303" s="149" t="s">
        <v>671</v>
      </c>
      <c r="D303" s="149" t="s">
        <v>351</v>
      </c>
      <c r="E303" s="149" t="s">
        <v>351</v>
      </c>
      <c r="F303" s="149" t="s">
        <v>351</v>
      </c>
      <c r="G303" s="149" t="s">
        <v>123</v>
      </c>
      <c r="H303" s="149">
        <v>12</v>
      </c>
      <c r="I303" s="149" t="s">
        <v>201</v>
      </c>
      <c r="J303" s="150">
        <v>510</v>
      </c>
      <c r="K303" s="149" t="s">
        <v>351</v>
      </c>
      <c r="L303" s="149" t="s">
        <v>649</v>
      </c>
      <c r="M303" s="149" t="s">
        <v>351</v>
      </c>
      <c r="N303" s="149" t="s">
        <v>351</v>
      </c>
      <c r="O303" s="149" t="s">
        <v>351</v>
      </c>
      <c r="P303" s="149" t="s">
        <v>351</v>
      </c>
      <c r="Q303" s="150">
        <v>510</v>
      </c>
      <c r="R303" s="149" t="s">
        <v>351</v>
      </c>
      <c r="S303" s="149" t="s">
        <v>351</v>
      </c>
      <c r="T303" s="149" t="s">
        <v>351</v>
      </c>
      <c r="U303" s="149" t="s">
        <v>351</v>
      </c>
      <c r="V303" s="149" t="s">
        <v>351</v>
      </c>
      <c r="W303" s="149" t="s">
        <v>351</v>
      </c>
      <c r="X303" s="149" t="s">
        <v>351</v>
      </c>
      <c r="Y303" s="149" t="s">
        <v>351</v>
      </c>
      <c r="Z303" s="149" t="s">
        <v>351</v>
      </c>
      <c r="AA303" s="149" t="s">
        <v>351</v>
      </c>
      <c r="AB303" s="149" t="s">
        <v>351</v>
      </c>
      <c r="AC303" s="149" t="s">
        <v>351</v>
      </c>
      <c r="AD303" s="149" t="s">
        <v>351</v>
      </c>
      <c r="AE303" s="149" t="s">
        <v>351</v>
      </c>
      <c r="AF303" s="149" t="s">
        <v>519</v>
      </c>
    </row>
    <row r="304" spans="1:32" x14ac:dyDescent="0.25">
      <c r="A304" s="149" t="s">
        <v>970</v>
      </c>
      <c r="B304" s="149" t="s">
        <v>576</v>
      </c>
      <c r="C304" s="149" t="s">
        <v>671</v>
      </c>
      <c r="D304" s="149" t="s">
        <v>351</v>
      </c>
      <c r="E304" s="149" t="s">
        <v>351</v>
      </c>
      <c r="F304" s="149" t="s">
        <v>351</v>
      </c>
      <c r="G304" s="149" t="s">
        <v>124</v>
      </c>
      <c r="H304" s="149">
        <v>11</v>
      </c>
      <c r="I304" s="149" t="s">
        <v>201</v>
      </c>
      <c r="J304" s="150">
        <v>375</v>
      </c>
      <c r="K304" s="149" t="s">
        <v>351</v>
      </c>
      <c r="L304" s="149" t="s">
        <v>649</v>
      </c>
      <c r="M304" s="149" t="s">
        <v>351</v>
      </c>
      <c r="N304" s="149" t="s">
        <v>351</v>
      </c>
      <c r="O304" s="149" t="s">
        <v>351</v>
      </c>
      <c r="P304" s="149" t="s">
        <v>351</v>
      </c>
      <c r="Q304" s="150">
        <v>375</v>
      </c>
      <c r="R304" s="149" t="s">
        <v>351</v>
      </c>
      <c r="S304" s="149" t="s">
        <v>351</v>
      </c>
      <c r="T304" s="149" t="s">
        <v>351</v>
      </c>
      <c r="U304" s="149" t="s">
        <v>351</v>
      </c>
      <c r="V304" s="149" t="s">
        <v>351</v>
      </c>
      <c r="W304" s="149" t="s">
        <v>351</v>
      </c>
      <c r="X304" s="149" t="s">
        <v>351</v>
      </c>
      <c r="Y304" s="149" t="s">
        <v>351</v>
      </c>
      <c r="Z304" s="149" t="s">
        <v>351</v>
      </c>
      <c r="AA304" s="149" t="s">
        <v>351</v>
      </c>
      <c r="AB304" s="149" t="s">
        <v>351</v>
      </c>
      <c r="AC304" s="149" t="s">
        <v>351</v>
      </c>
      <c r="AD304" s="149" t="s">
        <v>351</v>
      </c>
      <c r="AE304" s="149" t="s">
        <v>351</v>
      </c>
      <c r="AF304" s="149" t="s">
        <v>519</v>
      </c>
    </row>
    <row r="305" spans="1:32" x14ac:dyDescent="0.25">
      <c r="A305" s="149" t="s">
        <v>971</v>
      </c>
      <c r="B305" s="149" t="s">
        <v>576</v>
      </c>
      <c r="C305" s="149" t="s">
        <v>671</v>
      </c>
      <c r="D305" s="149" t="s">
        <v>351</v>
      </c>
      <c r="E305" s="149" t="s">
        <v>351</v>
      </c>
      <c r="F305" s="149" t="s">
        <v>351</v>
      </c>
      <c r="G305" s="149" t="s">
        <v>133</v>
      </c>
      <c r="H305" s="149">
        <v>2</v>
      </c>
      <c r="I305" s="149" t="s">
        <v>201</v>
      </c>
      <c r="J305" s="150">
        <v>360</v>
      </c>
      <c r="K305" s="149" t="s">
        <v>351</v>
      </c>
      <c r="L305" s="149" t="s">
        <v>649</v>
      </c>
      <c r="M305" s="149" t="s">
        <v>351</v>
      </c>
      <c r="N305" s="149" t="s">
        <v>351</v>
      </c>
      <c r="O305" s="149" t="s">
        <v>351</v>
      </c>
      <c r="P305" s="149" t="s">
        <v>351</v>
      </c>
      <c r="Q305" s="150">
        <v>360</v>
      </c>
      <c r="R305" s="149" t="s">
        <v>351</v>
      </c>
      <c r="S305" s="149" t="s">
        <v>351</v>
      </c>
      <c r="T305" s="149" t="s">
        <v>351</v>
      </c>
      <c r="U305" s="149" t="s">
        <v>351</v>
      </c>
      <c r="V305" s="149" t="s">
        <v>351</v>
      </c>
      <c r="W305" s="149" t="s">
        <v>351</v>
      </c>
      <c r="X305" s="149" t="s">
        <v>351</v>
      </c>
      <c r="Y305" s="149" t="s">
        <v>351</v>
      </c>
      <c r="Z305" s="149" t="s">
        <v>351</v>
      </c>
      <c r="AA305" s="149" t="s">
        <v>351</v>
      </c>
      <c r="AB305" s="149" t="s">
        <v>351</v>
      </c>
      <c r="AC305" s="149" t="s">
        <v>351</v>
      </c>
      <c r="AD305" s="149" t="s">
        <v>351</v>
      </c>
      <c r="AE305" s="149" t="s">
        <v>351</v>
      </c>
      <c r="AF305" s="149" t="s">
        <v>519</v>
      </c>
    </row>
    <row r="306" spans="1:32" x14ac:dyDescent="0.25">
      <c r="A306" s="149" t="s">
        <v>972</v>
      </c>
      <c r="B306" s="149" t="s">
        <v>576</v>
      </c>
      <c r="C306" s="149" t="s">
        <v>886</v>
      </c>
      <c r="D306" s="149" t="s">
        <v>351</v>
      </c>
      <c r="E306" s="149" t="s">
        <v>351</v>
      </c>
      <c r="F306" s="149" t="s">
        <v>351</v>
      </c>
      <c r="G306" s="149" t="s">
        <v>132</v>
      </c>
      <c r="H306" s="149">
        <v>3</v>
      </c>
      <c r="I306" s="149" t="s">
        <v>201</v>
      </c>
      <c r="J306" s="150">
        <v>350</v>
      </c>
      <c r="K306" s="149" t="s">
        <v>351</v>
      </c>
      <c r="L306" s="149" t="s">
        <v>649</v>
      </c>
      <c r="M306" s="149" t="s">
        <v>351</v>
      </c>
      <c r="N306" s="149" t="s">
        <v>351</v>
      </c>
      <c r="O306" s="149" t="s">
        <v>351</v>
      </c>
      <c r="P306" s="149" t="s">
        <v>351</v>
      </c>
      <c r="Q306" s="150">
        <v>350</v>
      </c>
      <c r="R306" s="149" t="s">
        <v>351</v>
      </c>
      <c r="S306" s="149" t="s">
        <v>351</v>
      </c>
      <c r="T306" s="149" t="s">
        <v>351</v>
      </c>
      <c r="U306" s="149" t="s">
        <v>351</v>
      </c>
      <c r="V306" s="149" t="s">
        <v>351</v>
      </c>
      <c r="W306" s="149" t="s">
        <v>351</v>
      </c>
      <c r="X306" s="149" t="s">
        <v>351</v>
      </c>
      <c r="Y306" s="149" t="s">
        <v>351</v>
      </c>
      <c r="Z306" s="149" t="s">
        <v>351</v>
      </c>
      <c r="AA306" s="149" t="s">
        <v>351</v>
      </c>
      <c r="AB306" s="149" t="s">
        <v>351</v>
      </c>
      <c r="AC306" s="149" t="s">
        <v>351</v>
      </c>
      <c r="AD306" s="149" t="s">
        <v>351</v>
      </c>
      <c r="AE306" s="149" t="s">
        <v>351</v>
      </c>
      <c r="AF306" s="149" t="s">
        <v>519</v>
      </c>
    </row>
    <row r="307" spans="1:32" x14ac:dyDescent="0.25">
      <c r="A307" s="149" t="s">
        <v>973</v>
      </c>
      <c r="B307" s="149" t="s">
        <v>576</v>
      </c>
      <c r="C307" s="149" t="s">
        <v>671</v>
      </c>
      <c r="D307" s="149" t="s">
        <v>351</v>
      </c>
      <c r="E307" s="149" t="s">
        <v>351</v>
      </c>
      <c r="F307" s="149" t="s">
        <v>351</v>
      </c>
      <c r="G307" s="149" t="s">
        <v>125</v>
      </c>
      <c r="H307" s="149">
        <v>8</v>
      </c>
      <c r="I307" s="149" t="s">
        <v>133</v>
      </c>
      <c r="J307" s="150">
        <v>76.5</v>
      </c>
      <c r="K307" s="149" t="s">
        <v>351</v>
      </c>
      <c r="L307" s="149" t="s">
        <v>649</v>
      </c>
      <c r="M307" s="149" t="s">
        <v>351</v>
      </c>
      <c r="N307" s="149" t="s">
        <v>351</v>
      </c>
      <c r="O307" s="149" t="s">
        <v>351</v>
      </c>
      <c r="P307" s="149" t="s">
        <v>351</v>
      </c>
      <c r="Q307" s="150">
        <v>229.5</v>
      </c>
      <c r="R307" s="149" t="s">
        <v>351</v>
      </c>
      <c r="S307" s="149" t="s">
        <v>351</v>
      </c>
      <c r="T307" s="149" t="s">
        <v>351</v>
      </c>
      <c r="U307" s="149" t="s">
        <v>351</v>
      </c>
      <c r="V307" s="149" t="s">
        <v>351</v>
      </c>
      <c r="W307" s="149" t="s">
        <v>351</v>
      </c>
      <c r="X307" s="149" t="s">
        <v>351</v>
      </c>
      <c r="Y307" s="149" t="s">
        <v>351</v>
      </c>
      <c r="Z307" s="149" t="s">
        <v>351</v>
      </c>
      <c r="AA307" s="149" t="s">
        <v>351</v>
      </c>
      <c r="AB307" s="149" t="s">
        <v>351</v>
      </c>
      <c r="AC307" s="149" t="s">
        <v>351</v>
      </c>
      <c r="AD307" s="149" t="s">
        <v>351</v>
      </c>
      <c r="AE307" s="149" t="s">
        <v>351</v>
      </c>
      <c r="AF307" s="149" t="s">
        <v>518</v>
      </c>
    </row>
    <row r="308" spans="1:32" x14ac:dyDescent="0.25">
      <c r="A308" s="149" t="s">
        <v>974</v>
      </c>
      <c r="B308" s="149" t="s">
        <v>576</v>
      </c>
      <c r="C308" s="149" t="s">
        <v>671</v>
      </c>
      <c r="D308" s="149" t="s">
        <v>351</v>
      </c>
      <c r="E308" s="149" t="s">
        <v>351</v>
      </c>
      <c r="F308" s="149" t="s">
        <v>351</v>
      </c>
      <c r="G308" s="149" t="s">
        <v>602</v>
      </c>
      <c r="H308" s="149">
        <v>13</v>
      </c>
      <c r="I308" s="149" t="s">
        <v>200</v>
      </c>
      <c r="J308" s="150">
        <v>210</v>
      </c>
      <c r="K308" s="149" t="s">
        <v>351</v>
      </c>
      <c r="L308" s="149" t="s">
        <v>649</v>
      </c>
      <c r="M308" s="149" t="s">
        <v>351</v>
      </c>
      <c r="N308" s="149" t="s">
        <v>351</v>
      </c>
      <c r="O308" s="149" t="s">
        <v>351</v>
      </c>
      <c r="P308" s="149" t="s">
        <v>351</v>
      </c>
      <c r="Q308" s="150">
        <v>210</v>
      </c>
      <c r="R308" s="149" t="s">
        <v>351</v>
      </c>
      <c r="S308" s="149" t="s">
        <v>351</v>
      </c>
      <c r="T308" s="149" t="s">
        <v>351</v>
      </c>
      <c r="U308" s="149" t="s">
        <v>351</v>
      </c>
      <c r="V308" s="149" t="s">
        <v>351</v>
      </c>
      <c r="W308" s="149" t="s">
        <v>351</v>
      </c>
      <c r="X308" s="149" t="s">
        <v>351</v>
      </c>
      <c r="Y308" s="149" t="s">
        <v>351</v>
      </c>
      <c r="Z308" s="149" t="s">
        <v>351</v>
      </c>
      <c r="AA308" s="149" t="s">
        <v>351</v>
      </c>
      <c r="AB308" s="149" t="s">
        <v>351</v>
      </c>
      <c r="AC308" s="149" t="s">
        <v>351</v>
      </c>
      <c r="AD308" s="149" t="s">
        <v>351</v>
      </c>
      <c r="AE308" s="149" t="s">
        <v>351</v>
      </c>
      <c r="AF308" s="149" t="s">
        <v>518</v>
      </c>
    </row>
    <row r="309" spans="1:32" x14ac:dyDescent="0.25">
      <c r="A309" s="149" t="s">
        <v>975</v>
      </c>
      <c r="B309" s="149" t="s">
        <v>576</v>
      </c>
      <c r="C309" s="149" t="s">
        <v>671</v>
      </c>
      <c r="D309" s="149" t="s">
        <v>351</v>
      </c>
      <c r="E309" s="149" t="s">
        <v>351</v>
      </c>
      <c r="F309" s="149" t="s">
        <v>351</v>
      </c>
      <c r="G309" s="149" t="s">
        <v>201</v>
      </c>
      <c r="H309" s="149">
        <v>1</v>
      </c>
      <c r="I309" s="149" t="s">
        <v>202</v>
      </c>
      <c r="J309" s="150">
        <v>85</v>
      </c>
      <c r="K309" s="149" t="s">
        <v>351</v>
      </c>
      <c r="L309" s="149" t="s">
        <v>649</v>
      </c>
      <c r="M309" s="149" t="s">
        <v>351</v>
      </c>
      <c r="N309" s="149" t="s">
        <v>351</v>
      </c>
      <c r="O309" s="149" t="s">
        <v>351</v>
      </c>
      <c r="P309" s="149" t="s">
        <v>351</v>
      </c>
      <c r="Q309" s="150">
        <v>85</v>
      </c>
      <c r="R309" s="149" t="s">
        <v>351</v>
      </c>
      <c r="S309" s="149" t="s">
        <v>351</v>
      </c>
      <c r="T309" s="149" t="s">
        <v>351</v>
      </c>
      <c r="U309" s="149" t="s">
        <v>351</v>
      </c>
      <c r="V309" s="149" t="s">
        <v>351</v>
      </c>
      <c r="W309" s="149" t="s">
        <v>351</v>
      </c>
      <c r="X309" s="149" t="s">
        <v>351</v>
      </c>
      <c r="Y309" s="149" t="s">
        <v>351</v>
      </c>
      <c r="Z309" s="149" t="s">
        <v>351</v>
      </c>
      <c r="AA309" s="149" t="s">
        <v>351</v>
      </c>
      <c r="AB309" s="149" t="s">
        <v>351</v>
      </c>
      <c r="AC309" s="149" t="s">
        <v>351</v>
      </c>
      <c r="AD309" s="149" t="s">
        <v>351</v>
      </c>
      <c r="AE309" s="149" t="s">
        <v>351</v>
      </c>
      <c r="AF309" s="149" t="s">
        <v>519</v>
      </c>
    </row>
    <row r="310" spans="1:32" x14ac:dyDescent="0.25">
      <c r="A310" s="149" t="s">
        <v>976</v>
      </c>
      <c r="B310" s="149" t="s">
        <v>576</v>
      </c>
      <c r="C310" s="149" t="s">
        <v>886</v>
      </c>
      <c r="D310" s="149" t="s">
        <v>351</v>
      </c>
      <c r="E310" s="149" t="s">
        <v>351</v>
      </c>
      <c r="F310" s="149" t="s">
        <v>351</v>
      </c>
      <c r="G310" s="149" t="s">
        <v>822</v>
      </c>
      <c r="H310" s="149">
        <v>39</v>
      </c>
      <c r="I310" s="149" t="s">
        <v>200</v>
      </c>
      <c r="J310" s="150">
        <v>15</v>
      </c>
      <c r="K310" s="149" t="s">
        <v>351</v>
      </c>
      <c r="L310" s="149" t="s">
        <v>649</v>
      </c>
      <c r="M310" s="149" t="s">
        <v>351</v>
      </c>
      <c r="N310" s="149" t="s">
        <v>351</v>
      </c>
      <c r="O310" s="149" t="s">
        <v>351</v>
      </c>
      <c r="P310" s="149" t="s">
        <v>351</v>
      </c>
      <c r="Q310" s="150">
        <v>15</v>
      </c>
      <c r="R310" s="149" t="s">
        <v>351</v>
      </c>
      <c r="S310" s="149" t="s">
        <v>351</v>
      </c>
      <c r="T310" s="149" t="s">
        <v>351</v>
      </c>
      <c r="U310" s="149" t="s">
        <v>351</v>
      </c>
      <c r="V310" s="149" t="s">
        <v>351</v>
      </c>
      <c r="W310" s="149" t="s">
        <v>351</v>
      </c>
      <c r="X310" s="149" t="s">
        <v>351</v>
      </c>
      <c r="Y310" s="149" t="s">
        <v>351</v>
      </c>
      <c r="Z310" s="149" t="s">
        <v>351</v>
      </c>
      <c r="AA310" s="149" t="s">
        <v>351</v>
      </c>
      <c r="AB310" s="149" t="s">
        <v>351</v>
      </c>
      <c r="AC310" s="149" t="s">
        <v>351</v>
      </c>
      <c r="AD310" s="149" t="s">
        <v>351</v>
      </c>
      <c r="AE310" s="149" t="s">
        <v>351</v>
      </c>
      <c r="AF310" s="149" t="s">
        <v>518</v>
      </c>
    </row>
    <row r="312" spans="1:32" x14ac:dyDescent="0.25">
      <c r="A312" s="149" t="s">
        <v>463</v>
      </c>
      <c r="B312" s="149" t="s">
        <v>977</v>
      </c>
      <c r="C312" s="149" t="s">
        <v>351</v>
      </c>
      <c r="D312" s="149" t="s">
        <v>351</v>
      </c>
      <c r="E312" s="149" t="s">
        <v>351</v>
      </c>
      <c r="F312" s="149" t="s">
        <v>351</v>
      </c>
      <c r="G312" s="149" t="s">
        <v>351</v>
      </c>
      <c r="H312" s="149" t="s">
        <v>351</v>
      </c>
      <c r="I312" s="149" t="s">
        <v>351</v>
      </c>
      <c r="J312" s="150">
        <v>325078.2983333334</v>
      </c>
      <c r="K312" s="149">
        <v>4211</v>
      </c>
      <c r="L312" s="149" t="s">
        <v>351</v>
      </c>
      <c r="M312" s="149" t="s">
        <v>351</v>
      </c>
      <c r="N312" s="149" t="s">
        <v>351</v>
      </c>
      <c r="O312" s="150">
        <v>2561315.7599999998</v>
      </c>
      <c r="P312" s="150">
        <v>251179.65</v>
      </c>
      <c r="Q312" s="150">
        <v>1874906.59</v>
      </c>
      <c r="R312" s="150">
        <v>1667598.3199999998</v>
      </c>
      <c r="S312" s="149" t="s">
        <v>351</v>
      </c>
      <c r="T312" s="149" t="s">
        <v>351</v>
      </c>
      <c r="U312" s="149" t="s">
        <v>351</v>
      </c>
      <c r="V312" s="149" t="s">
        <v>351</v>
      </c>
      <c r="W312" s="149" t="s">
        <v>351</v>
      </c>
      <c r="X312" s="149" t="s">
        <v>351</v>
      </c>
      <c r="Y312" s="149" t="s">
        <v>351</v>
      </c>
      <c r="Z312" s="149" t="s">
        <v>351</v>
      </c>
      <c r="AA312" s="149" t="s">
        <v>351</v>
      </c>
      <c r="AB312" s="149" t="s">
        <v>351</v>
      </c>
      <c r="AC312" s="149" t="s">
        <v>351</v>
      </c>
      <c r="AD312" s="149" t="s">
        <v>351</v>
      </c>
      <c r="AE312" s="149" t="s">
        <v>351</v>
      </c>
      <c r="AF312" s="149" t="s">
        <v>351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sheetPr>
    <tabColor theme="7" tint="0.79998168889431442"/>
  </sheetPr>
  <dimension ref="A1:H61"/>
  <sheetViews>
    <sheetView workbookViewId="0">
      <selection activeCell="C12" sqref="C12"/>
    </sheetView>
  </sheetViews>
  <sheetFormatPr defaultRowHeight="15" x14ac:dyDescent="0.25"/>
  <cols>
    <col min="1" max="1" width="28.85546875" style="133" customWidth="1"/>
    <col min="2" max="2" width="16.85546875" style="133" customWidth="1"/>
    <col min="3" max="3" width="60.85546875" style="133" customWidth="1"/>
    <col min="4" max="5" width="16.85546875" style="133" customWidth="1"/>
    <col min="6" max="7" width="14.85546875" style="133" customWidth="1"/>
    <col min="8" max="8" width="10.85546875" style="133" customWidth="1"/>
    <col min="9" max="16384" width="9.140625" style="133"/>
  </cols>
  <sheetData>
    <row r="1" spans="1:8" ht="18.75" x14ac:dyDescent="0.3">
      <c r="A1" s="132" t="s">
        <v>337</v>
      </c>
    </row>
    <row r="2" spans="1:8" x14ac:dyDescent="0.25">
      <c r="A2" s="134" t="s">
        <v>338</v>
      </c>
    </row>
    <row r="3" spans="1:8" x14ac:dyDescent="0.25">
      <c r="A3" s="134" t="s">
        <v>339</v>
      </c>
    </row>
    <row r="5" spans="1:8" ht="30" customHeight="1" x14ac:dyDescent="0.25">
      <c r="A5" s="135" t="s">
        <v>340</v>
      </c>
      <c r="B5" s="135" t="s">
        <v>341</v>
      </c>
      <c r="C5" s="135" t="s">
        <v>342</v>
      </c>
      <c r="D5" s="135" t="s">
        <v>343</v>
      </c>
      <c r="E5" s="135" t="s">
        <v>344</v>
      </c>
      <c r="F5" s="135" t="s">
        <v>345</v>
      </c>
      <c r="G5" s="135" t="s">
        <v>346</v>
      </c>
      <c r="H5" s="135" t="s">
        <v>347</v>
      </c>
    </row>
    <row r="6" spans="1:8" ht="45" x14ac:dyDescent="0.25">
      <c r="A6" s="136" t="s">
        <v>348</v>
      </c>
      <c r="B6" s="137" t="s">
        <v>349</v>
      </c>
      <c r="C6" s="137" t="s">
        <v>350</v>
      </c>
      <c r="D6" s="138">
        <v>161144.69</v>
      </c>
      <c r="E6" s="138">
        <v>0</v>
      </c>
      <c r="F6" s="139">
        <v>161144.69</v>
      </c>
      <c r="G6" s="139">
        <v>13428.724166666667</v>
      </c>
      <c r="H6" s="140"/>
    </row>
    <row r="7" spans="1:8" ht="45" x14ac:dyDescent="0.25">
      <c r="A7" s="136" t="s">
        <v>352</v>
      </c>
      <c r="B7" s="137" t="s">
        <v>353</v>
      </c>
      <c r="C7" s="137" t="s">
        <v>354</v>
      </c>
      <c r="D7" s="138">
        <v>0</v>
      </c>
      <c r="E7" s="138">
        <v>90485.56</v>
      </c>
      <c r="F7" s="139">
        <v>90485.56</v>
      </c>
      <c r="G7" s="139">
        <v>7540.4633333333331</v>
      </c>
      <c r="H7" s="140" t="s">
        <v>351</v>
      </c>
    </row>
    <row r="8" spans="1:8" x14ac:dyDescent="0.25">
      <c r="A8" s="136" t="s">
        <v>355</v>
      </c>
      <c r="B8" s="137" t="s">
        <v>349</v>
      </c>
      <c r="C8" s="137" t="s">
        <v>356</v>
      </c>
      <c r="D8" s="138">
        <v>36009</v>
      </c>
      <c r="E8" s="138">
        <v>0</v>
      </c>
      <c r="F8" s="139">
        <v>36009</v>
      </c>
      <c r="G8" s="139">
        <v>3000.75</v>
      </c>
      <c r="H8" s="140" t="s">
        <v>351</v>
      </c>
    </row>
    <row r="9" spans="1:8" x14ac:dyDescent="0.25">
      <c r="A9" s="136" t="s">
        <v>357</v>
      </c>
      <c r="B9" s="137" t="s">
        <v>353</v>
      </c>
      <c r="C9" s="137" t="s">
        <v>358</v>
      </c>
      <c r="D9" s="138">
        <v>15547.68</v>
      </c>
      <c r="E9" s="138">
        <v>2478</v>
      </c>
      <c r="F9" s="139">
        <v>18025.68</v>
      </c>
      <c r="G9" s="139">
        <v>1502.14</v>
      </c>
      <c r="H9" s="140" t="s">
        <v>351</v>
      </c>
    </row>
    <row r="10" spans="1:8" ht="30" x14ac:dyDescent="0.25">
      <c r="A10" s="136" t="s">
        <v>359</v>
      </c>
      <c r="B10" s="137" t="s">
        <v>349</v>
      </c>
      <c r="C10" s="137" t="s">
        <v>360</v>
      </c>
      <c r="D10" s="138">
        <v>17235</v>
      </c>
      <c r="E10" s="138">
        <v>0</v>
      </c>
      <c r="F10" s="139">
        <v>17235</v>
      </c>
      <c r="G10" s="139">
        <v>1436.25</v>
      </c>
      <c r="H10" s="140" t="s">
        <v>351</v>
      </c>
    </row>
    <row r="11" spans="1:8" x14ac:dyDescent="0.25">
      <c r="A11" s="136" t="s">
        <v>361</v>
      </c>
      <c r="B11" s="137" t="s">
        <v>349</v>
      </c>
      <c r="C11" s="137" t="s">
        <v>362</v>
      </c>
      <c r="D11" s="138">
        <v>16908.71</v>
      </c>
      <c r="E11" s="138">
        <v>0</v>
      </c>
      <c r="F11" s="139">
        <v>16908.71</v>
      </c>
      <c r="G11" s="139">
        <v>1409.0591666666667</v>
      </c>
      <c r="H11" s="140" t="s">
        <v>351</v>
      </c>
    </row>
    <row r="12" spans="1:8" ht="30" x14ac:dyDescent="0.25">
      <c r="A12" s="136" t="s">
        <v>363</v>
      </c>
      <c r="B12" s="137" t="s">
        <v>349</v>
      </c>
      <c r="C12" s="137" t="s">
        <v>364</v>
      </c>
      <c r="D12" s="138">
        <v>14487.71</v>
      </c>
      <c r="E12" s="138">
        <v>0</v>
      </c>
      <c r="F12" s="139">
        <v>14487.71</v>
      </c>
      <c r="G12" s="139">
        <v>1207.3091666666667</v>
      </c>
      <c r="H12" s="140" t="s">
        <v>351</v>
      </c>
    </row>
    <row r="13" spans="1:8" x14ac:dyDescent="0.25">
      <c r="A13" s="136" t="s">
        <v>365</v>
      </c>
      <c r="B13" s="137" t="s">
        <v>366</v>
      </c>
      <c r="C13" s="137" t="s">
        <v>367</v>
      </c>
      <c r="D13" s="138">
        <v>12043.65</v>
      </c>
      <c r="E13" s="138">
        <v>0</v>
      </c>
      <c r="F13" s="139">
        <v>12043.65</v>
      </c>
      <c r="G13" s="139">
        <v>1003.6374999999999</v>
      </c>
      <c r="H13" s="140" t="s">
        <v>351</v>
      </c>
    </row>
    <row r="14" spans="1:8" x14ac:dyDescent="0.25">
      <c r="A14" s="136" t="s">
        <v>368</v>
      </c>
      <c r="B14" s="137" t="s">
        <v>349</v>
      </c>
      <c r="C14" s="137" t="s">
        <v>369</v>
      </c>
      <c r="D14" s="138">
        <v>9052.7199999999993</v>
      </c>
      <c r="E14" s="138">
        <v>0</v>
      </c>
      <c r="F14" s="139">
        <v>9052.7199999999993</v>
      </c>
      <c r="G14" s="139">
        <v>754.39333333333332</v>
      </c>
      <c r="H14" s="140" t="s">
        <v>351</v>
      </c>
    </row>
    <row r="15" spans="1:8" x14ac:dyDescent="0.25">
      <c r="A15" s="136" t="s">
        <v>370</v>
      </c>
      <c r="B15" s="137" t="s">
        <v>366</v>
      </c>
      <c r="C15" s="137" t="s">
        <v>371</v>
      </c>
      <c r="D15" s="138">
        <v>879.84</v>
      </c>
      <c r="E15" s="138">
        <v>8088.83</v>
      </c>
      <c r="F15" s="139">
        <v>8968.67</v>
      </c>
      <c r="G15" s="139">
        <v>747.38916666666671</v>
      </c>
      <c r="H15" s="140" t="s">
        <v>351</v>
      </c>
    </row>
    <row r="16" spans="1:8" x14ac:dyDescent="0.25">
      <c r="A16" s="136" t="s">
        <v>372</v>
      </c>
      <c r="B16" s="137" t="s">
        <v>366</v>
      </c>
      <c r="C16" s="137" t="s">
        <v>373</v>
      </c>
      <c r="D16" s="138">
        <v>8680.01</v>
      </c>
      <c r="E16" s="138">
        <v>0</v>
      </c>
      <c r="F16" s="139">
        <v>8680.01</v>
      </c>
      <c r="G16" s="139">
        <v>723.33416666666665</v>
      </c>
      <c r="H16" s="140" t="s">
        <v>351</v>
      </c>
    </row>
    <row r="17" spans="1:8" x14ac:dyDescent="0.25">
      <c r="A17" s="136" t="s">
        <v>374</v>
      </c>
      <c r="B17" s="137" t="s">
        <v>366</v>
      </c>
      <c r="C17" s="137" t="s">
        <v>375</v>
      </c>
      <c r="D17" s="138">
        <v>800.97</v>
      </c>
      <c r="E17" s="138">
        <v>7868.8000000000011</v>
      </c>
      <c r="F17" s="139">
        <v>8669.77</v>
      </c>
      <c r="G17" s="139">
        <v>722.48083333333341</v>
      </c>
      <c r="H17" s="140" t="s">
        <v>351</v>
      </c>
    </row>
    <row r="18" spans="1:8" x14ac:dyDescent="0.25">
      <c r="A18" s="136" t="s">
        <v>376</v>
      </c>
      <c r="B18" s="137" t="s">
        <v>377</v>
      </c>
      <c r="C18" s="137" t="s">
        <v>378</v>
      </c>
      <c r="D18" s="138">
        <v>7670.55</v>
      </c>
      <c r="E18" s="138">
        <v>0</v>
      </c>
      <c r="F18" s="139">
        <v>7670.55</v>
      </c>
      <c r="G18" s="139">
        <v>639.21249999999998</v>
      </c>
      <c r="H18" s="140" t="s">
        <v>351</v>
      </c>
    </row>
    <row r="19" spans="1:8" x14ac:dyDescent="0.25">
      <c r="A19" s="136" t="s">
        <v>379</v>
      </c>
      <c r="B19" s="137" t="s">
        <v>366</v>
      </c>
      <c r="C19" s="137" t="s">
        <v>380</v>
      </c>
      <c r="D19" s="138">
        <v>1829.54</v>
      </c>
      <c r="E19" s="138">
        <v>5079.6099999999997</v>
      </c>
      <c r="F19" s="139">
        <v>6909.15</v>
      </c>
      <c r="G19" s="139">
        <v>575.76249999999993</v>
      </c>
      <c r="H19" s="140" t="s">
        <v>351</v>
      </c>
    </row>
    <row r="20" spans="1:8" ht="30" x14ac:dyDescent="0.25">
      <c r="A20" s="136" t="s">
        <v>381</v>
      </c>
      <c r="B20" s="137" t="s">
        <v>349</v>
      </c>
      <c r="C20" s="137" t="s">
        <v>382</v>
      </c>
      <c r="D20" s="138">
        <v>4800</v>
      </c>
      <c r="E20" s="138">
        <v>0</v>
      </c>
      <c r="F20" s="139">
        <v>4800</v>
      </c>
      <c r="G20" s="139">
        <v>400</v>
      </c>
      <c r="H20" s="140" t="s">
        <v>351</v>
      </c>
    </row>
    <row r="21" spans="1:8" x14ac:dyDescent="0.25">
      <c r="A21" s="136" t="s">
        <v>383</v>
      </c>
      <c r="B21" s="137" t="s">
        <v>384</v>
      </c>
      <c r="C21" s="137" t="s">
        <v>385</v>
      </c>
      <c r="D21" s="138">
        <v>4756.63</v>
      </c>
      <c r="E21" s="138">
        <v>0</v>
      </c>
      <c r="F21" s="139">
        <v>4756.63</v>
      </c>
      <c r="G21" s="139">
        <v>396.38583333333332</v>
      </c>
      <c r="H21" s="140" t="s">
        <v>351</v>
      </c>
    </row>
    <row r="22" spans="1:8" x14ac:dyDescent="0.25">
      <c r="A22" s="136" t="s">
        <v>386</v>
      </c>
      <c r="B22" s="137" t="s">
        <v>366</v>
      </c>
      <c r="C22" s="137" t="s">
        <v>387</v>
      </c>
      <c r="D22" s="138">
        <v>299.01</v>
      </c>
      <c r="E22" s="138">
        <v>4332.04</v>
      </c>
      <c r="F22" s="139">
        <v>4631.05</v>
      </c>
      <c r="G22" s="139">
        <v>385.92083333333335</v>
      </c>
      <c r="H22" s="140" t="s">
        <v>351</v>
      </c>
    </row>
    <row r="23" spans="1:8" x14ac:dyDescent="0.25">
      <c r="A23" s="136" t="s">
        <v>388</v>
      </c>
      <c r="B23" s="137" t="s">
        <v>349</v>
      </c>
      <c r="C23" s="137" t="s">
        <v>389</v>
      </c>
      <c r="D23" s="138">
        <v>3735.3</v>
      </c>
      <c r="E23" s="138">
        <v>0</v>
      </c>
      <c r="F23" s="139">
        <v>3735.3</v>
      </c>
      <c r="G23" s="139">
        <v>311.27500000000003</v>
      </c>
      <c r="H23" s="140" t="s">
        <v>351</v>
      </c>
    </row>
    <row r="24" spans="1:8" x14ac:dyDescent="0.25">
      <c r="A24" s="136" t="s">
        <v>390</v>
      </c>
      <c r="B24" s="137" t="s">
        <v>349</v>
      </c>
      <c r="C24" s="137" t="s">
        <v>391</v>
      </c>
      <c r="D24" s="138">
        <v>823.26</v>
      </c>
      <c r="E24" s="138">
        <v>2494.8000000000002</v>
      </c>
      <c r="F24" s="139">
        <v>3318.0600000000004</v>
      </c>
      <c r="G24" s="139">
        <v>276.50500000000005</v>
      </c>
      <c r="H24" s="140" t="s">
        <v>351</v>
      </c>
    </row>
    <row r="25" spans="1:8" x14ac:dyDescent="0.25">
      <c r="A25" s="136" t="s">
        <v>392</v>
      </c>
      <c r="B25" s="137" t="s">
        <v>393</v>
      </c>
      <c r="C25" s="137" t="s">
        <v>394</v>
      </c>
      <c r="D25" s="138">
        <v>3045</v>
      </c>
      <c r="E25" s="138">
        <v>0</v>
      </c>
      <c r="F25" s="139">
        <v>3045</v>
      </c>
      <c r="G25" s="139">
        <v>253.75</v>
      </c>
      <c r="H25" s="140" t="s">
        <v>351</v>
      </c>
    </row>
    <row r="26" spans="1:8" x14ac:dyDescent="0.25">
      <c r="A26" s="136" t="s">
        <v>395</v>
      </c>
      <c r="B26" s="137" t="s">
        <v>353</v>
      </c>
      <c r="C26" s="137" t="s">
        <v>396</v>
      </c>
      <c r="D26" s="138">
        <v>2160</v>
      </c>
      <c r="E26" s="138">
        <v>0</v>
      </c>
      <c r="F26" s="139">
        <v>2160</v>
      </c>
      <c r="G26" s="139">
        <v>180</v>
      </c>
      <c r="H26" s="140"/>
    </row>
    <row r="27" spans="1:8" x14ac:dyDescent="0.25">
      <c r="A27" s="136" t="s">
        <v>397</v>
      </c>
      <c r="B27" s="137" t="s">
        <v>377</v>
      </c>
      <c r="C27" s="137" t="s">
        <v>398</v>
      </c>
      <c r="D27" s="138">
        <v>2072.1</v>
      </c>
      <c r="E27" s="138">
        <v>0</v>
      </c>
      <c r="F27" s="139">
        <v>2072.1</v>
      </c>
      <c r="G27" s="139">
        <v>172.67499999999998</v>
      </c>
      <c r="H27" s="140" t="s">
        <v>351</v>
      </c>
    </row>
    <row r="28" spans="1:8" x14ac:dyDescent="0.25">
      <c r="A28" s="136" t="s">
        <v>399</v>
      </c>
      <c r="B28" s="137" t="s">
        <v>353</v>
      </c>
      <c r="C28" s="137" t="s">
        <v>400</v>
      </c>
      <c r="D28" s="138">
        <v>1912.86</v>
      </c>
      <c r="E28" s="138">
        <v>0</v>
      </c>
      <c r="F28" s="139">
        <v>1912.86</v>
      </c>
      <c r="G28" s="139">
        <v>159.405</v>
      </c>
      <c r="H28" s="140" t="s">
        <v>351</v>
      </c>
    </row>
    <row r="29" spans="1:8" x14ac:dyDescent="0.25">
      <c r="A29" s="136" t="s">
        <v>401</v>
      </c>
      <c r="B29" s="137" t="s">
        <v>377</v>
      </c>
      <c r="C29" s="137" t="s">
        <v>402</v>
      </c>
      <c r="D29" s="138">
        <v>1639.56</v>
      </c>
      <c r="E29" s="138">
        <v>0</v>
      </c>
      <c r="F29" s="139">
        <v>1639.56</v>
      </c>
      <c r="G29" s="139">
        <v>136.63</v>
      </c>
      <c r="H29" s="140" t="s">
        <v>351</v>
      </c>
    </row>
    <row r="30" spans="1:8" x14ac:dyDescent="0.25">
      <c r="A30" s="136" t="s">
        <v>403</v>
      </c>
      <c r="B30" s="137" t="s">
        <v>384</v>
      </c>
      <c r="C30" s="137" t="s">
        <v>404</v>
      </c>
      <c r="D30" s="138">
        <v>1639.24</v>
      </c>
      <c r="E30" s="138">
        <v>0</v>
      </c>
      <c r="F30" s="139">
        <v>1639.24</v>
      </c>
      <c r="G30" s="139">
        <v>136.60333333333332</v>
      </c>
      <c r="H30" s="140" t="s">
        <v>351</v>
      </c>
    </row>
    <row r="31" spans="1:8" ht="30" x14ac:dyDescent="0.25">
      <c r="A31" s="136" t="s">
        <v>405</v>
      </c>
      <c r="B31" s="137" t="s">
        <v>377</v>
      </c>
      <c r="C31" s="137" t="s">
        <v>406</v>
      </c>
      <c r="D31" s="138">
        <v>0</v>
      </c>
      <c r="E31" s="138">
        <v>1486.36</v>
      </c>
      <c r="F31" s="139">
        <v>1486.36</v>
      </c>
      <c r="G31" s="139">
        <v>123.86333333333333</v>
      </c>
      <c r="H31" s="140"/>
    </row>
    <row r="32" spans="1:8" x14ac:dyDescent="0.25">
      <c r="A32" s="136" t="s">
        <v>407</v>
      </c>
      <c r="B32" s="137" t="s">
        <v>353</v>
      </c>
      <c r="C32" s="137" t="s">
        <v>408</v>
      </c>
      <c r="D32" s="138">
        <v>1435.7</v>
      </c>
      <c r="E32" s="138">
        <v>0</v>
      </c>
      <c r="F32" s="139">
        <v>1435.7</v>
      </c>
      <c r="G32" s="139">
        <v>119.64166666666667</v>
      </c>
      <c r="H32" s="140"/>
    </row>
    <row r="33" spans="1:8" x14ac:dyDescent="0.25">
      <c r="A33" s="136" t="s">
        <v>409</v>
      </c>
      <c r="B33" s="137" t="s">
        <v>377</v>
      </c>
      <c r="C33" s="137" t="s">
        <v>410</v>
      </c>
      <c r="D33" s="138">
        <v>1322.42</v>
      </c>
      <c r="E33" s="138">
        <v>0</v>
      </c>
      <c r="F33" s="139">
        <v>1322.42</v>
      </c>
      <c r="G33" s="139">
        <v>110.20166666666667</v>
      </c>
      <c r="H33" s="140"/>
    </row>
    <row r="34" spans="1:8" x14ac:dyDescent="0.25">
      <c r="A34" s="136" t="s">
        <v>411</v>
      </c>
      <c r="B34" s="137" t="s">
        <v>366</v>
      </c>
      <c r="C34" s="137" t="s">
        <v>412</v>
      </c>
      <c r="D34" s="138">
        <v>635.04</v>
      </c>
      <c r="E34" s="138">
        <v>0</v>
      </c>
      <c r="F34" s="139">
        <v>635.04</v>
      </c>
      <c r="G34" s="139">
        <v>52.919999999999995</v>
      </c>
      <c r="H34" s="140"/>
    </row>
    <row r="35" spans="1:8" x14ac:dyDescent="0.25">
      <c r="A35" s="136" t="s">
        <v>413</v>
      </c>
      <c r="B35" s="137" t="s">
        <v>384</v>
      </c>
      <c r="C35" s="137" t="s">
        <v>414</v>
      </c>
      <c r="D35" s="138">
        <v>589.42999999999995</v>
      </c>
      <c r="E35" s="138">
        <v>0</v>
      </c>
      <c r="F35" s="139">
        <v>589.42999999999995</v>
      </c>
      <c r="G35" s="139">
        <v>49.119166666666665</v>
      </c>
      <c r="H35" s="140"/>
    </row>
    <row r="36" spans="1:8" x14ac:dyDescent="0.25">
      <c r="A36" s="136" t="s">
        <v>415</v>
      </c>
      <c r="B36" s="137" t="s">
        <v>366</v>
      </c>
      <c r="C36" s="137" t="s">
        <v>416</v>
      </c>
      <c r="D36" s="138">
        <v>543.52</v>
      </c>
      <c r="E36" s="138">
        <v>0</v>
      </c>
      <c r="F36" s="139">
        <v>543.52</v>
      </c>
      <c r="G36" s="139">
        <v>45.293333333333329</v>
      </c>
      <c r="H36" s="140"/>
    </row>
    <row r="37" spans="1:8" x14ac:dyDescent="0.25">
      <c r="A37" s="136" t="s">
        <v>417</v>
      </c>
      <c r="B37" s="137" t="s">
        <v>384</v>
      </c>
      <c r="C37" s="137" t="s">
        <v>418</v>
      </c>
      <c r="D37" s="138">
        <v>541.42999999999995</v>
      </c>
      <c r="E37" s="138">
        <v>0</v>
      </c>
      <c r="F37" s="139">
        <v>541.42999999999995</v>
      </c>
      <c r="G37" s="139">
        <v>45.119166666666665</v>
      </c>
      <c r="H37" s="140" t="s">
        <v>351</v>
      </c>
    </row>
    <row r="38" spans="1:8" x14ac:dyDescent="0.25">
      <c r="A38" s="136" t="s">
        <v>419</v>
      </c>
      <c r="B38" s="137" t="s">
        <v>353</v>
      </c>
      <c r="C38" s="137" t="s">
        <v>420</v>
      </c>
      <c r="D38" s="138">
        <v>490</v>
      </c>
      <c r="E38" s="138">
        <v>0</v>
      </c>
      <c r="F38" s="139">
        <v>490</v>
      </c>
      <c r="G38" s="139">
        <v>40.833333333333336</v>
      </c>
      <c r="H38" s="140" t="s">
        <v>351</v>
      </c>
    </row>
    <row r="39" spans="1:8" x14ac:dyDescent="0.25">
      <c r="A39" s="136" t="s">
        <v>421</v>
      </c>
      <c r="B39" s="137" t="s">
        <v>349</v>
      </c>
      <c r="C39" s="137" t="s">
        <v>422</v>
      </c>
      <c r="D39" s="138">
        <v>450</v>
      </c>
      <c r="E39" s="138">
        <v>0</v>
      </c>
      <c r="F39" s="139">
        <v>450</v>
      </c>
      <c r="G39" s="139">
        <v>37.5</v>
      </c>
      <c r="H39" s="140" t="s">
        <v>351</v>
      </c>
    </row>
    <row r="40" spans="1:8" x14ac:dyDescent="0.25">
      <c r="A40" s="136" t="s">
        <v>423</v>
      </c>
      <c r="B40" s="137" t="s">
        <v>377</v>
      </c>
      <c r="C40" s="137" t="s">
        <v>424</v>
      </c>
      <c r="D40" s="138">
        <v>436</v>
      </c>
      <c r="E40" s="138">
        <v>0</v>
      </c>
      <c r="F40" s="139">
        <v>436</v>
      </c>
      <c r="G40" s="139">
        <v>36.333333333333336</v>
      </c>
      <c r="H40" s="140" t="s">
        <v>351</v>
      </c>
    </row>
    <row r="41" spans="1:8" x14ac:dyDescent="0.25">
      <c r="A41" s="136" t="s">
        <v>425</v>
      </c>
      <c r="B41" s="137" t="s">
        <v>353</v>
      </c>
      <c r="C41" s="137" t="s">
        <v>396</v>
      </c>
      <c r="D41" s="138">
        <v>412.4</v>
      </c>
      <c r="E41" s="138">
        <v>0</v>
      </c>
      <c r="F41" s="139">
        <v>412.4</v>
      </c>
      <c r="G41" s="139">
        <v>34.366666666666667</v>
      </c>
      <c r="H41" s="140"/>
    </row>
    <row r="42" spans="1:8" x14ac:dyDescent="0.25">
      <c r="A42" s="136" t="s">
        <v>426</v>
      </c>
      <c r="B42" s="137" t="s">
        <v>353</v>
      </c>
      <c r="C42" s="137" t="s">
        <v>427</v>
      </c>
      <c r="D42" s="138">
        <v>408</v>
      </c>
      <c r="E42" s="138">
        <v>0</v>
      </c>
      <c r="F42" s="139">
        <v>408</v>
      </c>
      <c r="G42" s="139">
        <v>34</v>
      </c>
      <c r="H42" s="140" t="s">
        <v>351</v>
      </c>
    </row>
    <row r="43" spans="1:8" x14ac:dyDescent="0.25">
      <c r="A43" s="136" t="s">
        <v>428</v>
      </c>
      <c r="B43" s="137" t="s">
        <v>393</v>
      </c>
      <c r="C43" s="137" t="s">
        <v>429</v>
      </c>
      <c r="D43" s="138">
        <v>348</v>
      </c>
      <c r="E43" s="138">
        <v>0</v>
      </c>
      <c r="F43" s="139">
        <v>348</v>
      </c>
      <c r="G43" s="139">
        <v>29</v>
      </c>
      <c r="H43" s="140" t="s">
        <v>351</v>
      </c>
    </row>
    <row r="44" spans="1:8" x14ac:dyDescent="0.25">
      <c r="A44" s="136" t="s">
        <v>430</v>
      </c>
      <c r="B44" s="137" t="s">
        <v>384</v>
      </c>
      <c r="C44" s="137" t="s">
        <v>418</v>
      </c>
      <c r="D44" s="138">
        <v>348</v>
      </c>
      <c r="E44" s="138">
        <v>0</v>
      </c>
      <c r="F44" s="139">
        <v>348</v>
      </c>
      <c r="G44" s="139">
        <v>29</v>
      </c>
      <c r="H44" s="140" t="s">
        <v>351</v>
      </c>
    </row>
    <row r="45" spans="1:8" x14ac:dyDescent="0.25">
      <c r="A45" s="136" t="s">
        <v>431</v>
      </c>
      <c r="B45" s="137" t="s">
        <v>366</v>
      </c>
      <c r="C45" s="137" t="s">
        <v>432</v>
      </c>
      <c r="D45" s="138">
        <v>344.68</v>
      </c>
      <c r="E45" s="138">
        <v>0</v>
      </c>
      <c r="F45" s="139">
        <v>344.68</v>
      </c>
      <c r="G45" s="139">
        <v>28.723333333333333</v>
      </c>
      <c r="H45" s="140" t="s">
        <v>351</v>
      </c>
    </row>
    <row r="46" spans="1:8" x14ac:dyDescent="0.25">
      <c r="A46" s="136" t="s">
        <v>433</v>
      </c>
      <c r="B46" s="137" t="s">
        <v>349</v>
      </c>
      <c r="C46" s="137" t="s">
        <v>434</v>
      </c>
      <c r="D46" s="138">
        <v>265</v>
      </c>
      <c r="E46" s="138">
        <v>0</v>
      </c>
      <c r="F46" s="139">
        <v>265</v>
      </c>
      <c r="G46" s="139">
        <v>22.083333333333332</v>
      </c>
      <c r="H46" s="140" t="s">
        <v>351</v>
      </c>
    </row>
    <row r="47" spans="1:8" x14ac:dyDescent="0.25">
      <c r="A47" s="136" t="s">
        <v>435</v>
      </c>
      <c r="B47" s="137" t="s">
        <v>384</v>
      </c>
      <c r="C47" s="137" t="s">
        <v>436</v>
      </c>
      <c r="D47" s="138">
        <v>240</v>
      </c>
      <c r="E47" s="138">
        <v>0</v>
      </c>
      <c r="F47" s="139">
        <v>240</v>
      </c>
      <c r="G47" s="139">
        <v>20</v>
      </c>
      <c r="H47" s="140" t="s">
        <v>351</v>
      </c>
    </row>
    <row r="48" spans="1:8" x14ac:dyDescent="0.25">
      <c r="A48" s="136" t="s">
        <v>437</v>
      </c>
      <c r="B48" s="137" t="s">
        <v>366</v>
      </c>
      <c r="C48" s="137" t="s">
        <v>438</v>
      </c>
      <c r="D48" s="138">
        <v>233.9</v>
      </c>
      <c r="E48" s="138">
        <v>0</v>
      </c>
      <c r="F48" s="139">
        <v>233.9</v>
      </c>
      <c r="G48" s="139">
        <v>19.491666666666667</v>
      </c>
      <c r="H48" s="140" t="s">
        <v>351</v>
      </c>
    </row>
    <row r="49" spans="1:8" x14ac:dyDescent="0.25">
      <c r="A49" s="136" t="s">
        <v>439</v>
      </c>
      <c r="B49" s="137" t="s">
        <v>353</v>
      </c>
      <c r="C49" s="137" t="s">
        <v>440</v>
      </c>
      <c r="D49" s="138">
        <v>228</v>
      </c>
      <c r="E49" s="138">
        <v>0</v>
      </c>
      <c r="F49" s="139">
        <v>228</v>
      </c>
      <c r="G49" s="139">
        <v>19</v>
      </c>
      <c r="H49" s="140"/>
    </row>
    <row r="50" spans="1:8" x14ac:dyDescent="0.25">
      <c r="A50" s="136" t="s">
        <v>441</v>
      </c>
      <c r="B50" s="137" t="s">
        <v>353</v>
      </c>
      <c r="C50" s="137" t="s">
        <v>442</v>
      </c>
      <c r="D50" s="138">
        <v>228</v>
      </c>
      <c r="E50" s="138">
        <v>0</v>
      </c>
      <c r="F50" s="139">
        <v>228</v>
      </c>
      <c r="G50" s="139">
        <v>19</v>
      </c>
      <c r="H50" s="140" t="s">
        <v>351</v>
      </c>
    </row>
    <row r="51" spans="1:8" x14ac:dyDescent="0.25">
      <c r="A51" s="136" t="s">
        <v>443</v>
      </c>
      <c r="B51" s="137" t="s">
        <v>377</v>
      </c>
      <c r="C51" s="137" t="s">
        <v>444</v>
      </c>
      <c r="D51" s="138">
        <v>226.96</v>
      </c>
      <c r="E51" s="138">
        <v>0</v>
      </c>
      <c r="F51" s="139">
        <v>226.96</v>
      </c>
      <c r="G51" s="139">
        <v>18.913333333333334</v>
      </c>
      <c r="H51" s="140" t="s">
        <v>351</v>
      </c>
    </row>
    <row r="52" spans="1:8" x14ac:dyDescent="0.25">
      <c r="A52" s="136" t="s">
        <v>445</v>
      </c>
      <c r="B52" s="137" t="s">
        <v>366</v>
      </c>
      <c r="C52" s="137" t="s">
        <v>446</v>
      </c>
      <c r="D52" s="138">
        <v>220.94</v>
      </c>
      <c r="E52" s="138">
        <v>0</v>
      </c>
      <c r="F52" s="139">
        <v>220.94</v>
      </c>
      <c r="G52" s="139">
        <v>18.411666666666665</v>
      </c>
      <c r="H52" s="140" t="s">
        <v>351</v>
      </c>
    </row>
    <row r="53" spans="1:8" x14ac:dyDescent="0.25">
      <c r="A53" s="136" t="s">
        <v>447</v>
      </c>
      <c r="B53" s="137" t="s">
        <v>393</v>
      </c>
      <c r="C53" s="137" t="s">
        <v>448</v>
      </c>
      <c r="D53" s="138">
        <v>120</v>
      </c>
      <c r="E53" s="138">
        <v>0</v>
      </c>
      <c r="F53" s="139">
        <v>120</v>
      </c>
      <c r="G53" s="139">
        <v>10</v>
      </c>
      <c r="H53" s="140" t="s">
        <v>351</v>
      </c>
    </row>
    <row r="54" spans="1:8" x14ac:dyDescent="0.25">
      <c r="A54" s="136" t="s">
        <v>449</v>
      </c>
      <c r="B54" s="137" t="s">
        <v>349</v>
      </c>
      <c r="C54" s="137" t="s">
        <v>450</v>
      </c>
      <c r="D54" s="138">
        <v>119.99</v>
      </c>
      <c r="E54" s="138">
        <v>0</v>
      </c>
      <c r="F54" s="139">
        <v>119.99</v>
      </c>
      <c r="G54" s="139">
        <v>9.9991666666666656</v>
      </c>
      <c r="H54" s="140" t="s">
        <v>351</v>
      </c>
    </row>
    <row r="55" spans="1:8" x14ac:dyDescent="0.25">
      <c r="A55" s="136" t="s">
        <v>451</v>
      </c>
      <c r="B55" s="137" t="s">
        <v>393</v>
      </c>
      <c r="C55" s="137" t="s">
        <v>452</v>
      </c>
      <c r="D55" s="138">
        <v>115.57</v>
      </c>
      <c r="E55" s="138">
        <v>0</v>
      </c>
      <c r="F55" s="139">
        <v>115.57</v>
      </c>
      <c r="G55" s="139">
        <v>9.6308333333333334</v>
      </c>
      <c r="H55" s="140" t="s">
        <v>351</v>
      </c>
    </row>
    <row r="56" spans="1:8" x14ac:dyDescent="0.25">
      <c r="A56" s="136" t="s">
        <v>453</v>
      </c>
      <c r="B56" s="137" t="s">
        <v>393</v>
      </c>
      <c r="C56" s="137" t="s">
        <v>454</v>
      </c>
      <c r="D56" s="138">
        <v>114.99</v>
      </c>
      <c r="E56" s="138">
        <v>0</v>
      </c>
      <c r="F56" s="139">
        <v>114.99</v>
      </c>
      <c r="G56" s="139">
        <v>9.5824999999999996</v>
      </c>
      <c r="H56" s="140" t="s">
        <v>351</v>
      </c>
    </row>
    <row r="57" spans="1:8" x14ac:dyDescent="0.25">
      <c r="A57" s="136" t="s">
        <v>455</v>
      </c>
      <c r="B57" s="137" t="s">
        <v>384</v>
      </c>
      <c r="C57" s="137" t="s">
        <v>456</v>
      </c>
      <c r="D57" s="138">
        <v>100</v>
      </c>
      <c r="E57" s="138">
        <v>0</v>
      </c>
      <c r="F57" s="139">
        <v>100</v>
      </c>
      <c r="G57" s="139">
        <v>8.3333333333333339</v>
      </c>
      <c r="H57" s="140" t="s">
        <v>351</v>
      </c>
    </row>
    <row r="58" spans="1:8" x14ac:dyDescent="0.25">
      <c r="A58" s="136" t="s">
        <v>457</v>
      </c>
      <c r="B58" s="137" t="s">
        <v>366</v>
      </c>
      <c r="C58" s="137" t="s">
        <v>458</v>
      </c>
      <c r="D58" s="138">
        <v>90.2</v>
      </c>
      <c r="E58" s="138">
        <v>0</v>
      </c>
      <c r="F58" s="139">
        <v>90.2</v>
      </c>
      <c r="G58" s="139">
        <v>7.5166666666666666</v>
      </c>
      <c r="H58" s="140" t="s">
        <v>351</v>
      </c>
    </row>
    <row r="59" spans="1:8" x14ac:dyDescent="0.25">
      <c r="A59" s="136" t="s">
        <v>459</v>
      </c>
      <c r="B59" s="137" t="s">
        <v>366</v>
      </c>
      <c r="C59" s="137" t="s">
        <v>460</v>
      </c>
      <c r="D59" s="138">
        <v>85</v>
      </c>
      <c r="E59" s="138">
        <v>0</v>
      </c>
      <c r="F59" s="139">
        <v>85</v>
      </c>
      <c r="G59" s="139">
        <v>7.083333333333333</v>
      </c>
      <c r="H59" s="140" t="s">
        <v>351</v>
      </c>
    </row>
    <row r="60" spans="1:8" x14ac:dyDescent="0.25">
      <c r="A60" s="136" t="s">
        <v>461</v>
      </c>
      <c r="B60" s="137" t="s">
        <v>384</v>
      </c>
      <c r="C60" s="137" t="s">
        <v>462</v>
      </c>
      <c r="D60" s="138">
        <v>41.92</v>
      </c>
      <c r="E60" s="138">
        <v>0</v>
      </c>
      <c r="F60" s="139">
        <v>41.92</v>
      </c>
      <c r="G60" s="139">
        <v>3.4933333333333336</v>
      </c>
      <c r="H60" s="140" t="s">
        <v>351</v>
      </c>
    </row>
    <row r="61" spans="1:8" x14ac:dyDescent="0.25">
      <c r="A61" s="141" t="s">
        <v>463</v>
      </c>
      <c r="B61" s="141" t="s">
        <v>351</v>
      </c>
      <c r="C61" s="141" t="s">
        <v>351</v>
      </c>
      <c r="D61" s="142">
        <v>344393.0199999999</v>
      </c>
      <c r="E61" s="142">
        <v>122314</v>
      </c>
      <c r="F61" s="142">
        <v>466707.01999999996</v>
      </c>
      <c r="G61" s="142">
        <v>38892.251666666663</v>
      </c>
      <c r="H61" s="141" t="s">
        <v>351</v>
      </c>
    </row>
  </sheetData>
  <autoFilter ref="A5:H60" xr:uid="{00000000-0009-0000-00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6" activePane="bottomLeft" state="frozen"/>
      <selection pane="bottomLeft"/>
    </sheetView>
  </sheetViews>
  <sheetFormatPr defaultColWidth="8.7109375" defaultRowHeight="12" outlineLevelCol="1" x14ac:dyDescent="0.2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 x14ac:dyDescent="0.25">
      <c r="B2" s="5" t="s">
        <v>0</v>
      </c>
      <c r="C2" s="5"/>
      <c r="D2" s="5"/>
    </row>
    <row r="3" spans="2:44" x14ac:dyDescent="0.2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 x14ac:dyDescent="0.2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 x14ac:dyDescent="0.2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 x14ac:dyDescent="0.2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 x14ac:dyDescent="0.2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 x14ac:dyDescent="0.2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 x14ac:dyDescent="0.2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 x14ac:dyDescent="0.2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 x14ac:dyDescent="0.2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 x14ac:dyDescent="0.2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 x14ac:dyDescent="0.2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 x14ac:dyDescent="0.2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 x14ac:dyDescent="0.2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 x14ac:dyDescent="0.2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x14ac:dyDescent="0.2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 x14ac:dyDescent="0.2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 x14ac:dyDescent="0.2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 x14ac:dyDescent="0.2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 x14ac:dyDescent="0.2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x14ac:dyDescent="0.2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 x14ac:dyDescent="0.2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 x14ac:dyDescent="0.2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 x14ac:dyDescent="0.2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 x14ac:dyDescent="0.2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 x14ac:dyDescent="0.2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 x14ac:dyDescent="0.2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 x14ac:dyDescent="0.2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 x14ac:dyDescent="0.2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 x14ac:dyDescent="0.2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 x14ac:dyDescent="0.2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 x14ac:dyDescent="0.2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 x14ac:dyDescent="0.2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 x14ac:dyDescent="0.2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 x14ac:dyDescent="0.2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 x14ac:dyDescent="0.2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 x14ac:dyDescent="0.2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 x14ac:dyDescent="0.2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 x14ac:dyDescent="0.2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 x14ac:dyDescent="0.2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 x14ac:dyDescent="0.2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 x14ac:dyDescent="0.2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 x14ac:dyDescent="0.2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 x14ac:dyDescent="0.2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 x14ac:dyDescent="0.2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 x14ac:dyDescent="0.2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 x14ac:dyDescent="0.2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 x14ac:dyDescent="0.2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 x14ac:dyDescent="0.2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 x14ac:dyDescent="0.2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 x14ac:dyDescent="0.2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 x14ac:dyDescent="0.2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 x14ac:dyDescent="0.2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 x14ac:dyDescent="0.2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 x14ac:dyDescent="0.2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 x14ac:dyDescent="0.2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 x14ac:dyDescent="0.2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 x14ac:dyDescent="0.2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 x14ac:dyDescent="0.2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 x14ac:dyDescent="0.2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 x14ac:dyDescent="0.2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 x14ac:dyDescent="0.2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 x14ac:dyDescent="0.2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 x14ac:dyDescent="0.2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 x14ac:dyDescent="0.2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 x14ac:dyDescent="0.2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 x14ac:dyDescent="0.2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 x14ac:dyDescent="0.2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 x14ac:dyDescent="0.2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 x14ac:dyDescent="0.2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 x14ac:dyDescent="0.2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 x14ac:dyDescent="0.2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 x14ac:dyDescent="0.2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 x14ac:dyDescent="0.2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 x14ac:dyDescent="0.2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 x14ac:dyDescent="0.2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 x14ac:dyDescent="0.2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 x14ac:dyDescent="0.2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 x14ac:dyDescent="0.2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 x14ac:dyDescent="0.2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 x14ac:dyDescent="0.2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 x14ac:dyDescent="0.2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 x14ac:dyDescent="0.2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 x14ac:dyDescent="0.2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 x14ac:dyDescent="0.2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 x14ac:dyDescent="0.2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 x14ac:dyDescent="0.2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 x14ac:dyDescent="0.2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 x14ac:dyDescent="0.2">
      <c r="B91" s="56" t="s">
        <v>91</v>
      </c>
      <c r="C91" s="14" t="s">
        <v>90</v>
      </c>
      <c r="D91" s="123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 x14ac:dyDescent="0.2">
      <c r="B92" s="56" t="s">
        <v>92</v>
      </c>
      <c r="C92" s="14" t="s">
        <v>90</v>
      </c>
      <c r="D92" s="123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 x14ac:dyDescent="0.2">
      <c r="B93" s="56" t="s">
        <v>93</v>
      </c>
      <c r="C93" s="14" t="s">
        <v>90</v>
      </c>
      <c r="D93" s="123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 x14ac:dyDescent="0.2">
      <c r="B94" s="56" t="s">
        <v>94</v>
      </c>
      <c r="C94" s="14" t="s">
        <v>90</v>
      </c>
      <c r="D94" s="123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 x14ac:dyDescent="0.2">
      <c r="B95" s="56" t="s">
        <v>95</v>
      </c>
      <c r="C95" s="14" t="s">
        <v>90</v>
      </c>
      <c r="D95" s="123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 x14ac:dyDescent="0.2">
      <c r="B96" s="56" t="s">
        <v>96</v>
      </c>
      <c r="C96" s="14" t="s">
        <v>90</v>
      </c>
      <c r="D96" s="123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 x14ac:dyDescent="0.2">
      <c r="B97" s="56" t="s">
        <v>97</v>
      </c>
      <c r="C97" s="14" t="s">
        <v>90</v>
      </c>
      <c r="D97" s="123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 x14ac:dyDescent="0.2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 x14ac:dyDescent="0.2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 x14ac:dyDescent="0.2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 x14ac:dyDescent="0.2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 x14ac:dyDescent="0.2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 x14ac:dyDescent="0.2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 x14ac:dyDescent="0.2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 x14ac:dyDescent="0.2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 x14ac:dyDescent="0.2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 x14ac:dyDescent="0.2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 x14ac:dyDescent="0.2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 x14ac:dyDescent="0.2">
      <c r="B109" s="14" t="s">
        <v>109</v>
      </c>
      <c r="C109" s="14" t="s">
        <v>107</v>
      </c>
      <c r="D109" s="123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 x14ac:dyDescent="0.2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 x14ac:dyDescent="0.2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 x14ac:dyDescent="0.2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 x14ac:dyDescent="0.25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 x14ac:dyDescent="0.2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 x14ac:dyDescent="0.2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 x14ac:dyDescent="0.2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 x14ac:dyDescent="0.2">
      <c r="D120" s="161" t="s">
        <v>3</v>
      </c>
      <c r="E120" s="161"/>
      <c r="F120" s="161"/>
      <c r="G120" s="99"/>
      <c r="J120" s="99"/>
    </row>
    <row r="121" spans="2:44" x14ac:dyDescent="0.2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 x14ac:dyDescent="0.2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>D122-E122</f>
        <v>0</v>
      </c>
      <c r="G122" s="23"/>
      <c r="J122" s="23"/>
    </row>
    <row r="123" spans="2:44" x14ac:dyDescent="0.2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>D123-E123</f>
        <v>0</v>
      </c>
      <c r="G123" s="23"/>
      <c r="J123" s="23"/>
    </row>
    <row r="124" spans="2:44" x14ac:dyDescent="0.2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>D124-E124</f>
        <v>0</v>
      </c>
      <c r="G124" s="23"/>
      <c r="J124" s="23"/>
    </row>
    <row r="125" spans="2:44" x14ac:dyDescent="0.2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>D125-E125</f>
        <v>0</v>
      </c>
      <c r="G125" s="23"/>
      <c r="J125" s="23"/>
    </row>
    <row r="126" spans="2:44" x14ac:dyDescent="0.2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>D126-E126</f>
        <v>0</v>
      </c>
      <c r="G126" s="23"/>
      <c r="J126" s="23"/>
    </row>
    <row r="127" spans="2:44" x14ac:dyDescent="0.2">
      <c r="C127" s="14" t="s">
        <v>106</v>
      </c>
      <c r="D127" s="23">
        <f>E106*1000</f>
        <v>27.36</v>
      </c>
      <c r="E127" s="23">
        <f>'Raw - 2024 PL'!N75</f>
        <v>27.36</v>
      </c>
      <c r="F127" s="23">
        <f>D127-E127</f>
        <v>0</v>
      </c>
      <c r="G127" s="23"/>
      <c r="J127" s="23"/>
    </row>
    <row r="128" spans="2:44" x14ac:dyDescent="0.2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>D128-E128</f>
        <v>0</v>
      </c>
      <c r="G128" s="23"/>
      <c r="J128" s="23"/>
    </row>
    <row r="129" spans="3:10" x14ac:dyDescent="0.2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>D129-E129</f>
        <v>0</v>
      </c>
      <c r="G129" s="23"/>
      <c r="J129" s="23"/>
    </row>
    <row r="130" spans="3:10" x14ac:dyDescent="0.2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>D130-E130</f>
        <v>0</v>
      </c>
      <c r="G130" s="23"/>
      <c r="J130" s="23"/>
    </row>
    <row r="132" spans="3:10" x14ac:dyDescent="0.2">
      <c r="D132" s="161" t="s">
        <v>4</v>
      </c>
      <c r="E132" s="161"/>
      <c r="F132" s="161"/>
    </row>
    <row r="133" spans="3:10" x14ac:dyDescent="0.2">
      <c r="D133" s="22" t="s">
        <v>117</v>
      </c>
      <c r="E133" s="22" t="s">
        <v>118</v>
      </c>
      <c r="F133" s="22" t="s">
        <v>119</v>
      </c>
    </row>
    <row r="134" spans="3:10" x14ac:dyDescent="0.2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>D134-E134</f>
        <v>0</v>
      </c>
    </row>
    <row r="135" spans="3:10" x14ac:dyDescent="0.2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>D135-E135</f>
        <v>0</v>
      </c>
    </row>
    <row r="136" spans="3:10" x14ac:dyDescent="0.2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>D136-E136</f>
        <v>0</v>
      </c>
    </row>
    <row r="137" spans="3:10" x14ac:dyDescent="0.2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>D137-E137</f>
        <v>0</v>
      </c>
    </row>
    <row r="138" spans="3:10" x14ac:dyDescent="0.2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>D138-E138</f>
        <v>0</v>
      </c>
    </row>
    <row r="139" spans="3:10" x14ac:dyDescent="0.2">
      <c r="C139" s="14" t="s">
        <v>106</v>
      </c>
      <c r="D139" s="23">
        <f>F106*1000</f>
        <v>217.22</v>
      </c>
      <c r="E139" s="23">
        <f>'Raw - 2025 PL'!N99</f>
        <v>217.22</v>
      </c>
      <c r="F139" s="23">
        <f>D139-E139</f>
        <v>0</v>
      </c>
    </row>
    <row r="140" spans="3:10" x14ac:dyDescent="0.2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>D140-E140</f>
        <v>0</v>
      </c>
    </row>
    <row r="141" spans="3:10" x14ac:dyDescent="0.2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>D141-E141</f>
        <v>0</v>
      </c>
    </row>
    <row r="142" spans="3:10" x14ac:dyDescent="0.2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>D142-E142</f>
        <v>0</v>
      </c>
    </row>
    <row r="144" spans="3:10" x14ac:dyDescent="0.2">
      <c r="D144" s="161" t="s">
        <v>115</v>
      </c>
      <c r="E144" s="161"/>
      <c r="F144" s="161"/>
    </row>
    <row r="145" spans="3:6" x14ac:dyDescent="0.2">
      <c r="D145" s="22" t="s">
        <v>117</v>
      </c>
      <c r="E145" s="22" t="s">
        <v>118</v>
      </c>
      <c r="F145" s="22" t="s">
        <v>119</v>
      </c>
    </row>
    <row r="146" spans="3:6" x14ac:dyDescent="0.2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6">D146-E146</f>
        <v>0</v>
      </c>
    </row>
    <row r="147" spans="3:6" x14ac:dyDescent="0.2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6"/>
        <v>0</v>
      </c>
    </row>
    <row r="148" spans="3:6" x14ac:dyDescent="0.2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6"/>
        <v>0</v>
      </c>
    </row>
    <row r="149" spans="3:6" x14ac:dyDescent="0.2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6"/>
        <v>0</v>
      </c>
    </row>
    <row r="150" spans="3:6" x14ac:dyDescent="0.2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6"/>
        <v>0</v>
      </c>
    </row>
    <row r="151" spans="3:6" x14ac:dyDescent="0.2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6"/>
        <v>0</v>
      </c>
    </row>
    <row r="152" spans="3:6" x14ac:dyDescent="0.2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6"/>
        <v>0</v>
      </c>
    </row>
    <row r="153" spans="3:6" x14ac:dyDescent="0.2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6"/>
        <v>0</v>
      </c>
    </row>
    <row r="154" spans="3:6" x14ac:dyDescent="0.2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6"/>
        <v>0</v>
      </c>
    </row>
    <row r="156" spans="3:6" x14ac:dyDescent="0.2">
      <c r="D156" s="159" t="s">
        <v>116</v>
      </c>
    </row>
    <row r="157" spans="3:6" x14ac:dyDescent="0.2">
      <c r="D157" s="159"/>
    </row>
    <row r="158" spans="3:6" x14ac:dyDescent="0.2">
      <c r="C158" s="14" t="s">
        <v>29</v>
      </c>
      <c r="D158" s="17" t="str">
        <f>IF(AND(ABS(F122)&lt;0.05,ABS(F134)&lt;0.05,ABS(F146)&lt;0.05),"TIES OUT","CHECK")</f>
        <v>TIES OUT</v>
      </c>
    </row>
    <row r="159" spans="3:6" x14ac:dyDescent="0.2">
      <c r="C159" s="14" t="s">
        <v>47</v>
      </c>
      <c r="D159" s="17" t="str">
        <f>IF(AND(ABS(F123)&lt;0.05,ABS(F135)&lt;0.05,ABS(F147)&lt;0.05),"TIES OUT","CHECK")</f>
        <v>TIES OUT</v>
      </c>
    </row>
    <row r="160" spans="3:6" x14ac:dyDescent="0.2">
      <c r="C160" s="14" t="s">
        <v>48</v>
      </c>
      <c r="D160" s="17" t="str">
        <f>IF(AND(ABS(F124)&lt;0.05,ABS(F136)&lt;0.05,ABS(F148)&lt;0.05),"TIES OUT","CHECK")</f>
        <v>TIES OUT</v>
      </c>
    </row>
    <row r="161" spans="3:4" x14ac:dyDescent="0.2">
      <c r="C161" s="14" t="s">
        <v>101</v>
      </c>
      <c r="D161" s="17" t="str">
        <f>IF(AND(ABS(F125)&lt;0.05,ABS(F137)&lt;0.05,ABS(F149)&lt;0.05),"TIES OUT","CHECK")</f>
        <v>TIES OUT</v>
      </c>
    </row>
    <row r="162" spans="3:4" x14ac:dyDescent="0.2">
      <c r="C162" s="14" t="s">
        <v>102</v>
      </c>
      <c r="D162" s="17" t="str">
        <f>IF(AND(ABS(F126)&lt;0.05,ABS(F138)&lt;0.05,ABS(F150)&lt;0.05),"TIES OUT","CHECK")</f>
        <v>TIES OUT</v>
      </c>
    </row>
    <row r="163" spans="3:4" x14ac:dyDescent="0.2">
      <c r="C163" s="14" t="s">
        <v>106</v>
      </c>
      <c r="D163" s="17" t="str">
        <f>IF(AND(ABS(F127)&lt;0.05,ABS(F139)&lt;0.05,ABS(F151)&lt;0.05),"TIES OUT","CHECK")</f>
        <v>TIES OUT</v>
      </c>
    </row>
    <row r="164" spans="3:4" x14ac:dyDescent="0.2">
      <c r="C164" s="14" t="s">
        <v>112</v>
      </c>
      <c r="D164" s="17" t="str">
        <f>IF(AND(ABS(F128)&lt;0.05,ABS(F140)&lt;0.05,ABS(F152)&lt;0.05),"TIES OUT","CHECK")</f>
        <v>TIES OUT</v>
      </c>
    </row>
    <row r="165" spans="3:4" x14ac:dyDescent="0.2">
      <c r="C165" s="14" t="s">
        <v>113</v>
      </c>
      <c r="D165" s="17" t="str">
        <f>IF(AND(ABS(F129)&lt;0.05,ABS(F141)&lt;0.05,ABS(F153)&lt;0.05),"TIES OUT","CHECK")</f>
        <v>TIES OUT</v>
      </c>
    </row>
    <row r="166" spans="3:4" x14ac:dyDescent="0.2">
      <c r="C166" s="14" t="s">
        <v>114</v>
      </c>
      <c r="D166" s="17" t="str">
        <f>IF(AND(ABS(F130)&lt;0.05,ABS(F142)&lt;0.05,ABS(F154)&lt;0.05),"TIES OUT","CHECK")</f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121</v>
      </c>
    </row>
    <row r="5" spans="1:14" x14ac:dyDescent="0.25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5" t="s">
        <v>135</v>
      </c>
      <c r="N7" s="26">
        <v>0</v>
      </c>
    </row>
    <row r="8" spans="1:14" x14ac:dyDescent="0.25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 x14ac:dyDescent="0.25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 x14ac:dyDescent="0.25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 x14ac:dyDescent="0.25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 x14ac:dyDescent="0.25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 x14ac:dyDescent="0.25">
      <c r="A13" s="25" t="s">
        <v>141</v>
      </c>
      <c r="N13" s="26">
        <v>0</v>
      </c>
    </row>
    <row r="14" spans="1:14" x14ac:dyDescent="0.25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 x14ac:dyDescent="0.25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 x14ac:dyDescent="0.25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 x14ac:dyDescent="0.25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 x14ac:dyDescent="0.25">
      <c r="A18" s="25" t="s">
        <v>146</v>
      </c>
      <c r="N18" s="26">
        <v>0</v>
      </c>
    </row>
    <row r="19" spans="1:14" x14ac:dyDescent="0.25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 x14ac:dyDescent="0.25">
      <c r="A20" s="27" t="s">
        <v>148</v>
      </c>
      <c r="L20" s="26">
        <v>80</v>
      </c>
      <c r="M20" s="26">
        <v>480</v>
      </c>
      <c r="N20" s="26">
        <v>560</v>
      </c>
    </row>
    <row r="21" spans="1:14" x14ac:dyDescent="0.25">
      <c r="A21" s="27" t="s">
        <v>149</v>
      </c>
      <c r="M21" s="26">
        <v>60</v>
      </c>
      <c r="N21" s="26">
        <v>60</v>
      </c>
    </row>
    <row r="22" spans="1:14" x14ac:dyDescent="0.25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 x14ac:dyDescent="0.25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 x14ac:dyDescent="0.25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 x14ac:dyDescent="0.25">
      <c r="A25" s="17" t="s">
        <v>30</v>
      </c>
    </row>
    <row r="26" spans="1:14" x14ac:dyDescent="0.25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 x14ac:dyDescent="0.25">
      <c r="A27" s="25" t="s">
        <v>153</v>
      </c>
      <c r="N27" s="26">
        <v>0</v>
      </c>
    </row>
    <row r="28" spans="1:14" x14ac:dyDescent="0.25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 x14ac:dyDescent="0.25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 x14ac:dyDescent="0.25">
      <c r="A30" s="27" t="s">
        <v>156</v>
      </c>
      <c r="M30" s="26">
        <v>1113.3499999999999</v>
      </c>
      <c r="N30" s="26">
        <v>1113.3499999999999</v>
      </c>
    </row>
    <row r="31" spans="1:14" x14ac:dyDescent="0.25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 x14ac:dyDescent="0.25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 x14ac:dyDescent="0.25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 x14ac:dyDescent="0.25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 x14ac:dyDescent="0.25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 x14ac:dyDescent="0.25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 x14ac:dyDescent="0.25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 x14ac:dyDescent="0.25">
      <c r="A38" s="17" t="s">
        <v>49</v>
      </c>
    </row>
    <row r="39" spans="1:14" x14ac:dyDescent="0.25">
      <c r="A39" s="25" t="s">
        <v>162</v>
      </c>
      <c r="N39" s="26">
        <v>0</v>
      </c>
    </row>
    <row r="40" spans="1:14" x14ac:dyDescent="0.25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 x14ac:dyDescent="0.25">
      <c r="A41" s="27" t="s">
        <v>164</v>
      </c>
      <c r="N41" s="26">
        <v>0</v>
      </c>
    </row>
    <row r="42" spans="1:14" x14ac:dyDescent="0.25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 x14ac:dyDescent="0.25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 x14ac:dyDescent="0.25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 x14ac:dyDescent="0.25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 x14ac:dyDescent="0.25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 x14ac:dyDescent="0.25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 x14ac:dyDescent="0.25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 x14ac:dyDescent="0.25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 x14ac:dyDescent="0.25">
      <c r="A50" s="27" t="s">
        <v>173</v>
      </c>
      <c r="N50" s="26">
        <v>0</v>
      </c>
    </row>
    <row r="51" spans="1:14" x14ac:dyDescent="0.25">
      <c r="A51" s="30" t="s">
        <v>174</v>
      </c>
      <c r="D51" s="26">
        <v>2600</v>
      </c>
      <c r="J51" s="26">
        <v>892.5</v>
      </c>
      <c r="N51" s="26">
        <v>3492.5</v>
      </c>
    </row>
    <row r="52" spans="1:14" x14ac:dyDescent="0.25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 x14ac:dyDescent="0.25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 x14ac:dyDescent="0.25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 x14ac:dyDescent="0.25">
      <c r="A55" s="27" t="s">
        <v>178</v>
      </c>
      <c r="E55" s="26">
        <v>2158.98</v>
      </c>
      <c r="M55" s="26">
        <v>950</v>
      </c>
      <c r="N55" s="26">
        <v>3108.98</v>
      </c>
    </row>
    <row r="56" spans="1:14" x14ac:dyDescent="0.25">
      <c r="A56" s="27" t="s">
        <v>179</v>
      </c>
      <c r="F56" s="26">
        <v>64.989999999999995</v>
      </c>
      <c r="N56" s="26">
        <v>64.989999999999995</v>
      </c>
    </row>
    <row r="57" spans="1:14" x14ac:dyDescent="0.25">
      <c r="A57" s="27" t="s">
        <v>180</v>
      </c>
      <c r="E57" s="26">
        <v>1750</v>
      </c>
      <c r="N57" s="26">
        <v>1750</v>
      </c>
    </row>
    <row r="58" spans="1:14" x14ac:dyDescent="0.25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 x14ac:dyDescent="0.25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 x14ac:dyDescent="0.25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 x14ac:dyDescent="0.25">
      <c r="A61" s="27" t="s">
        <v>184</v>
      </c>
      <c r="D61" s="26">
        <v>102</v>
      </c>
      <c r="N61" s="26">
        <v>102</v>
      </c>
    </row>
    <row r="62" spans="1:14" x14ac:dyDescent="0.25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 x14ac:dyDescent="0.25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 x14ac:dyDescent="0.25">
      <c r="A64" s="25" t="s">
        <v>187</v>
      </c>
      <c r="N64" s="26">
        <v>0</v>
      </c>
    </row>
    <row r="65" spans="1:14" x14ac:dyDescent="0.25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 x14ac:dyDescent="0.25">
      <c r="A66" s="27" t="s">
        <v>189</v>
      </c>
      <c r="J66" s="26">
        <v>100</v>
      </c>
      <c r="N66" s="26">
        <v>100</v>
      </c>
    </row>
    <row r="67" spans="1:14" x14ac:dyDescent="0.25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 x14ac:dyDescent="0.25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 x14ac:dyDescent="0.25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 x14ac:dyDescent="0.25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 x14ac:dyDescent="0.25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 x14ac:dyDescent="0.25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 x14ac:dyDescent="0.25">
      <c r="A73" s="17" t="s">
        <v>103</v>
      </c>
    </row>
    <row r="74" spans="1:14" x14ac:dyDescent="0.25">
      <c r="A74" s="25" t="s">
        <v>194</v>
      </c>
      <c r="M74" s="26">
        <v>27.36</v>
      </c>
      <c r="N74" s="26">
        <v>27.36</v>
      </c>
    </row>
    <row r="75" spans="1:14" x14ac:dyDescent="0.25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 x14ac:dyDescent="0.25">
      <c r="A76" s="17" t="s">
        <v>107</v>
      </c>
    </row>
    <row r="77" spans="1:14" x14ac:dyDescent="0.25">
      <c r="A77" s="25" t="s">
        <v>195</v>
      </c>
      <c r="M77" s="26">
        <v>6673</v>
      </c>
      <c r="N77" s="26">
        <v>6673</v>
      </c>
    </row>
    <row r="78" spans="1:14" x14ac:dyDescent="0.25">
      <c r="A78" s="25" t="s">
        <v>196</v>
      </c>
      <c r="L78" s="26">
        <v>71.5</v>
      </c>
      <c r="M78" s="26">
        <v>8.14</v>
      </c>
      <c r="N78" s="26">
        <v>79.64</v>
      </c>
    </row>
    <row r="79" spans="1:14" x14ac:dyDescent="0.25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 x14ac:dyDescent="0.25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 x14ac:dyDescent="0.25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 x14ac:dyDescent="0.25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 x14ac:dyDescent="0.25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 x14ac:dyDescent="0.2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 x14ac:dyDescent="0.25">
      <c r="A1" s="17" t="s">
        <v>0</v>
      </c>
    </row>
    <row r="2" spans="1:14" x14ac:dyDescent="0.25">
      <c r="A2" s="17" t="s">
        <v>120</v>
      </c>
    </row>
    <row r="3" spans="1:14" x14ac:dyDescent="0.25">
      <c r="A3" s="17" t="s">
        <v>199</v>
      </c>
    </row>
    <row r="5" spans="1:14" x14ac:dyDescent="0.25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 x14ac:dyDescent="0.25">
      <c r="A6" s="17" t="s">
        <v>6</v>
      </c>
    </row>
    <row r="7" spans="1:14" x14ac:dyDescent="0.25">
      <c r="A7" s="25" t="s">
        <v>212</v>
      </c>
      <c r="N7" s="26">
        <v>0</v>
      </c>
    </row>
    <row r="8" spans="1:14" x14ac:dyDescent="0.25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 x14ac:dyDescent="0.25">
      <c r="A9" s="27" t="s">
        <v>214</v>
      </c>
      <c r="J9" s="26">
        <v>0</v>
      </c>
      <c r="K9" s="26">
        <v>1650</v>
      </c>
      <c r="N9" s="26">
        <v>1650</v>
      </c>
    </row>
    <row r="10" spans="1:14" x14ac:dyDescent="0.25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 x14ac:dyDescent="0.25">
      <c r="A11" s="25" t="s">
        <v>135</v>
      </c>
      <c r="N11" s="26">
        <v>0</v>
      </c>
    </row>
    <row r="12" spans="1:14" x14ac:dyDescent="0.25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 x14ac:dyDescent="0.25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 x14ac:dyDescent="0.25">
      <c r="A14" s="27" t="s">
        <v>138</v>
      </c>
      <c r="B14" s="26">
        <v>100</v>
      </c>
      <c r="D14" s="26">
        <v>100</v>
      </c>
      <c r="N14" s="26">
        <v>200</v>
      </c>
    </row>
    <row r="15" spans="1:14" x14ac:dyDescent="0.25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 x14ac:dyDescent="0.25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 x14ac:dyDescent="0.25">
      <c r="A17" s="25" t="s">
        <v>141</v>
      </c>
      <c r="N17" s="26">
        <v>0</v>
      </c>
    </row>
    <row r="18" spans="1:14" x14ac:dyDescent="0.25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 x14ac:dyDescent="0.25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 x14ac:dyDescent="0.25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 x14ac:dyDescent="0.25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 x14ac:dyDescent="0.25">
      <c r="A22" s="25" t="s">
        <v>146</v>
      </c>
      <c r="N22" s="26">
        <v>0</v>
      </c>
    </row>
    <row r="23" spans="1:14" x14ac:dyDescent="0.25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 x14ac:dyDescent="0.25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 x14ac:dyDescent="0.25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 x14ac:dyDescent="0.25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 x14ac:dyDescent="0.25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 x14ac:dyDescent="0.25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 x14ac:dyDescent="0.25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 x14ac:dyDescent="0.25">
      <c r="A30" s="17" t="s">
        <v>30</v>
      </c>
    </row>
    <row r="31" spans="1:14" x14ac:dyDescent="0.25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 x14ac:dyDescent="0.25">
      <c r="A32" s="25" t="s">
        <v>217</v>
      </c>
      <c r="K32" s="26">
        <v>1150</v>
      </c>
      <c r="L32" s="26">
        <v>437.5</v>
      </c>
      <c r="N32" s="26">
        <v>1587.5</v>
      </c>
    </row>
    <row r="33" spans="1:14" x14ac:dyDescent="0.25">
      <c r="A33" s="25" t="s">
        <v>153</v>
      </c>
      <c r="N33" s="26">
        <v>0</v>
      </c>
    </row>
    <row r="34" spans="1:14" x14ac:dyDescent="0.25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 x14ac:dyDescent="0.25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 x14ac:dyDescent="0.25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 x14ac:dyDescent="0.25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 x14ac:dyDescent="0.25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 x14ac:dyDescent="0.25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 x14ac:dyDescent="0.25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 x14ac:dyDescent="0.25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 x14ac:dyDescent="0.25">
      <c r="A42" s="25" t="s">
        <v>219</v>
      </c>
      <c r="D42" s="26">
        <v>4640</v>
      </c>
      <c r="N42" s="26">
        <v>4640</v>
      </c>
    </row>
    <row r="43" spans="1:14" x14ac:dyDescent="0.25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 x14ac:dyDescent="0.25">
      <c r="A44" s="25" t="s">
        <v>220</v>
      </c>
      <c r="J44" s="26">
        <v>396.95</v>
      </c>
      <c r="N44" s="26">
        <v>396.95</v>
      </c>
    </row>
    <row r="45" spans="1:14" x14ac:dyDescent="0.25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 x14ac:dyDescent="0.25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 x14ac:dyDescent="0.25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 x14ac:dyDescent="0.25">
      <c r="A48" s="17" t="s">
        <v>49</v>
      </c>
    </row>
    <row r="49" spans="1:14" x14ac:dyDescent="0.25">
      <c r="A49" s="25" t="s">
        <v>162</v>
      </c>
      <c r="N49" s="26">
        <v>0</v>
      </c>
    </row>
    <row r="50" spans="1:14" x14ac:dyDescent="0.25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 x14ac:dyDescent="0.25">
      <c r="A51" s="27" t="s">
        <v>222</v>
      </c>
      <c r="E51" s="26">
        <v>1849.99</v>
      </c>
      <c r="K51" s="26">
        <v>781.08</v>
      </c>
      <c r="N51" s="26">
        <v>2631.07</v>
      </c>
    </row>
    <row r="52" spans="1:14" x14ac:dyDescent="0.25">
      <c r="A52" s="27" t="s">
        <v>164</v>
      </c>
      <c r="N52" s="26">
        <v>0</v>
      </c>
    </row>
    <row r="53" spans="1:14" x14ac:dyDescent="0.25">
      <c r="A53" s="30" t="s">
        <v>223</v>
      </c>
      <c r="F53" s="26">
        <v>300</v>
      </c>
      <c r="G53" s="26">
        <v>36</v>
      </c>
      <c r="N53" s="26">
        <v>336</v>
      </c>
    </row>
    <row r="54" spans="1:14" x14ac:dyDescent="0.25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 x14ac:dyDescent="0.25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 x14ac:dyDescent="0.25">
      <c r="A56" s="30" t="s">
        <v>224</v>
      </c>
      <c r="M56" s="26">
        <v>2519</v>
      </c>
      <c r="N56" s="26">
        <v>2519</v>
      </c>
    </row>
    <row r="57" spans="1:14" x14ac:dyDescent="0.25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 x14ac:dyDescent="0.25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 x14ac:dyDescent="0.25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 x14ac:dyDescent="0.25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 x14ac:dyDescent="0.25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 x14ac:dyDescent="0.25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 x14ac:dyDescent="0.25">
      <c r="A63" s="27" t="s">
        <v>173</v>
      </c>
      <c r="N63" s="26">
        <v>0</v>
      </c>
    </row>
    <row r="64" spans="1:14" x14ac:dyDescent="0.25">
      <c r="A64" s="30" t="s">
        <v>174</v>
      </c>
      <c r="E64" s="26">
        <v>1400</v>
      </c>
      <c r="N64" s="26">
        <v>1400</v>
      </c>
    </row>
    <row r="65" spans="1:14" x14ac:dyDescent="0.25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 x14ac:dyDescent="0.25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 x14ac:dyDescent="0.25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 x14ac:dyDescent="0.25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 x14ac:dyDescent="0.25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 x14ac:dyDescent="0.25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 x14ac:dyDescent="0.25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 x14ac:dyDescent="0.25">
      <c r="A72" s="27" t="s">
        <v>184</v>
      </c>
      <c r="B72" s="26">
        <v>102</v>
      </c>
      <c r="E72" s="26">
        <v>398</v>
      </c>
      <c r="N72" s="26">
        <v>500</v>
      </c>
    </row>
    <row r="73" spans="1:14" x14ac:dyDescent="0.25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 x14ac:dyDescent="0.25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 x14ac:dyDescent="0.25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 x14ac:dyDescent="0.25">
      <c r="A76" s="25" t="s">
        <v>187</v>
      </c>
      <c r="N76" s="26">
        <v>0</v>
      </c>
    </row>
    <row r="77" spans="1:14" x14ac:dyDescent="0.25">
      <c r="A77" s="27" t="s">
        <v>188</v>
      </c>
      <c r="N77" s="26">
        <v>0</v>
      </c>
    </row>
    <row r="78" spans="1:14" x14ac:dyDescent="0.25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 x14ac:dyDescent="0.25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 x14ac:dyDescent="0.25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 x14ac:dyDescent="0.25">
      <c r="A81" s="27" t="s">
        <v>189</v>
      </c>
      <c r="H81" s="26">
        <v>100</v>
      </c>
      <c r="N81" s="26">
        <v>100</v>
      </c>
    </row>
    <row r="82" spans="1:14" x14ac:dyDescent="0.25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 x14ac:dyDescent="0.25">
      <c r="A83" s="27" t="s">
        <v>190</v>
      </c>
      <c r="B83" s="26">
        <v>144</v>
      </c>
      <c r="N83" s="26">
        <v>144</v>
      </c>
    </row>
    <row r="84" spans="1:14" x14ac:dyDescent="0.25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 x14ac:dyDescent="0.25">
      <c r="A85" s="27" t="s">
        <v>230</v>
      </c>
      <c r="N85" s="26">
        <v>0</v>
      </c>
    </row>
    <row r="86" spans="1:14" x14ac:dyDescent="0.25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 x14ac:dyDescent="0.25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 x14ac:dyDescent="0.25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 x14ac:dyDescent="0.25">
      <c r="A89" s="30" t="s">
        <v>234</v>
      </c>
      <c r="F89" s="26">
        <v>715.49</v>
      </c>
      <c r="N89" s="26">
        <v>715.49</v>
      </c>
    </row>
    <row r="90" spans="1:14" x14ac:dyDescent="0.25">
      <c r="A90" s="30" t="s">
        <v>235</v>
      </c>
      <c r="J90" s="26">
        <v>148</v>
      </c>
      <c r="L90" s="26">
        <v>87</v>
      </c>
      <c r="N90" s="26">
        <v>235</v>
      </c>
    </row>
    <row r="91" spans="1:14" x14ac:dyDescent="0.25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 x14ac:dyDescent="0.25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 x14ac:dyDescent="0.25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 x14ac:dyDescent="0.25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 x14ac:dyDescent="0.25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 x14ac:dyDescent="0.25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 x14ac:dyDescent="0.25">
      <c r="A97" s="17" t="s">
        <v>103</v>
      </c>
    </row>
    <row r="98" spans="1:14" x14ac:dyDescent="0.25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 x14ac:dyDescent="0.25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 x14ac:dyDescent="0.25">
      <c r="A100" s="17" t="s">
        <v>107</v>
      </c>
    </row>
    <row r="101" spans="1:14" x14ac:dyDescent="0.25">
      <c r="A101" s="25" t="s">
        <v>195</v>
      </c>
      <c r="M101" s="26">
        <v>6673</v>
      </c>
      <c r="N101" s="26">
        <v>6673</v>
      </c>
    </row>
    <row r="102" spans="1:14" x14ac:dyDescent="0.25">
      <c r="A102" s="25" t="s">
        <v>239</v>
      </c>
      <c r="M102" s="26">
        <v>2704</v>
      </c>
      <c r="N102" s="26">
        <v>2704</v>
      </c>
    </row>
    <row r="103" spans="1:14" x14ac:dyDescent="0.25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 x14ac:dyDescent="0.25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 x14ac:dyDescent="0.25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 x14ac:dyDescent="0.25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 x14ac:dyDescent="0.25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 x14ac:dyDescent="0.25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 x14ac:dyDescent="0.2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 x14ac:dyDescent="0.25">
      <c r="A1" s="17" t="s">
        <v>0</v>
      </c>
    </row>
    <row r="2" spans="1:9" x14ac:dyDescent="0.25">
      <c r="A2" s="17" t="s">
        <v>120</v>
      </c>
    </row>
    <row r="3" spans="1:9" x14ac:dyDescent="0.25">
      <c r="A3" s="17" t="s">
        <v>241</v>
      </c>
    </row>
    <row r="5" spans="1:9" x14ac:dyDescent="0.25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 x14ac:dyDescent="0.25">
      <c r="A6" s="17" t="s">
        <v>6</v>
      </c>
    </row>
    <row r="7" spans="1:9" x14ac:dyDescent="0.25">
      <c r="A7" s="25" t="s">
        <v>212</v>
      </c>
      <c r="I7" s="26">
        <v>0</v>
      </c>
    </row>
    <row r="8" spans="1:9" x14ac:dyDescent="0.25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 x14ac:dyDescent="0.25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 x14ac:dyDescent="0.25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 x14ac:dyDescent="0.25">
      <c r="A11" s="25" t="s">
        <v>135</v>
      </c>
      <c r="I11" s="26">
        <v>0</v>
      </c>
    </row>
    <row r="12" spans="1:9" x14ac:dyDescent="0.25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 x14ac:dyDescent="0.25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 x14ac:dyDescent="0.25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 x14ac:dyDescent="0.25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 x14ac:dyDescent="0.25">
      <c r="A16" s="25" t="s">
        <v>141</v>
      </c>
      <c r="I16" s="26">
        <v>0</v>
      </c>
    </row>
    <row r="17" spans="1:9" x14ac:dyDescent="0.25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 x14ac:dyDescent="0.25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 x14ac:dyDescent="0.25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 x14ac:dyDescent="0.25">
      <c r="A20" s="25" t="s">
        <v>146</v>
      </c>
      <c r="I20" s="26">
        <v>0</v>
      </c>
    </row>
    <row r="21" spans="1:9" x14ac:dyDescent="0.25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 x14ac:dyDescent="0.25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 x14ac:dyDescent="0.25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 x14ac:dyDescent="0.25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 x14ac:dyDescent="0.25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 x14ac:dyDescent="0.25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 x14ac:dyDescent="0.25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 x14ac:dyDescent="0.25">
      <c r="A28" s="17" t="s">
        <v>30</v>
      </c>
    </row>
    <row r="29" spans="1:9" x14ac:dyDescent="0.25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 x14ac:dyDescent="0.25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 x14ac:dyDescent="0.25">
      <c r="A31" s="25" t="s">
        <v>153</v>
      </c>
      <c r="I31" s="26">
        <v>0</v>
      </c>
    </row>
    <row r="32" spans="1:9" x14ac:dyDescent="0.25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 x14ac:dyDescent="0.25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 x14ac:dyDescent="0.25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 x14ac:dyDescent="0.25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 x14ac:dyDescent="0.25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 x14ac:dyDescent="0.25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 x14ac:dyDescent="0.25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 x14ac:dyDescent="0.25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 x14ac:dyDescent="0.25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 x14ac:dyDescent="0.25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 x14ac:dyDescent="0.25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 x14ac:dyDescent="0.25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 x14ac:dyDescent="0.25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 x14ac:dyDescent="0.25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 x14ac:dyDescent="0.25">
      <c r="A46" s="17" t="s">
        <v>49</v>
      </c>
    </row>
    <row r="47" spans="1:9" x14ac:dyDescent="0.25">
      <c r="A47" s="25" t="s">
        <v>162</v>
      </c>
      <c r="I47" s="26">
        <v>0</v>
      </c>
    </row>
    <row r="48" spans="1:9" x14ac:dyDescent="0.25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 x14ac:dyDescent="0.25">
      <c r="A49" s="27" t="s">
        <v>250</v>
      </c>
      <c r="E49" s="26">
        <v>19.84</v>
      </c>
      <c r="I49" s="26">
        <v>19.84</v>
      </c>
    </row>
    <row r="50" spans="1:9" x14ac:dyDescent="0.25">
      <c r="A50" s="27" t="s">
        <v>222</v>
      </c>
      <c r="B50" s="26">
        <v>799.68</v>
      </c>
      <c r="C50" s="26">
        <v>868.84</v>
      </c>
      <c r="I50" s="26">
        <v>1668.52</v>
      </c>
    </row>
    <row r="51" spans="1:9" x14ac:dyDescent="0.25">
      <c r="A51" s="27" t="s">
        <v>164</v>
      </c>
      <c r="I51" s="26">
        <v>0</v>
      </c>
    </row>
    <row r="52" spans="1:9" x14ac:dyDescent="0.25">
      <c r="A52" s="30" t="s">
        <v>223</v>
      </c>
      <c r="B52" s="26">
        <v>16.2</v>
      </c>
      <c r="I52" s="26">
        <v>16.2</v>
      </c>
    </row>
    <row r="53" spans="1:9" x14ac:dyDescent="0.25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 x14ac:dyDescent="0.25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 x14ac:dyDescent="0.25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 x14ac:dyDescent="0.25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 x14ac:dyDescent="0.25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 x14ac:dyDescent="0.25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 x14ac:dyDescent="0.25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 x14ac:dyDescent="0.25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 x14ac:dyDescent="0.25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 x14ac:dyDescent="0.25">
      <c r="A62" s="27" t="s">
        <v>173</v>
      </c>
      <c r="I62" s="26">
        <v>0</v>
      </c>
    </row>
    <row r="63" spans="1:9" x14ac:dyDescent="0.25">
      <c r="A63" s="30" t="s">
        <v>174</v>
      </c>
      <c r="D63" s="26">
        <v>950</v>
      </c>
      <c r="I63" s="26">
        <v>950</v>
      </c>
    </row>
    <row r="64" spans="1:9" x14ac:dyDescent="0.25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 x14ac:dyDescent="0.25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 x14ac:dyDescent="0.25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 x14ac:dyDescent="0.25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 x14ac:dyDescent="0.25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 x14ac:dyDescent="0.25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 x14ac:dyDescent="0.25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 x14ac:dyDescent="0.25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 x14ac:dyDescent="0.25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 x14ac:dyDescent="0.25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 x14ac:dyDescent="0.25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 x14ac:dyDescent="0.25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 x14ac:dyDescent="0.25">
      <c r="A76" s="25" t="s">
        <v>187</v>
      </c>
      <c r="I76" s="26">
        <v>0</v>
      </c>
    </row>
    <row r="77" spans="1:9" x14ac:dyDescent="0.25">
      <c r="A77" s="27" t="s">
        <v>188</v>
      </c>
      <c r="I77" s="26">
        <v>0</v>
      </c>
    </row>
    <row r="78" spans="1:9" x14ac:dyDescent="0.25">
      <c r="A78" s="30" t="s">
        <v>226</v>
      </c>
      <c r="H78" s="26">
        <v>11695</v>
      </c>
      <c r="I78" s="26">
        <v>11695</v>
      </c>
    </row>
    <row r="79" spans="1:9" x14ac:dyDescent="0.25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 x14ac:dyDescent="0.25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 x14ac:dyDescent="0.25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 x14ac:dyDescent="0.25">
      <c r="A82" s="27" t="s">
        <v>190</v>
      </c>
      <c r="B82" s="26">
        <v>144</v>
      </c>
      <c r="I82" s="26">
        <v>144</v>
      </c>
    </row>
    <row r="83" spans="1:9" x14ac:dyDescent="0.25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 x14ac:dyDescent="0.25">
      <c r="A84" s="27" t="s">
        <v>230</v>
      </c>
      <c r="I84" s="26">
        <v>0</v>
      </c>
    </row>
    <row r="85" spans="1:9" x14ac:dyDescent="0.25">
      <c r="A85" s="30" t="s">
        <v>231</v>
      </c>
      <c r="E85" s="26">
        <v>6015.1</v>
      </c>
      <c r="F85" s="26">
        <v>1357.09</v>
      </c>
      <c r="I85" s="26">
        <v>7372.19</v>
      </c>
    </row>
    <row r="86" spans="1:9" x14ac:dyDescent="0.25">
      <c r="A86" s="30" t="s">
        <v>232</v>
      </c>
      <c r="E86" s="26">
        <v>3750</v>
      </c>
      <c r="F86" s="26">
        <v>2713.23</v>
      </c>
      <c r="I86" s="26">
        <v>6463.23</v>
      </c>
    </row>
    <row r="87" spans="1:9" x14ac:dyDescent="0.25">
      <c r="A87" s="30" t="s">
        <v>252</v>
      </c>
      <c r="F87" s="26">
        <v>1597.03</v>
      </c>
      <c r="I87" s="26">
        <v>1597.03</v>
      </c>
    </row>
    <row r="88" spans="1:9" x14ac:dyDescent="0.25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 x14ac:dyDescent="0.25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 x14ac:dyDescent="0.25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 x14ac:dyDescent="0.25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 x14ac:dyDescent="0.25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 x14ac:dyDescent="0.25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 x14ac:dyDescent="0.25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 x14ac:dyDescent="0.25">
      <c r="A95" s="17" t="s">
        <v>103</v>
      </c>
    </row>
    <row r="96" spans="1:9" x14ac:dyDescent="0.25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 x14ac:dyDescent="0.25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 x14ac:dyDescent="0.25">
      <c r="A98" s="17" t="s">
        <v>107</v>
      </c>
    </row>
    <row r="99" spans="1:9" x14ac:dyDescent="0.25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 x14ac:dyDescent="0.25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 x14ac:dyDescent="0.25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 x14ac:dyDescent="0.25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 x14ac:dyDescent="0.25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 x14ac:dyDescent="0.25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8</vt:i4>
      </vt:variant>
    </vt:vector>
  </HeadingPairs>
  <TitlesOfParts>
    <vt:vector size="21" baseType="lpstr">
      <vt:lpstr>Cover</vt:lpstr>
      <vt:lpstr>P&amp;L Overview</vt:lpstr>
      <vt:lpstr>P&amp;L Forecast</vt:lpstr>
      <vt:lpstr>Revenue Analysis</vt:lpstr>
      <vt:lpstr>Revenue Charts</vt:lpstr>
      <vt:lpstr>Expense Charts</vt:lpstr>
      <vt:lpstr>Raw Data --&gt;</vt:lpstr>
      <vt:lpstr>Customer List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Charts'!Print_Area</vt:lpstr>
      <vt:lpstr>'P&amp;L Overview'!Print_Area</vt:lpstr>
      <vt:lpstr>'Revenue Analysis'!Print_Area</vt:lpstr>
      <vt:lpstr>'Revenue Charts'!Print_Area</vt:lpstr>
      <vt:lpstr>'Combined P&amp;L'!Print_Titles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2026-09-04T03:19:00Z</cp:lastPrinted>
  <dcterms:created xsi:type="dcterms:W3CDTF">2015-06-05T18:17:20Z</dcterms:created>
  <dcterms:modified xsi:type="dcterms:W3CDTF">2026-09-04T03:19:53Z</dcterms:modified>
</cp:coreProperties>
</file>